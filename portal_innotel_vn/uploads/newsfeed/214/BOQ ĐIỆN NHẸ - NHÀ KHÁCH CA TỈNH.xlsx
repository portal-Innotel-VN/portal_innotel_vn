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0BA9CF97-CF50-4445-93FF-018B25B6BF05}" xr6:coauthVersionLast="47" xr6:coauthVersionMax="47" xr10:uidLastSave="{00000000-0000-0000-0000-000000000000}"/>
  <bookViews>
    <workbookView xWindow="-120" yWindow="-120" windowWidth="20730" windowHeight="11160" firstSheet="1" activeTab="1" xr2:uid="{00000000-000D-0000-FFFF-FFFF00000000}"/>
  </bookViews>
  <sheets>
    <sheet name="Kangatang" sheetId="5" state="veryHidden" r:id="rId1"/>
    <sheet name="PL03a" sheetId="1" r:id="rId2"/>
    <sheet name="Sheet2" sheetId="8" state="hidden" r:id="rId3"/>
    <sheet name="Sheet1" sheetId="7" state="hidden" r:id="rId4"/>
    <sheet name="BBNTHT" sheetId="2" state="hidden" r:id="rId5"/>
    <sheet name="PL 03 liên danh" sheetId="6" state="hidden" r:id="rId6"/>
    <sheet name="bảng diễn giải" sheetId="4" state="hidden" r:id="rId7"/>
    <sheet name="đọc số" sheetId="3" state="hidden" r:id="rId8"/>
  </sheets>
  <definedNames>
    <definedName name="_xlnm._FilterDatabase" localSheetId="4" hidden="1">BBNTHT!$A$55:$U$2252</definedName>
    <definedName name="_xlnm._FilterDatabase" localSheetId="5" hidden="1">'PL 03 liên danh'!$A$16:$M$2214</definedName>
    <definedName name="_xlnm._FilterDatabase" localSheetId="1" hidden="1">PL03a!$H$6:$H$163</definedName>
    <definedName name="_xlnm.Print_Area" localSheetId="1">PL03a!$A$1:$H$163</definedName>
    <definedName name="_xlnm.Print_Titles" localSheetId="4">BBNTHT!$53:$55</definedName>
    <definedName name="_xlnm.Print_Titles" localSheetId="1">PL03a!$4:$6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8" l="1"/>
  <c r="F5" i="8"/>
  <c r="F6" i="8"/>
  <c r="D5" i="8"/>
  <c r="C5" i="8"/>
  <c r="E4" i="8" l="1"/>
  <c r="E7" i="8" s="1"/>
  <c r="H6" i="8"/>
  <c r="C4" i="8" s="1"/>
  <c r="G34" i="3"/>
  <c r="C7" i="8" l="1"/>
  <c r="F4" i="8"/>
  <c r="F7" i="8" s="1"/>
  <c r="C52" i="3"/>
  <c r="J2229" i="6"/>
  <c r="J2219" i="6"/>
  <c r="F2211" i="6"/>
  <c r="K2211" i="6" s="1"/>
  <c r="L2211" i="6" s="1"/>
  <c r="F2135" i="6"/>
  <c r="K2135" i="6" s="1"/>
  <c r="L2135" i="6" s="1"/>
  <c r="F1843" i="6"/>
  <c r="F1844" i="6"/>
  <c r="K1844" i="6" s="1"/>
  <c r="L1844" i="6" s="1"/>
  <c r="F1845" i="6"/>
  <c r="K1845" i="6" s="1"/>
  <c r="L1845" i="6" s="1"/>
  <c r="F1846" i="6"/>
  <c r="F1847" i="6"/>
  <c r="F1848" i="6"/>
  <c r="K1848" i="6" s="1"/>
  <c r="L1848" i="6" s="1"/>
  <c r="F1849" i="6"/>
  <c r="K1849" i="6" s="1"/>
  <c r="L1849" i="6" s="1"/>
  <c r="F1850" i="6"/>
  <c r="F1757" i="6"/>
  <c r="K1757" i="6" s="1"/>
  <c r="L1757" i="6" s="1"/>
  <c r="F1758" i="6"/>
  <c r="F1759" i="6"/>
  <c r="F1760" i="6"/>
  <c r="K1760" i="6" s="1"/>
  <c r="L1760" i="6" s="1"/>
  <c r="F1761" i="6"/>
  <c r="K1761" i="6" s="1"/>
  <c r="L1761" i="6" s="1"/>
  <c r="F1762" i="6"/>
  <c r="F1619"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164" i="6"/>
  <c r="F1165" i="6"/>
  <c r="G2259" i="2"/>
  <c r="I768" i="6"/>
  <c r="I18" i="6"/>
  <c r="I19" i="6"/>
  <c r="I20" i="6"/>
  <c r="I21" i="6"/>
  <c r="I22" i="6"/>
  <c r="I23" i="6"/>
  <c r="I24" i="6"/>
  <c r="I25" i="6"/>
  <c r="I26" i="6"/>
  <c r="I27" i="6"/>
  <c r="I28" i="6"/>
  <c r="I29"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7" i="6"/>
  <c r="I258" i="6"/>
  <c r="I259" i="6"/>
  <c r="I260" i="6"/>
  <c r="I261" i="6"/>
  <c r="I262" i="6"/>
  <c r="I263" i="6"/>
  <c r="I264" i="6"/>
  <c r="I265" i="6"/>
  <c r="I266" i="6"/>
  <c r="I268" i="6"/>
  <c r="I269" i="6"/>
  <c r="I270" i="6"/>
  <c r="I271" i="6"/>
  <c r="I272" i="6"/>
  <c r="I273" i="6"/>
  <c r="I274" i="6"/>
  <c r="I276" i="6"/>
  <c r="I277" i="6"/>
  <c r="I278" i="6"/>
  <c r="I279" i="6"/>
  <c r="I280" i="6"/>
  <c r="I281" i="6"/>
  <c r="I282" i="6"/>
  <c r="I283" i="6"/>
  <c r="I284" i="6"/>
  <c r="I285" i="6"/>
  <c r="I286" i="6"/>
  <c r="I287" i="6"/>
  <c r="I288" i="6"/>
  <c r="I289" i="6"/>
  <c r="I290" i="6"/>
  <c r="I292" i="6"/>
  <c r="I293" i="6"/>
  <c r="I294" i="6"/>
  <c r="I295" i="6"/>
  <c r="I296" i="6"/>
  <c r="I297" i="6"/>
  <c r="I298" i="6"/>
  <c r="I299" i="6"/>
  <c r="I300" i="6"/>
  <c r="I301" i="6"/>
  <c r="I302" i="6"/>
  <c r="I303" i="6"/>
  <c r="I304" i="6"/>
  <c r="I305" i="6"/>
  <c r="I306" i="6"/>
  <c r="I308" i="6"/>
  <c r="I309" i="6"/>
  <c r="I310" i="6"/>
  <c r="I311" i="6"/>
  <c r="I312" i="6"/>
  <c r="I313" i="6"/>
  <c r="I314" i="6"/>
  <c r="I316" i="6"/>
  <c r="I317" i="6"/>
  <c r="I318" i="6"/>
  <c r="I319" i="6"/>
  <c r="I320" i="6"/>
  <c r="I321" i="6"/>
  <c r="I323" i="6"/>
  <c r="I324" i="6"/>
  <c r="I325" i="6"/>
  <c r="I326" i="6"/>
  <c r="I327" i="6"/>
  <c r="I328" i="6"/>
  <c r="I329" i="6"/>
  <c r="I330" i="6"/>
  <c r="I331" i="6"/>
  <c r="I332" i="6"/>
  <c r="I333" i="6"/>
  <c r="I334" i="6"/>
  <c r="I335" i="6"/>
  <c r="I337" i="6"/>
  <c r="I338" i="6"/>
  <c r="I339" i="6"/>
  <c r="I340" i="6"/>
  <c r="I341" i="6"/>
  <c r="I342" i="6"/>
  <c r="I343" i="6"/>
  <c r="I344" i="6"/>
  <c r="I345" i="6"/>
  <c r="I347" i="6"/>
  <c r="I348" i="6"/>
  <c r="I349" i="6"/>
  <c r="I350" i="6"/>
  <c r="I351" i="6"/>
  <c r="I352" i="6"/>
  <c r="I353" i="6"/>
  <c r="I354" i="6"/>
  <c r="I355" i="6"/>
  <c r="I356" i="6"/>
  <c r="I358" i="6"/>
  <c r="I359" i="6"/>
  <c r="I360" i="6"/>
  <c r="I361" i="6"/>
  <c r="I362" i="6"/>
  <c r="I363" i="6"/>
  <c r="I364" i="6"/>
  <c r="I365" i="6"/>
  <c r="I366" i="6"/>
  <c r="I368" i="6"/>
  <c r="I369" i="6"/>
  <c r="I370" i="6"/>
  <c r="I371" i="6"/>
  <c r="I372" i="6"/>
  <c r="I373" i="6"/>
  <c r="I374" i="6"/>
  <c r="I375" i="6"/>
  <c r="I376" i="6"/>
  <c r="I378" i="6"/>
  <c r="I379" i="6"/>
  <c r="I380" i="6"/>
  <c r="I381" i="6"/>
  <c r="I382" i="6"/>
  <c r="I383" i="6"/>
  <c r="I384" i="6"/>
  <c r="I385" i="6"/>
  <c r="I386" i="6"/>
  <c r="I387" i="6"/>
  <c r="I389" i="6"/>
  <c r="I390" i="6"/>
  <c r="I391" i="6"/>
  <c r="I392" i="6"/>
  <c r="I393" i="6"/>
  <c r="I394" i="6"/>
  <c r="I396" i="6"/>
  <c r="I397" i="6"/>
  <c r="I398" i="6"/>
  <c r="I399" i="6"/>
  <c r="I400" i="6"/>
  <c r="I401" i="6"/>
  <c r="I402" i="6"/>
  <c r="I404" i="6"/>
  <c r="I405" i="6"/>
  <c r="I406" i="6"/>
  <c r="I407" i="6"/>
  <c r="I408" i="6"/>
  <c r="I409" i="6"/>
  <c r="I410" i="6"/>
  <c r="I412" i="6"/>
  <c r="I413" i="6"/>
  <c r="I414" i="6"/>
  <c r="I415" i="6"/>
  <c r="I416" i="6"/>
  <c r="I417" i="6"/>
  <c r="I418" i="6"/>
  <c r="I419" i="6"/>
  <c r="I420" i="6"/>
  <c r="I422" i="6"/>
  <c r="I423" i="6"/>
  <c r="I424" i="6"/>
  <c r="I425" i="6"/>
  <c r="I426" i="6"/>
  <c r="I427" i="6"/>
  <c r="I428" i="6"/>
  <c r="I429" i="6"/>
  <c r="I430" i="6"/>
  <c r="I431" i="6"/>
  <c r="I432" i="6"/>
  <c r="I434" i="6"/>
  <c r="I435" i="6"/>
  <c r="I436" i="6"/>
  <c r="I437" i="6"/>
  <c r="I438" i="6"/>
  <c r="I439" i="6"/>
  <c r="I440" i="6"/>
  <c r="I441" i="6"/>
  <c r="I442" i="6"/>
  <c r="I443" i="6"/>
  <c r="I444" i="6"/>
  <c r="I446" i="6"/>
  <c r="I447" i="6"/>
  <c r="I448" i="6"/>
  <c r="I449" i="6"/>
  <c r="I450" i="6"/>
  <c r="I451" i="6"/>
  <c r="I453" i="6"/>
  <c r="I454" i="6"/>
  <c r="I455" i="6"/>
  <c r="I456" i="6"/>
  <c r="I457" i="6"/>
  <c r="I458" i="6"/>
  <c r="I460" i="6"/>
  <c r="I461" i="6"/>
  <c r="I462" i="6"/>
  <c r="I463" i="6"/>
  <c r="I464" i="6"/>
  <c r="I465" i="6"/>
  <c r="I467" i="6"/>
  <c r="I468" i="6"/>
  <c r="I469" i="6"/>
  <c r="I470" i="6"/>
  <c r="I471" i="6"/>
  <c r="I472" i="6"/>
  <c r="I473" i="6"/>
  <c r="I474" i="6"/>
  <c r="I475" i="6"/>
  <c r="I476" i="6"/>
  <c r="I478" i="6"/>
  <c r="I479" i="6"/>
  <c r="I480" i="6"/>
  <c r="I481" i="6"/>
  <c r="I482" i="6"/>
  <c r="I483" i="6"/>
  <c r="I484" i="6"/>
  <c r="I485" i="6"/>
  <c r="I486" i="6"/>
  <c r="I487" i="6"/>
  <c r="I489" i="6"/>
  <c r="I490" i="6"/>
  <c r="I491" i="6"/>
  <c r="I492" i="6"/>
  <c r="I493" i="6"/>
  <c r="I495" i="6"/>
  <c r="I496" i="6"/>
  <c r="I497" i="6"/>
  <c r="I498" i="6"/>
  <c r="I500" i="6"/>
  <c r="I501" i="6"/>
  <c r="I502" i="6"/>
  <c r="I503" i="6"/>
  <c r="I505" i="6"/>
  <c r="I506" i="6"/>
  <c r="I507" i="6"/>
  <c r="I508" i="6"/>
  <c r="I510" i="6"/>
  <c r="I511" i="6"/>
  <c r="I512" i="6"/>
  <c r="I513" i="6"/>
  <c r="I515" i="6"/>
  <c r="I516" i="6"/>
  <c r="I517" i="6"/>
  <c r="I518" i="6"/>
  <c r="I520" i="6"/>
  <c r="I521" i="6"/>
  <c r="I522" i="6"/>
  <c r="I523" i="6"/>
  <c r="I525" i="6"/>
  <c r="I526" i="6"/>
  <c r="I527" i="6"/>
  <c r="I528" i="6"/>
  <c r="I530" i="6"/>
  <c r="I531" i="6"/>
  <c r="I532" i="6"/>
  <c r="I533" i="6"/>
  <c r="I535" i="6"/>
  <c r="I536" i="6"/>
  <c r="I537" i="6"/>
  <c r="I538" i="6"/>
  <c r="I540" i="6"/>
  <c r="I541" i="6"/>
  <c r="I542" i="6"/>
  <c r="I543" i="6"/>
  <c r="I545" i="6"/>
  <c r="I546" i="6"/>
  <c r="I547" i="6"/>
  <c r="I548" i="6"/>
  <c r="I549" i="6"/>
  <c r="I550" i="6"/>
  <c r="I551" i="6"/>
  <c r="I552" i="6"/>
  <c r="I554" i="6"/>
  <c r="I555" i="6"/>
  <c r="I556" i="6"/>
  <c r="I557" i="6"/>
  <c r="I558" i="6"/>
  <c r="I560" i="6"/>
  <c r="I561" i="6"/>
  <c r="I562" i="6"/>
  <c r="I563" i="6"/>
  <c r="I564" i="6"/>
  <c r="I566" i="6"/>
  <c r="I567" i="6"/>
  <c r="I568" i="6"/>
  <c r="I569" i="6"/>
  <c r="I571" i="6"/>
  <c r="I572" i="6"/>
  <c r="I573" i="6"/>
  <c r="I574" i="6"/>
  <c r="I576" i="6"/>
  <c r="I577" i="6"/>
  <c r="I578" i="6"/>
  <c r="I579" i="6"/>
  <c r="I581" i="6"/>
  <c r="I582" i="6"/>
  <c r="I583" i="6"/>
  <c r="I584" i="6"/>
  <c r="I586" i="6"/>
  <c r="I587" i="6"/>
  <c r="I588" i="6"/>
  <c r="I589" i="6"/>
  <c r="I591" i="6"/>
  <c r="I592" i="6"/>
  <c r="I593" i="6"/>
  <c r="I594" i="6"/>
  <c r="I596" i="6"/>
  <c r="I597" i="6"/>
  <c r="I598" i="6"/>
  <c r="I599" i="6"/>
  <c r="I601" i="6"/>
  <c r="I602" i="6"/>
  <c r="I603" i="6"/>
  <c r="I604" i="6"/>
  <c r="I606" i="6"/>
  <c r="I607" i="6"/>
  <c r="I608" i="6"/>
  <c r="I609" i="6"/>
  <c r="I611" i="6"/>
  <c r="I612" i="6"/>
  <c r="I613" i="6"/>
  <c r="I614" i="6"/>
  <c r="I616" i="6"/>
  <c r="I617" i="6"/>
  <c r="I618" i="6"/>
  <c r="I619" i="6"/>
  <c r="I621" i="6"/>
  <c r="I622" i="6"/>
  <c r="I623" i="6"/>
  <c r="I624" i="6"/>
  <c r="I625" i="6"/>
  <c r="I627" i="6"/>
  <c r="I628" i="6"/>
  <c r="I629" i="6"/>
  <c r="I630" i="6"/>
  <c r="I631" i="6"/>
  <c r="I632" i="6"/>
  <c r="I633" i="6"/>
  <c r="I635" i="6"/>
  <c r="I636" i="6"/>
  <c r="I637" i="6"/>
  <c r="I638" i="6"/>
  <c r="I639" i="6"/>
  <c r="I640" i="6"/>
  <c r="I641" i="6"/>
  <c r="I643" i="6"/>
  <c r="I644" i="6"/>
  <c r="I645" i="6"/>
  <c r="I646" i="6"/>
  <c r="I648" i="6"/>
  <c r="I649" i="6"/>
  <c r="I650" i="6"/>
  <c r="I651" i="6"/>
  <c r="I653" i="6"/>
  <c r="I654" i="6"/>
  <c r="I655" i="6"/>
  <c r="I656" i="6"/>
  <c r="I657" i="6"/>
  <c r="I658" i="6"/>
  <c r="I659" i="6"/>
  <c r="I660" i="6"/>
  <c r="I661" i="6"/>
  <c r="I663" i="6"/>
  <c r="I664" i="6"/>
  <c r="I665" i="6"/>
  <c r="I666" i="6"/>
  <c r="I667" i="6"/>
  <c r="I668" i="6"/>
  <c r="I669" i="6"/>
  <c r="I670" i="6"/>
  <c r="I671" i="6"/>
  <c r="I673" i="6"/>
  <c r="I674" i="6"/>
  <c r="I675" i="6"/>
  <c r="I676" i="6"/>
  <c r="I677" i="6"/>
  <c r="I678" i="6"/>
  <c r="I679" i="6"/>
  <c r="I680" i="6"/>
  <c r="I682" i="6"/>
  <c r="I683" i="6"/>
  <c r="I684" i="6"/>
  <c r="I685" i="6"/>
  <c r="I686" i="6"/>
  <c r="I687" i="6"/>
  <c r="I688" i="6"/>
  <c r="I689" i="6"/>
  <c r="I691" i="6"/>
  <c r="I692" i="6"/>
  <c r="I693" i="6"/>
  <c r="I694" i="6"/>
  <c r="I695" i="6"/>
  <c r="I696" i="6"/>
  <c r="I697" i="6"/>
  <c r="I698"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3" i="6"/>
  <c r="I754" i="6"/>
  <c r="I756" i="6"/>
  <c r="I757" i="6"/>
  <c r="I759" i="6"/>
  <c r="I760" i="6"/>
  <c r="I762" i="6"/>
  <c r="I763" i="6"/>
  <c r="I765" i="6"/>
  <c r="I766" i="6"/>
  <c r="I769" i="6"/>
  <c r="I771" i="6"/>
  <c r="I772" i="6"/>
  <c r="I774" i="6"/>
  <c r="I775" i="6"/>
  <c r="I777" i="6"/>
  <c r="I778" i="6"/>
  <c r="I780" i="6"/>
  <c r="I781" i="6"/>
  <c r="I783" i="6"/>
  <c r="I784" i="6"/>
  <c r="I786" i="6"/>
  <c r="I787" i="6"/>
  <c r="I789" i="6"/>
  <c r="I790" i="6"/>
  <c r="I792" i="6"/>
  <c r="I793" i="6"/>
  <c r="I795" i="6"/>
  <c r="I796" i="6"/>
  <c r="I797" i="6"/>
  <c r="I798" i="6"/>
  <c r="I800" i="6"/>
  <c r="I801" i="6"/>
  <c r="I803" i="6"/>
  <c r="I804" i="6"/>
  <c r="I806" i="6"/>
  <c r="I807" i="6"/>
  <c r="I809" i="6"/>
  <c r="I810" i="6"/>
  <c r="I812" i="6"/>
  <c r="I813" i="6"/>
  <c r="I815" i="6"/>
  <c r="I816" i="6"/>
  <c r="I818" i="6"/>
  <c r="I819" i="6"/>
  <c r="I821" i="6"/>
  <c r="I822" i="6"/>
  <c r="I824" i="6"/>
  <c r="I825" i="6"/>
  <c r="I827" i="6"/>
  <c r="I828" i="6"/>
  <c r="I830" i="6"/>
  <c r="I831" i="6"/>
  <c r="I833" i="6"/>
  <c r="I834" i="6"/>
  <c r="I836" i="6"/>
  <c r="I837" i="6"/>
  <c r="I839" i="6"/>
  <c r="I840" i="6"/>
  <c r="I842" i="6"/>
  <c r="I843" i="6"/>
  <c r="I845" i="6"/>
  <c r="I846" i="6"/>
  <c r="I848" i="6"/>
  <c r="I849" i="6"/>
  <c r="I851" i="6"/>
  <c r="I852" i="6"/>
  <c r="I854" i="6"/>
  <c r="I855" i="6"/>
  <c r="I857" i="6"/>
  <c r="I858" i="6"/>
  <c r="I860" i="6"/>
  <c r="I861" i="6"/>
  <c r="I863" i="6"/>
  <c r="I864" i="6"/>
  <c r="I866" i="6"/>
  <c r="I867" i="6"/>
  <c r="I869" i="6"/>
  <c r="I870" i="6"/>
  <c r="I872" i="6"/>
  <c r="I873" i="6"/>
  <c r="I875" i="6"/>
  <c r="I876" i="6"/>
  <c r="I878" i="6"/>
  <c r="I879" i="6"/>
  <c r="I881" i="6"/>
  <c r="I882" i="6"/>
  <c r="I884" i="6"/>
  <c r="I885" i="6"/>
  <c r="I887" i="6"/>
  <c r="I888" i="6"/>
  <c r="I890" i="6"/>
  <c r="I891" i="6"/>
  <c r="I892" i="6"/>
  <c r="I893" i="6"/>
  <c r="I894" i="6"/>
  <c r="I896" i="6"/>
  <c r="I897" i="6"/>
  <c r="I898" i="6"/>
  <c r="I899" i="6"/>
  <c r="I901" i="6"/>
  <c r="I902" i="6"/>
  <c r="I903" i="6"/>
  <c r="I904" i="6"/>
  <c r="I905" i="6"/>
  <c r="I906" i="6"/>
  <c r="I907" i="6"/>
  <c r="I908" i="6"/>
  <c r="I909" i="6"/>
  <c r="I910" i="6"/>
  <c r="I911" i="6"/>
  <c r="I912" i="6"/>
  <c r="I913" i="6"/>
  <c r="I914" i="6"/>
  <c r="I915" i="6"/>
  <c r="I916"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3" i="6"/>
  <c r="I1114" i="6"/>
  <c r="I1115" i="6"/>
  <c r="I1116" i="6"/>
  <c r="I1117" i="6"/>
  <c r="I1118" i="6"/>
  <c r="I1119" i="6"/>
  <c r="I1120" i="6"/>
  <c r="I1121" i="6"/>
  <c r="I1122" i="6"/>
  <c r="I1124" i="6"/>
  <c r="I1125" i="6"/>
  <c r="I1126" i="6"/>
  <c r="I1127" i="6"/>
  <c r="I1128" i="6"/>
  <c r="I1129" i="6"/>
  <c r="I1130" i="6"/>
  <c r="I1132" i="6"/>
  <c r="I1133" i="6"/>
  <c r="I1134" i="6"/>
  <c r="I1135" i="6"/>
  <c r="I1136" i="6"/>
  <c r="I1137" i="6"/>
  <c r="I1138" i="6"/>
  <c r="I1139" i="6"/>
  <c r="I1140" i="6"/>
  <c r="I1141" i="6"/>
  <c r="I1143" i="6"/>
  <c r="I1144" i="6"/>
  <c r="I1145" i="6"/>
  <c r="I1146" i="6"/>
  <c r="I1147" i="6"/>
  <c r="I1148" i="6"/>
  <c r="I1150" i="6"/>
  <c r="I1151" i="6"/>
  <c r="I1152" i="6"/>
  <c r="I1154" i="6"/>
  <c r="I1155" i="6"/>
  <c r="I1156" i="6"/>
  <c r="I1157" i="6"/>
  <c r="I1159" i="6"/>
  <c r="I1160" i="6"/>
  <c r="I1161" i="6"/>
  <c r="I1162" i="6"/>
  <c r="I1163"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8" i="6"/>
  <c r="I1309" i="6"/>
  <c r="I1310" i="6"/>
  <c r="I1311" i="6"/>
  <c r="I1312" i="6"/>
  <c r="I1313" i="6"/>
  <c r="I1314" i="6"/>
  <c r="I1315" i="6"/>
  <c r="I1316" i="6"/>
  <c r="I1317" i="6"/>
  <c r="I1319" i="6"/>
  <c r="I1320" i="6"/>
  <c r="I1321" i="6"/>
  <c r="I1322" i="6"/>
  <c r="I1323" i="6"/>
  <c r="I1324" i="6"/>
  <c r="I1325" i="6"/>
  <c r="I1326" i="6"/>
  <c r="I1329" i="6"/>
  <c r="I1330" i="6"/>
  <c r="I1331" i="6"/>
  <c r="I1332" i="6"/>
  <c r="I1333" i="6"/>
  <c r="I1334" i="6"/>
  <c r="I1335" i="6"/>
  <c r="I1336" i="6"/>
  <c r="I1337" i="6"/>
  <c r="I1338" i="6"/>
  <c r="I1339" i="6"/>
  <c r="I1340" i="6"/>
  <c r="I1341" i="6"/>
  <c r="I1342" i="6"/>
  <c r="I1343" i="6"/>
  <c r="I1344" i="6"/>
  <c r="I1345" i="6"/>
  <c r="I1346" i="6"/>
  <c r="I1347" i="6"/>
  <c r="I1349" i="6"/>
  <c r="I1350" i="6"/>
  <c r="I1351" i="6"/>
  <c r="I1352" i="6"/>
  <c r="I1353" i="6"/>
  <c r="I1354" i="6"/>
  <c r="I1355" i="6"/>
  <c r="I1356" i="6"/>
  <c r="I1357" i="6"/>
  <c r="I1358"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21" i="6"/>
  <c r="I1622" i="6"/>
  <c r="I1623" i="6"/>
  <c r="I1624" i="6"/>
  <c r="I1625" i="6"/>
  <c r="I1626" i="6"/>
  <c r="I1627" i="6"/>
  <c r="I1628" i="6"/>
  <c r="I1629"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4" i="6"/>
  <c r="I1665" i="6"/>
  <c r="I1666" i="6"/>
  <c r="I1667" i="6"/>
  <c r="I1669" i="6"/>
  <c r="I1670" i="6"/>
  <c r="I1671" i="6"/>
  <c r="I1672" i="6"/>
  <c r="I1673" i="6"/>
  <c r="I1674"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8" i="6"/>
  <c r="I1709" i="6"/>
  <c r="I1710" i="6"/>
  <c r="I1711" i="6"/>
  <c r="I1712" i="6"/>
  <c r="I1713" i="6"/>
  <c r="I1714" i="6"/>
  <c r="I1715" i="6"/>
  <c r="I1716" i="6"/>
  <c r="I1717" i="6"/>
  <c r="I1718" i="6"/>
  <c r="I1719" i="6"/>
  <c r="I1720" i="6"/>
  <c r="I1721" i="6"/>
  <c r="I1722" i="6"/>
  <c r="I1723" i="6"/>
  <c r="I1724" i="6"/>
  <c r="I1725"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7" i="6"/>
  <c r="I1758" i="6"/>
  <c r="I1759" i="6"/>
  <c r="I1760" i="6"/>
  <c r="I1761" i="6"/>
  <c r="I1762" i="6"/>
  <c r="I1763" i="6"/>
  <c r="I1764" i="6"/>
  <c r="I1765" i="6"/>
  <c r="I1766" i="6"/>
  <c r="I1767" i="6"/>
  <c r="I1768" i="6"/>
  <c r="I1769" i="6"/>
  <c r="I1770" i="6"/>
  <c r="I1772" i="6"/>
  <c r="I1773" i="6"/>
  <c r="I1774" i="6"/>
  <c r="I1775" i="6"/>
  <c r="I1776" i="6"/>
  <c r="I1778" i="6"/>
  <c r="I1779" i="6"/>
  <c r="I1780"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5" i="6"/>
  <c r="I1846" i="6"/>
  <c r="I1847" i="6"/>
  <c r="I1848" i="6"/>
  <c r="I1849" i="6"/>
  <c r="I1850"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17" i="6"/>
  <c r="K1435" i="6" l="1"/>
  <c r="L1435" i="6" s="1"/>
  <c r="G1435" i="6"/>
  <c r="K1431" i="6"/>
  <c r="L1431" i="6" s="1"/>
  <c r="G1431" i="6"/>
  <c r="K1427" i="6"/>
  <c r="L1427" i="6" s="1"/>
  <c r="G1427" i="6"/>
  <c r="K1423" i="6"/>
  <c r="L1423" i="6" s="1"/>
  <c r="G1423" i="6"/>
  <c r="K1419" i="6"/>
  <c r="L1419" i="6" s="1"/>
  <c r="G1419" i="6"/>
  <c r="K1415" i="6"/>
  <c r="L1415" i="6" s="1"/>
  <c r="G1415" i="6"/>
  <c r="K1411" i="6"/>
  <c r="L1411" i="6" s="1"/>
  <c r="G1411" i="6"/>
  <c r="K1407" i="6"/>
  <c r="L1407" i="6" s="1"/>
  <c r="G1407" i="6"/>
  <c r="K1403" i="6"/>
  <c r="L1403" i="6" s="1"/>
  <c r="G1403" i="6"/>
  <c r="K1399" i="6"/>
  <c r="L1399" i="6" s="1"/>
  <c r="G1399" i="6"/>
  <c r="K1395" i="6"/>
  <c r="L1395" i="6" s="1"/>
  <c r="G1395" i="6"/>
  <c r="K1391" i="6"/>
  <c r="L1391" i="6" s="1"/>
  <c r="G1391" i="6"/>
  <c r="K1387" i="6"/>
  <c r="L1387" i="6" s="1"/>
  <c r="G1387" i="6"/>
  <c r="K1383" i="6"/>
  <c r="L1383" i="6" s="1"/>
  <c r="G1383" i="6"/>
  <c r="K1379" i="6"/>
  <c r="L1379" i="6" s="1"/>
  <c r="G1379" i="6"/>
  <c r="K1375" i="6"/>
  <c r="L1375" i="6" s="1"/>
  <c r="G1375" i="6"/>
  <c r="K1371" i="6"/>
  <c r="L1371" i="6" s="1"/>
  <c r="G1371" i="6"/>
  <c r="K1367" i="6"/>
  <c r="L1367" i="6" s="1"/>
  <c r="G1367" i="6"/>
  <c r="K1363" i="6"/>
  <c r="L1363" i="6" s="1"/>
  <c r="G1363" i="6"/>
  <c r="K1359" i="6"/>
  <c r="L1359" i="6" s="1"/>
  <c r="G1359" i="6"/>
  <c r="K1355" i="6"/>
  <c r="L1355" i="6" s="1"/>
  <c r="G1355" i="6"/>
  <c r="K1351" i="6"/>
  <c r="L1351" i="6" s="1"/>
  <c r="G1351" i="6"/>
  <c r="K1347" i="6"/>
  <c r="L1347" i="6" s="1"/>
  <c r="G1347" i="6"/>
  <c r="K1343" i="6"/>
  <c r="L1343" i="6" s="1"/>
  <c r="G1343" i="6"/>
  <c r="K1339" i="6"/>
  <c r="L1339" i="6" s="1"/>
  <c r="G1339" i="6"/>
  <c r="K1335" i="6"/>
  <c r="L1335" i="6" s="1"/>
  <c r="G1335" i="6"/>
  <c r="K1331" i="6"/>
  <c r="L1331" i="6" s="1"/>
  <c r="G1331" i="6"/>
  <c r="K1327" i="6"/>
  <c r="L1327" i="6" s="1"/>
  <c r="G1327" i="6"/>
  <c r="K1850" i="6"/>
  <c r="L1850" i="6" s="1"/>
  <c r="G1850" i="6"/>
  <c r="K1846" i="6"/>
  <c r="L1846" i="6" s="1"/>
  <c r="G1846" i="6"/>
  <c r="G2211" i="6"/>
  <c r="G2135" i="6"/>
  <c r="G1849" i="6"/>
  <c r="G1761" i="6"/>
  <c r="K1434" i="6"/>
  <c r="L1434" i="6" s="1"/>
  <c r="G1434" i="6"/>
  <c r="K1430" i="6"/>
  <c r="L1430" i="6" s="1"/>
  <c r="G1430" i="6"/>
  <c r="K1426" i="6"/>
  <c r="L1426" i="6" s="1"/>
  <c r="G1426" i="6"/>
  <c r="K1422" i="6"/>
  <c r="L1422" i="6" s="1"/>
  <c r="G1422" i="6"/>
  <c r="K1418" i="6"/>
  <c r="L1418" i="6" s="1"/>
  <c r="G1418" i="6"/>
  <c r="K1414" i="6"/>
  <c r="L1414" i="6" s="1"/>
  <c r="G1414" i="6"/>
  <c r="K1410" i="6"/>
  <c r="L1410" i="6" s="1"/>
  <c r="G1410" i="6"/>
  <c r="K1406" i="6"/>
  <c r="L1406" i="6" s="1"/>
  <c r="G1406" i="6"/>
  <c r="K1402" i="6"/>
  <c r="L1402" i="6" s="1"/>
  <c r="G1402" i="6"/>
  <c r="K1398" i="6"/>
  <c r="L1398" i="6" s="1"/>
  <c r="G1398" i="6"/>
  <c r="K1394" i="6"/>
  <c r="L1394" i="6" s="1"/>
  <c r="G1394" i="6"/>
  <c r="K1390" i="6"/>
  <c r="L1390" i="6" s="1"/>
  <c r="G1390" i="6"/>
  <c r="K1386" i="6"/>
  <c r="L1386" i="6" s="1"/>
  <c r="G1386" i="6"/>
  <c r="K1382" i="6"/>
  <c r="L1382" i="6" s="1"/>
  <c r="G1382" i="6"/>
  <c r="K1378" i="6"/>
  <c r="L1378" i="6" s="1"/>
  <c r="G1378" i="6"/>
  <c r="K1374" i="6"/>
  <c r="L1374" i="6" s="1"/>
  <c r="G1374" i="6"/>
  <c r="K1370" i="6"/>
  <c r="L1370" i="6" s="1"/>
  <c r="G1370" i="6"/>
  <c r="K1366" i="6"/>
  <c r="L1366" i="6" s="1"/>
  <c r="G1366" i="6"/>
  <c r="K1362" i="6"/>
  <c r="L1362" i="6" s="1"/>
  <c r="G1362" i="6"/>
  <c r="K1358" i="6"/>
  <c r="L1358" i="6" s="1"/>
  <c r="G1358" i="6"/>
  <c r="K1354" i="6"/>
  <c r="L1354" i="6" s="1"/>
  <c r="G1354" i="6"/>
  <c r="K1350" i="6"/>
  <c r="L1350" i="6" s="1"/>
  <c r="G1350" i="6"/>
  <c r="K1346" i="6"/>
  <c r="L1346" i="6" s="1"/>
  <c r="G1346" i="6"/>
  <c r="K1342" i="6"/>
  <c r="L1342" i="6" s="1"/>
  <c r="G1342" i="6"/>
  <c r="K1338" i="6"/>
  <c r="L1338" i="6" s="1"/>
  <c r="G1338" i="6"/>
  <c r="K1334" i="6"/>
  <c r="L1334" i="6" s="1"/>
  <c r="G1334" i="6"/>
  <c r="K1330" i="6"/>
  <c r="L1330" i="6" s="1"/>
  <c r="G1330" i="6"/>
  <c r="K1619" i="6"/>
  <c r="L1619" i="6" s="1"/>
  <c r="G1619" i="6"/>
  <c r="K1759" i="6"/>
  <c r="L1759" i="6" s="1"/>
  <c r="G1759" i="6"/>
  <c r="G1848" i="6"/>
  <c r="G1760" i="6"/>
  <c r="K1165" i="6"/>
  <c r="L1165" i="6" s="1"/>
  <c r="G1165" i="6"/>
  <c r="K1433" i="6"/>
  <c r="L1433" i="6" s="1"/>
  <c r="G1433" i="6"/>
  <c r="K1429" i="6"/>
  <c r="L1429" i="6" s="1"/>
  <c r="G1429" i="6"/>
  <c r="K1425" i="6"/>
  <c r="L1425" i="6" s="1"/>
  <c r="G1425" i="6"/>
  <c r="K1421" i="6"/>
  <c r="L1421" i="6" s="1"/>
  <c r="G1421" i="6"/>
  <c r="K1417" i="6"/>
  <c r="L1417" i="6" s="1"/>
  <c r="G1417" i="6"/>
  <c r="K1413" i="6"/>
  <c r="L1413" i="6" s="1"/>
  <c r="G1413" i="6"/>
  <c r="K1409" i="6"/>
  <c r="L1409" i="6" s="1"/>
  <c r="G1409" i="6"/>
  <c r="K1405" i="6"/>
  <c r="L1405" i="6" s="1"/>
  <c r="G1405" i="6"/>
  <c r="K1401" i="6"/>
  <c r="L1401" i="6" s="1"/>
  <c r="G1401" i="6"/>
  <c r="K1397" i="6"/>
  <c r="L1397" i="6" s="1"/>
  <c r="G1397" i="6"/>
  <c r="K1393" i="6"/>
  <c r="L1393" i="6" s="1"/>
  <c r="G1393" i="6"/>
  <c r="K1389" i="6"/>
  <c r="L1389" i="6" s="1"/>
  <c r="G1389" i="6"/>
  <c r="K1385" i="6"/>
  <c r="L1385" i="6" s="1"/>
  <c r="G1385" i="6"/>
  <c r="K1381" i="6"/>
  <c r="L1381" i="6" s="1"/>
  <c r="G1381" i="6"/>
  <c r="K1377" i="6"/>
  <c r="L1377" i="6" s="1"/>
  <c r="G1377" i="6"/>
  <c r="K1373" i="6"/>
  <c r="L1373" i="6" s="1"/>
  <c r="G1373" i="6"/>
  <c r="K1369" i="6"/>
  <c r="L1369" i="6" s="1"/>
  <c r="G1369" i="6"/>
  <c r="K1365" i="6"/>
  <c r="L1365" i="6" s="1"/>
  <c r="G1365" i="6"/>
  <c r="K1361" i="6"/>
  <c r="L1361" i="6" s="1"/>
  <c r="G1361" i="6"/>
  <c r="K1357" i="6"/>
  <c r="L1357" i="6" s="1"/>
  <c r="G1357" i="6"/>
  <c r="K1353" i="6"/>
  <c r="L1353" i="6" s="1"/>
  <c r="G1353" i="6"/>
  <c r="K1349" i="6"/>
  <c r="L1349" i="6" s="1"/>
  <c r="G1349" i="6"/>
  <c r="K1345" i="6"/>
  <c r="L1345" i="6" s="1"/>
  <c r="G1345" i="6"/>
  <c r="K1341" i="6"/>
  <c r="L1341" i="6" s="1"/>
  <c r="G1341" i="6"/>
  <c r="K1337" i="6"/>
  <c r="L1337" i="6" s="1"/>
  <c r="G1337" i="6"/>
  <c r="K1333" i="6"/>
  <c r="L1333" i="6" s="1"/>
  <c r="G1333" i="6"/>
  <c r="K1329" i="6"/>
  <c r="L1329" i="6" s="1"/>
  <c r="G1329" i="6"/>
  <c r="K1762" i="6"/>
  <c r="L1762" i="6" s="1"/>
  <c r="G1762" i="6"/>
  <c r="K1758" i="6"/>
  <c r="L1758" i="6" s="1"/>
  <c r="G1758" i="6"/>
  <c r="G1845" i="6"/>
  <c r="G1757" i="6"/>
  <c r="K1164" i="6"/>
  <c r="L1164" i="6" s="1"/>
  <c r="G1164" i="6"/>
  <c r="K1432" i="6"/>
  <c r="L1432" i="6" s="1"/>
  <c r="G1432" i="6"/>
  <c r="K1428" i="6"/>
  <c r="L1428" i="6" s="1"/>
  <c r="G1428" i="6"/>
  <c r="K1424" i="6"/>
  <c r="L1424" i="6" s="1"/>
  <c r="G1424" i="6"/>
  <c r="K1420" i="6"/>
  <c r="L1420" i="6" s="1"/>
  <c r="G1420" i="6"/>
  <c r="K1416" i="6"/>
  <c r="L1416" i="6" s="1"/>
  <c r="G1416" i="6"/>
  <c r="K1412" i="6"/>
  <c r="L1412" i="6" s="1"/>
  <c r="G1412" i="6"/>
  <c r="K1408" i="6"/>
  <c r="L1408" i="6" s="1"/>
  <c r="G1408" i="6"/>
  <c r="K1404" i="6"/>
  <c r="L1404" i="6" s="1"/>
  <c r="G1404" i="6"/>
  <c r="K1400" i="6"/>
  <c r="L1400" i="6" s="1"/>
  <c r="G1400" i="6"/>
  <c r="K1396" i="6"/>
  <c r="L1396" i="6" s="1"/>
  <c r="G1396" i="6"/>
  <c r="K1392" i="6"/>
  <c r="L1392" i="6" s="1"/>
  <c r="G1392" i="6"/>
  <c r="K1388" i="6"/>
  <c r="L1388" i="6" s="1"/>
  <c r="G1388" i="6"/>
  <c r="K1384" i="6"/>
  <c r="L1384" i="6" s="1"/>
  <c r="G1384" i="6"/>
  <c r="K1380" i="6"/>
  <c r="L1380" i="6" s="1"/>
  <c r="G1380" i="6"/>
  <c r="K1376" i="6"/>
  <c r="L1376" i="6" s="1"/>
  <c r="G1376" i="6"/>
  <c r="K1372" i="6"/>
  <c r="L1372" i="6" s="1"/>
  <c r="G1372" i="6"/>
  <c r="K1368" i="6"/>
  <c r="L1368" i="6" s="1"/>
  <c r="G1368" i="6"/>
  <c r="K1364" i="6"/>
  <c r="L1364" i="6" s="1"/>
  <c r="G1364" i="6"/>
  <c r="K1360" i="6"/>
  <c r="L1360" i="6" s="1"/>
  <c r="G1360" i="6"/>
  <c r="K1356" i="6"/>
  <c r="L1356" i="6" s="1"/>
  <c r="G1356" i="6"/>
  <c r="K1352" i="6"/>
  <c r="L1352" i="6" s="1"/>
  <c r="G1352" i="6"/>
  <c r="K1348" i="6"/>
  <c r="L1348" i="6" s="1"/>
  <c r="G1348" i="6"/>
  <c r="K1344" i="6"/>
  <c r="L1344" i="6" s="1"/>
  <c r="G1344" i="6"/>
  <c r="K1340" i="6"/>
  <c r="L1340" i="6" s="1"/>
  <c r="G1340" i="6"/>
  <c r="K1336" i="6"/>
  <c r="L1336" i="6" s="1"/>
  <c r="G1336" i="6"/>
  <c r="K1332" i="6"/>
  <c r="L1332" i="6" s="1"/>
  <c r="G1332" i="6"/>
  <c r="K1328" i="6"/>
  <c r="L1328" i="6" s="1"/>
  <c r="G1328" i="6"/>
  <c r="K1847" i="6"/>
  <c r="L1847" i="6" s="1"/>
  <c r="G1847" i="6"/>
  <c r="K1843" i="6"/>
  <c r="L1843" i="6" s="1"/>
  <c r="G1843" i="6"/>
  <c r="G1844" i="6"/>
  <c r="I2213" i="6"/>
  <c r="I2214" i="6" s="1"/>
  <c r="I2215" i="6" l="1"/>
  <c r="J2217" i="6"/>
  <c r="L15" i="6"/>
  <c r="J15" i="6"/>
  <c r="I14" i="6"/>
  <c r="R1204" i="2" l="1"/>
  <c r="R1205" i="2"/>
  <c r="R1797" i="2"/>
  <c r="R1798" i="2"/>
  <c r="R1799" i="2"/>
  <c r="R1800" i="2"/>
  <c r="R1801" i="2"/>
  <c r="R1802" i="2"/>
  <c r="F1856" i="2"/>
  <c r="F1857" i="2"/>
  <c r="P55" i="2" l="1"/>
  <c r="O55" i="2"/>
  <c r="N55" i="2"/>
  <c r="M55" i="2"/>
  <c r="J61" i="2"/>
  <c r="J62" i="2"/>
  <c r="J63" i="2"/>
  <c r="F23" i="6" s="1"/>
  <c r="J64" i="2"/>
  <c r="J65" i="2"/>
  <c r="J66" i="2"/>
  <c r="J67" i="2"/>
  <c r="J68" i="2"/>
  <c r="J69" i="2"/>
  <c r="J70" i="2"/>
  <c r="J71" i="2"/>
  <c r="J72" i="2"/>
  <c r="J73" i="2"/>
  <c r="J74" i="2"/>
  <c r="J75" i="2"/>
  <c r="J76" i="2"/>
  <c r="J77" i="2"/>
  <c r="J78" i="2"/>
  <c r="J79" i="2"/>
  <c r="J80" i="2"/>
  <c r="J84" i="2"/>
  <c r="J85" i="2"/>
  <c r="J89" i="2"/>
  <c r="J90" i="2"/>
  <c r="J91" i="2"/>
  <c r="J92" i="2"/>
  <c r="J93" i="2"/>
  <c r="J96" i="2"/>
  <c r="J97" i="2"/>
  <c r="J100" i="2"/>
  <c r="F60" i="6" s="1"/>
  <c r="J101" i="2"/>
  <c r="J102" i="2"/>
  <c r="J103" i="2"/>
  <c r="J104" i="2"/>
  <c r="J105" i="2"/>
  <c r="J109" i="2"/>
  <c r="J110" i="2"/>
  <c r="J113" i="2"/>
  <c r="J114" i="2"/>
  <c r="J115" i="2"/>
  <c r="J116" i="2"/>
  <c r="J117" i="2"/>
  <c r="J118" i="2"/>
  <c r="J119" i="2"/>
  <c r="J123" i="2"/>
  <c r="F83" i="6" s="1"/>
  <c r="J124" i="2"/>
  <c r="F84" i="6" s="1"/>
  <c r="J125" i="2"/>
  <c r="J126" i="2"/>
  <c r="J127" i="2"/>
  <c r="J128" i="2"/>
  <c r="J129" i="2"/>
  <c r="J130" i="2"/>
  <c r="J131" i="2"/>
  <c r="J132" i="2"/>
  <c r="F92" i="6" s="1"/>
  <c r="J133" i="2"/>
  <c r="J136" i="2"/>
  <c r="J137" i="2"/>
  <c r="J138" i="2"/>
  <c r="J139" i="2"/>
  <c r="J140" i="2"/>
  <c r="J141" i="2"/>
  <c r="J142" i="2"/>
  <c r="J143" i="2"/>
  <c r="J144" i="2"/>
  <c r="J145" i="2"/>
  <c r="J146" i="2"/>
  <c r="J147" i="2"/>
  <c r="F107" i="6" s="1"/>
  <c r="J151" i="2"/>
  <c r="J152" i="2"/>
  <c r="J153" i="2"/>
  <c r="J157" i="2"/>
  <c r="J158" i="2"/>
  <c r="J159" i="2"/>
  <c r="J163" i="2"/>
  <c r="J164" i="2"/>
  <c r="J168" i="2"/>
  <c r="J169" i="2"/>
  <c r="J172" i="2"/>
  <c r="J173" i="2"/>
  <c r="J174" i="2"/>
  <c r="J175" i="2"/>
  <c r="J176" i="2"/>
  <c r="J177" i="2"/>
  <c r="J178" i="2"/>
  <c r="J179" i="2"/>
  <c r="J180" i="2"/>
  <c r="J181" i="2"/>
  <c r="J182" i="2"/>
  <c r="J183" i="2"/>
  <c r="J186" i="2"/>
  <c r="J187" i="2"/>
  <c r="F147" i="6" s="1"/>
  <c r="J188" i="2"/>
  <c r="J189" i="2"/>
  <c r="J190" i="2"/>
  <c r="J193" i="2"/>
  <c r="J195" i="2"/>
  <c r="J196" i="2"/>
  <c r="F156" i="6" s="1"/>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F188" i="6" s="1"/>
  <c r="J229" i="2"/>
  <c r="J230" i="2"/>
  <c r="F190" i="6" s="1"/>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F218" i="6" s="1"/>
  <c r="J259" i="2"/>
  <c r="J260" i="2"/>
  <c r="F220" i="6" s="1"/>
  <c r="J261" i="2"/>
  <c r="J262" i="2"/>
  <c r="J263" i="2"/>
  <c r="J264" i="2"/>
  <c r="J265" i="2"/>
  <c r="J266" i="2"/>
  <c r="J267" i="2"/>
  <c r="J268" i="2"/>
  <c r="J269" i="2"/>
  <c r="J270" i="2"/>
  <c r="J271" i="2"/>
  <c r="J272" i="2"/>
  <c r="J273" i="2"/>
  <c r="J274" i="2"/>
  <c r="J275" i="2"/>
  <c r="J276" i="2"/>
  <c r="F236" i="6" s="1"/>
  <c r="J277" i="2"/>
  <c r="J278" i="2"/>
  <c r="J279" i="2"/>
  <c r="J280" i="2"/>
  <c r="J281" i="2"/>
  <c r="J282" i="2"/>
  <c r="J283" i="2"/>
  <c r="J284" i="2"/>
  <c r="J285" i="2"/>
  <c r="J286" i="2"/>
  <c r="J287" i="2"/>
  <c r="J288" i="2"/>
  <c r="J289" i="2"/>
  <c r="J290" i="2"/>
  <c r="J291" i="2"/>
  <c r="J292" i="2"/>
  <c r="F252" i="6" s="1"/>
  <c r="J293" i="2"/>
  <c r="J294" i="2"/>
  <c r="F254" i="6" s="1"/>
  <c r="J295" i="2"/>
  <c r="J296" i="2"/>
  <c r="J297" i="2"/>
  <c r="J298" i="2"/>
  <c r="J299" i="2"/>
  <c r="J300" i="2"/>
  <c r="J301" i="2"/>
  <c r="J302" i="2"/>
  <c r="J303" i="2"/>
  <c r="J304" i="2"/>
  <c r="J305" i="2"/>
  <c r="J306" i="2"/>
  <c r="J307" i="2"/>
  <c r="F267" i="6" s="1"/>
  <c r="G267" i="6" s="1"/>
  <c r="J308" i="2"/>
  <c r="F268" i="6" s="1"/>
  <c r="J309" i="2"/>
  <c r="J310" i="2"/>
  <c r="J311" i="2"/>
  <c r="J312" i="2"/>
  <c r="J313" i="2"/>
  <c r="J314" i="2"/>
  <c r="J315" i="2"/>
  <c r="J316" i="2"/>
  <c r="J317" i="2"/>
  <c r="J318" i="2"/>
  <c r="J319" i="2"/>
  <c r="J320" i="2"/>
  <c r="J321" i="2"/>
  <c r="J322" i="2"/>
  <c r="F282" i="6" s="1"/>
  <c r="J323" i="2"/>
  <c r="J324" i="2"/>
  <c r="F284" i="6" s="1"/>
  <c r="J325" i="2"/>
  <c r="J326" i="2"/>
  <c r="J327" i="2"/>
  <c r="J328" i="2"/>
  <c r="J329" i="2"/>
  <c r="J330" i="2"/>
  <c r="J331" i="2"/>
  <c r="J332" i="2"/>
  <c r="J333" i="2"/>
  <c r="J334" i="2"/>
  <c r="J335" i="2"/>
  <c r="J336" i="2"/>
  <c r="J337" i="2"/>
  <c r="J338" i="2"/>
  <c r="J339" i="2"/>
  <c r="J340" i="2"/>
  <c r="F300" i="6" s="1"/>
  <c r="J341" i="2"/>
  <c r="J342" i="2"/>
  <c r="J343" i="2"/>
  <c r="J344" i="2"/>
  <c r="J345" i="2"/>
  <c r="J346" i="2"/>
  <c r="J347" i="2"/>
  <c r="J348" i="2"/>
  <c r="J349" i="2"/>
  <c r="J350" i="2"/>
  <c r="J351" i="2"/>
  <c r="J352" i="2"/>
  <c r="J353" i="2"/>
  <c r="J354" i="2"/>
  <c r="J355" i="2"/>
  <c r="J356" i="2"/>
  <c r="F316" i="6" s="1"/>
  <c r="J357" i="2"/>
  <c r="J358" i="2"/>
  <c r="F318" i="6" s="1"/>
  <c r="J359" i="2"/>
  <c r="J360" i="2"/>
  <c r="J361" i="2"/>
  <c r="J362" i="2"/>
  <c r="J363" i="2"/>
  <c r="J364" i="2"/>
  <c r="J365" i="2"/>
  <c r="J366" i="2"/>
  <c r="J367" i="2"/>
  <c r="J368" i="2"/>
  <c r="J369" i="2"/>
  <c r="J370" i="2"/>
  <c r="J371" i="2"/>
  <c r="J372" i="2"/>
  <c r="F332" i="6" s="1"/>
  <c r="J373" i="2"/>
  <c r="J374" i="2"/>
  <c r="J375" i="2"/>
  <c r="J376" i="2"/>
  <c r="J377" i="2"/>
  <c r="J378" i="2"/>
  <c r="J379" i="2"/>
  <c r="J380" i="2"/>
  <c r="J381" i="2"/>
  <c r="J382" i="2"/>
  <c r="J383" i="2"/>
  <c r="J384" i="2"/>
  <c r="J385" i="2"/>
  <c r="J386" i="2"/>
  <c r="F346" i="6" s="1"/>
  <c r="J387" i="2"/>
  <c r="J388" i="2"/>
  <c r="F348" i="6" s="1"/>
  <c r="J389" i="2"/>
  <c r="J390" i="2"/>
  <c r="J391" i="2"/>
  <c r="J392" i="2"/>
  <c r="J393" i="2"/>
  <c r="J394" i="2"/>
  <c r="J395" i="2"/>
  <c r="J396" i="2"/>
  <c r="J397" i="2"/>
  <c r="J398" i="2"/>
  <c r="J399" i="2"/>
  <c r="J400" i="2"/>
  <c r="J401" i="2"/>
  <c r="J402" i="2"/>
  <c r="J403" i="2"/>
  <c r="J404" i="2"/>
  <c r="F364" i="6" s="1"/>
  <c r="J405" i="2"/>
  <c r="J406" i="2"/>
  <c r="J407" i="2"/>
  <c r="J408" i="2"/>
  <c r="J409" i="2"/>
  <c r="J410" i="2"/>
  <c r="J411" i="2"/>
  <c r="J412" i="2"/>
  <c r="J413" i="2"/>
  <c r="F373" i="6" s="1"/>
  <c r="J414" i="2"/>
  <c r="J415" i="2"/>
  <c r="J416" i="2"/>
  <c r="J417" i="2"/>
  <c r="J418" i="2"/>
  <c r="F378" i="6" s="1"/>
  <c r="J419" i="2"/>
  <c r="J420" i="2"/>
  <c r="J421" i="2"/>
  <c r="J422" i="2"/>
  <c r="J423" i="2"/>
  <c r="J424" i="2"/>
  <c r="F384" i="6" s="1"/>
  <c r="J425" i="2"/>
  <c r="J426" i="2"/>
  <c r="F386" i="6" s="1"/>
  <c r="J427" i="2"/>
  <c r="J428" i="2"/>
  <c r="J429" i="2"/>
  <c r="J430" i="2"/>
  <c r="J431" i="2"/>
  <c r="J432" i="2"/>
  <c r="F392" i="6" s="1"/>
  <c r="J433" i="2"/>
  <c r="J434" i="2"/>
  <c r="F394" i="6" s="1"/>
  <c r="J435" i="2"/>
  <c r="J436" i="2"/>
  <c r="J437" i="2"/>
  <c r="J438" i="2"/>
  <c r="J439" i="2"/>
  <c r="J440" i="2"/>
  <c r="J441" i="2"/>
  <c r="J442" i="2"/>
  <c r="J443" i="2"/>
  <c r="J444" i="2"/>
  <c r="J445" i="2"/>
  <c r="F405" i="6" s="1"/>
  <c r="J446" i="2"/>
  <c r="F406" i="6" s="1"/>
  <c r="J447" i="2"/>
  <c r="J448" i="2"/>
  <c r="J449" i="2"/>
  <c r="J450" i="2"/>
  <c r="J451" i="2"/>
  <c r="J452" i="2"/>
  <c r="F412" i="6" s="1"/>
  <c r="J453" i="2"/>
  <c r="J454" i="2"/>
  <c r="J455" i="2"/>
  <c r="J456" i="2"/>
  <c r="J457" i="2"/>
  <c r="J458" i="2"/>
  <c r="J459" i="2"/>
  <c r="J460" i="2"/>
  <c r="F420" i="6" s="1"/>
  <c r="J461" i="2"/>
  <c r="J462" i="2"/>
  <c r="J463" i="2"/>
  <c r="J464" i="2"/>
  <c r="J465" i="2"/>
  <c r="J466" i="2"/>
  <c r="J467" i="2"/>
  <c r="J468" i="2"/>
  <c r="J469" i="2"/>
  <c r="J470" i="2"/>
  <c r="J471" i="2"/>
  <c r="J472" i="2"/>
  <c r="J473" i="2"/>
  <c r="J474" i="2"/>
  <c r="J475" i="2"/>
  <c r="J476" i="2"/>
  <c r="F436" i="6" s="1"/>
  <c r="J477" i="2"/>
  <c r="F437" i="6" s="1"/>
  <c r="J478" i="2"/>
  <c r="J479" i="2"/>
  <c r="J480" i="2"/>
  <c r="F440" i="6" s="1"/>
  <c r="J481" i="2"/>
  <c r="J482" i="2"/>
  <c r="J483" i="2"/>
  <c r="J484" i="2"/>
  <c r="J485" i="2"/>
  <c r="J486" i="2"/>
  <c r="J487" i="2"/>
  <c r="J488" i="2"/>
  <c r="F448" i="6" s="1"/>
  <c r="J489" i="2"/>
  <c r="J490" i="2"/>
  <c r="J491" i="2"/>
  <c r="J492" i="2"/>
  <c r="J493" i="2"/>
  <c r="J494" i="2"/>
  <c r="J495" i="2"/>
  <c r="J496" i="2"/>
  <c r="F456" i="6" s="1"/>
  <c r="J497" i="2"/>
  <c r="J498" i="2"/>
  <c r="J499" i="2"/>
  <c r="J500" i="2"/>
  <c r="J501" i="2"/>
  <c r="J502" i="2"/>
  <c r="J503" i="2"/>
  <c r="J504" i="2"/>
  <c r="J505" i="2"/>
  <c r="J506" i="2"/>
  <c r="J507" i="2"/>
  <c r="J508" i="2"/>
  <c r="J509" i="2"/>
  <c r="F469" i="6" s="1"/>
  <c r="J510" i="2"/>
  <c r="J511" i="2"/>
  <c r="J512" i="2"/>
  <c r="J513" i="2"/>
  <c r="J514" i="2"/>
  <c r="F474" i="6" s="1"/>
  <c r="J515" i="2"/>
  <c r="J516" i="2"/>
  <c r="F476" i="6" s="1"/>
  <c r="J517" i="2"/>
  <c r="J518" i="2"/>
  <c r="J519" i="2"/>
  <c r="J520" i="2"/>
  <c r="J521" i="2"/>
  <c r="J522" i="2"/>
  <c r="J523" i="2"/>
  <c r="J524" i="2"/>
  <c r="F484" i="6" s="1"/>
  <c r="J525" i="2"/>
  <c r="J526" i="2"/>
  <c r="J527" i="2"/>
  <c r="J528" i="2"/>
  <c r="J529" i="2"/>
  <c r="J530" i="2"/>
  <c r="J531" i="2"/>
  <c r="J532" i="2"/>
  <c r="J533" i="2"/>
  <c r="J534" i="2"/>
  <c r="J535" i="2"/>
  <c r="J536" i="2"/>
  <c r="J537" i="2"/>
  <c r="J538" i="2"/>
  <c r="J539" i="2"/>
  <c r="J540" i="2"/>
  <c r="F500" i="6" s="1"/>
  <c r="J541" i="2"/>
  <c r="F501" i="6" s="1"/>
  <c r="J542" i="2"/>
  <c r="J543" i="2"/>
  <c r="J544" i="2"/>
  <c r="F504" i="6" s="1"/>
  <c r="J545" i="2"/>
  <c r="J546" i="2"/>
  <c r="F506" i="6" s="1"/>
  <c r="J547" i="2"/>
  <c r="J548" i="2"/>
  <c r="J549" i="2"/>
  <c r="J550" i="2"/>
  <c r="J551" i="2"/>
  <c r="J552" i="2"/>
  <c r="F512" i="6" s="1"/>
  <c r="J553" i="2"/>
  <c r="J554" i="2"/>
  <c r="F514" i="6" s="1"/>
  <c r="J555" i="2"/>
  <c r="J556" i="2"/>
  <c r="F516" i="6" s="1"/>
  <c r="J557" i="2"/>
  <c r="J558" i="2"/>
  <c r="J559" i="2"/>
  <c r="J560" i="2"/>
  <c r="J561" i="2"/>
  <c r="J562" i="2"/>
  <c r="F522" i="6" s="1"/>
  <c r="J563" i="2"/>
  <c r="J564" i="2"/>
  <c r="F524" i="6" s="1"/>
  <c r="J565" i="2"/>
  <c r="J566" i="2"/>
  <c r="J567" i="2"/>
  <c r="J568" i="2"/>
  <c r="J569" i="2"/>
  <c r="J570" i="2"/>
  <c r="F530" i="6" s="1"/>
  <c r="J571" i="2"/>
  <c r="J572" i="2"/>
  <c r="F532" i="6" s="1"/>
  <c r="J573" i="2"/>
  <c r="J574" i="2"/>
  <c r="J575" i="2"/>
  <c r="J576" i="2"/>
  <c r="J577" i="2"/>
  <c r="J578" i="2"/>
  <c r="F538" i="6" s="1"/>
  <c r="J579" i="2"/>
  <c r="J580" i="2"/>
  <c r="F540" i="6" s="1"/>
  <c r="J581" i="2"/>
  <c r="J582" i="2"/>
  <c r="J583" i="2"/>
  <c r="J584" i="2"/>
  <c r="J585" i="2"/>
  <c r="J586" i="2"/>
  <c r="F546" i="6" s="1"/>
  <c r="J587" i="2"/>
  <c r="J588" i="2"/>
  <c r="J589" i="2"/>
  <c r="J590" i="2"/>
  <c r="J591" i="2"/>
  <c r="J592" i="2"/>
  <c r="F552" i="6" s="1"/>
  <c r="J593" i="2"/>
  <c r="J594" i="2"/>
  <c r="F554" i="6" s="1"/>
  <c r="J595" i="2"/>
  <c r="J596" i="2"/>
  <c r="J597" i="2"/>
  <c r="J598" i="2"/>
  <c r="J599" i="2"/>
  <c r="J600" i="2"/>
  <c r="F560" i="6" s="1"/>
  <c r="J601" i="2"/>
  <c r="J602" i="2"/>
  <c r="F562" i="6" s="1"/>
  <c r="J603" i="2"/>
  <c r="J604" i="2"/>
  <c r="J605" i="2"/>
  <c r="J606" i="2"/>
  <c r="J607" i="2"/>
  <c r="J608" i="2"/>
  <c r="F568" i="6" s="1"/>
  <c r="J609" i="2"/>
  <c r="J610" i="2"/>
  <c r="F570" i="6" s="1"/>
  <c r="J611" i="2"/>
  <c r="J612" i="2"/>
  <c r="J613" i="2"/>
  <c r="J614" i="2"/>
  <c r="J615" i="2"/>
  <c r="J616" i="2"/>
  <c r="F576" i="6" s="1"/>
  <c r="J617" i="2"/>
  <c r="J618" i="2"/>
  <c r="F578" i="6" s="1"/>
  <c r="J619" i="2"/>
  <c r="J620" i="2"/>
  <c r="F580" i="6" s="1"/>
  <c r="J621" i="2"/>
  <c r="J622" i="2"/>
  <c r="J623" i="2"/>
  <c r="J624" i="2"/>
  <c r="J625" i="2"/>
  <c r="J626" i="2"/>
  <c r="F586" i="6" s="1"/>
  <c r="J627" i="2"/>
  <c r="J628" i="2"/>
  <c r="F588" i="6" s="1"/>
  <c r="J629" i="2"/>
  <c r="J630" i="2"/>
  <c r="J631" i="2"/>
  <c r="J632" i="2"/>
  <c r="J633" i="2"/>
  <c r="J634" i="2"/>
  <c r="F594" i="6" s="1"/>
  <c r="J635" i="2"/>
  <c r="J636" i="2"/>
  <c r="F596" i="6" s="1"/>
  <c r="J637" i="2"/>
  <c r="J638" i="2"/>
  <c r="J639" i="2"/>
  <c r="J640" i="2"/>
  <c r="J641" i="2"/>
  <c r="J642" i="2"/>
  <c r="F602" i="6" s="1"/>
  <c r="J643" i="2"/>
  <c r="J644" i="2"/>
  <c r="F604" i="6" s="1"/>
  <c r="J645" i="2"/>
  <c r="J646" i="2"/>
  <c r="J647" i="2"/>
  <c r="J648" i="2"/>
  <c r="J649" i="2"/>
  <c r="J650" i="2"/>
  <c r="F610" i="6" s="1"/>
  <c r="J651" i="2"/>
  <c r="J652" i="2"/>
  <c r="J653" i="2"/>
  <c r="J654" i="2"/>
  <c r="J655" i="2"/>
  <c r="J656" i="2"/>
  <c r="F616" i="6" s="1"/>
  <c r="J657" i="2"/>
  <c r="J658" i="2"/>
  <c r="F618" i="6" s="1"/>
  <c r="J659" i="2"/>
  <c r="J660" i="2"/>
  <c r="J661" i="2"/>
  <c r="J662" i="2"/>
  <c r="J663" i="2"/>
  <c r="J664" i="2"/>
  <c r="F624" i="6" s="1"/>
  <c r="J665" i="2"/>
  <c r="J666" i="2"/>
  <c r="F626" i="6" s="1"/>
  <c r="J667" i="2"/>
  <c r="J668" i="2"/>
  <c r="J669" i="2"/>
  <c r="J670" i="2"/>
  <c r="J671" i="2"/>
  <c r="J672" i="2"/>
  <c r="F632" i="6" s="1"/>
  <c r="J673" i="2"/>
  <c r="J674" i="2"/>
  <c r="F634" i="6" s="1"/>
  <c r="J675" i="2"/>
  <c r="J676" i="2"/>
  <c r="J677" i="2"/>
  <c r="J678" i="2"/>
  <c r="J679" i="2"/>
  <c r="J680" i="2"/>
  <c r="F640" i="6" s="1"/>
  <c r="J681" i="2"/>
  <c r="J682" i="2"/>
  <c r="F642" i="6" s="1"/>
  <c r="J683" i="2"/>
  <c r="J684" i="2"/>
  <c r="F644" i="6" s="1"/>
  <c r="J685" i="2"/>
  <c r="J686" i="2"/>
  <c r="J687" i="2"/>
  <c r="J688" i="2"/>
  <c r="J689" i="2"/>
  <c r="J690" i="2"/>
  <c r="F650" i="6" s="1"/>
  <c r="J691" i="2"/>
  <c r="J692" i="2"/>
  <c r="F652" i="6" s="1"/>
  <c r="J693" i="2"/>
  <c r="J694" i="2"/>
  <c r="J695" i="2"/>
  <c r="J696" i="2"/>
  <c r="J697" i="2"/>
  <c r="J698" i="2"/>
  <c r="F658" i="6" s="1"/>
  <c r="J699" i="2"/>
  <c r="J700" i="2"/>
  <c r="F660" i="6" s="1"/>
  <c r="J701" i="2"/>
  <c r="J702" i="2"/>
  <c r="J703" i="2"/>
  <c r="J704" i="2"/>
  <c r="J705" i="2"/>
  <c r="J706" i="2"/>
  <c r="F666" i="6" s="1"/>
  <c r="J707" i="2"/>
  <c r="J708" i="2"/>
  <c r="F668" i="6" s="1"/>
  <c r="J709" i="2"/>
  <c r="J710" i="2"/>
  <c r="J711" i="2"/>
  <c r="J712" i="2"/>
  <c r="J713" i="2"/>
  <c r="J714" i="2"/>
  <c r="F674" i="6" s="1"/>
  <c r="J715" i="2"/>
  <c r="J716" i="2"/>
  <c r="J717" i="2"/>
  <c r="J718" i="2"/>
  <c r="J719" i="2"/>
  <c r="J720" i="2"/>
  <c r="F680" i="6" s="1"/>
  <c r="J721" i="2"/>
  <c r="J722" i="2"/>
  <c r="F682" i="6" s="1"/>
  <c r="J723" i="2"/>
  <c r="J724" i="2"/>
  <c r="J725" i="2"/>
  <c r="J726" i="2"/>
  <c r="J727" i="2"/>
  <c r="J728" i="2"/>
  <c r="F688" i="6" s="1"/>
  <c r="J729" i="2"/>
  <c r="J730" i="2"/>
  <c r="F690" i="6" s="1"/>
  <c r="J731" i="2"/>
  <c r="J732" i="2"/>
  <c r="J733" i="2"/>
  <c r="J734" i="2"/>
  <c r="J735" i="2"/>
  <c r="J736" i="2"/>
  <c r="F696" i="6" s="1"/>
  <c r="J737" i="2"/>
  <c r="J738" i="2"/>
  <c r="F698" i="6" s="1"/>
  <c r="J739" i="2"/>
  <c r="J740" i="2"/>
  <c r="J741" i="2"/>
  <c r="J742" i="2"/>
  <c r="J743" i="2"/>
  <c r="J744" i="2"/>
  <c r="F704" i="6" s="1"/>
  <c r="J745" i="2"/>
  <c r="J746" i="2"/>
  <c r="F706" i="6" s="1"/>
  <c r="J747" i="2"/>
  <c r="J748" i="2"/>
  <c r="F708" i="6" s="1"/>
  <c r="J749" i="2"/>
  <c r="J750" i="2"/>
  <c r="J751" i="2"/>
  <c r="J752" i="2"/>
  <c r="J753" i="2"/>
  <c r="J754" i="2"/>
  <c r="F714" i="6" s="1"/>
  <c r="J755" i="2"/>
  <c r="J756" i="2"/>
  <c r="F716" i="6" s="1"/>
  <c r="J757" i="2"/>
  <c r="J758" i="2"/>
  <c r="J759" i="2"/>
  <c r="J760" i="2"/>
  <c r="J761" i="2"/>
  <c r="J762" i="2"/>
  <c r="F722" i="6" s="1"/>
  <c r="J763" i="2"/>
  <c r="J764" i="2"/>
  <c r="F724" i="6" s="1"/>
  <c r="J765" i="2"/>
  <c r="J766" i="2"/>
  <c r="J767" i="2"/>
  <c r="J768" i="2"/>
  <c r="J769" i="2"/>
  <c r="J770" i="2"/>
  <c r="F730" i="6" s="1"/>
  <c r="J788" i="2"/>
  <c r="J789" i="2"/>
  <c r="J790" i="2"/>
  <c r="F750" i="6" s="1"/>
  <c r="J791" i="2"/>
  <c r="J792" i="2"/>
  <c r="J795" i="2"/>
  <c r="J798" i="2"/>
  <c r="J801" i="2"/>
  <c r="J804" i="2"/>
  <c r="J807" i="2"/>
  <c r="F767" i="6" s="1"/>
  <c r="J810" i="2"/>
  <c r="J813" i="2"/>
  <c r="J816" i="2"/>
  <c r="J819" i="2"/>
  <c r="J822" i="2"/>
  <c r="J825" i="2"/>
  <c r="J828" i="2"/>
  <c r="J831" i="2"/>
  <c r="J834" i="2"/>
  <c r="J839" i="2"/>
  <c r="J842" i="2"/>
  <c r="J845" i="2"/>
  <c r="J848" i="2"/>
  <c r="J851" i="2"/>
  <c r="J854" i="2"/>
  <c r="J857" i="2"/>
  <c r="J860" i="2"/>
  <c r="J863" i="2"/>
  <c r="J866" i="2"/>
  <c r="J869" i="2"/>
  <c r="J872" i="2"/>
  <c r="J875" i="2"/>
  <c r="F835" i="6" s="1"/>
  <c r="J878" i="2"/>
  <c r="J881" i="2"/>
  <c r="J884" i="2"/>
  <c r="J887" i="2"/>
  <c r="J890" i="2"/>
  <c r="J893" i="2"/>
  <c r="F853" i="6" s="1"/>
  <c r="J896" i="2"/>
  <c r="J899" i="2"/>
  <c r="J902" i="2"/>
  <c r="J905" i="2"/>
  <c r="J908" i="2"/>
  <c r="J911" i="2"/>
  <c r="J914" i="2"/>
  <c r="J917" i="2"/>
  <c r="F877" i="6" s="1"/>
  <c r="J920" i="2"/>
  <c r="J923" i="2"/>
  <c r="J926" i="2"/>
  <c r="J929" i="2"/>
  <c r="J934" i="2"/>
  <c r="J935" i="2"/>
  <c r="J936" i="2"/>
  <c r="J937" i="2"/>
  <c r="F897" i="6" s="1"/>
  <c r="J938" i="2"/>
  <c r="F898" i="6" s="1"/>
  <c r="J939" i="2"/>
  <c r="F899" i="6" s="1"/>
  <c r="J940" i="2"/>
  <c r="J941" i="2"/>
  <c r="F901" i="6" s="1"/>
  <c r="J942" i="2"/>
  <c r="J943" i="2"/>
  <c r="J945" i="2"/>
  <c r="J946" i="2"/>
  <c r="J947" i="2"/>
  <c r="J948" i="2"/>
  <c r="J949" i="2"/>
  <c r="J950" i="2"/>
  <c r="J951" i="2"/>
  <c r="J952" i="2"/>
  <c r="F912" i="6" s="1"/>
  <c r="J953" i="2"/>
  <c r="J954" i="2"/>
  <c r="J955" i="2"/>
  <c r="J956" i="2"/>
  <c r="J957" i="2"/>
  <c r="J962" i="2"/>
  <c r="J965" i="2"/>
  <c r="J1020" i="2"/>
  <c r="J1021" i="2"/>
  <c r="J1022" i="2"/>
  <c r="F982" i="6" s="1"/>
  <c r="J1023" i="2"/>
  <c r="J1024" i="2"/>
  <c r="J1025" i="2"/>
  <c r="J1026" i="2"/>
  <c r="J1100" i="2"/>
  <c r="J1115" i="2"/>
  <c r="J1135" i="2"/>
  <c r="J1136" i="2"/>
  <c r="F1096" i="6" s="1"/>
  <c r="J1137" i="2"/>
  <c r="F1097" i="6" s="1"/>
  <c r="J1138" i="2"/>
  <c r="F1098" i="6" s="1"/>
  <c r="J1139" i="2"/>
  <c r="J1140" i="2"/>
  <c r="J1141" i="2"/>
  <c r="J1142" i="2"/>
  <c r="J1143" i="2"/>
  <c r="J1144" i="2"/>
  <c r="F1104" i="6" s="1"/>
  <c r="J1145" i="2"/>
  <c r="J1146" i="2"/>
  <c r="J1147" i="2"/>
  <c r="J1148" i="2"/>
  <c r="J1149" i="2"/>
  <c r="J1150" i="2"/>
  <c r="J1151" i="2"/>
  <c r="J1152" i="2"/>
  <c r="J1153" i="2"/>
  <c r="J1154" i="2"/>
  <c r="J1155" i="2"/>
  <c r="J1156" i="2"/>
  <c r="F1116" i="6" s="1"/>
  <c r="J1157" i="2"/>
  <c r="J1158" i="2"/>
  <c r="J1159" i="2"/>
  <c r="J1160" i="2"/>
  <c r="J1161" i="2"/>
  <c r="J1162" i="2"/>
  <c r="J1163" i="2"/>
  <c r="J1164" i="2"/>
  <c r="F1124" i="6" s="1"/>
  <c r="J1165" i="2"/>
  <c r="J1166" i="2"/>
  <c r="J1167" i="2"/>
  <c r="J1168" i="2"/>
  <c r="J1169" i="2"/>
  <c r="F1129" i="6" s="1"/>
  <c r="J1170" i="2"/>
  <c r="J1171" i="2"/>
  <c r="J1172" i="2"/>
  <c r="J1173" i="2"/>
  <c r="J1174" i="2"/>
  <c r="J1175" i="2"/>
  <c r="J1176" i="2"/>
  <c r="J1177" i="2"/>
  <c r="J1178" i="2"/>
  <c r="F1138" i="6" s="1"/>
  <c r="J1179" i="2"/>
  <c r="J1180" i="2"/>
  <c r="F1140" i="6" s="1"/>
  <c r="J1181" i="2"/>
  <c r="J1182" i="2"/>
  <c r="J1183" i="2"/>
  <c r="J1184" i="2"/>
  <c r="J1185" i="2"/>
  <c r="J1186" i="2"/>
  <c r="J1187" i="2"/>
  <c r="J1188" i="2"/>
  <c r="J1189" i="2"/>
  <c r="J1190" i="2"/>
  <c r="J1191" i="2"/>
  <c r="J1192" i="2"/>
  <c r="F1152" i="6" s="1"/>
  <c r="J1193" i="2"/>
  <c r="J1194" i="2"/>
  <c r="J1195" i="2"/>
  <c r="J1196" i="2"/>
  <c r="J1197" i="2"/>
  <c r="J1198" i="2"/>
  <c r="J1199" i="2"/>
  <c r="J1200" i="2"/>
  <c r="F1160" i="6" s="1"/>
  <c r="J1201" i="2"/>
  <c r="F1161" i="6" s="1"/>
  <c r="J1202" i="2"/>
  <c r="J1203" i="2"/>
  <c r="J1206" i="2"/>
  <c r="J1207" i="2"/>
  <c r="J1208" i="2"/>
  <c r="J1209" i="2"/>
  <c r="J1210" i="2"/>
  <c r="F1170" i="6" s="1"/>
  <c r="J1211" i="2"/>
  <c r="J1212" i="2"/>
  <c r="F1172" i="6" s="1"/>
  <c r="J1213" i="2"/>
  <c r="J1214" i="2"/>
  <c r="J1215" i="2"/>
  <c r="J1216" i="2"/>
  <c r="J1217" i="2"/>
  <c r="F1177" i="6" s="1"/>
  <c r="J1218" i="2"/>
  <c r="F1178" i="6" s="1"/>
  <c r="J1219" i="2"/>
  <c r="J1220" i="2"/>
  <c r="F1180" i="6" s="1"/>
  <c r="J1221" i="2"/>
  <c r="J1222" i="2"/>
  <c r="J1223" i="2"/>
  <c r="J1224" i="2"/>
  <c r="J1225" i="2"/>
  <c r="J1226" i="2"/>
  <c r="F1186" i="6" s="1"/>
  <c r="J1227" i="2"/>
  <c r="J1228" i="2"/>
  <c r="J1229" i="2"/>
  <c r="J1230" i="2"/>
  <c r="J1231" i="2"/>
  <c r="J1232" i="2"/>
  <c r="J1233" i="2"/>
  <c r="F1193" i="6" s="1"/>
  <c r="J1234" i="2"/>
  <c r="J1235" i="2"/>
  <c r="J1236" i="2"/>
  <c r="J1237" i="2"/>
  <c r="J1238" i="2"/>
  <c r="J1239" i="2"/>
  <c r="J1240" i="2"/>
  <c r="J1241" i="2"/>
  <c r="J1242" i="2"/>
  <c r="J1243" i="2"/>
  <c r="J1244" i="2"/>
  <c r="F1204" i="6" s="1"/>
  <c r="J1245" i="2"/>
  <c r="J1246" i="2"/>
  <c r="J1247" i="2"/>
  <c r="J1248" i="2"/>
  <c r="J1249" i="2"/>
  <c r="F1209" i="6" s="1"/>
  <c r="J1250" i="2"/>
  <c r="J1251" i="2"/>
  <c r="J1252" i="2"/>
  <c r="J1253" i="2"/>
  <c r="J1254" i="2"/>
  <c r="F1214" i="6" s="1"/>
  <c r="J1255" i="2"/>
  <c r="J1256" i="2"/>
  <c r="J1257" i="2"/>
  <c r="J1258" i="2"/>
  <c r="J1259" i="2"/>
  <c r="J1260" i="2"/>
  <c r="F1220" i="6" s="1"/>
  <c r="J1261" i="2"/>
  <c r="J1262" i="2"/>
  <c r="F1222" i="6" s="1"/>
  <c r="J1263" i="2"/>
  <c r="J1264" i="2"/>
  <c r="J1265" i="2"/>
  <c r="F1225" i="6" s="1"/>
  <c r="J1266" i="2"/>
  <c r="F1226" i="6" s="1"/>
  <c r="J1267" i="2"/>
  <c r="J1268" i="2"/>
  <c r="F1228" i="6" s="1"/>
  <c r="J1269" i="2"/>
  <c r="J1270" i="2"/>
  <c r="J1271" i="2"/>
  <c r="J1272" i="2"/>
  <c r="J1273" i="2"/>
  <c r="J1274" i="2"/>
  <c r="J1275" i="2"/>
  <c r="J1276" i="2"/>
  <c r="J1277" i="2"/>
  <c r="J1278" i="2"/>
  <c r="J1279" i="2"/>
  <c r="J1280" i="2"/>
  <c r="J1281" i="2"/>
  <c r="F1241" i="6" s="1"/>
  <c r="J1282" i="2"/>
  <c r="J1283" i="2"/>
  <c r="J1284" i="2"/>
  <c r="J1285" i="2"/>
  <c r="J1286" i="2"/>
  <c r="F1246" i="6" s="1"/>
  <c r="J1287" i="2"/>
  <c r="J1288" i="2"/>
  <c r="J1289" i="2"/>
  <c r="J1290" i="2"/>
  <c r="J1291" i="2"/>
  <c r="J1292" i="2"/>
  <c r="J1293" i="2"/>
  <c r="J1294" i="2"/>
  <c r="F1254" i="6" s="1"/>
  <c r="J1295" i="2"/>
  <c r="J1296" i="2"/>
  <c r="J1297" i="2"/>
  <c r="F1257" i="6" s="1"/>
  <c r="J1298" i="2"/>
  <c r="J1299" i="2"/>
  <c r="J1300" i="2"/>
  <c r="F1260" i="6" s="1"/>
  <c r="J1301" i="2"/>
  <c r="J1302" i="2"/>
  <c r="F1262" i="6" s="1"/>
  <c r="J1303" i="2"/>
  <c r="J1304" i="2"/>
  <c r="J1305" i="2"/>
  <c r="J1306" i="2"/>
  <c r="J1307" i="2"/>
  <c r="J1308" i="2"/>
  <c r="J1309" i="2"/>
  <c r="J1310" i="2"/>
  <c r="J1311" i="2"/>
  <c r="J1312" i="2"/>
  <c r="F1272" i="6" s="1"/>
  <c r="J1313" i="2"/>
  <c r="F1273" i="6" s="1"/>
  <c r="J1314" i="2"/>
  <c r="J1315" i="2"/>
  <c r="J1316" i="2"/>
  <c r="J1317" i="2"/>
  <c r="J1318" i="2"/>
  <c r="F1278" i="6" s="1"/>
  <c r="J1319" i="2"/>
  <c r="J1320" i="2"/>
  <c r="J1321" i="2"/>
  <c r="J1322" i="2"/>
  <c r="J1323" i="2"/>
  <c r="J1324" i="2"/>
  <c r="J1325" i="2"/>
  <c r="J1326" i="2"/>
  <c r="F1286" i="6" s="1"/>
  <c r="J1327" i="2"/>
  <c r="J1328" i="2"/>
  <c r="J1329" i="2"/>
  <c r="F1289" i="6" s="1"/>
  <c r="J1330" i="2"/>
  <c r="F1290" i="6" s="1"/>
  <c r="J1331" i="2"/>
  <c r="J1332" i="2"/>
  <c r="J1333" i="2"/>
  <c r="J1334" i="2"/>
  <c r="J1335" i="2"/>
  <c r="J1336" i="2"/>
  <c r="J1337" i="2"/>
  <c r="J1338" i="2"/>
  <c r="J1339" i="2"/>
  <c r="J1340" i="2"/>
  <c r="F1300" i="6" s="1"/>
  <c r="J1341" i="2"/>
  <c r="J1342" i="2"/>
  <c r="J1343" i="2"/>
  <c r="J1344" i="2"/>
  <c r="J1345" i="2"/>
  <c r="F1305" i="6" s="1"/>
  <c r="J1346" i="2"/>
  <c r="J1347" i="2"/>
  <c r="J1348" i="2"/>
  <c r="F1308" i="6" s="1"/>
  <c r="J1349" i="2"/>
  <c r="J1350" i="2"/>
  <c r="F1310" i="6" s="1"/>
  <c r="J1351" i="2"/>
  <c r="J1352" i="2"/>
  <c r="J1353" i="2"/>
  <c r="J1354" i="2"/>
  <c r="J1355" i="2"/>
  <c r="J1356" i="2"/>
  <c r="J1357" i="2"/>
  <c r="J1358" i="2"/>
  <c r="F1318" i="6" s="1"/>
  <c r="J1359" i="2"/>
  <c r="J1360" i="2"/>
  <c r="J1361" i="2"/>
  <c r="F1321" i="6" s="1"/>
  <c r="J1362" i="2"/>
  <c r="J1363" i="2"/>
  <c r="J1364" i="2"/>
  <c r="J1365" i="2"/>
  <c r="J1366" i="2"/>
  <c r="F1326" i="6" s="1"/>
  <c r="J1476" i="2"/>
  <c r="F1436" i="6" s="1"/>
  <c r="J1477" i="2"/>
  <c r="F1437" i="6" s="1"/>
  <c r="J1478" i="2"/>
  <c r="F1438" i="6" s="1"/>
  <c r="J1479" i="2"/>
  <c r="F1439" i="6" s="1"/>
  <c r="J1480" i="2"/>
  <c r="F1440" i="6" s="1"/>
  <c r="J1481" i="2"/>
  <c r="F1441" i="6" s="1"/>
  <c r="J1482" i="2"/>
  <c r="F1442" i="6" s="1"/>
  <c r="J1483" i="2"/>
  <c r="J1484" i="2"/>
  <c r="F1444" i="6" s="1"/>
  <c r="J1485" i="2"/>
  <c r="F1445" i="6" s="1"/>
  <c r="J1486" i="2"/>
  <c r="F1446" i="6" s="1"/>
  <c r="J1487" i="2"/>
  <c r="J1488" i="2"/>
  <c r="F1448" i="6" s="1"/>
  <c r="J1489" i="2"/>
  <c r="F1449" i="6" s="1"/>
  <c r="J1490" i="2"/>
  <c r="F1450" i="6" s="1"/>
  <c r="J1491" i="2"/>
  <c r="F1451" i="6" s="1"/>
  <c r="J1492" i="2"/>
  <c r="F1452" i="6" s="1"/>
  <c r="J1493" i="2"/>
  <c r="F1453" i="6" s="1"/>
  <c r="J1494" i="2"/>
  <c r="F1454" i="6" s="1"/>
  <c r="J1495" i="2"/>
  <c r="J1496" i="2"/>
  <c r="F1456" i="6" s="1"/>
  <c r="J1497" i="2"/>
  <c r="F1457" i="6" s="1"/>
  <c r="J1498" i="2"/>
  <c r="F1458" i="6" s="1"/>
  <c r="J1499" i="2"/>
  <c r="F1459" i="6" s="1"/>
  <c r="J1500" i="2"/>
  <c r="F1460" i="6" s="1"/>
  <c r="J1501" i="2"/>
  <c r="F1461" i="6" s="1"/>
  <c r="J1502" i="2"/>
  <c r="F1462" i="6" s="1"/>
  <c r="J1503" i="2"/>
  <c r="F1463" i="6" s="1"/>
  <c r="J1504" i="2"/>
  <c r="F1464" i="6" s="1"/>
  <c r="J1505" i="2"/>
  <c r="F1465" i="6" s="1"/>
  <c r="J1506" i="2"/>
  <c r="F1466" i="6" s="1"/>
  <c r="J1507" i="2"/>
  <c r="F1467" i="6" s="1"/>
  <c r="J1508" i="2"/>
  <c r="F1468" i="6" s="1"/>
  <c r="J1509" i="2"/>
  <c r="F1469" i="6" s="1"/>
  <c r="J1510" i="2"/>
  <c r="F1470" i="6" s="1"/>
  <c r="J1511" i="2"/>
  <c r="J1512" i="2"/>
  <c r="F1472" i="6" s="1"/>
  <c r="J1513" i="2"/>
  <c r="F1473" i="6" s="1"/>
  <c r="J1514" i="2"/>
  <c r="F1474" i="6" s="1"/>
  <c r="J1515" i="2"/>
  <c r="F1475" i="6" s="1"/>
  <c r="J1516" i="2"/>
  <c r="F1476" i="6" s="1"/>
  <c r="J1517" i="2"/>
  <c r="F1477" i="6" s="1"/>
  <c r="J1518" i="2"/>
  <c r="F1478" i="6" s="1"/>
  <c r="J1519" i="2"/>
  <c r="J1520" i="2"/>
  <c r="F1480" i="6" s="1"/>
  <c r="J1521" i="2"/>
  <c r="F1481" i="6" s="1"/>
  <c r="J1522" i="2"/>
  <c r="F1482" i="6" s="1"/>
  <c r="J1523" i="2"/>
  <c r="F1483" i="6" s="1"/>
  <c r="J1524" i="2"/>
  <c r="F1484" i="6" s="1"/>
  <c r="J1525" i="2"/>
  <c r="F1485" i="6" s="1"/>
  <c r="J1526" i="2"/>
  <c r="F1486" i="6" s="1"/>
  <c r="J1527" i="2"/>
  <c r="J1528" i="2"/>
  <c r="F1488" i="6" s="1"/>
  <c r="J1529" i="2"/>
  <c r="F1489" i="6" s="1"/>
  <c r="J1530" i="2"/>
  <c r="F1490" i="6" s="1"/>
  <c r="J1531" i="2"/>
  <c r="F1491" i="6" s="1"/>
  <c r="J1532" i="2"/>
  <c r="F1492" i="6" s="1"/>
  <c r="J1533" i="2"/>
  <c r="F1493" i="6" s="1"/>
  <c r="J1534" i="2"/>
  <c r="F1494" i="6" s="1"/>
  <c r="J1535" i="2"/>
  <c r="F1495" i="6" s="1"/>
  <c r="J1536" i="2"/>
  <c r="F1496" i="6" s="1"/>
  <c r="J1537" i="2"/>
  <c r="F1497" i="6" s="1"/>
  <c r="J1538" i="2"/>
  <c r="F1498" i="6" s="1"/>
  <c r="J1539" i="2"/>
  <c r="F1499" i="6" s="1"/>
  <c r="J1540" i="2"/>
  <c r="F1500" i="6" s="1"/>
  <c r="J1541" i="2"/>
  <c r="F1501" i="6" s="1"/>
  <c r="J1542" i="2"/>
  <c r="F1502" i="6" s="1"/>
  <c r="J1543" i="2"/>
  <c r="F1503" i="6" s="1"/>
  <c r="J1544" i="2"/>
  <c r="F1504" i="6" s="1"/>
  <c r="J1545" i="2"/>
  <c r="F1505" i="6" s="1"/>
  <c r="J1546" i="2"/>
  <c r="F1506" i="6" s="1"/>
  <c r="J1547" i="2"/>
  <c r="J1548" i="2"/>
  <c r="F1508" i="6" s="1"/>
  <c r="J1549" i="2"/>
  <c r="F1509" i="6" s="1"/>
  <c r="J1550" i="2"/>
  <c r="F1510" i="6" s="1"/>
  <c r="J1551" i="2"/>
  <c r="F1511" i="6" s="1"/>
  <c r="J1552" i="2"/>
  <c r="F1512" i="6" s="1"/>
  <c r="J1553" i="2"/>
  <c r="F1513" i="6" s="1"/>
  <c r="J1554" i="2"/>
  <c r="F1514" i="6" s="1"/>
  <c r="J1555" i="2"/>
  <c r="J1556" i="2"/>
  <c r="F1516" i="6" s="1"/>
  <c r="J1557" i="2"/>
  <c r="F1517" i="6" s="1"/>
  <c r="J1558" i="2"/>
  <c r="F1518" i="6" s="1"/>
  <c r="J1559" i="2"/>
  <c r="F1519" i="6" s="1"/>
  <c r="J1560" i="2"/>
  <c r="F1520" i="6" s="1"/>
  <c r="J1561" i="2"/>
  <c r="F1521" i="6" s="1"/>
  <c r="J1562" i="2"/>
  <c r="F1522" i="6" s="1"/>
  <c r="J1563" i="2"/>
  <c r="J1564" i="2"/>
  <c r="F1524" i="6" s="1"/>
  <c r="J1565" i="2"/>
  <c r="F1525" i="6" s="1"/>
  <c r="J1566" i="2"/>
  <c r="F1526" i="6" s="1"/>
  <c r="J1567" i="2"/>
  <c r="J1568" i="2"/>
  <c r="F1528" i="6" s="1"/>
  <c r="J1569" i="2"/>
  <c r="F1529" i="6" s="1"/>
  <c r="J1570" i="2"/>
  <c r="F1530" i="6" s="1"/>
  <c r="J1571" i="2"/>
  <c r="F1531" i="6" s="1"/>
  <c r="J1572" i="2"/>
  <c r="F1532" i="6" s="1"/>
  <c r="J1573" i="2"/>
  <c r="F1533" i="6" s="1"/>
  <c r="J1574" i="2"/>
  <c r="F1534" i="6" s="1"/>
  <c r="J1575" i="2"/>
  <c r="F1535" i="6" s="1"/>
  <c r="J1576" i="2"/>
  <c r="F1536" i="6" s="1"/>
  <c r="J1577" i="2"/>
  <c r="F1537" i="6" s="1"/>
  <c r="J1578" i="2"/>
  <c r="F1538" i="6" s="1"/>
  <c r="J1579" i="2"/>
  <c r="F1539" i="6" s="1"/>
  <c r="J1580" i="2"/>
  <c r="F1540" i="6" s="1"/>
  <c r="J1581" i="2"/>
  <c r="F1541" i="6" s="1"/>
  <c r="J1582" i="2"/>
  <c r="F1542" i="6" s="1"/>
  <c r="J1583" i="2"/>
  <c r="F1543" i="6" s="1"/>
  <c r="J1584" i="2"/>
  <c r="F1544" i="6" s="1"/>
  <c r="J1585" i="2"/>
  <c r="F1545" i="6" s="1"/>
  <c r="J1586" i="2"/>
  <c r="F1546" i="6" s="1"/>
  <c r="J1587" i="2"/>
  <c r="F1547" i="6" s="1"/>
  <c r="J1588" i="2"/>
  <c r="F1548" i="6" s="1"/>
  <c r="J1589" i="2"/>
  <c r="F1549" i="6" s="1"/>
  <c r="J1590" i="2"/>
  <c r="F1550" i="6" s="1"/>
  <c r="J1591" i="2"/>
  <c r="J1592" i="2"/>
  <c r="F1552" i="6" s="1"/>
  <c r="J1593" i="2"/>
  <c r="F1553" i="6" s="1"/>
  <c r="J1594" i="2"/>
  <c r="F1554" i="6" s="1"/>
  <c r="J1595" i="2"/>
  <c r="F1555" i="6" s="1"/>
  <c r="J1596" i="2"/>
  <c r="F1556" i="6" s="1"/>
  <c r="J1597" i="2"/>
  <c r="F1557" i="6" s="1"/>
  <c r="J1598" i="2"/>
  <c r="F1558" i="6" s="1"/>
  <c r="J1599" i="2"/>
  <c r="F1559" i="6" s="1"/>
  <c r="J1600" i="2"/>
  <c r="F1560" i="6" s="1"/>
  <c r="J1601" i="2"/>
  <c r="F1561" i="6" s="1"/>
  <c r="J1602" i="2"/>
  <c r="F1562" i="6" s="1"/>
  <c r="J1603" i="2"/>
  <c r="F1563" i="6" s="1"/>
  <c r="J1604" i="2"/>
  <c r="F1564" i="6" s="1"/>
  <c r="J1605" i="2"/>
  <c r="F1565" i="6" s="1"/>
  <c r="J1606" i="2"/>
  <c r="F1566" i="6" s="1"/>
  <c r="J1607" i="2"/>
  <c r="F1567" i="6" s="1"/>
  <c r="J1608" i="2"/>
  <c r="F1568" i="6" s="1"/>
  <c r="J1609" i="2"/>
  <c r="F1569" i="6" s="1"/>
  <c r="J1610" i="2"/>
  <c r="F1570" i="6" s="1"/>
  <c r="J1611" i="2"/>
  <c r="J1612" i="2"/>
  <c r="F1572" i="6" s="1"/>
  <c r="J1613" i="2"/>
  <c r="F1573" i="6" s="1"/>
  <c r="J1614" i="2"/>
  <c r="F1574" i="6" s="1"/>
  <c r="J1615" i="2"/>
  <c r="J1616" i="2"/>
  <c r="F1576" i="6" s="1"/>
  <c r="J1617" i="2"/>
  <c r="F1577" i="6" s="1"/>
  <c r="J1618" i="2"/>
  <c r="F1578" i="6" s="1"/>
  <c r="J1619" i="2"/>
  <c r="F1579" i="6" s="1"/>
  <c r="J1620" i="2"/>
  <c r="F1580" i="6" s="1"/>
  <c r="J1621" i="2"/>
  <c r="F1581" i="6" s="1"/>
  <c r="J1622" i="2"/>
  <c r="F1582" i="6" s="1"/>
  <c r="J1623" i="2"/>
  <c r="J1624" i="2"/>
  <c r="F1584" i="6" s="1"/>
  <c r="J1625" i="2"/>
  <c r="F1585" i="6" s="1"/>
  <c r="J1626" i="2"/>
  <c r="F1586" i="6" s="1"/>
  <c r="J1627" i="2"/>
  <c r="J1628" i="2"/>
  <c r="F1588" i="6" s="1"/>
  <c r="J1629" i="2"/>
  <c r="F1589" i="6" s="1"/>
  <c r="J1630" i="2"/>
  <c r="F1590" i="6" s="1"/>
  <c r="J1631" i="2"/>
  <c r="J1632" i="2"/>
  <c r="F1592" i="6" s="1"/>
  <c r="J1633" i="2"/>
  <c r="F1593" i="6" s="1"/>
  <c r="J1634" i="2"/>
  <c r="F1594" i="6" s="1"/>
  <c r="J1635" i="2"/>
  <c r="F1595" i="6" s="1"/>
  <c r="J1636" i="2"/>
  <c r="F1596" i="6" s="1"/>
  <c r="J1637" i="2"/>
  <c r="F1597" i="6" s="1"/>
  <c r="J1638" i="2"/>
  <c r="F1598" i="6" s="1"/>
  <c r="J1639" i="2"/>
  <c r="J1640" i="2"/>
  <c r="F1600" i="6" s="1"/>
  <c r="J1641" i="2"/>
  <c r="F1601" i="6" s="1"/>
  <c r="J1642" i="2"/>
  <c r="F1602" i="6" s="1"/>
  <c r="J1643" i="2"/>
  <c r="F1603" i="6" s="1"/>
  <c r="J1644" i="2"/>
  <c r="F1604" i="6" s="1"/>
  <c r="J1645" i="2"/>
  <c r="F1605" i="6" s="1"/>
  <c r="J1646" i="2"/>
  <c r="F1606" i="6" s="1"/>
  <c r="J1647" i="2"/>
  <c r="J1648" i="2"/>
  <c r="F1608" i="6" s="1"/>
  <c r="J1649" i="2"/>
  <c r="F1609" i="6" s="1"/>
  <c r="J1650" i="2"/>
  <c r="F1610" i="6" s="1"/>
  <c r="J1651" i="2"/>
  <c r="F1611" i="6" s="1"/>
  <c r="J1652" i="2"/>
  <c r="F1612" i="6" s="1"/>
  <c r="J1653" i="2"/>
  <c r="F1613" i="6" s="1"/>
  <c r="J1654" i="2"/>
  <c r="F1614" i="6" s="1"/>
  <c r="J1655" i="2"/>
  <c r="J1656" i="2"/>
  <c r="F1616" i="6" s="1"/>
  <c r="J1657" i="2"/>
  <c r="F1617" i="6" s="1"/>
  <c r="J1658" i="2"/>
  <c r="F1618" i="6" s="1"/>
  <c r="J1660" i="2"/>
  <c r="F1620" i="6" s="1"/>
  <c r="J1661" i="2"/>
  <c r="F1621" i="6" s="1"/>
  <c r="J1662" i="2"/>
  <c r="F1622" i="6" s="1"/>
  <c r="J1663" i="2"/>
  <c r="F1623" i="6" s="1"/>
  <c r="J1664" i="2"/>
  <c r="F1624" i="6" s="1"/>
  <c r="J1665" i="2"/>
  <c r="F1625" i="6" s="1"/>
  <c r="J1666" i="2"/>
  <c r="F1626" i="6" s="1"/>
  <c r="J1667" i="2"/>
  <c r="F1627" i="6" s="1"/>
  <c r="J1668" i="2"/>
  <c r="F1628" i="6" s="1"/>
  <c r="J1669" i="2"/>
  <c r="F1629" i="6" s="1"/>
  <c r="J1670" i="2"/>
  <c r="F1630" i="6" s="1"/>
  <c r="J1671" i="2"/>
  <c r="F1631" i="6" s="1"/>
  <c r="J1672" i="2"/>
  <c r="F1632" i="6" s="1"/>
  <c r="J1673" i="2"/>
  <c r="F1633" i="6" s="1"/>
  <c r="J1674" i="2"/>
  <c r="F1634" i="6" s="1"/>
  <c r="J1675" i="2"/>
  <c r="F1635" i="6" s="1"/>
  <c r="J1676" i="2"/>
  <c r="F1636" i="6" s="1"/>
  <c r="J1677" i="2"/>
  <c r="F1637" i="6" s="1"/>
  <c r="J1678" i="2"/>
  <c r="F1638" i="6" s="1"/>
  <c r="J1679" i="2"/>
  <c r="F1639" i="6" s="1"/>
  <c r="J1680" i="2"/>
  <c r="F1640" i="6" s="1"/>
  <c r="J1681" i="2"/>
  <c r="F1641" i="6" s="1"/>
  <c r="J1682" i="2"/>
  <c r="F1642" i="6" s="1"/>
  <c r="J1683" i="2"/>
  <c r="F1643" i="6" s="1"/>
  <c r="J1684" i="2"/>
  <c r="F1644" i="6" s="1"/>
  <c r="J1685" i="2"/>
  <c r="F1645" i="6" s="1"/>
  <c r="J1686" i="2"/>
  <c r="F1646" i="6" s="1"/>
  <c r="J1687" i="2"/>
  <c r="F1647" i="6" s="1"/>
  <c r="J1688" i="2"/>
  <c r="F1648" i="6" s="1"/>
  <c r="J1689" i="2"/>
  <c r="F1649" i="6" s="1"/>
  <c r="J1690" i="2"/>
  <c r="F1650" i="6" s="1"/>
  <c r="J1691" i="2"/>
  <c r="F1651" i="6" s="1"/>
  <c r="J1692" i="2"/>
  <c r="F1652" i="6" s="1"/>
  <c r="J1693" i="2"/>
  <c r="F1653" i="6" s="1"/>
  <c r="J1694" i="2"/>
  <c r="F1654" i="6" s="1"/>
  <c r="J1695" i="2"/>
  <c r="F1655" i="6" s="1"/>
  <c r="J1696" i="2"/>
  <c r="F1656" i="6" s="1"/>
  <c r="J1697" i="2"/>
  <c r="F1657" i="6" s="1"/>
  <c r="J1698" i="2"/>
  <c r="F1658" i="6" s="1"/>
  <c r="J1699" i="2"/>
  <c r="F1659" i="6" s="1"/>
  <c r="J1700" i="2"/>
  <c r="F1660" i="6" s="1"/>
  <c r="J1701" i="2"/>
  <c r="F1661" i="6" s="1"/>
  <c r="J1702" i="2"/>
  <c r="F1662" i="6" s="1"/>
  <c r="J1703" i="2"/>
  <c r="F1663" i="6" s="1"/>
  <c r="J1704" i="2"/>
  <c r="F1664" i="6" s="1"/>
  <c r="J1705" i="2"/>
  <c r="F1665" i="6" s="1"/>
  <c r="J1706" i="2"/>
  <c r="F1666" i="6" s="1"/>
  <c r="J1707" i="2"/>
  <c r="F1667" i="6" s="1"/>
  <c r="J1708" i="2"/>
  <c r="F1668" i="6" s="1"/>
  <c r="J1709" i="2"/>
  <c r="F1669" i="6" s="1"/>
  <c r="J1710" i="2"/>
  <c r="F1670" i="6" s="1"/>
  <c r="J1711" i="2"/>
  <c r="F1671" i="6" s="1"/>
  <c r="J1712" i="2"/>
  <c r="F1672" i="6" s="1"/>
  <c r="J1713" i="2"/>
  <c r="F1673" i="6" s="1"/>
  <c r="J1714" i="2"/>
  <c r="F1674" i="6" s="1"/>
  <c r="J1715" i="2"/>
  <c r="F1675" i="6" s="1"/>
  <c r="J1717" i="2"/>
  <c r="F1677" i="6" s="1"/>
  <c r="J1718" i="2"/>
  <c r="F1678" i="6" s="1"/>
  <c r="J1719" i="2"/>
  <c r="F1679" i="6" s="1"/>
  <c r="J1720" i="2"/>
  <c r="F1680" i="6" s="1"/>
  <c r="J1721" i="2"/>
  <c r="F1681" i="6" s="1"/>
  <c r="J1722" i="2"/>
  <c r="F1682" i="6" s="1"/>
  <c r="J1723" i="2"/>
  <c r="F1683" i="6" s="1"/>
  <c r="J1724" i="2"/>
  <c r="F1684" i="6" s="1"/>
  <c r="J1725" i="2"/>
  <c r="F1685" i="6" s="1"/>
  <c r="J1726" i="2"/>
  <c r="F1686" i="6" s="1"/>
  <c r="J1727" i="2"/>
  <c r="F1687" i="6" s="1"/>
  <c r="J1728" i="2"/>
  <c r="F1688" i="6" s="1"/>
  <c r="J1729" i="2"/>
  <c r="F1689" i="6" s="1"/>
  <c r="J1730" i="2"/>
  <c r="F1690" i="6" s="1"/>
  <c r="J1731" i="2"/>
  <c r="F1691" i="6" s="1"/>
  <c r="J1732" i="2"/>
  <c r="F1692" i="6" s="1"/>
  <c r="J1733" i="2"/>
  <c r="F1693" i="6" s="1"/>
  <c r="J1734" i="2"/>
  <c r="F1694" i="6" s="1"/>
  <c r="J1735" i="2"/>
  <c r="F1695" i="6" s="1"/>
  <c r="J1736" i="2"/>
  <c r="F1696" i="6" s="1"/>
  <c r="J1737" i="2"/>
  <c r="F1697" i="6" s="1"/>
  <c r="J1738" i="2"/>
  <c r="F1698" i="6" s="1"/>
  <c r="J1739" i="2"/>
  <c r="F1699" i="6" s="1"/>
  <c r="J1740" i="2"/>
  <c r="F1700" i="6" s="1"/>
  <c r="J1741" i="2"/>
  <c r="F1701" i="6" s="1"/>
  <c r="J1742" i="2"/>
  <c r="F1702" i="6" s="1"/>
  <c r="J1743" i="2"/>
  <c r="F1703" i="6" s="1"/>
  <c r="J1744" i="2"/>
  <c r="F1704" i="6" s="1"/>
  <c r="J1745" i="2"/>
  <c r="F1705" i="6" s="1"/>
  <c r="J1746" i="2"/>
  <c r="F1706" i="6" s="1"/>
  <c r="J1747" i="2"/>
  <c r="F1707" i="6" s="1"/>
  <c r="J1748" i="2"/>
  <c r="F1708" i="6" s="1"/>
  <c r="J1749" i="2"/>
  <c r="F1709" i="6" s="1"/>
  <c r="J1750" i="2"/>
  <c r="F1710" i="6" s="1"/>
  <c r="J1751" i="2"/>
  <c r="F1711" i="6" s="1"/>
  <c r="J1752" i="2"/>
  <c r="F1712" i="6" s="1"/>
  <c r="J1753" i="2"/>
  <c r="F1713" i="6" s="1"/>
  <c r="J1754" i="2"/>
  <c r="F1714" i="6" s="1"/>
  <c r="J1755" i="2"/>
  <c r="F1715" i="6" s="1"/>
  <c r="J1756" i="2"/>
  <c r="F1716" i="6" s="1"/>
  <c r="J1757" i="2"/>
  <c r="F1717" i="6" s="1"/>
  <c r="J1758" i="2"/>
  <c r="F1718" i="6" s="1"/>
  <c r="J1759" i="2"/>
  <c r="F1719" i="6" s="1"/>
  <c r="J1760" i="2"/>
  <c r="F1720" i="6" s="1"/>
  <c r="J1761" i="2"/>
  <c r="F1721" i="6" s="1"/>
  <c r="J1762" i="2"/>
  <c r="F1722" i="6" s="1"/>
  <c r="J1763" i="2"/>
  <c r="F1723" i="6" s="1"/>
  <c r="J1764" i="2"/>
  <c r="F1724" i="6" s="1"/>
  <c r="J1765" i="2"/>
  <c r="F1725" i="6" s="1"/>
  <c r="J1766" i="2"/>
  <c r="F1726" i="6" s="1"/>
  <c r="J1767" i="2"/>
  <c r="F1727" i="6" s="1"/>
  <c r="J1768" i="2"/>
  <c r="F1728" i="6" s="1"/>
  <c r="J1769" i="2"/>
  <c r="F1729" i="6" s="1"/>
  <c r="J1770" i="2"/>
  <c r="F1730" i="6" s="1"/>
  <c r="J1771" i="2"/>
  <c r="F1731" i="6" s="1"/>
  <c r="J1772" i="2"/>
  <c r="F1732" i="6" s="1"/>
  <c r="J1773" i="2"/>
  <c r="F1733" i="6" s="1"/>
  <c r="J1774" i="2"/>
  <c r="F1734" i="6" s="1"/>
  <c r="J1775" i="2"/>
  <c r="F1735" i="6" s="1"/>
  <c r="J1776" i="2"/>
  <c r="F1736" i="6" s="1"/>
  <c r="J1777" i="2"/>
  <c r="F1737" i="6" s="1"/>
  <c r="J1778" i="2"/>
  <c r="F1738" i="6" s="1"/>
  <c r="J1779" i="2"/>
  <c r="F1739" i="6" s="1"/>
  <c r="J1780" i="2"/>
  <c r="F1740" i="6" s="1"/>
  <c r="J1781" i="2"/>
  <c r="F1741" i="6" s="1"/>
  <c r="J1782" i="2"/>
  <c r="F1742" i="6" s="1"/>
  <c r="J1783" i="2"/>
  <c r="F1743" i="6" s="1"/>
  <c r="J1784" i="2"/>
  <c r="F1744" i="6" s="1"/>
  <c r="J1785" i="2"/>
  <c r="F1745" i="6" s="1"/>
  <c r="J1786" i="2"/>
  <c r="F1746" i="6" s="1"/>
  <c r="J1787" i="2"/>
  <c r="F1747" i="6" s="1"/>
  <c r="J1788" i="2"/>
  <c r="F1748" i="6" s="1"/>
  <c r="J1789" i="2"/>
  <c r="F1749" i="6" s="1"/>
  <c r="J1790" i="2"/>
  <c r="F1750" i="6" s="1"/>
  <c r="J1791" i="2"/>
  <c r="F1751" i="6" s="1"/>
  <c r="J1792" i="2"/>
  <c r="F1752" i="6" s="1"/>
  <c r="J1793" i="2"/>
  <c r="F1753" i="6" s="1"/>
  <c r="J1794" i="2"/>
  <c r="F1754" i="6" s="1"/>
  <c r="J1795" i="2"/>
  <c r="F1755" i="6" s="1"/>
  <c r="J1796" i="2"/>
  <c r="F1756" i="6" s="1"/>
  <c r="J1803" i="2"/>
  <c r="F1763" i="6" s="1"/>
  <c r="J1804" i="2"/>
  <c r="F1764" i="6" s="1"/>
  <c r="J1805" i="2"/>
  <c r="F1765" i="6" s="1"/>
  <c r="J1806" i="2"/>
  <c r="F1766" i="6" s="1"/>
  <c r="J1807" i="2"/>
  <c r="F1767" i="6" s="1"/>
  <c r="J1808" i="2"/>
  <c r="F1768" i="6" s="1"/>
  <c r="J1809" i="2"/>
  <c r="F1769" i="6" s="1"/>
  <c r="J1811" i="2"/>
  <c r="F1771" i="6" s="1"/>
  <c r="J1812" i="2"/>
  <c r="F1772" i="6" s="1"/>
  <c r="J1813" i="2"/>
  <c r="F1773" i="6" s="1"/>
  <c r="J1814" i="2"/>
  <c r="F1774" i="6" s="1"/>
  <c r="J1815" i="2"/>
  <c r="F1775" i="6" s="1"/>
  <c r="J1816" i="2"/>
  <c r="F1776" i="6" s="1"/>
  <c r="J1817" i="2"/>
  <c r="F1777" i="6" s="1"/>
  <c r="J1818" i="2"/>
  <c r="F1778" i="6" s="1"/>
  <c r="J1819" i="2"/>
  <c r="F1779" i="6" s="1"/>
  <c r="J1820" i="2"/>
  <c r="F1780" i="6" s="1"/>
  <c r="J1821" i="2"/>
  <c r="F1781" i="6" s="1"/>
  <c r="J1858" i="2"/>
  <c r="F1818" i="6" s="1"/>
  <c r="J1859" i="2"/>
  <c r="F1819" i="6" s="1"/>
  <c r="J1860" i="2"/>
  <c r="F1820" i="6" s="1"/>
  <c r="J1861" i="2"/>
  <c r="F1821" i="6" s="1"/>
  <c r="J1862" i="2"/>
  <c r="F1822" i="6" s="1"/>
  <c r="J1863" i="2"/>
  <c r="F1823" i="6" s="1"/>
  <c r="J1864" i="2"/>
  <c r="F1824" i="6" s="1"/>
  <c r="J1865" i="2"/>
  <c r="F1825" i="6" s="1"/>
  <c r="J1866" i="2"/>
  <c r="F1826" i="6" s="1"/>
  <c r="J1867" i="2"/>
  <c r="F1827" i="6" s="1"/>
  <c r="J1868" i="2"/>
  <c r="F1828" i="6" s="1"/>
  <c r="J1869" i="2"/>
  <c r="F1829" i="6" s="1"/>
  <c r="J1870" i="2"/>
  <c r="F1830" i="6" s="1"/>
  <c r="J1871" i="2"/>
  <c r="F1831" i="6" s="1"/>
  <c r="J1872" i="2"/>
  <c r="F1832" i="6" s="1"/>
  <c r="J1873" i="2"/>
  <c r="F1833" i="6" s="1"/>
  <c r="J1874" i="2"/>
  <c r="F1834" i="6" s="1"/>
  <c r="J1875" i="2"/>
  <c r="F1835" i="6" s="1"/>
  <c r="J1876" i="2"/>
  <c r="F1836" i="6" s="1"/>
  <c r="J1877" i="2"/>
  <c r="F1837" i="6" s="1"/>
  <c r="J1878" i="2"/>
  <c r="F1838" i="6" s="1"/>
  <c r="J1879" i="2"/>
  <c r="F1839" i="6" s="1"/>
  <c r="J1880" i="2"/>
  <c r="F1840" i="6" s="1"/>
  <c r="J1881" i="2"/>
  <c r="F1841" i="6" s="1"/>
  <c r="J1882" i="2"/>
  <c r="F1842" i="6" s="1"/>
  <c r="J1891" i="2"/>
  <c r="F1851" i="6" s="1"/>
  <c r="J1892" i="2"/>
  <c r="F1852" i="6" s="1"/>
  <c r="J1893" i="2"/>
  <c r="F1853" i="6" s="1"/>
  <c r="J1894" i="2"/>
  <c r="F1854" i="6" s="1"/>
  <c r="J1895" i="2"/>
  <c r="F1855" i="6" s="1"/>
  <c r="J1896" i="2"/>
  <c r="F1856" i="6" s="1"/>
  <c r="J1897" i="2"/>
  <c r="F1857" i="6" s="1"/>
  <c r="J1898" i="2"/>
  <c r="F1858" i="6" s="1"/>
  <c r="J1899" i="2"/>
  <c r="F1859" i="6" s="1"/>
  <c r="J1900" i="2"/>
  <c r="F1860" i="6" s="1"/>
  <c r="J1901" i="2"/>
  <c r="F1861" i="6" s="1"/>
  <c r="J1902" i="2"/>
  <c r="F1862" i="6" s="1"/>
  <c r="J1903" i="2"/>
  <c r="F1863" i="6" s="1"/>
  <c r="J1904" i="2"/>
  <c r="F1864" i="6" s="1"/>
  <c r="J1905" i="2"/>
  <c r="F1865" i="6" s="1"/>
  <c r="J1906" i="2"/>
  <c r="F1866" i="6" s="1"/>
  <c r="J1907" i="2"/>
  <c r="F1867" i="6" s="1"/>
  <c r="J1908" i="2"/>
  <c r="F1868" i="6" s="1"/>
  <c r="J1909" i="2"/>
  <c r="F1869" i="6" s="1"/>
  <c r="J1910" i="2"/>
  <c r="F1870" i="6" s="1"/>
  <c r="J1911" i="2"/>
  <c r="F1871" i="6" s="1"/>
  <c r="J1912" i="2"/>
  <c r="F1872" i="6" s="1"/>
  <c r="J1913" i="2"/>
  <c r="F1873" i="6" s="1"/>
  <c r="J1914" i="2"/>
  <c r="F1874" i="6" s="1"/>
  <c r="J1915" i="2"/>
  <c r="F1875" i="6" s="1"/>
  <c r="J1916" i="2"/>
  <c r="F1876" i="6" s="1"/>
  <c r="J1917" i="2"/>
  <c r="F1877" i="6" s="1"/>
  <c r="J1918" i="2"/>
  <c r="F1878" i="6" s="1"/>
  <c r="J1919" i="2"/>
  <c r="F1879" i="6" s="1"/>
  <c r="J1920" i="2"/>
  <c r="F1880" i="6" s="1"/>
  <c r="J1921" i="2"/>
  <c r="F1881" i="6" s="1"/>
  <c r="J1922" i="2"/>
  <c r="F1882" i="6" s="1"/>
  <c r="J1923" i="2"/>
  <c r="F1883" i="6" s="1"/>
  <c r="J1924" i="2"/>
  <c r="F1884" i="6" s="1"/>
  <c r="J1925" i="2"/>
  <c r="F1885" i="6" s="1"/>
  <c r="J1926" i="2"/>
  <c r="F1886" i="6" s="1"/>
  <c r="J1927" i="2"/>
  <c r="F1887" i="6" s="1"/>
  <c r="J1928" i="2"/>
  <c r="F1888" i="6" s="1"/>
  <c r="J1929" i="2"/>
  <c r="F1889" i="6" s="1"/>
  <c r="J1930" i="2"/>
  <c r="F1890" i="6" s="1"/>
  <c r="J1931" i="2"/>
  <c r="F1891" i="6" s="1"/>
  <c r="J1932" i="2"/>
  <c r="F1892" i="6" s="1"/>
  <c r="J1933" i="2"/>
  <c r="F1893" i="6" s="1"/>
  <c r="J1934" i="2"/>
  <c r="F1894" i="6" s="1"/>
  <c r="J1935" i="2"/>
  <c r="F1895" i="6" s="1"/>
  <c r="J1936" i="2"/>
  <c r="F1896" i="6" s="1"/>
  <c r="J1937" i="2"/>
  <c r="F1897" i="6" s="1"/>
  <c r="J1938" i="2"/>
  <c r="F1898" i="6" s="1"/>
  <c r="J1939" i="2"/>
  <c r="F1899" i="6" s="1"/>
  <c r="J1940" i="2"/>
  <c r="F1900" i="6" s="1"/>
  <c r="J1941" i="2"/>
  <c r="F1901" i="6" s="1"/>
  <c r="J1942" i="2"/>
  <c r="F1902" i="6" s="1"/>
  <c r="J1943" i="2"/>
  <c r="F1903" i="6" s="1"/>
  <c r="J1944" i="2"/>
  <c r="F1904" i="6" s="1"/>
  <c r="J1945" i="2"/>
  <c r="F1905" i="6" s="1"/>
  <c r="J1946" i="2"/>
  <c r="F1906" i="6" s="1"/>
  <c r="J1947" i="2"/>
  <c r="F1907" i="6" s="1"/>
  <c r="J1948" i="2"/>
  <c r="F1908" i="6" s="1"/>
  <c r="J1949" i="2"/>
  <c r="F1909" i="6" s="1"/>
  <c r="J1950" i="2"/>
  <c r="F1910" i="6" s="1"/>
  <c r="J1951" i="2"/>
  <c r="F1911" i="6" s="1"/>
  <c r="J1952" i="2"/>
  <c r="F1912" i="6" s="1"/>
  <c r="J1953" i="2"/>
  <c r="F1913" i="6" s="1"/>
  <c r="J1954" i="2"/>
  <c r="F1914" i="6" s="1"/>
  <c r="J1955" i="2"/>
  <c r="F1915" i="6" s="1"/>
  <c r="J1956" i="2"/>
  <c r="F1916" i="6" s="1"/>
  <c r="J1957" i="2"/>
  <c r="F1917" i="6" s="1"/>
  <c r="J1958" i="2"/>
  <c r="F1918" i="6" s="1"/>
  <c r="J1959" i="2"/>
  <c r="F1919" i="6" s="1"/>
  <c r="J1960" i="2"/>
  <c r="F1920" i="6" s="1"/>
  <c r="J1961" i="2"/>
  <c r="F1921" i="6" s="1"/>
  <c r="J1962" i="2"/>
  <c r="F1922" i="6" s="1"/>
  <c r="J1963" i="2"/>
  <c r="F1923" i="6" s="1"/>
  <c r="J1964" i="2"/>
  <c r="F1924" i="6" s="1"/>
  <c r="J1965" i="2"/>
  <c r="F1925" i="6" s="1"/>
  <c r="J1966" i="2"/>
  <c r="F1926" i="6" s="1"/>
  <c r="J1967" i="2"/>
  <c r="F1927" i="6" s="1"/>
  <c r="J1968" i="2"/>
  <c r="F1928" i="6" s="1"/>
  <c r="J1969" i="2"/>
  <c r="F1929" i="6" s="1"/>
  <c r="J1970" i="2"/>
  <c r="F1930" i="6" s="1"/>
  <c r="J1971" i="2"/>
  <c r="F1931" i="6" s="1"/>
  <c r="J1972" i="2"/>
  <c r="F1932" i="6" s="1"/>
  <c r="J1973" i="2"/>
  <c r="F1933" i="6" s="1"/>
  <c r="J1974" i="2"/>
  <c r="F1934" i="6" s="1"/>
  <c r="J1975" i="2"/>
  <c r="F1935" i="6" s="1"/>
  <c r="J1976" i="2"/>
  <c r="F1936" i="6" s="1"/>
  <c r="J1977" i="2"/>
  <c r="F1937" i="6" s="1"/>
  <c r="J1978" i="2"/>
  <c r="F1938" i="6" s="1"/>
  <c r="J1979" i="2"/>
  <c r="F1939" i="6" s="1"/>
  <c r="J1980" i="2"/>
  <c r="F1940" i="6" s="1"/>
  <c r="J1981" i="2"/>
  <c r="F1941" i="6" s="1"/>
  <c r="J1982" i="2"/>
  <c r="F1942" i="6" s="1"/>
  <c r="J1983" i="2"/>
  <c r="F1943" i="6" s="1"/>
  <c r="J1984" i="2"/>
  <c r="F1944" i="6" s="1"/>
  <c r="J1985" i="2"/>
  <c r="F1945" i="6" s="1"/>
  <c r="J1986" i="2"/>
  <c r="F1946" i="6" s="1"/>
  <c r="J1987" i="2"/>
  <c r="F1947" i="6" s="1"/>
  <c r="J1988" i="2"/>
  <c r="F1948" i="6" s="1"/>
  <c r="J1989" i="2"/>
  <c r="F1949" i="6" s="1"/>
  <c r="J1990" i="2"/>
  <c r="F1950" i="6" s="1"/>
  <c r="J1991" i="2"/>
  <c r="F1951" i="6" s="1"/>
  <c r="J1992" i="2"/>
  <c r="F1952" i="6" s="1"/>
  <c r="J1993" i="2"/>
  <c r="F1953" i="6" s="1"/>
  <c r="J1994" i="2"/>
  <c r="F1954" i="6" s="1"/>
  <c r="J1995" i="2"/>
  <c r="F1955" i="6" s="1"/>
  <c r="J1996" i="2"/>
  <c r="F1956" i="6" s="1"/>
  <c r="J1997" i="2"/>
  <c r="F1957" i="6" s="1"/>
  <c r="J1998" i="2"/>
  <c r="F1958" i="6" s="1"/>
  <c r="J1999" i="2"/>
  <c r="F1959" i="6" s="1"/>
  <c r="J2000" i="2"/>
  <c r="F1960" i="6" s="1"/>
  <c r="J2001" i="2"/>
  <c r="F1961" i="6" s="1"/>
  <c r="J2002" i="2"/>
  <c r="F1962" i="6" s="1"/>
  <c r="J2003" i="2"/>
  <c r="F1963" i="6" s="1"/>
  <c r="J2004" i="2"/>
  <c r="F1964" i="6" s="1"/>
  <c r="J2005" i="2"/>
  <c r="F1965" i="6" s="1"/>
  <c r="J2006" i="2"/>
  <c r="F1966" i="6" s="1"/>
  <c r="J2007" i="2"/>
  <c r="F1967" i="6" s="1"/>
  <c r="J2008" i="2"/>
  <c r="F1968" i="6" s="1"/>
  <c r="J2009" i="2"/>
  <c r="F1969" i="6" s="1"/>
  <c r="J2010" i="2"/>
  <c r="F1970" i="6" s="1"/>
  <c r="J2011" i="2"/>
  <c r="F1971" i="6" s="1"/>
  <c r="J2012" i="2"/>
  <c r="F1972" i="6" s="1"/>
  <c r="J2013" i="2"/>
  <c r="F1973" i="6" s="1"/>
  <c r="J2014" i="2"/>
  <c r="F1974" i="6" s="1"/>
  <c r="J2015" i="2"/>
  <c r="F1975" i="6" s="1"/>
  <c r="J2016" i="2"/>
  <c r="F1976" i="6" s="1"/>
  <c r="J2017" i="2"/>
  <c r="F1977" i="6" s="1"/>
  <c r="J2018" i="2"/>
  <c r="F1978" i="6" s="1"/>
  <c r="J2019" i="2"/>
  <c r="F1979" i="6" s="1"/>
  <c r="J2020" i="2"/>
  <c r="F1980" i="6" s="1"/>
  <c r="J2021" i="2"/>
  <c r="F1981" i="6" s="1"/>
  <c r="J2022" i="2"/>
  <c r="F1982" i="6" s="1"/>
  <c r="J2023" i="2"/>
  <c r="F1983" i="6" s="1"/>
  <c r="J2024" i="2"/>
  <c r="F1984" i="6" s="1"/>
  <c r="J2025" i="2"/>
  <c r="F1985" i="6" s="1"/>
  <c r="J2026" i="2"/>
  <c r="F1986" i="6" s="1"/>
  <c r="J2027" i="2"/>
  <c r="F1987" i="6" s="1"/>
  <c r="J2028" i="2"/>
  <c r="F1988" i="6" s="1"/>
  <c r="J2029" i="2"/>
  <c r="F1989" i="6" s="1"/>
  <c r="J2030" i="2"/>
  <c r="F1990" i="6" s="1"/>
  <c r="J2031" i="2"/>
  <c r="F1991" i="6" s="1"/>
  <c r="J2032" i="2"/>
  <c r="F1992" i="6" s="1"/>
  <c r="J2033" i="2"/>
  <c r="F1993" i="6" s="1"/>
  <c r="J2034" i="2"/>
  <c r="F1994" i="6" s="1"/>
  <c r="J2035" i="2"/>
  <c r="F1995" i="6" s="1"/>
  <c r="J2036" i="2"/>
  <c r="F1996" i="6" s="1"/>
  <c r="J2037" i="2"/>
  <c r="F1997" i="6" s="1"/>
  <c r="J2038" i="2"/>
  <c r="F1998" i="6" s="1"/>
  <c r="J2039" i="2"/>
  <c r="F1999" i="6" s="1"/>
  <c r="J2040" i="2"/>
  <c r="F2000" i="6" s="1"/>
  <c r="J2041" i="2"/>
  <c r="F2001" i="6" s="1"/>
  <c r="J2042" i="2"/>
  <c r="F2002" i="6" s="1"/>
  <c r="J2043" i="2"/>
  <c r="F2003" i="6" s="1"/>
  <c r="J2044" i="2"/>
  <c r="F2004" i="6" s="1"/>
  <c r="J2045" i="2"/>
  <c r="F2005" i="6" s="1"/>
  <c r="J2046" i="2"/>
  <c r="F2006" i="6" s="1"/>
  <c r="J2047" i="2"/>
  <c r="F2007" i="6" s="1"/>
  <c r="J2048" i="2"/>
  <c r="F2008" i="6" s="1"/>
  <c r="J2049" i="2"/>
  <c r="F2009" i="6" s="1"/>
  <c r="J2050" i="2"/>
  <c r="F2010" i="6" s="1"/>
  <c r="J2051" i="2"/>
  <c r="F2011" i="6" s="1"/>
  <c r="J2052" i="2"/>
  <c r="F2012" i="6" s="1"/>
  <c r="J2053" i="2"/>
  <c r="F2013" i="6" s="1"/>
  <c r="J2054" i="2"/>
  <c r="F2014" i="6" s="1"/>
  <c r="J2055" i="2"/>
  <c r="F2015" i="6" s="1"/>
  <c r="J2056" i="2"/>
  <c r="F2016" i="6" s="1"/>
  <c r="J2057" i="2"/>
  <c r="F2017" i="6" s="1"/>
  <c r="J2058" i="2"/>
  <c r="F2018" i="6" s="1"/>
  <c r="J2059" i="2"/>
  <c r="F2019" i="6" s="1"/>
  <c r="J2060" i="2"/>
  <c r="F2020" i="6" s="1"/>
  <c r="J2061" i="2"/>
  <c r="F2021" i="6" s="1"/>
  <c r="J2062" i="2"/>
  <c r="F2022" i="6" s="1"/>
  <c r="J2063" i="2"/>
  <c r="F2023" i="6" s="1"/>
  <c r="J2064" i="2"/>
  <c r="F2024" i="6" s="1"/>
  <c r="J2065" i="2"/>
  <c r="F2025" i="6" s="1"/>
  <c r="J2066" i="2"/>
  <c r="F2026" i="6" s="1"/>
  <c r="J2067" i="2"/>
  <c r="F2027" i="6" s="1"/>
  <c r="J2068" i="2"/>
  <c r="F2028" i="6" s="1"/>
  <c r="J2069" i="2"/>
  <c r="F2029" i="6" s="1"/>
  <c r="J2070" i="2"/>
  <c r="F2030" i="6" s="1"/>
  <c r="J2071" i="2"/>
  <c r="F2031" i="6" s="1"/>
  <c r="J2072" i="2"/>
  <c r="F2032" i="6" s="1"/>
  <c r="J2073" i="2"/>
  <c r="F2033" i="6" s="1"/>
  <c r="J2074" i="2"/>
  <c r="F2034" i="6" s="1"/>
  <c r="J2075" i="2"/>
  <c r="F2035" i="6" s="1"/>
  <c r="J2076" i="2"/>
  <c r="F2036" i="6" s="1"/>
  <c r="J2077" i="2"/>
  <c r="F2037" i="6" s="1"/>
  <c r="J2078" i="2"/>
  <c r="F2038" i="6" s="1"/>
  <c r="J2079" i="2"/>
  <c r="F2039" i="6" s="1"/>
  <c r="J2080" i="2"/>
  <c r="F2040" i="6" s="1"/>
  <c r="J2081" i="2"/>
  <c r="F2041" i="6" s="1"/>
  <c r="J2082" i="2"/>
  <c r="F2042" i="6" s="1"/>
  <c r="J2083" i="2"/>
  <c r="F2043" i="6" s="1"/>
  <c r="J2084" i="2"/>
  <c r="F2044" i="6" s="1"/>
  <c r="J2085" i="2"/>
  <c r="F2045" i="6" s="1"/>
  <c r="J2086" i="2"/>
  <c r="F2046" i="6" s="1"/>
  <c r="J2087" i="2"/>
  <c r="F2047" i="6" s="1"/>
  <c r="J2088" i="2"/>
  <c r="F2048" i="6" s="1"/>
  <c r="J2089" i="2"/>
  <c r="F2049" i="6" s="1"/>
  <c r="J2090" i="2"/>
  <c r="F2050" i="6" s="1"/>
  <c r="J2091" i="2"/>
  <c r="F2051" i="6" s="1"/>
  <c r="J2092" i="2"/>
  <c r="F2052" i="6" s="1"/>
  <c r="J2093" i="2"/>
  <c r="F2053" i="6" s="1"/>
  <c r="J2094" i="2"/>
  <c r="F2054" i="6" s="1"/>
  <c r="J2095" i="2"/>
  <c r="F2055" i="6" s="1"/>
  <c r="J2096" i="2"/>
  <c r="F2056" i="6" s="1"/>
  <c r="J2097" i="2"/>
  <c r="F2057" i="6" s="1"/>
  <c r="J2098" i="2"/>
  <c r="F2058" i="6" s="1"/>
  <c r="J2099" i="2"/>
  <c r="F2059" i="6" s="1"/>
  <c r="J2100" i="2"/>
  <c r="F2060" i="6" s="1"/>
  <c r="J2101" i="2"/>
  <c r="F2061" i="6" s="1"/>
  <c r="J2102" i="2"/>
  <c r="F2062" i="6" s="1"/>
  <c r="J2103" i="2"/>
  <c r="F2063" i="6" s="1"/>
  <c r="J2104" i="2"/>
  <c r="F2064" i="6" s="1"/>
  <c r="J2105" i="2"/>
  <c r="F2065" i="6" s="1"/>
  <c r="J2106" i="2"/>
  <c r="F2066" i="6" s="1"/>
  <c r="J2107" i="2"/>
  <c r="F2067" i="6" s="1"/>
  <c r="J2108" i="2"/>
  <c r="F2068" i="6" s="1"/>
  <c r="J2109" i="2"/>
  <c r="F2069" i="6" s="1"/>
  <c r="J2110" i="2"/>
  <c r="F2070" i="6" s="1"/>
  <c r="J2111" i="2"/>
  <c r="F2071" i="6" s="1"/>
  <c r="J2112" i="2"/>
  <c r="F2072" i="6" s="1"/>
  <c r="J2113" i="2"/>
  <c r="F2073" i="6" s="1"/>
  <c r="J2114" i="2"/>
  <c r="F2074" i="6" s="1"/>
  <c r="J2115" i="2"/>
  <c r="F2075" i="6" s="1"/>
  <c r="J2116" i="2"/>
  <c r="F2076" i="6" s="1"/>
  <c r="J2245" i="2"/>
  <c r="F2205" i="6" s="1"/>
  <c r="J2246" i="2"/>
  <c r="F2206" i="6" s="1"/>
  <c r="J2117" i="2"/>
  <c r="F2077" i="6" s="1"/>
  <c r="J2118" i="2"/>
  <c r="F2078" i="6" s="1"/>
  <c r="J2119" i="2"/>
  <c r="F2079" i="6" s="1"/>
  <c r="J2120" i="2"/>
  <c r="F2080" i="6" s="1"/>
  <c r="J2121" i="2"/>
  <c r="F2081" i="6" s="1"/>
  <c r="J2122" i="2"/>
  <c r="F2082" i="6" s="1"/>
  <c r="J2123" i="2"/>
  <c r="F2083" i="6" s="1"/>
  <c r="J2124" i="2"/>
  <c r="F2084" i="6" s="1"/>
  <c r="J2125" i="2"/>
  <c r="F2085" i="6" s="1"/>
  <c r="J2126" i="2"/>
  <c r="F2086" i="6" s="1"/>
  <c r="J2127" i="2"/>
  <c r="F2087" i="6" s="1"/>
  <c r="J2128" i="2"/>
  <c r="F2088" i="6" s="1"/>
  <c r="J2129" i="2"/>
  <c r="F2089" i="6" s="1"/>
  <c r="J2130" i="2"/>
  <c r="F2090" i="6" s="1"/>
  <c r="J2131" i="2"/>
  <c r="F2091" i="6" s="1"/>
  <c r="J2132" i="2"/>
  <c r="F2092" i="6" s="1"/>
  <c r="J2133" i="2"/>
  <c r="F2093" i="6" s="1"/>
  <c r="J2134" i="2"/>
  <c r="F2094" i="6" s="1"/>
  <c r="J2135" i="2"/>
  <c r="F2095" i="6" s="1"/>
  <c r="J2136" i="2"/>
  <c r="F2096" i="6" s="1"/>
  <c r="J2137" i="2"/>
  <c r="F2097" i="6" s="1"/>
  <c r="J2138" i="2"/>
  <c r="F2098" i="6" s="1"/>
  <c r="J2139" i="2"/>
  <c r="F2099" i="6" s="1"/>
  <c r="J2140" i="2"/>
  <c r="F2100" i="6" s="1"/>
  <c r="J2141" i="2"/>
  <c r="F2101" i="6" s="1"/>
  <c r="J2142" i="2"/>
  <c r="F2102" i="6" s="1"/>
  <c r="J2143" i="2"/>
  <c r="F2103" i="6" s="1"/>
  <c r="J2144" i="2"/>
  <c r="F2104" i="6" s="1"/>
  <c r="J2145" i="2"/>
  <c r="F2105" i="6" s="1"/>
  <c r="J2146" i="2"/>
  <c r="F2106" i="6" s="1"/>
  <c r="J2147" i="2"/>
  <c r="F2107" i="6" s="1"/>
  <c r="J2148" i="2"/>
  <c r="F2108" i="6" s="1"/>
  <c r="J2149" i="2"/>
  <c r="F2109" i="6" s="1"/>
  <c r="J2150" i="2"/>
  <c r="F2110" i="6" s="1"/>
  <c r="J2151" i="2"/>
  <c r="F2111" i="6" s="1"/>
  <c r="J2152" i="2"/>
  <c r="F2112" i="6" s="1"/>
  <c r="J2153" i="2"/>
  <c r="F2113" i="6" s="1"/>
  <c r="J2154" i="2"/>
  <c r="F2114" i="6" s="1"/>
  <c r="J2155" i="2"/>
  <c r="F2115" i="6" s="1"/>
  <c r="J2156" i="2"/>
  <c r="F2116" i="6" s="1"/>
  <c r="J2157" i="2"/>
  <c r="F2117" i="6" s="1"/>
  <c r="J2158" i="2"/>
  <c r="F2118" i="6" s="1"/>
  <c r="J2159" i="2"/>
  <c r="F2119" i="6" s="1"/>
  <c r="J2160" i="2"/>
  <c r="F2120" i="6" s="1"/>
  <c r="J2161" i="2"/>
  <c r="F2121" i="6" s="1"/>
  <c r="J2162" i="2"/>
  <c r="F2122" i="6" s="1"/>
  <c r="J2163" i="2"/>
  <c r="F2123" i="6" s="1"/>
  <c r="J2164" i="2"/>
  <c r="F2124" i="6" s="1"/>
  <c r="J2165" i="2"/>
  <c r="F2125" i="6" s="1"/>
  <c r="J2166" i="2"/>
  <c r="F2126" i="6" s="1"/>
  <c r="J2167" i="2"/>
  <c r="F2127" i="6" s="1"/>
  <c r="J2168" i="2"/>
  <c r="F2128" i="6" s="1"/>
  <c r="J2169" i="2"/>
  <c r="F2129" i="6" s="1"/>
  <c r="J2170" i="2"/>
  <c r="F2130" i="6" s="1"/>
  <c r="J2171" i="2"/>
  <c r="F2131" i="6" s="1"/>
  <c r="J2172" i="2"/>
  <c r="F2132" i="6" s="1"/>
  <c r="J2173" i="2"/>
  <c r="F2133" i="6" s="1"/>
  <c r="J2174" i="2"/>
  <c r="F2134" i="6" s="1"/>
  <c r="J2176" i="2"/>
  <c r="F2136" i="6" s="1"/>
  <c r="J2177" i="2"/>
  <c r="F2137" i="6" s="1"/>
  <c r="J2178" i="2"/>
  <c r="F2138" i="6" s="1"/>
  <c r="J2179" i="2"/>
  <c r="F2139" i="6" s="1"/>
  <c r="J2180" i="2"/>
  <c r="F2140" i="6" s="1"/>
  <c r="J2181" i="2"/>
  <c r="F2141" i="6" s="1"/>
  <c r="J2182" i="2"/>
  <c r="F2142" i="6" s="1"/>
  <c r="J2183" i="2"/>
  <c r="F2143" i="6" s="1"/>
  <c r="J2184" i="2"/>
  <c r="F2144" i="6" s="1"/>
  <c r="J2185" i="2"/>
  <c r="F2145" i="6" s="1"/>
  <c r="J2186" i="2"/>
  <c r="F2146" i="6" s="1"/>
  <c r="J2187" i="2"/>
  <c r="F2147" i="6" s="1"/>
  <c r="J2188" i="2"/>
  <c r="F2148" i="6" s="1"/>
  <c r="J2189" i="2"/>
  <c r="F2149" i="6" s="1"/>
  <c r="J2190" i="2"/>
  <c r="F2150" i="6" s="1"/>
  <c r="J2191" i="2"/>
  <c r="F2151" i="6" s="1"/>
  <c r="J2192" i="2"/>
  <c r="F2152" i="6" s="1"/>
  <c r="J2193" i="2"/>
  <c r="F2153" i="6" s="1"/>
  <c r="J2194" i="2"/>
  <c r="F2154" i="6" s="1"/>
  <c r="J2195" i="2"/>
  <c r="F2155" i="6" s="1"/>
  <c r="J2196" i="2"/>
  <c r="F2156" i="6" s="1"/>
  <c r="J2197" i="2"/>
  <c r="F2157" i="6" s="1"/>
  <c r="J2198" i="2"/>
  <c r="F2158" i="6" s="1"/>
  <c r="J2199" i="2"/>
  <c r="F2159" i="6" s="1"/>
  <c r="J2200" i="2"/>
  <c r="F2160" i="6" s="1"/>
  <c r="J2201" i="2"/>
  <c r="F2161" i="6" s="1"/>
  <c r="J2202" i="2"/>
  <c r="F2162" i="6" s="1"/>
  <c r="J2203" i="2"/>
  <c r="F2163" i="6" s="1"/>
  <c r="J2204" i="2"/>
  <c r="F2164" i="6" s="1"/>
  <c r="J2205" i="2"/>
  <c r="F2165" i="6" s="1"/>
  <c r="J2206" i="2"/>
  <c r="F2166" i="6" s="1"/>
  <c r="J2207" i="2"/>
  <c r="F2167" i="6" s="1"/>
  <c r="J2208" i="2"/>
  <c r="F2168" i="6" s="1"/>
  <c r="J2209" i="2"/>
  <c r="F2169" i="6" s="1"/>
  <c r="J2210" i="2"/>
  <c r="F2170" i="6" s="1"/>
  <c r="J2211" i="2"/>
  <c r="F2171" i="6" s="1"/>
  <c r="J2212" i="2"/>
  <c r="F2172" i="6" s="1"/>
  <c r="J2213" i="2"/>
  <c r="F2173" i="6" s="1"/>
  <c r="J2214" i="2"/>
  <c r="F2174" i="6" s="1"/>
  <c r="J2215" i="2"/>
  <c r="F2175" i="6" s="1"/>
  <c r="J2216" i="2"/>
  <c r="F2176" i="6" s="1"/>
  <c r="J2217" i="2"/>
  <c r="F2177" i="6" s="1"/>
  <c r="J2218" i="2"/>
  <c r="F2178" i="6" s="1"/>
  <c r="J2219" i="2"/>
  <c r="F2179" i="6" s="1"/>
  <c r="J2220" i="2"/>
  <c r="F2180" i="6" s="1"/>
  <c r="J2221" i="2"/>
  <c r="F2181" i="6" s="1"/>
  <c r="J2222" i="2"/>
  <c r="F2182" i="6" s="1"/>
  <c r="J2223" i="2"/>
  <c r="F2183" i="6" s="1"/>
  <c r="J2224" i="2"/>
  <c r="F2184" i="6" s="1"/>
  <c r="J2225" i="2"/>
  <c r="F2185" i="6" s="1"/>
  <c r="J2226" i="2"/>
  <c r="F2186" i="6" s="1"/>
  <c r="J2227" i="2"/>
  <c r="F2187" i="6" s="1"/>
  <c r="J2228" i="2"/>
  <c r="F2188" i="6" s="1"/>
  <c r="J2229" i="2"/>
  <c r="F2189" i="6" s="1"/>
  <c r="J2230" i="2"/>
  <c r="F2190" i="6" s="1"/>
  <c r="J2231" i="2"/>
  <c r="F2191" i="6" s="1"/>
  <c r="J2232" i="2"/>
  <c r="F2192" i="6" s="1"/>
  <c r="J2233" i="2"/>
  <c r="F2193" i="6" s="1"/>
  <c r="J2234" i="2"/>
  <c r="F2194" i="6" s="1"/>
  <c r="J2235" i="2"/>
  <c r="F2195" i="6" s="1"/>
  <c r="J2236" i="2"/>
  <c r="F2196" i="6" s="1"/>
  <c r="J2237" i="2"/>
  <c r="F2197" i="6" s="1"/>
  <c r="J2238" i="2"/>
  <c r="F2198" i="6" s="1"/>
  <c r="J2239" i="2"/>
  <c r="F2199" i="6" s="1"/>
  <c r="J2240" i="2"/>
  <c r="F2200" i="6" s="1"/>
  <c r="J2241" i="2"/>
  <c r="F2201" i="6" s="1"/>
  <c r="J2242" i="2"/>
  <c r="F2202" i="6" s="1"/>
  <c r="J2243" i="2"/>
  <c r="F2203" i="6" s="1"/>
  <c r="J2244" i="2"/>
  <c r="F2204" i="6" s="1"/>
  <c r="J2252" i="2"/>
  <c r="F2212" i="6" s="1"/>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245" i="2"/>
  <c r="P2246" i="2"/>
  <c r="P2247" i="2"/>
  <c r="P2248" i="2"/>
  <c r="P2249" i="2"/>
  <c r="P2250"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52" i="2"/>
  <c r="O57" i="2"/>
  <c r="N57" i="2"/>
  <c r="N58" i="2"/>
  <c r="O58" i="2"/>
  <c r="N59" i="2"/>
  <c r="O59" i="2"/>
  <c r="N60" i="2"/>
  <c r="O60" i="2"/>
  <c r="N61" i="2"/>
  <c r="O61" i="2"/>
  <c r="N62" i="2"/>
  <c r="O62" i="2"/>
  <c r="N63" i="2"/>
  <c r="O63" i="2"/>
  <c r="N64" i="2"/>
  <c r="O64" i="2"/>
  <c r="N65" i="2"/>
  <c r="O65" i="2"/>
  <c r="N66" i="2"/>
  <c r="O66" i="2"/>
  <c r="N67" i="2"/>
  <c r="O67" i="2"/>
  <c r="N68" i="2"/>
  <c r="O68" i="2"/>
  <c r="N69" i="2"/>
  <c r="O69" i="2"/>
  <c r="N70" i="2"/>
  <c r="O70" i="2"/>
  <c r="N71" i="2"/>
  <c r="O71" i="2"/>
  <c r="N72" i="2"/>
  <c r="O72" i="2"/>
  <c r="N73" i="2"/>
  <c r="O73" i="2"/>
  <c r="N74" i="2"/>
  <c r="O74" i="2"/>
  <c r="N75" i="2"/>
  <c r="O75" i="2"/>
  <c r="N76" i="2"/>
  <c r="O76" i="2"/>
  <c r="N77" i="2"/>
  <c r="O77" i="2"/>
  <c r="N78" i="2"/>
  <c r="O78" i="2"/>
  <c r="N79" i="2"/>
  <c r="O79" i="2"/>
  <c r="N80" i="2"/>
  <c r="O80" i="2"/>
  <c r="N81" i="2"/>
  <c r="O81" i="2"/>
  <c r="N82" i="2"/>
  <c r="O82" i="2"/>
  <c r="N83" i="2"/>
  <c r="O83" i="2"/>
  <c r="N84" i="2"/>
  <c r="O84" i="2"/>
  <c r="N85" i="2"/>
  <c r="O85" i="2"/>
  <c r="N86" i="2"/>
  <c r="O86" i="2"/>
  <c r="N87" i="2"/>
  <c r="O87" i="2"/>
  <c r="N88" i="2"/>
  <c r="O88" i="2"/>
  <c r="N89" i="2"/>
  <c r="O89" i="2"/>
  <c r="N90" i="2"/>
  <c r="O90" i="2"/>
  <c r="N91" i="2"/>
  <c r="O91" i="2"/>
  <c r="N92" i="2"/>
  <c r="O92" i="2"/>
  <c r="N93" i="2"/>
  <c r="O93" i="2"/>
  <c r="N94" i="2"/>
  <c r="O94" i="2"/>
  <c r="N95" i="2"/>
  <c r="O95" i="2"/>
  <c r="N96" i="2"/>
  <c r="O96" i="2"/>
  <c r="N97" i="2"/>
  <c r="O97" i="2"/>
  <c r="N98" i="2"/>
  <c r="O98" i="2"/>
  <c r="N99" i="2"/>
  <c r="O99" i="2"/>
  <c r="N100" i="2"/>
  <c r="O100" i="2"/>
  <c r="N101" i="2"/>
  <c r="O101" i="2"/>
  <c r="N102" i="2"/>
  <c r="O102" i="2"/>
  <c r="N103" i="2"/>
  <c r="O103" i="2"/>
  <c r="N104" i="2"/>
  <c r="O104" i="2"/>
  <c r="N105" i="2"/>
  <c r="O105" i="2"/>
  <c r="N106" i="2"/>
  <c r="O106" i="2"/>
  <c r="N107" i="2"/>
  <c r="O107" i="2"/>
  <c r="N108" i="2"/>
  <c r="O108" i="2"/>
  <c r="N109" i="2"/>
  <c r="O109" i="2"/>
  <c r="N110" i="2"/>
  <c r="O110" i="2"/>
  <c r="N111" i="2"/>
  <c r="O111" i="2"/>
  <c r="N112" i="2"/>
  <c r="O112" i="2"/>
  <c r="N113" i="2"/>
  <c r="O113" i="2"/>
  <c r="N114" i="2"/>
  <c r="O114" i="2"/>
  <c r="N115" i="2"/>
  <c r="O115" i="2"/>
  <c r="N116" i="2"/>
  <c r="O116" i="2"/>
  <c r="N117" i="2"/>
  <c r="O117" i="2"/>
  <c r="N118" i="2"/>
  <c r="O118" i="2"/>
  <c r="N119" i="2"/>
  <c r="O119" i="2"/>
  <c r="N120" i="2"/>
  <c r="O120" i="2"/>
  <c r="N121" i="2"/>
  <c r="O121" i="2"/>
  <c r="N122" i="2"/>
  <c r="O122" i="2"/>
  <c r="N123" i="2"/>
  <c r="O123" i="2"/>
  <c r="N124" i="2"/>
  <c r="O124" i="2"/>
  <c r="N125" i="2"/>
  <c r="O125" i="2"/>
  <c r="N126" i="2"/>
  <c r="O126" i="2"/>
  <c r="N127" i="2"/>
  <c r="O127" i="2"/>
  <c r="N128" i="2"/>
  <c r="O128" i="2"/>
  <c r="N129" i="2"/>
  <c r="O129" i="2"/>
  <c r="N130" i="2"/>
  <c r="O130" i="2"/>
  <c r="N131" i="2"/>
  <c r="O131" i="2"/>
  <c r="N132" i="2"/>
  <c r="O132" i="2"/>
  <c r="N133" i="2"/>
  <c r="O133" i="2"/>
  <c r="N134" i="2"/>
  <c r="O134" i="2"/>
  <c r="N135" i="2"/>
  <c r="O135" i="2"/>
  <c r="N136" i="2"/>
  <c r="O136" i="2"/>
  <c r="N137" i="2"/>
  <c r="O137" i="2"/>
  <c r="N138" i="2"/>
  <c r="O138" i="2"/>
  <c r="N139" i="2"/>
  <c r="O139" i="2"/>
  <c r="N140" i="2"/>
  <c r="O140" i="2"/>
  <c r="N141" i="2"/>
  <c r="O141" i="2"/>
  <c r="N142" i="2"/>
  <c r="O142" i="2"/>
  <c r="N143" i="2"/>
  <c r="O143" i="2"/>
  <c r="N144" i="2"/>
  <c r="O144" i="2"/>
  <c r="N145" i="2"/>
  <c r="O145" i="2"/>
  <c r="N146" i="2"/>
  <c r="O146" i="2"/>
  <c r="N147" i="2"/>
  <c r="O147" i="2"/>
  <c r="N148" i="2"/>
  <c r="O148" i="2"/>
  <c r="N149" i="2"/>
  <c r="O149" i="2"/>
  <c r="N150" i="2"/>
  <c r="O150" i="2"/>
  <c r="N151" i="2"/>
  <c r="O151" i="2"/>
  <c r="N152" i="2"/>
  <c r="O152" i="2"/>
  <c r="N153" i="2"/>
  <c r="O153" i="2"/>
  <c r="N154" i="2"/>
  <c r="O154" i="2"/>
  <c r="N155" i="2"/>
  <c r="O155" i="2"/>
  <c r="N156" i="2"/>
  <c r="O156" i="2"/>
  <c r="N157" i="2"/>
  <c r="O157" i="2"/>
  <c r="N158" i="2"/>
  <c r="O158" i="2"/>
  <c r="N159" i="2"/>
  <c r="O159" i="2"/>
  <c r="N160" i="2"/>
  <c r="O160" i="2"/>
  <c r="N161" i="2"/>
  <c r="O161" i="2"/>
  <c r="N162" i="2"/>
  <c r="O162" i="2"/>
  <c r="N163" i="2"/>
  <c r="O163" i="2"/>
  <c r="N164" i="2"/>
  <c r="O164" i="2"/>
  <c r="N165" i="2"/>
  <c r="O165" i="2"/>
  <c r="N166" i="2"/>
  <c r="O166" i="2"/>
  <c r="N167" i="2"/>
  <c r="O167" i="2"/>
  <c r="N168" i="2"/>
  <c r="O168" i="2"/>
  <c r="N169" i="2"/>
  <c r="O169" i="2"/>
  <c r="N170" i="2"/>
  <c r="O170" i="2"/>
  <c r="N171" i="2"/>
  <c r="O171" i="2"/>
  <c r="N172" i="2"/>
  <c r="O172" i="2"/>
  <c r="N173" i="2"/>
  <c r="O173" i="2"/>
  <c r="N174" i="2"/>
  <c r="O174" i="2"/>
  <c r="N175" i="2"/>
  <c r="O175" i="2"/>
  <c r="N176" i="2"/>
  <c r="O176" i="2"/>
  <c r="N177" i="2"/>
  <c r="O177" i="2"/>
  <c r="N178" i="2"/>
  <c r="O178" i="2"/>
  <c r="N179" i="2"/>
  <c r="O179" i="2"/>
  <c r="N180" i="2"/>
  <c r="O180" i="2"/>
  <c r="N181" i="2"/>
  <c r="O181" i="2"/>
  <c r="N182" i="2"/>
  <c r="O182" i="2"/>
  <c r="N183" i="2"/>
  <c r="O183" i="2"/>
  <c r="N184" i="2"/>
  <c r="O184" i="2"/>
  <c r="N185" i="2"/>
  <c r="O185" i="2"/>
  <c r="N186" i="2"/>
  <c r="O186" i="2"/>
  <c r="N187" i="2"/>
  <c r="O187" i="2"/>
  <c r="N188" i="2"/>
  <c r="O188" i="2"/>
  <c r="N189" i="2"/>
  <c r="O189" i="2"/>
  <c r="N190" i="2"/>
  <c r="O190" i="2"/>
  <c r="N191" i="2"/>
  <c r="O191" i="2"/>
  <c r="N192" i="2"/>
  <c r="O192" i="2"/>
  <c r="N193" i="2"/>
  <c r="O193" i="2"/>
  <c r="N194" i="2"/>
  <c r="O194" i="2"/>
  <c r="N195" i="2"/>
  <c r="O195" i="2"/>
  <c r="N196" i="2"/>
  <c r="O196" i="2"/>
  <c r="N197" i="2"/>
  <c r="O197" i="2"/>
  <c r="N198" i="2"/>
  <c r="O198" i="2"/>
  <c r="N199" i="2"/>
  <c r="O199" i="2"/>
  <c r="N200" i="2"/>
  <c r="O200" i="2"/>
  <c r="N201" i="2"/>
  <c r="O201" i="2"/>
  <c r="N202" i="2"/>
  <c r="O202" i="2"/>
  <c r="N203" i="2"/>
  <c r="O203" i="2"/>
  <c r="N204" i="2"/>
  <c r="O204" i="2"/>
  <c r="N205" i="2"/>
  <c r="O205" i="2"/>
  <c r="N206" i="2"/>
  <c r="O206" i="2"/>
  <c r="N207" i="2"/>
  <c r="O207" i="2"/>
  <c r="N208" i="2"/>
  <c r="O208" i="2"/>
  <c r="N209" i="2"/>
  <c r="O209" i="2"/>
  <c r="N210" i="2"/>
  <c r="O210" i="2"/>
  <c r="N211" i="2"/>
  <c r="O211" i="2"/>
  <c r="N212" i="2"/>
  <c r="O212" i="2"/>
  <c r="N213" i="2"/>
  <c r="O213" i="2"/>
  <c r="N214" i="2"/>
  <c r="O214" i="2"/>
  <c r="N215" i="2"/>
  <c r="O215" i="2"/>
  <c r="N216" i="2"/>
  <c r="O216" i="2"/>
  <c r="N217" i="2"/>
  <c r="O217" i="2"/>
  <c r="N218" i="2"/>
  <c r="O218" i="2"/>
  <c r="N219" i="2"/>
  <c r="O219" i="2"/>
  <c r="N220" i="2"/>
  <c r="O220" i="2"/>
  <c r="N221" i="2"/>
  <c r="O221" i="2"/>
  <c r="N222" i="2"/>
  <c r="O222" i="2"/>
  <c r="N223" i="2"/>
  <c r="O223" i="2"/>
  <c r="N224" i="2"/>
  <c r="O224" i="2"/>
  <c r="N225" i="2"/>
  <c r="O225" i="2"/>
  <c r="N226" i="2"/>
  <c r="O226" i="2"/>
  <c r="N227" i="2"/>
  <c r="O227" i="2"/>
  <c r="N228" i="2"/>
  <c r="O228" i="2"/>
  <c r="N229" i="2"/>
  <c r="O229" i="2"/>
  <c r="N230" i="2"/>
  <c r="O230" i="2"/>
  <c r="N231" i="2"/>
  <c r="O231" i="2"/>
  <c r="N232" i="2"/>
  <c r="O232" i="2"/>
  <c r="N233" i="2"/>
  <c r="O233" i="2"/>
  <c r="N234" i="2"/>
  <c r="O234" i="2"/>
  <c r="N235" i="2"/>
  <c r="O235" i="2"/>
  <c r="N236" i="2"/>
  <c r="O236" i="2"/>
  <c r="N237" i="2"/>
  <c r="O237" i="2"/>
  <c r="N238" i="2"/>
  <c r="O238" i="2"/>
  <c r="N239" i="2"/>
  <c r="O239" i="2"/>
  <c r="N240" i="2"/>
  <c r="O240" i="2"/>
  <c r="N241" i="2"/>
  <c r="O241" i="2"/>
  <c r="N242" i="2"/>
  <c r="O242" i="2"/>
  <c r="N243" i="2"/>
  <c r="O243" i="2"/>
  <c r="N244" i="2"/>
  <c r="O244" i="2"/>
  <c r="N245" i="2"/>
  <c r="O245" i="2"/>
  <c r="N246" i="2"/>
  <c r="O246" i="2"/>
  <c r="N247" i="2"/>
  <c r="O247" i="2"/>
  <c r="N248" i="2"/>
  <c r="O248" i="2"/>
  <c r="N249" i="2"/>
  <c r="O249" i="2"/>
  <c r="N250" i="2"/>
  <c r="O250" i="2"/>
  <c r="N251" i="2"/>
  <c r="O251" i="2"/>
  <c r="N252" i="2"/>
  <c r="O252" i="2"/>
  <c r="N253" i="2"/>
  <c r="O253" i="2"/>
  <c r="N254" i="2"/>
  <c r="O254" i="2"/>
  <c r="N255" i="2"/>
  <c r="O255" i="2"/>
  <c r="N256" i="2"/>
  <c r="O256" i="2"/>
  <c r="N257" i="2"/>
  <c r="O257" i="2"/>
  <c r="N258" i="2"/>
  <c r="O258" i="2"/>
  <c r="N259" i="2"/>
  <c r="O259" i="2"/>
  <c r="N260" i="2"/>
  <c r="O260" i="2"/>
  <c r="N261" i="2"/>
  <c r="O261" i="2"/>
  <c r="N262" i="2"/>
  <c r="O262" i="2"/>
  <c r="N263" i="2"/>
  <c r="O263" i="2"/>
  <c r="N264" i="2"/>
  <c r="O264" i="2"/>
  <c r="N265" i="2"/>
  <c r="O265" i="2"/>
  <c r="N266" i="2"/>
  <c r="O266" i="2"/>
  <c r="N267" i="2"/>
  <c r="O267" i="2"/>
  <c r="N268" i="2"/>
  <c r="O268" i="2"/>
  <c r="N269" i="2"/>
  <c r="O269" i="2"/>
  <c r="N270" i="2"/>
  <c r="O270" i="2"/>
  <c r="N271" i="2"/>
  <c r="O271" i="2"/>
  <c r="N272" i="2"/>
  <c r="O272" i="2"/>
  <c r="N273" i="2"/>
  <c r="O273" i="2"/>
  <c r="N274" i="2"/>
  <c r="O274" i="2"/>
  <c r="N275" i="2"/>
  <c r="O275" i="2"/>
  <c r="N276" i="2"/>
  <c r="O276" i="2"/>
  <c r="N277" i="2"/>
  <c r="O277" i="2"/>
  <c r="N278" i="2"/>
  <c r="O278" i="2"/>
  <c r="N279" i="2"/>
  <c r="O279" i="2"/>
  <c r="N280" i="2"/>
  <c r="O280" i="2"/>
  <c r="N281" i="2"/>
  <c r="O281" i="2"/>
  <c r="N282" i="2"/>
  <c r="O282" i="2"/>
  <c r="N283" i="2"/>
  <c r="O283" i="2"/>
  <c r="N284" i="2"/>
  <c r="O284" i="2"/>
  <c r="N285" i="2"/>
  <c r="O285" i="2"/>
  <c r="N286" i="2"/>
  <c r="O286" i="2"/>
  <c r="N287" i="2"/>
  <c r="O287" i="2"/>
  <c r="N288" i="2"/>
  <c r="O288" i="2"/>
  <c r="N289" i="2"/>
  <c r="O289" i="2"/>
  <c r="N290" i="2"/>
  <c r="O290" i="2"/>
  <c r="N291" i="2"/>
  <c r="O291" i="2"/>
  <c r="N292" i="2"/>
  <c r="O292" i="2"/>
  <c r="N293" i="2"/>
  <c r="O293" i="2"/>
  <c r="N294" i="2"/>
  <c r="O294" i="2"/>
  <c r="N295" i="2"/>
  <c r="O295" i="2"/>
  <c r="N296" i="2"/>
  <c r="O296" i="2"/>
  <c r="N297" i="2"/>
  <c r="O297" i="2"/>
  <c r="N298" i="2"/>
  <c r="O298" i="2"/>
  <c r="N299" i="2"/>
  <c r="O299" i="2"/>
  <c r="N300" i="2"/>
  <c r="O300" i="2"/>
  <c r="N301" i="2"/>
  <c r="O301" i="2"/>
  <c r="N302" i="2"/>
  <c r="O302" i="2"/>
  <c r="N303" i="2"/>
  <c r="O303" i="2"/>
  <c r="N304" i="2"/>
  <c r="O304" i="2"/>
  <c r="N305" i="2"/>
  <c r="O305" i="2"/>
  <c r="N306" i="2"/>
  <c r="O306" i="2"/>
  <c r="N307" i="2"/>
  <c r="O307" i="2"/>
  <c r="N308" i="2"/>
  <c r="O308" i="2"/>
  <c r="N309" i="2"/>
  <c r="O309" i="2"/>
  <c r="N310" i="2"/>
  <c r="O310" i="2"/>
  <c r="N311" i="2"/>
  <c r="O311" i="2"/>
  <c r="N312" i="2"/>
  <c r="O312" i="2"/>
  <c r="N313" i="2"/>
  <c r="O313" i="2"/>
  <c r="N314" i="2"/>
  <c r="O314" i="2"/>
  <c r="N315" i="2"/>
  <c r="O315" i="2"/>
  <c r="N316" i="2"/>
  <c r="O316" i="2"/>
  <c r="N317" i="2"/>
  <c r="O317" i="2"/>
  <c r="N318" i="2"/>
  <c r="O318" i="2"/>
  <c r="N319" i="2"/>
  <c r="O319" i="2"/>
  <c r="N320" i="2"/>
  <c r="O320" i="2"/>
  <c r="N321" i="2"/>
  <c r="O321" i="2"/>
  <c r="N322" i="2"/>
  <c r="O322" i="2"/>
  <c r="N323" i="2"/>
  <c r="O323" i="2"/>
  <c r="N324" i="2"/>
  <c r="O324" i="2"/>
  <c r="N325" i="2"/>
  <c r="O325" i="2"/>
  <c r="N326" i="2"/>
  <c r="O326" i="2"/>
  <c r="N327" i="2"/>
  <c r="O327" i="2"/>
  <c r="N328" i="2"/>
  <c r="O328" i="2"/>
  <c r="N329" i="2"/>
  <c r="O329" i="2"/>
  <c r="N330" i="2"/>
  <c r="O330" i="2"/>
  <c r="N331" i="2"/>
  <c r="O331" i="2"/>
  <c r="N332" i="2"/>
  <c r="O332" i="2"/>
  <c r="N333" i="2"/>
  <c r="O333" i="2"/>
  <c r="N334" i="2"/>
  <c r="O334" i="2"/>
  <c r="N335" i="2"/>
  <c r="O335" i="2"/>
  <c r="N336" i="2"/>
  <c r="O336" i="2"/>
  <c r="N337" i="2"/>
  <c r="O337" i="2"/>
  <c r="N338" i="2"/>
  <c r="O338" i="2"/>
  <c r="N339" i="2"/>
  <c r="O339" i="2"/>
  <c r="N340" i="2"/>
  <c r="O340" i="2"/>
  <c r="N341" i="2"/>
  <c r="O341" i="2"/>
  <c r="N342" i="2"/>
  <c r="O342" i="2"/>
  <c r="N343" i="2"/>
  <c r="O343" i="2"/>
  <c r="N344" i="2"/>
  <c r="O344" i="2"/>
  <c r="N345" i="2"/>
  <c r="O345" i="2"/>
  <c r="N346" i="2"/>
  <c r="O346" i="2"/>
  <c r="N347" i="2"/>
  <c r="O347" i="2"/>
  <c r="N348" i="2"/>
  <c r="O348" i="2"/>
  <c r="N349" i="2"/>
  <c r="O349" i="2"/>
  <c r="N350" i="2"/>
  <c r="O350" i="2"/>
  <c r="N351" i="2"/>
  <c r="O351" i="2"/>
  <c r="N352" i="2"/>
  <c r="O352" i="2"/>
  <c r="N353" i="2"/>
  <c r="O353" i="2"/>
  <c r="N354" i="2"/>
  <c r="O354" i="2"/>
  <c r="N355" i="2"/>
  <c r="O355" i="2"/>
  <c r="N356" i="2"/>
  <c r="O356" i="2"/>
  <c r="N357" i="2"/>
  <c r="O357" i="2"/>
  <c r="N358" i="2"/>
  <c r="O358" i="2"/>
  <c r="N359" i="2"/>
  <c r="O359" i="2"/>
  <c r="N360" i="2"/>
  <c r="O360" i="2"/>
  <c r="N361" i="2"/>
  <c r="O361" i="2"/>
  <c r="N362" i="2"/>
  <c r="O362" i="2"/>
  <c r="N363" i="2"/>
  <c r="O363" i="2"/>
  <c r="N364" i="2"/>
  <c r="O364" i="2"/>
  <c r="N365" i="2"/>
  <c r="O365" i="2"/>
  <c r="N366" i="2"/>
  <c r="O366" i="2"/>
  <c r="N367" i="2"/>
  <c r="O367" i="2"/>
  <c r="N368" i="2"/>
  <c r="O368" i="2"/>
  <c r="N369" i="2"/>
  <c r="O369" i="2"/>
  <c r="N370" i="2"/>
  <c r="O370" i="2"/>
  <c r="N371" i="2"/>
  <c r="O371" i="2"/>
  <c r="N372" i="2"/>
  <c r="O372" i="2"/>
  <c r="N373" i="2"/>
  <c r="O373" i="2"/>
  <c r="N374" i="2"/>
  <c r="O374" i="2"/>
  <c r="N375" i="2"/>
  <c r="O375" i="2"/>
  <c r="N376" i="2"/>
  <c r="O376" i="2"/>
  <c r="N377" i="2"/>
  <c r="O377" i="2"/>
  <c r="N378" i="2"/>
  <c r="O378" i="2"/>
  <c r="N379" i="2"/>
  <c r="O379" i="2"/>
  <c r="N380" i="2"/>
  <c r="O380" i="2"/>
  <c r="N381" i="2"/>
  <c r="O381" i="2"/>
  <c r="N382" i="2"/>
  <c r="O382" i="2"/>
  <c r="N383" i="2"/>
  <c r="O383" i="2"/>
  <c r="N384" i="2"/>
  <c r="O384" i="2"/>
  <c r="N385" i="2"/>
  <c r="O385" i="2"/>
  <c r="N386" i="2"/>
  <c r="O386" i="2"/>
  <c r="N387" i="2"/>
  <c r="O387" i="2"/>
  <c r="N388" i="2"/>
  <c r="O388" i="2"/>
  <c r="N389" i="2"/>
  <c r="O389" i="2"/>
  <c r="N390" i="2"/>
  <c r="O390" i="2"/>
  <c r="N391" i="2"/>
  <c r="O391" i="2"/>
  <c r="N392" i="2"/>
  <c r="O392" i="2"/>
  <c r="N393" i="2"/>
  <c r="O393" i="2"/>
  <c r="N394" i="2"/>
  <c r="O394" i="2"/>
  <c r="N395" i="2"/>
  <c r="O395" i="2"/>
  <c r="N396" i="2"/>
  <c r="O396" i="2"/>
  <c r="N397" i="2"/>
  <c r="O397" i="2"/>
  <c r="N398" i="2"/>
  <c r="O398" i="2"/>
  <c r="N399" i="2"/>
  <c r="O399" i="2"/>
  <c r="N400" i="2"/>
  <c r="O400" i="2"/>
  <c r="N401" i="2"/>
  <c r="O401" i="2"/>
  <c r="N402" i="2"/>
  <c r="O402" i="2"/>
  <c r="N403" i="2"/>
  <c r="O403" i="2"/>
  <c r="N404" i="2"/>
  <c r="O404" i="2"/>
  <c r="N405" i="2"/>
  <c r="O405" i="2"/>
  <c r="N406" i="2"/>
  <c r="O406" i="2"/>
  <c r="N407" i="2"/>
  <c r="O407" i="2"/>
  <c r="N408" i="2"/>
  <c r="O408" i="2"/>
  <c r="N409" i="2"/>
  <c r="O409" i="2"/>
  <c r="N410" i="2"/>
  <c r="O410" i="2"/>
  <c r="N411" i="2"/>
  <c r="O411" i="2"/>
  <c r="N412" i="2"/>
  <c r="O412" i="2"/>
  <c r="N413" i="2"/>
  <c r="O413" i="2"/>
  <c r="N414" i="2"/>
  <c r="O414" i="2"/>
  <c r="N415" i="2"/>
  <c r="O415" i="2"/>
  <c r="N416" i="2"/>
  <c r="O416" i="2"/>
  <c r="N417" i="2"/>
  <c r="O417" i="2"/>
  <c r="N418" i="2"/>
  <c r="O418" i="2"/>
  <c r="N419" i="2"/>
  <c r="O419" i="2"/>
  <c r="N420" i="2"/>
  <c r="O420" i="2"/>
  <c r="N421" i="2"/>
  <c r="O421" i="2"/>
  <c r="N422" i="2"/>
  <c r="O422" i="2"/>
  <c r="N423" i="2"/>
  <c r="O423" i="2"/>
  <c r="N424" i="2"/>
  <c r="O424" i="2"/>
  <c r="N425" i="2"/>
  <c r="O425" i="2"/>
  <c r="N426" i="2"/>
  <c r="O426" i="2"/>
  <c r="N427" i="2"/>
  <c r="O427" i="2"/>
  <c r="N428" i="2"/>
  <c r="O428" i="2"/>
  <c r="N429" i="2"/>
  <c r="O429" i="2"/>
  <c r="N430" i="2"/>
  <c r="O430" i="2"/>
  <c r="N431" i="2"/>
  <c r="O431" i="2"/>
  <c r="N432" i="2"/>
  <c r="O432" i="2"/>
  <c r="N433" i="2"/>
  <c r="O433" i="2"/>
  <c r="N434" i="2"/>
  <c r="O434" i="2"/>
  <c r="N435" i="2"/>
  <c r="O435" i="2"/>
  <c r="N436" i="2"/>
  <c r="O436" i="2"/>
  <c r="N437" i="2"/>
  <c r="O437" i="2"/>
  <c r="N438" i="2"/>
  <c r="O438" i="2"/>
  <c r="N439" i="2"/>
  <c r="O439" i="2"/>
  <c r="N440" i="2"/>
  <c r="O440" i="2"/>
  <c r="N441" i="2"/>
  <c r="O441" i="2"/>
  <c r="N442" i="2"/>
  <c r="O442" i="2"/>
  <c r="N443" i="2"/>
  <c r="O443" i="2"/>
  <c r="N444" i="2"/>
  <c r="O444" i="2"/>
  <c r="N445" i="2"/>
  <c r="O445" i="2"/>
  <c r="N446" i="2"/>
  <c r="O446" i="2"/>
  <c r="N447" i="2"/>
  <c r="O447" i="2"/>
  <c r="N448" i="2"/>
  <c r="O448" i="2"/>
  <c r="N449" i="2"/>
  <c r="O449" i="2"/>
  <c r="N450" i="2"/>
  <c r="O450" i="2"/>
  <c r="N451" i="2"/>
  <c r="O451" i="2"/>
  <c r="N452" i="2"/>
  <c r="O452" i="2"/>
  <c r="N453" i="2"/>
  <c r="O453" i="2"/>
  <c r="N454" i="2"/>
  <c r="O454" i="2"/>
  <c r="N455" i="2"/>
  <c r="O455" i="2"/>
  <c r="N456" i="2"/>
  <c r="O456" i="2"/>
  <c r="N457" i="2"/>
  <c r="O457" i="2"/>
  <c r="N458" i="2"/>
  <c r="O458" i="2"/>
  <c r="N459" i="2"/>
  <c r="O459" i="2"/>
  <c r="N460" i="2"/>
  <c r="O460" i="2"/>
  <c r="N461" i="2"/>
  <c r="O461" i="2"/>
  <c r="N462" i="2"/>
  <c r="O462" i="2"/>
  <c r="N463" i="2"/>
  <c r="O463" i="2"/>
  <c r="N464" i="2"/>
  <c r="O464" i="2"/>
  <c r="N465" i="2"/>
  <c r="O465" i="2"/>
  <c r="N466" i="2"/>
  <c r="O466" i="2"/>
  <c r="N467" i="2"/>
  <c r="O467" i="2"/>
  <c r="N468" i="2"/>
  <c r="O468" i="2"/>
  <c r="N469" i="2"/>
  <c r="O469" i="2"/>
  <c r="N470" i="2"/>
  <c r="O470" i="2"/>
  <c r="N471" i="2"/>
  <c r="O471" i="2"/>
  <c r="N472" i="2"/>
  <c r="O472" i="2"/>
  <c r="N473" i="2"/>
  <c r="O473" i="2"/>
  <c r="N474" i="2"/>
  <c r="O474" i="2"/>
  <c r="N475" i="2"/>
  <c r="O475" i="2"/>
  <c r="N476" i="2"/>
  <c r="O476" i="2"/>
  <c r="N477" i="2"/>
  <c r="O477" i="2"/>
  <c r="N478" i="2"/>
  <c r="O478" i="2"/>
  <c r="N479" i="2"/>
  <c r="O479" i="2"/>
  <c r="N480" i="2"/>
  <c r="O480" i="2"/>
  <c r="N481" i="2"/>
  <c r="O481" i="2"/>
  <c r="N482" i="2"/>
  <c r="O482" i="2"/>
  <c r="N483" i="2"/>
  <c r="O483" i="2"/>
  <c r="N484" i="2"/>
  <c r="O484" i="2"/>
  <c r="N485" i="2"/>
  <c r="O485" i="2"/>
  <c r="N486" i="2"/>
  <c r="O486" i="2"/>
  <c r="N487" i="2"/>
  <c r="O487" i="2"/>
  <c r="N488" i="2"/>
  <c r="O488" i="2"/>
  <c r="N489" i="2"/>
  <c r="O489" i="2"/>
  <c r="N490" i="2"/>
  <c r="O490" i="2"/>
  <c r="N491" i="2"/>
  <c r="O491" i="2"/>
  <c r="N492" i="2"/>
  <c r="O492" i="2"/>
  <c r="N493" i="2"/>
  <c r="O493" i="2"/>
  <c r="N494" i="2"/>
  <c r="O494" i="2"/>
  <c r="N495" i="2"/>
  <c r="O495" i="2"/>
  <c r="N496" i="2"/>
  <c r="O496" i="2"/>
  <c r="N497" i="2"/>
  <c r="O497" i="2"/>
  <c r="N498" i="2"/>
  <c r="O498" i="2"/>
  <c r="N499" i="2"/>
  <c r="O499" i="2"/>
  <c r="N500" i="2"/>
  <c r="O500" i="2"/>
  <c r="N501" i="2"/>
  <c r="O501" i="2"/>
  <c r="N502" i="2"/>
  <c r="O502" i="2"/>
  <c r="N503" i="2"/>
  <c r="O503" i="2"/>
  <c r="N504" i="2"/>
  <c r="O504" i="2"/>
  <c r="N505" i="2"/>
  <c r="O505" i="2"/>
  <c r="N506" i="2"/>
  <c r="O506" i="2"/>
  <c r="N507" i="2"/>
  <c r="O507" i="2"/>
  <c r="N508" i="2"/>
  <c r="O508" i="2"/>
  <c r="N509" i="2"/>
  <c r="O509" i="2"/>
  <c r="N510" i="2"/>
  <c r="O510" i="2"/>
  <c r="N511" i="2"/>
  <c r="O511" i="2"/>
  <c r="N512" i="2"/>
  <c r="O512" i="2"/>
  <c r="N513" i="2"/>
  <c r="O513" i="2"/>
  <c r="N514" i="2"/>
  <c r="O514" i="2"/>
  <c r="N515" i="2"/>
  <c r="O515" i="2"/>
  <c r="N516" i="2"/>
  <c r="O516" i="2"/>
  <c r="N517" i="2"/>
  <c r="O517" i="2"/>
  <c r="N518" i="2"/>
  <c r="O518" i="2"/>
  <c r="N519" i="2"/>
  <c r="O519" i="2"/>
  <c r="N520" i="2"/>
  <c r="O520" i="2"/>
  <c r="N521" i="2"/>
  <c r="O521" i="2"/>
  <c r="N522" i="2"/>
  <c r="O522" i="2"/>
  <c r="N523" i="2"/>
  <c r="O523" i="2"/>
  <c r="N524" i="2"/>
  <c r="O524" i="2"/>
  <c r="N525" i="2"/>
  <c r="O525" i="2"/>
  <c r="N526" i="2"/>
  <c r="O526" i="2"/>
  <c r="N527" i="2"/>
  <c r="O527" i="2"/>
  <c r="N528" i="2"/>
  <c r="O528" i="2"/>
  <c r="N529" i="2"/>
  <c r="O529" i="2"/>
  <c r="N530" i="2"/>
  <c r="O530" i="2"/>
  <c r="N531" i="2"/>
  <c r="O531" i="2"/>
  <c r="N532" i="2"/>
  <c r="O532" i="2"/>
  <c r="N533" i="2"/>
  <c r="O533" i="2"/>
  <c r="N534" i="2"/>
  <c r="O534" i="2"/>
  <c r="N535" i="2"/>
  <c r="O535" i="2"/>
  <c r="N536" i="2"/>
  <c r="O536" i="2"/>
  <c r="N537" i="2"/>
  <c r="O537" i="2"/>
  <c r="N538" i="2"/>
  <c r="O538" i="2"/>
  <c r="N539" i="2"/>
  <c r="O539" i="2"/>
  <c r="N540" i="2"/>
  <c r="O540" i="2"/>
  <c r="N541" i="2"/>
  <c r="O541" i="2"/>
  <c r="N542" i="2"/>
  <c r="O542" i="2"/>
  <c r="N543" i="2"/>
  <c r="O543" i="2"/>
  <c r="N544" i="2"/>
  <c r="O544" i="2"/>
  <c r="N545" i="2"/>
  <c r="O545" i="2"/>
  <c r="N546" i="2"/>
  <c r="O546" i="2"/>
  <c r="N547" i="2"/>
  <c r="O547" i="2"/>
  <c r="N548" i="2"/>
  <c r="O548" i="2"/>
  <c r="N549" i="2"/>
  <c r="O549" i="2"/>
  <c r="N550" i="2"/>
  <c r="O550" i="2"/>
  <c r="N551" i="2"/>
  <c r="O551" i="2"/>
  <c r="N552" i="2"/>
  <c r="O552" i="2"/>
  <c r="N553" i="2"/>
  <c r="O553" i="2"/>
  <c r="N554" i="2"/>
  <c r="O554" i="2"/>
  <c r="N555" i="2"/>
  <c r="O555" i="2"/>
  <c r="N556" i="2"/>
  <c r="O556" i="2"/>
  <c r="N557" i="2"/>
  <c r="O557" i="2"/>
  <c r="N558" i="2"/>
  <c r="O558" i="2"/>
  <c r="N559" i="2"/>
  <c r="O559" i="2"/>
  <c r="N560" i="2"/>
  <c r="O560" i="2"/>
  <c r="N561" i="2"/>
  <c r="O561" i="2"/>
  <c r="N562" i="2"/>
  <c r="O562" i="2"/>
  <c r="N563" i="2"/>
  <c r="O563" i="2"/>
  <c r="N564" i="2"/>
  <c r="O564" i="2"/>
  <c r="N565" i="2"/>
  <c r="O565" i="2"/>
  <c r="N566" i="2"/>
  <c r="O566" i="2"/>
  <c r="N567" i="2"/>
  <c r="O567" i="2"/>
  <c r="N568" i="2"/>
  <c r="O568" i="2"/>
  <c r="N569" i="2"/>
  <c r="O569" i="2"/>
  <c r="N570" i="2"/>
  <c r="O570" i="2"/>
  <c r="N571" i="2"/>
  <c r="O571" i="2"/>
  <c r="N572" i="2"/>
  <c r="O572" i="2"/>
  <c r="N573" i="2"/>
  <c r="O573" i="2"/>
  <c r="N574" i="2"/>
  <c r="O574" i="2"/>
  <c r="N575" i="2"/>
  <c r="O575" i="2"/>
  <c r="N576" i="2"/>
  <c r="O576" i="2"/>
  <c r="N577" i="2"/>
  <c r="O577" i="2"/>
  <c r="N578" i="2"/>
  <c r="O578" i="2"/>
  <c r="N579" i="2"/>
  <c r="O579" i="2"/>
  <c r="N580" i="2"/>
  <c r="O580" i="2"/>
  <c r="N581" i="2"/>
  <c r="O581" i="2"/>
  <c r="N582" i="2"/>
  <c r="O582" i="2"/>
  <c r="N583" i="2"/>
  <c r="O583" i="2"/>
  <c r="N584" i="2"/>
  <c r="O584" i="2"/>
  <c r="N585" i="2"/>
  <c r="O585" i="2"/>
  <c r="N586" i="2"/>
  <c r="O586" i="2"/>
  <c r="N587" i="2"/>
  <c r="O587" i="2"/>
  <c r="N588" i="2"/>
  <c r="O588" i="2"/>
  <c r="N589" i="2"/>
  <c r="O589" i="2"/>
  <c r="N590" i="2"/>
  <c r="O590" i="2"/>
  <c r="N591" i="2"/>
  <c r="O591" i="2"/>
  <c r="N592" i="2"/>
  <c r="O592" i="2"/>
  <c r="N593" i="2"/>
  <c r="O593" i="2"/>
  <c r="N594" i="2"/>
  <c r="O594" i="2"/>
  <c r="N595" i="2"/>
  <c r="O595" i="2"/>
  <c r="N596" i="2"/>
  <c r="O596" i="2"/>
  <c r="N597" i="2"/>
  <c r="O597" i="2"/>
  <c r="N598" i="2"/>
  <c r="O598" i="2"/>
  <c r="N599" i="2"/>
  <c r="O599" i="2"/>
  <c r="N600" i="2"/>
  <c r="O600" i="2"/>
  <c r="N601" i="2"/>
  <c r="O601" i="2"/>
  <c r="N602" i="2"/>
  <c r="O602" i="2"/>
  <c r="N603" i="2"/>
  <c r="O603" i="2"/>
  <c r="N604" i="2"/>
  <c r="O604" i="2"/>
  <c r="N605" i="2"/>
  <c r="O605" i="2"/>
  <c r="N606" i="2"/>
  <c r="O606" i="2"/>
  <c r="N607" i="2"/>
  <c r="O607" i="2"/>
  <c r="N608" i="2"/>
  <c r="O608" i="2"/>
  <c r="N609" i="2"/>
  <c r="O609" i="2"/>
  <c r="N610" i="2"/>
  <c r="O610" i="2"/>
  <c r="N611" i="2"/>
  <c r="O611" i="2"/>
  <c r="N612" i="2"/>
  <c r="O612" i="2"/>
  <c r="N613" i="2"/>
  <c r="O613" i="2"/>
  <c r="N614" i="2"/>
  <c r="O614" i="2"/>
  <c r="N615" i="2"/>
  <c r="O615" i="2"/>
  <c r="N616" i="2"/>
  <c r="O616" i="2"/>
  <c r="N617" i="2"/>
  <c r="O617" i="2"/>
  <c r="N618" i="2"/>
  <c r="O618" i="2"/>
  <c r="N619" i="2"/>
  <c r="O619" i="2"/>
  <c r="N620" i="2"/>
  <c r="O620" i="2"/>
  <c r="N621" i="2"/>
  <c r="O621" i="2"/>
  <c r="N622" i="2"/>
  <c r="O622" i="2"/>
  <c r="N623" i="2"/>
  <c r="O623" i="2"/>
  <c r="N624" i="2"/>
  <c r="O624" i="2"/>
  <c r="N625" i="2"/>
  <c r="O625" i="2"/>
  <c r="N626" i="2"/>
  <c r="O626" i="2"/>
  <c r="N627" i="2"/>
  <c r="O627" i="2"/>
  <c r="N628" i="2"/>
  <c r="O628" i="2"/>
  <c r="N629" i="2"/>
  <c r="O629" i="2"/>
  <c r="N630" i="2"/>
  <c r="O630" i="2"/>
  <c r="N631" i="2"/>
  <c r="O631" i="2"/>
  <c r="N632" i="2"/>
  <c r="O632" i="2"/>
  <c r="N633" i="2"/>
  <c r="O633" i="2"/>
  <c r="N634" i="2"/>
  <c r="O634" i="2"/>
  <c r="N635" i="2"/>
  <c r="O635" i="2"/>
  <c r="N636" i="2"/>
  <c r="O636" i="2"/>
  <c r="N637" i="2"/>
  <c r="O637" i="2"/>
  <c r="N638" i="2"/>
  <c r="O638" i="2"/>
  <c r="N639" i="2"/>
  <c r="O639" i="2"/>
  <c r="N640" i="2"/>
  <c r="O640" i="2"/>
  <c r="N641" i="2"/>
  <c r="O641" i="2"/>
  <c r="N642" i="2"/>
  <c r="O642" i="2"/>
  <c r="N643" i="2"/>
  <c r="O643" i="2"/>
  <c r="N644" i="2"/>
  <c r="O644" i="2"/>
  <c r="N645" i="2"/>
  <c r="O645" i="2"/>
  <c r="N646" i="2"/>
  <c r="O646" i="2"/>
  <c r="N647" i="2"/>
  <c r="O647" i="2"/>
  <c r="N648" i="2"/>
  <c r="O648" i="2"/>
  <c r="N649" i="2"/>
  <c r="O649" i="2"/>
  <c r="N650" i="2"/>
  <c r="O650" i="2"/>
  <c r="N651" i="2"/>
  <c r="O651" i="2"/>
  <c r="N652" i="2"/>
  <c r="O652" i="2"/>
  <c r="N653" i="2"/>
  <c r="O653" i="2"/>
  <c r="N654" i="2"/>
  <c r="O654" i="2"/>
  <c r="N655" i="2"/>
  <c r="O655" i="2"/>
  <c r="N656" i="2"/>
  <c r="O656" i="2"/>
  <c r="N657" i="2"/>
  <c r="O657" i="2"/>
  <c r="N658" i="2"/>
  <c r="O658" i="2"/>
  <c r="N659" i="2"/>
  <c r="O659" i="2"/>
  <c r="N660" i="2"/>
  <c r="O660" i="2"/>
  <c r="N661" i="2"/>
  <c r="O661" i="2"/>
  <c r="N662" i="2"/>
  <c r="O662" i="2"/>
  <c r="N663" i="2"/>
  <c r="O663" i="2"/>
  <c r="N664" i="2"/>
  <c r="O664" i="2"/>
  <c r="N665" i="2"/>
  <c r="O665" i="2"/>
  <c r="N666" i="2"/>
  <c r="O666" i="2"/>
  <c r="N667" i="2"/>
  <c r="O667" i="2"/>
  <c r="N668" i="2"/>
  <c r="O668" i="2"/>
  <c r="N669" i="2"/>
  <c r="O669" i="2"/>
  <c r="N670" i="2"/>
  <c r="O670" i="2"/>
  <c r="N671" i="2"/>
  <c r="O671" i="2"/>
  <c r="N672" i="2"/>
  <c r="O672" i="2"/>
  <c r="N673" i="2"/>
  <c r="O673" i="2"/>
  <c r="N674" i="2"/>
  <c r="O674" i="2"/>
  <c r="N675" i="2"/>
  <c r="O675" i="2"/>
  <c r="N676" i="2"/>
  <c r="O676" i="2"/>
  <c r="N677" i="2"/>
  <c r="O677" i="2"/>
  <c r="N678" i="2"/>
  <c r="O678" i="2"/>
  <c r="N679" i="2"/>
  <c r="O679" i="2"/>
  <c r="N680" i="2"/>
  <c r="O680" i="2"/>
  <c r="N681" i="2"/>
  <c r="O681" i="2"/>
  <c r="N682" i="2"/>
  <c r="O682" i="2"/>
  <c r="N683" i="2"/>
  <c r="O683" i="2"/>
  <c r="N684" i="2"/>
  <c r="O684" i="2"/>
  <c r="N685" i="2"/>
  <c r="O685" i="2"/>
  <c r="N686" i="2"/>
  <c r="O686" i="2"/>
  <c r="N687" i="2"/>
  <c r="O687" i="2"/>
  <c r="N688" i="2"/>
  <c r="O688" i="2"/>
  <c r="N689" i="2"/>
  <c r="O689" i="2"/>
  <c r="N690" i="2"/>
  <c r="O690" i="2"/>
  <c r="N691" i="2"/>
  <c r="O691" i="2"/>
  <c r="N692" i="2"/>
  <c r="O692" i="2"/>
  <c r="N693" i="2"/>
  <c r="O693" i="2"/>
  <c r="N694" i="2"/>
  <c r="O694" i="2"/>
  <c r="N695" i="2"/>
  <c r="O695" i="2"/>
  <c r="N696" i="2"/>
  <c r="O696" i="2"/>
  <c r="N697" i="2"/>
  <c r="O697" i="2"/>
  <c r="N698" i="2"/>
  <c r="O698" i="2"/>
  <c r="N699" i="2"/>
  <c r="O699" i="2"/>
  <c r="N700" i="2"/>
  <c r="O700" i="2"/>
  <c r="N701" i="2"/>
  <c r="O701" i="2"/>
  <c r="N702" i="2"/>
  <c r="O702" i="2"/>
  <c r="N703" i="2"/>
  <c r="O703" i="2"/>
  <c r="N704" i="2"/>
  <c r="O704" i="2"/>
  <c r="N705" i="2"/>
  <c r="O705" i="2"/>
  <c r="N706" i="2"/>
  <c r="O706" i="2"/>
  <c r="N707" i="2"/>
  <c r="O707" i="2"/>
  <c r="N708" i="2"/>
  <c r="O708" i="2"/>
  <c r="N709" i="2"/>
  <c r="O709" i="2"/>
  <c r="N710" i="2"/>
  <c r="O710" i="2"/>
  <c r="N711" i="2"/>
  <c r="O711" i="2"/>
  <c r="N712" i="2"/>
  <c r="O712" i="2"/>
  <c r="N713" i="2"/>
  <c r="O713" i="2"/>
  <c r="N714" i="2"/>
  <c r="O714" i="2"/>
  <c r="N715" i="2"/>
  <c r="O715" i="2"/>
  <c r="N716" i="2"/>
  <c r="O716" i="2"/>
  <c r="N717" i="2"/>
  <c r="O717" i="2"/>
  <c r="N718" i="2"/>
  <c r="O718" i="2"/>
  <c r="N719" i="2"/>
  <c r="O719" i="2"/>
  <c r="N720" i="2"/>
  <c r="O720" i="2"/>
  <c r="N721" i="2"/>
  <c r="O721" i="2"/>
  <c r="N722" i="2"/>
  <c r="O722" i="2"/>
  <c r="N723" i="2"/>
  <c r="O723" i="2"/>
  <c r="N724" i="2"/>
  <c r="O724" i="2"/>
  <c r="N725" i="2"/>
  <c r="O725" i="2"/>
  <c r="N726" i="2"/>
  <c r="O726" i="2"/>
  <c r="N727" i="2"/>
  <c r="O727" i="2"/>
  <c r="N728" i="2"/>
  <c r="O728" i="2"/>
  <c r="N729" i="2"/>
  <c r="O729" i="2"/>
  <c r="N730" i="2"/>
  <c r="O730" i="2"/>
  <c r="N731" i="2"/>
  <c r="O731" i="2"/>
  <c r="N732" i="2"/>
  <c r="O732" i="2"/>
  <c r="N733" i="2"/>
  <c r="O733" i="2"/>
  <c r="N734" i="2"/>
  <c r="O734" i="2"/>
  <c r="N735" i="2"/>
  <c r="O735" i="2"/>
  <c r="N736" i="2"/>
  <c r="O736" i="2"/>
  <c r="N737" i="2"/>
  <c r="O737" i="2"/>
  <c r="N738" i="2"/>
  <c r="O738" i="2"/>
  <c r="N739" i="2"/>
  <c r="O739" i="2"/>
  <c r="N740" i="2"/>
  <c r="O740" i="2"/>
  <c r="N741" i="2"/>
  <c r="O741" i="2"/>
  <c r="N742" i="2"/>
  <c r="O742" i="2"/>
  <c r="N743" i="2"/>
  <c r="O743" i="2"/>
  <c r="N744" i="2"/>
  <c r="O744" i="2"/>
  <c r="N745" i="2"/>
  <c r="O745" i="2"/>
  <c r="N746" i="2"/>
  <c r="O746" i="2"/>
  <c r="N747" i="2"/>
  <c r="O747" i="2"/>
  <c r="N748" i="2"/>
  <c r="O748" i="2"/>
  <c r="N749" i="2"/>
  <c r="O749" i="2"/>
  <c r="N750" i="2"/>
  <c r="O750" i="2"/>
  <c r="N751" i="2"/>
  <c r="O751" i="2"/>
  <c r="N752" i="2"/>
  <c r="O752" i="2"/>
  <c r="N753" i="2"/>
  <c r="O753" i="2"/>
  <c r="N754" i="2"/>
  <c r="O754" i="2"/>
  <c r="N755" i="2"/>
  <c r="O755" i="2"/>
  <c r="N756" i="2"/>
  <c r="O756" i="2"/>
  <c r="N757" i="2"/>
  <c r="O757" i="2"/>
  <c r="N758" i="2"/>
  <c r="O758" i="2"/>
  <c r="N759" i="2"/>
  <c r="O759" i="2"/>
  <c r="N760" i="2"/>
  <c r="O760" i="2"/>
  <c r="N761" i="2"/>
  <c r="O761" i="2"/>
  <c r="N762" i="2"/>
  <c r="O762" i="2"/>
  <c r="N763" i="2"/>
  <c r="O763" i="2"/>
  <c r="N764" i="2"/>
  <c r="O764" i="2"/>
  <c r="N765" i="2"/>
  <c r="O765" i="2"/>
  <c r="N766" i="2"/>
  <c r="O766" i="2"/>
  <c r="N767" i="2"/>
  <c r="O767" i="2"/>
  <c r="N768" i="2"/>
  <c r="O768" i="2"/>
  <c r="N769" i="2"/>
  <c r="O769" i="2"/>
  <c r="N770" i="2"/>
  <c r="O770" i="2"/>
  <c r="N771" i="2"/>
  <c r="O771" i="2"/>
  <c r="N772" i="2"/>
  <c r="O772" i="2"/>
  <c r="N773" i="2"/>
  <c r="O773" i="2"/>
  <c r="N774" i="2"/>
  <c r="O774" i="2"/>
  <c r="N775" i="2"/>
  <c r="O775" i="2"/>
  <c r="N776" i="2"/>
  <c r="O776" i="2"/>
  <c r="N777" i="2"/>
  <c r="O777" i="2"/>
  <c r="N778" i="2"/>
  <c r="O778" i="2"/>
  <c r="N779" i="2"/>
  <c r="O779" i="2"/>
  <c r="N780" i="2"/>
  <c r="O780" i="2"/>
  <c r="N781" i="2"/>
  <c r="O781" i="2"/>
  <c r="N782" i="2"/>
  <c r="O782" i="2"/>
  <c r="N783" i="2"/>
  <c r="O783" i="2"/>
  <c r="N784" i="2"/>
  <c r="O784" i="2"/>
  <c r="N785" i="2"/>
  <c r="O785" i="2"/>
  <c r="N786" i="2"/>
  <c r="O786" i="2"/>
  <c r="N787" i="2"/>
  <c r="O787" i="2"/>
  <c r="N788" i="2"/>
  <c r="O788" i="2"/>
  <c r="N789" i="2"/>
  <c r="O789" i="2"/>
  <c r="N790" i="2"/>
  <c r="O790" i="2"/>
  <c r="N791" i="2"/>
  <c r="O791" i="2"/>
  <c r="N792" i="2"/>
  <c r="O792" i="2"/>
  <c r="N793" i="2"/>
  <c r="O793" i="2"/>
  <c r="N794" i="2"/>
  <c r="O794" i="2"/>
  <c r="N795" i="2"/>
  <c r="O795" i="2"/>
  <c r="N796" i="2"/>
  <c r="O796" i="2"/>
  <c r="N797" i="2"/>
  <c r="O797" i="2"/>
  <c r="N798" i="2"/>
  <c r="O798" i="2"/>
  <c r="N799" i="2"/>
  <c r="O799" i="2"/>
  <c r="N800" i="2"/>
  <c r="O800" i="2"/>
  <c r="N801" i="2"/>
  <c r="O801" i="2"/>
  <c r="N802" i="2"/>
  <c r="O802" i="2"/>
  <c r="N803" i="2"/>
  <c r="O803" i="2"/>
  <c r="N804" i="2"/>
  <c r="O804" i="2"/>
  <c r="N805" i="2"/>
  <c r="O805" i="2"/>
  <c r="N806" i="2"/>
  <c r="O806" i="2"/>
  <c r="N807" i="2"/>
  <c r="O807" i="2"/>
  <c r="N808" i="2"/>
  <c r="O808" i="2"/>
  <c r="N809" i="2"/>
  <c r="O809" i="2"/>
  <c r="N810" i="2"/>
  <c r="O810" i="2"/>
  <c r="N811" i="2"/>
  <c r="O811" i="2"/>
  <c r="N812" i="2"/>
  <c r="O812" i="2"/>
  <c r="N813" i="2"/>
  <c r="O813" i="2"/>
  <c r="N814" i="2"/>
  <c r="O814" i="2"/>
  <c r="N815" i="2"/>
  <c r="O815" i="2"/>
  <c r="N816" i="2"/>
  <c r="O816" i="2"/>
  <c r="N817" i="2"/>
  <c r="O817" i="2"/>
  <c r="N818" i="2"/>
  <c r="O818" i="2"/>
  <c r="N819" i="2"/>
  <c r="O819" i="2"/>
  <c r="N820" i="2"/>
  <c r="O820" i="2"/>
  <c r="N821" i="2"/>
  <c r="O821" i="2"/>
  <c r="N822" i="2"/>
  <c r="O822" i="2"/>
  <c r="N823" i="2"/>
  <c r="O823" i="2"/>
  <c r="N824" i="2"/>
  <c r="O824" i="2"/>
  <c r="N825" i="2"/>
  <c r="O825" i="2"/>
  <c r="N826" i="2"/>
  <c r="O826" i="2"/>
  <c r="N827" i="2"/>
  <c r="O827" i="2"/>
  <c r="N828" i="2"/>
  <c r="O828" i="2"/>
  <c r="N829" i="2"/>
  <c r="O829" i="2"/>
  <c r="N830" i="2"/>
  <c r="O830" i="2"/>
  <c r="N831" i="2"/>
  <c r="O831" i="2"/>
  <c r="N832" i="2"/>
  <c r="O832" i="2"/>
  <c r="N833" i="2"/>
  <c r="O833" i="2"/>
  <c r="N834" i="2"/>
  <c r="O834" i="2"/>
  <c r="N835" i="2"/>
  <c r="O835" i="2"/>
  <c r="N836" i="2"/>
  <c r="O836" i="2"/>
  <c r="N837" i="2"/>
  <c r="O837" i="2"/>
  <c r="N838" i="2"/>
  <c r="O838" i="2"/>
  <c r="N839" i="2"/>
  <c r="O839" i="2"/>
  <c r="N840" i="2"/>
  <c r="O840" i="2"/>
  <c r="N841" i="2"/>
  <c r="O841" i="2"/>
  <c r="N842" i="2"/>
  <c r="O842" i="2"/>
  <c r="N843" i="2"/>
  <c r="O843" i="2"/>
  <c r="N844" i="2"/>
  <c r="O844" i="2"/>
  <c r="N845" i="2"/>
  <c r="O845" i="2"/>
  <c r="N846" i="2"/>
  <c r="O846" i="2"/>
  <c r="N847" i="2"/>
  <c r="O847" i="2"/>
  <c r="N848" i="2"/>
  <c r="O848" i="2"/>
  <c r="N849" i="2"/>
  <c r="O849" i="2"/>
  <c r="N850" i="2"/>
  <c r="O850" i="2"/>
  <c r="N851" i="2"/>
  <c r="O851" i="2"/>
  <c r="N852" i="2"/>
  <c r="O852" i="2"/>
  <c r="N853" i="2"/>
  <c r="O853" i="2"/>
  <c r="N854" i="2"/>
  <c r="O854" i="2"/>
  <c r="N855" i="2"/>
  <c r="O855" i="2"/>
  <c r="N856" i="2"/>
  <c r="O856" i="2"/>
  <c r="N857" i="2"/>
  <c r="O857" i="2"/>
  <c r="N858" i="2"/>
  <c r="O858" i="2"/>
  <c r="N859" i="2"/>
  <c r="O859" i="2"/>
  <c r="N860" i="2"/>
  <c r="O860" i="2"/>
  <c r="N861" i="2"/>
  <c r="O861" i="2"/>
  <c r="N862" i="2"/>
  <c r="O862" i="2"/>
  <c r="N863" i="2"/>
  <c r="O863" i="2"/>
  <c r="N864" i="2"/>
  <c r="O864" i="2"/>
  <c r="N865" i="2"/>
  <c r="O865" i="2"/>
  <c r="N866" i="2"/>
  <c r="O866" i="2"/>
  <c r="N867" i="2"/>
  <c r="O867" i="2"/>
  <c r="N868" i="2"/>
  <c r="O868" i="2"/>
  <c r="N869" i="2"/>
  <c r="O869" i="2"/>
  <c r="N870" i="2"/>
  <c r="O870" i="2"/>
  <c r="N871" i="2"/>
  <c r="O871" i="2"/>
  <c r="N872" i="2"/>
  <c r="O872" i="2"/>
  <c r="N873" i="2"/>
  <c r="O873" i="2"/>
  <c r="N874" i="2"/>
  <c r="O874" i="2"/>
  <c r="N875" i="2"/>
  <c r="O875" i="2"/>
  <c r="N876" i="2"/>
  <c r="O876" i="2"/>
  <c r="N877" i="2"/>
  <c r="O877" i="2"/>
  <c r="N878" i="2"/>
  <c r="O878" i="2"/>
  <c r="N879" i="2"/>
  <c r="O879" i="2"/>
  <c r="N880" i="2"/>
  <c r="O880" i="2"/>
  <c r="N881" i="2"/>
  <c r="O881" i="2"/>
  <c r="N882" i="2"/>
  <c r="O882" i="2"/>
  <c r="N883" i="2"/>
  <c r="O883" i="2"/>
  <c r="N884" i="2"/>
  <c r="O884" i="2"/>
  <c r="N885" i="2"/>
  <c r="O885" i="2"/>
  <c r="N886" i="2"/>
  <c r="O886" i="2"/>
  <c r="N887" i="2"/>
  <c r="O887" i="2"/>
  <c r="N888" i="2"/>
  <c r="O888" i="2"/>
  <c r="N889" i="2"/>
  <c r="O889" i="2"/>
  <c r="N890" i="2"/>
  <c r="O890" i="2"/>
  <c r="N891" i="2"/>
  <c r="O891" i="2"/>
  <c r="N892" i="2"/>
  <c r="O892" i="2"/>
  <c r="N893" i="2"/>
  <c r="O893" i="2"/>
  <c r="N894" i="2"/>
  <c r="O894" i="2"/>
  <c r="N895" i="2"/>
  <c r="O895" i="2"/>
  <c r="N896" i="2"/>
  <c r="O896" i="2"/>
  <c r="N897" i="2"/>
  <c r="O897" i="2"/>
  <c r="N898" i="2"/>
  <c r="O898" i="2"/>
  <c r="N899" i="2"/>
  <c r="O899" i="2"/>
  <c r="N900" i="2"/>
  <c r="O900" i="2"/>
  <c r="N901" i="2"/>
  <c r="O901" i="2"/>
  <c r="N902" i="2"/>
  <c r="O902" i="2"/>
  <c r="N903" i="2"/>
  <c r="O903" i="2"/>
  <c r="N904" i="2"/>
  <c r="O904" i="2"/>
  <c r="N905" i="2"/>
  <c r="O905" i="2"/>
  <c r="N906" i="2"/>
  <c r="O906" i="2"/>
  <c r="N907" i="2"/>
  <c r="O907" i="2"/>
  <c r="N908" i="2"/>
  <c r="O908" i="2"/>
  <c r="N909" i="2"/>
  <c r="O909" i="2"/>
  <c r="N910" i="2"/>
  <c r="O910" i="2"/>
  <c r="N911" i="2"/>
  <c r="O911" i="2"/>
  <c r="N912" i="2"/>
  <c r="O912" i="2"/>
  <c r="N913" i="2"/>
  <c r="O913" i="2"/>
  <c r="N914" i="2"/>
  <c r="O914" i="2"/>
  <c r="N915" i="2"/>
  <c r="O915" i="2"/>
  <c r="N916" i="2"/>
  <c r="O916" i="2"/>
  <c r="N917" i="2"/>
  <c r="O917" i="2"/>
  <c r="N918" i="2"/>
  <c r="O918" i="2"/>
  <c r="N919" i="2"/>
  <c r="O919" i="2"/>
  <c r="N920" i="2"/>
  <c r="O920" i="2"/>
  <c r="N921" i="2"/>
  <c r="O921" i="2"/>
  <c r="N922" i="2"/>
  <c r="O922" i="2"/>
  <c r="N923" i="2"/>
  <c r="O923" i="2"/>
  <c r="N924" i="2"/>
  <c r="O924" i="2"/>
  <c r="N925" i="2"/>
  <c r="O925" i="2"/>
  <c r="N926" i="2"/>
  <c r="O926" i="2"/>
  <c r="N927" i="2"/>
  <c r="O927" i="2"/>
  <c r="N928" i="2"/>
  <c r="O928" i="2"/>
  <c r="N929" i="2"/>
  <c r="O929" i="2"/>
  <c r="N930" i="2"/>
  <c r="O930" i="2"/>
  <c r="N931" i="2"/>
  <c r="O931" i="2"/>
  <c r="N932" i="2"/>
  <c r="O932" i="2"/>
  <c r="N933" i="2"/>
  <c r="O933" i="2"/>
  <c r="N934" i="2"/>
  <c r="O934" i="2"/>
  <c r="N935" i="2"/>
  <c r="O935" i="2"/>
  <c r="N936" i="2"/>
  <c r="O936" i="2"/>
  <c r="N937" i="2"/>
  <c r="O937" i="2"/>
  <c r="N938" i="2"/>
  <c r="O938" i="2"/>
  <c r="N939" i="2"/>
  <c r="O939" i="2"/>
  <c r="N940" i="2"/>
  <c r="O940" i="2"/>
  <c r="N941" i="2"/>
  <c r="O941" i="2"/>
  <c r="N942" i="2"/>
  <c r="O942" i="2"/>
  <c r="N943" i="2"/>
  <c r="O943" i="2"/>
  <c r="N944" i="2"/>
  <c r="O944" i="2"/>
  <c r="N945" i="2"/>
  <c r="O945" i="2"/>
  <c r="N946" i="2"/>
  <c r="O946" i="2"/>
  <c r="N947" i="2"/>
  <c r="O947" i="2"/>
  <c r="N948" i="2"/>
  <c r="O948" i="2"/>
  <c r="N949" i="2"/>
  <c r="O949" i="2"/>
  <c r="N950" i="2"/>
  <c r="O950" i="2"/>
  <c r="N951" i="2"/>
  <c r="O951" i="2"/>
  <c r="N952" i="2"/>
  <c r="O952" i="2"/>
  <c r="N953" i="2"/>
  <c r="O953" i="2"/>
  <c r="N954" i="2"/>
  <c r="O954" i="2"/>
  <c r="N955" i="2"/>
  <c r="O955" i="2"/>
  <c r="N956" i="2"/>
  <c r="O956" i="2"/>
  <c r="N957" i="2"/>
  <c r="O957" i="2"/>
  <c r="N958" i="2"/>
  <c r="O958" i="2"/>
  <c r="N959" i="2"/>
  <c r="O959" i="2"/>
  <c r="N960" i="2"/>
  <c r="O960" i="2"/>
  <c r="N961" i="2"/>
  <c r="O961" i="2"/>
  <c r="N962" i="2"/>
  <c r="O962" i="2"/>
  <c r="N963" i="2"/>
  <c r="O963" i="2"/>
  <c r="N964" i="2"/>
  <c r="O964" i="2"/>
  <c r="N965" i="2"/>
  <c r="O965" i="2"/>
  <c r="N966" i="2"/>
  <c r="O966" i="2"/>
  <c r="N967" i="2"/>
  <c r="O967" i="2"/>
  <c r="N968" i="2"/>
  <c r="O968" i="2"/>
  <c r="N969" i="2"/>
  <c r="O969" i="2"/>
  <c r="N970" i="2"/>
  <c r="O970" i="2"/>
  <c r="N971" i="2"/>
  <c r="O971" i="2"/>
  <c r="N972" i="2"/>
  <c r="O972" i="2"/>
  <c r="N973" i="2"/>
  <c r="O973" i="2"/>
  <c r="N974" i="2"/>
  <c r="O974" i="2"/>
  <c r="N975" i="2"/>
  <c r="O975" i="2"/>
  <c r="N976" i="2"/>
  <c r="O976" i="2"/>
  <c r="N977" i="2"/>
  <c r="O977" i="2"/>
  <c r="N978" i="2"/>
  <c r="O978" i="2"/>
  <c r="N979" i="2"/>
  <c r="O979" i="2"/>
  <c r="N980" i="2"/>
  <c r="O980" i="2"/>
  <c r="N981" i="2"/>
  <c r="O981" i="2"/>
  <c r="N982" i="2"/>
  <c r="O982" i="2"/>
  <c r="N983" i="2"/>
  <c r="O983" i="2"/>
  <c r="N984" i="2"/>
  <c r="O984" i="2"/>
  <c r="N985" i="2"/>
  <c r="O985" i="2"/>
  <c r="N986" i="2"/>
  <c r="O986" i="2"/>
  <c r="N987" i="2"/>
  <c r="O987" i="2"/>
  <c r="N988" i="2"/>
  <c r="O988" i="2"/>
  <c r="N989" i="2"/>
  <c r="O989" i="2"/>
  <c r="N990" i="2"/>
  <c r="O990" i="2"/>
  <c r="N991" i="2"/>
  <c r="O991" i="2"/>
  <c r="N992" i="2"/>
  <c r="O992" i="2"/>
  <c r="N993" i="2"/>
  <c r="O993" i="2"/>
  <c r="N994" i="2"/>
  <c r="O994" i="2"/>
  <c r="N995" i="2"/>
  <c r="O995" i="2"/>
  <c r="N996" i="2"/>
  <c r="O996" i="2"/>
  <c r="N997" i="2"/>
  <c r="O997" i="2"/>
  <c r="N998" i="2"/>
  <c r="O998" i="2"/>
  <c r="N999" i="2"/>
  <c r="O999" i="2"/>
  <c r="N1000" i="2"/>
  <c r="O1000" i="2"/>
  <c r="N1001" i="2"/>
  <c r="O1001" i="2"/>
  <c r="N1002" i="2"/>
  <c r="O1002" i="2"/>
  <c r="N1003" i="2"/>
  <c r="O1003" i="2"/>
  <c r="N1004" i="2"/>
  <c r="O1004" i="2"/>
  <c r="N1005" i="2"/>
  <c r="O1005" i="2"/>
  <c r="N1006" i="2"/>
  <c r="O1006" i="2"/>
  <c r="N1007" i="2"/>
  <c r="O1007" i="2"/>
  <c r="N1008" i="2"/>
  <c r="O1008" i="2"/>
  <c r="N1009" i="2"/>
  <c r="O1009" i="2"/>
  <c r="N1010" i="2"/>
  <c r="O1010" i="2"/>
  <c r="N1011" i="2"/>
  <c r="O1011" i="2"/>
  <c r="N1012" i="2"/>
  <c r="O1012" i="2"/>
  <c r="N1013" i="2"/>
  <c r="O1013" i="2"/>
  <c r="N1014" i="2"/>
  <c r="O1014" i="2"/>
  <c r="N1015" i="2"/>
  <c r="O1015" i="2"/>
  <c r="N1016" i="2"/>
  <c r="O1016" i="2"/>
  <c r="N1017" i="2"/>
  <c r="O1017" i="2"/>
  <c r="N1018" i="2"/>
  <c r="O1018" i="2"/>
  <c r="N1019" i="2"/>
  <c r="O1019" i="2"/>
  <c r="N1020" i="2"/>
  <c r="O1020" i="2"/>
  <c r="N1021" i="2"/>
  <c r="O1021" i="2"/>
  <c r="N1022" i="2"/>
  <c r="O1022" i="2"/>
  <c r="N1023" i="2"/>
  <c r="O1023" i="2"/>
  <c r="N1024" i="2"/>
  <c r="O1024" i="2"/>
  <c r="N1025" i="2"/>
  <c r="O1025" i="2"/>
  <c r="N1026" i="2"/>
  <c r="O1026" i="2"/>
  <c r="N1027" i="2"/>
  <c r="O1027" i="2"/>
  <c r="N1028" i="2"/>
  <c r="O1028" i="2"/>
  <c r="N1029" i="2"/>
  <c r="O1029" i="2"/>
  <c r="N1030" i="2"/>
  <c r="O1030" i="2"/>
  <c r="N1031" i="2"/>
  <c r="O1031" i="2"/>
  <c r="N1032" i="2"/>
  <c r="O1032" i="2"/>
  <c r="N1033" i="2"/>
  <c r="O1033" i="2"/>
  <c r="N1034" i="2"/>
  <c r="O1034" i="2"/>
  <c r="N1035" i="2"/>
  <c r="O1035" i="2"/>
  <c r="N1036" i="2"/>
  <c r="O1036" i="2"/>
  <c r="N1037" i="2"/>
  <c r="O1037" i="2"/>
  <c r="N1038" i="2"/>
  <c r="O1038" i="2"/>
  <c r="N1039" i="2"/>
  <c r="O1039" i="2"/>
  <c r="N1040" i="2"/>
  <c r="O1040" i="2"/>
  <c r="N1041" i="2"/>
  <c r="O1041" i="2"/>
  <c r="N1042" i="2"/>
  <c r="O1042" i="2"/>
  <c r="N1043" i="2"/>
  <c r="O1043" i="2"/>
  <c r="N1044" i="2"/>
  <c r="O1044" i="2"/>
  <c r="N1045" i="2"/>
  <c r="O1045" i="2"/>
  <c r="N1046" i="2"/>
  <c r="O1046" i="2"/>
  <c r="N1047" i="2"/>
  <c r="O1047" i="2"/>
  <c r="N1048" i="2"/>
  <c r="O1048" i="2"/>
  <c r="N1049" i="2"/>
  <c r="O1049" i="2"/>
  <c r="N1050" i="2"/>
  <c r="O1050" i="2"/>
  <c r="N1051" i="2"/>
  <c r="O1051" i="2"/>
  <c r="N1052" i="2"/>
  <c r="O1052" i="2"/>
  <c r="N1053" i="2"/>
  <c r="O1053" i="2"/>
  <c r="N1054" i="2"/>
  <c r="O1054" i="2"/>
  <c r="N1055" i="2"/>
  <c r="O1055" i="2"/>
  <c r="N1056" i="2"/>
  <c r="O1056" i="2"/>
  <c r="N1057" i="2"/>
  <c r="O1057" i="2"/>
  <c r="N1058" i="2"/>
  <c r="O1058" i="2"/>
  <c r="N1059" i="2"/>
  <c r="O1059" i="2"/>
  <c r="N1060" i="2"/>
  <c r="O1060" i="2"/>
  <c r="N1061" i="2"/>
  <c r="O1061" i="2"/>
  <c r="N1062" i="2"/>
  <c r="O1062" i="2"/>
  <c r="N1063" i="2"/>
  <c r="O1063" i="2"/>
  <c r="N1064" i="2"/>
  <c r="O1064" i="2"/>
  <c r="N1065" i="2"/>
  <c r="O1065" i="2"/>
  <c r="N1066" i="2"/>
  <c r="O1066" i="2"/>
  <c r="N1067" i="2"/>
  <c r="O1067" i="2"/>
  <c r="N1068" i="2"/>
  <c r="O1068" i="2"/>
  <c r="N1069" i="2"/>
  <c r="O1069" i="2"/>
  <c r="N1070" i="2"/>
  <c r="O1070" i="2"/>
  <c r="N1071" i="2"/>
  <c r="O1071" i="2"/>
  <c r="N1072" i="2"/>
  <c r="O1072" i="2"/>
  <c r="N1073" i="2"/>
  <c r="O1073" i="2"/>
  <c r="N1074" i="2"/>
  <c r="O1074" i="2"/>
  <c r="N1075" i="2"/>
  <c r="O1075" i="2"/>
  <c r="N1076" i="2"/>
  <c r="O1076" i="2"/>
  <c r="N1077" i="2"/>
  <c r="O1077" i="2"/>
  <c r="N1078" i="2"/>
  <c r="O1078" i="2"/>
  <c r="N1079" i="2"/>
  <c r="O1079" i="2"/>
  <c r="N1080" i="2"/>
  <c r="O1080" i="2"/>
  <c r="N1081" i="2"/>
  <c r="O1081" i="2"/>
  <c r="N1082" i="2"/>
  <c r="O1082" i="2"/>
  <c r="N1083" i="2"/>
  <c r="O1083" i="2"/>
  <c r="N1084" i="2"/>
  <c r="O1084" i="2"/>
  <c r="N1085" i="2"/>
  <c r="O1085" i="2"/>
  <c r="N1086" i="2"/>
  <c r="O1086" i="2"/>
  <c r="N1087" i="2"/>
  <c r="O1087" i="2"/>
  <c r="N1088" i="2"/>
  <c r="O1088" i="2"/>
  <c r="N1089" i="2"/>
  <c r="O1089" i="2"/>
  <c r="N1090" i="2"/>
  <c r="O1090" i="2"/>
  <c r="N1091" i="2"/>
  <c r="O1091" i="2"/>
  <c r="N1092" i="2"/>
  <c r="O1092" i="2"/>
  <c r="N1093" i="2"/>
  <c r="O1093" i="2"/>
  <c r="N1094" i="2"/>
  <c r="O1094" i="2"/>
  <c r="N1095" i="2"/>
  <c r="O1095" i="2"/>
  <c r="N1096" i="2"/>
  <c r="O1096" i="2"/>
  <c r="N1097" i="2"/>
  <c r="O1097" i="2"/>
  <c r="N1098" i="2"/>
  <c r="O1098" i="2"/>
  <c r="N1099" i="2"/>
  <c r="O1099" i="2"/>
  <c r="N1100" i="2"/>
  <c r="O1100" i="2"/>
  <c r="N1101" i="2"/>
  <c r="O1101" i="2"/>
  <c r="N1102" i="2"/>
  <c r="O1102" i="2"/>
  <c r="N1103" i="2"/>
  <c r="O1103" i="2"/>
  <c r="N1104" i="2"/>
  <c r="O1104" i="2"/>
  <c r="N1105" i="2"/>
  <c r="O1105" i="2"/>
  <c r="N1106" i="2"/>
  <c r="O1106" i="2"/>
  <c r="N1107" i="2"/>
  <c r="O1107" i="2"/>
  <c r="N1108" i="2"/>
  <c r="O1108" i="2"/>
  <c r="N1109" i="2"/>
  <c r="O1109" i="2"/>
  <c r="N1110" i="2"/>
  <c r="O1110" i="2"/>
  <c r="N1111" i="2"/>
  <c r="O1111" i="2"/>
  <c r="N1112" i="2"/>
  <c r="O1112" i="2"/>
  <c r="N1113" i="2"/>
  <c r="O1113" i="2"/>
  <c r="N1114" i="2"/>
  <c r="O1114" i="2"/>
  <c r="N1115" i="2"/>
  <c r="O1115" i="2"/>
  <c r="N1116" i="2"/>
  <c r="O1116" i="2"/>
  <c r="N1117" i="2"/>
  <c r="O1117" i="2"/>
  <c r="N1118" i="2"/>
  <c r="O1118" i="2"/>
  <c r="N1119" i="2"/>
  <c r="O1119" i="2"/>
  <c r="N1120" i="2"/>
  <c r="O1120" i="2"/>
  <c r="N1121" i="2"/>
  <c r="O1121" i="2"/>
  <c r="N1122" i="2"/>
  <c r="O1122" i="2"/>
  <c r="N1123" i="2"/>
  <c r="O1123" i="2"/>
  <c r="N1124" i="2"/>
  <c r="O1124" i="2"/>
  <c r="N1125" i="2"/>
  <c r="O1125" i="2"/>
  <c r="N1126" i="2"/>
  <c r="O1126" i="2"/>
  <c r="N1127" i="2"/>
  <c r="O1127" i="2"/>
  <c r="N1128" i="2"/>
  <c r="O1128" i="2"/>
  <c r="N1129" i="2"/>
  <c r="O1129" i="2"/>
  <c r="N1130" i="2"/>
  <c r="O1130" i="2"/>
  <c r="N1131" i="2"/>
  <c r="O1131" i="2"/>
  <c r="N1132" i="2"/>
  <c r="O1132" i="2"/>
  <c r="N1133" i="2"/>
  <c r="O1133" i="2"/>
  <c r="N1134" i="2"/>
  <c r="O1134" i="2"/>
  <c r="N1135" i="2"/>
  <c r="O1135" i="2"/>
  <c r="N1136" i="2"/>
  <c r="O1136" i="2"/>
  <c r="N1137" i="2"/>
  <c r="O1137" i="2"/>
  <c r="N1138" i="2"/>
  <c r="O1138" i="2"/>
  <c r="N1139" i="2"/>
  <c r="O1139" i="2"/>
  <c r="N1140" i="2"/>
  <c r="O1140" i="2"/>
  <c r="N1141" i="2"/>
  <c r="O1141" i="2"/>
  <c r="N1142" i="2"/>
  <c r="O1142" i="2"/>
  <c r="N1143" i="2"/>
  <c r="O1143" i="2"/>
  <c r="N1144" i="2"/>
  <c r="O1144" i="2"/>
  <c r="N1145" i="2"/>
  <c r="O1145" i="2"/>
  <c r="N1146" i="2"/>
  <c r="O1146" i="2"/>
  <c r="N1147" i="2"/>
  <c r="O1147" i="2"/>
  <c r="N1148" i="2"/>
  <c r="O1148" i="2"/>
  <c r="N1149" i="2"/>
  <c r="O1149" i="2"/>
  <c r="N1150" i="2"/>
  <c r="O1150" i="2"/>
  <c r="N1151" i="2"/>
  <c r="O1151" i="2"/>
  <c r="N1152" i="2"/>
  <c r="O1152" i="2"/>
  <c r="N1153" i="2"/>
  <c r="O1153" i="2"/>
  <c r="N1154" i="2"/>
  <c r="O1154" i="2"/>
  <c r="N1155" i="2"/>
  <c r="O1155" i="2"/>
  <c r="N1156" i="2"/>
  <c r="O1156" i="2"/>
  <c r="N1157" i="2"/>
  <c r="O1157" i="2"/>
  <c r="N1158" i="2"/>
  <c r="O1158" i="2"/>
  <c r="N1159" i="2"/>
  <c r="O1159" i="2"/>
  <c r="N1160" i="2"/>
  <c r="O1160" i="2"/>
  <c r="N1161" i="2"/>
  <c r="O1161" i="2"/>
  <c r="N1162" i="2"/>
  <c r="O1162" i="2"/>
  <c r="N1163" i="2"/>
  <c r="O1163" i="2"/>
  <c r="N1164" i="2"/>
  <c r="O1164" i="2"/>
  <c r="N1165" i="2"/>
  <c r="O1165" i="2"/>
  <c r="N1166" i="2"/>
  <c r="O1166" i="2"/>
  <c r="N1167" i="2"/>
  <c r="O1167" i="2"/>
  <c r="N1168" i="2"/>
  <c r="O1168" i="2"/>
  <c r="N1169" i="2"/>
  <c r="O1169" i="2"/>
  <c r="N1170" i="2"/>
  <c r="O1170" i="2"/>
  <c r="N1171" i="2"/>
  <c r="O1171" i="2"/>
  <c r="N1172" i="2"/>
  <c r="O1172" i="2"/>
  <c r="N1173" i="2"/>
  <c r="O1173" i="2"/>
  <c r="N1174" i="2"/>
  <c r="O1174" i="2"/>
  <c r="N1175" i="2"/>
  <c r="O1175" i="2"/>
  <c r="N1176" i="2"/>
  <c r="O1176" i="2"/>
  <c r="N1177" i="2"/>
  <c r="O1177" i="2"/>
  <c r="N1178" i="2"/>
  <c r="O1178" i="2"/>
  <c r="N1179" i="2"/>
  <c r="O1179" i="2"/>
  <c r="N1180" i="2"/>
  <c r="O1180" i="2"/>
  <c r="N1181" i="2"/>
  <c r="O1181" i="2"/>
  <c r="N1182" i="2"/>
  <c r="O1182" i="2"/>
  <c r="N1183" i="2"/>
  <c r="O1183" i="2"/>
  <c r="N1184" i="2"/>
  <c r="O1184" i="2"/>
  <c r="N1185" i="2"/>
  <c r="O1185" i="2"/>
  <c r="N1186" i="2"/>
  <c r="O1186" i="2"/>
  <c r="N1187" i="2"/>
  <c r="O1187" i="2"/>
  <c r="N1188" i="2"/>
  <c r="O1188" i="2"/>
  <c r="N1189" i="2"/>
  <c r="O1189" i="2"/>
  <c r="N1190" i="2"/>
  <c r="O1190" i="2"/>
  <c r="N1191" i="2"/>
  <c r="O1191" i="2"/>
  <c r="N1192" i="2"/>
  <c r="O1192" i="2"/>
  <c r="N1193" i="2"/>
  <c r="O1193" i="2"/>
  <c r="N1194" i="2"/>
  <c r="O1194" i="2"/>
  <c r="N1195" i="2"/>
  <c r="O1195" i="2"/>
  <c r="N1196" i="2"/>
  <c r="O1196" i="2"/>
  <c r="N1197" i="2"/>
  <c r="O1197" i="2"/>
  <c r="N1198" i="2"/>
  <c r="O1198" i="2"/>
  <c r="N1199" i="2"/>
  <c r="O1199" i="2"/>
  <c r="N1200" i="2"/>
  <c r="O1200" i="2"/>
  <c r="N1201" i="2"/>
  <c r="O1201" i="2"/>
  <c r="N1202" i="2"/>
  <c r="O1202" i="2"/>
  <c r="N1203" i="2"/>
  <c r="O1203" i="2"/>
  <c r="N1206" i="2"/>
  <c r="O1206" i="2"/>
  <c r="N1207" i="2"/>
  <c r="O1207" i="2"/>
  <c r="N1208" i="2"/>
  <c r="O1208" i="2"/>
  <c r="N1209" i="2"/>
  <c r="O1209" i="2"/>
  <c r="N1210" i="2"/>
  <c r="O1210" i="2"/>
  <c r="N1211" i="2"/>
  <c r="O1211" i="2"/>
  <c r="N1212" i="2"/>
  <c r="O1212" i="2"/>
  <c r="N1213" i="2"/>
  <c r="O1213" i="2"/>
  <c r="N1214" i="2"/>
  <c r="O1214" i="2"/>
  <c r="N1215" i="2"/>
  <c r="O1215" i="2"/>
  <c r="N1216" i="2"/>
  <c r="O1216" i="2"/>
  <c r="N1217" i="2"/>
  <c r="O1217" i="2"/>
  <c r="N1218" i="2"/>
  <c r="O1218" i="2"/>
  <c r="N1219" i="2"/>
  <c r="O1219" i="2"/>
  <c r="N1220" i="2"/>
  <c r="O1220" i="2"/>
  <c r="N1221" i="2"/>
  <c r="O1221" i="2"/>
  <c r="N1222" i="2"/>
  <c r="O1222" i="2"/>
  <c r="N1223" i="2"/>
  <c r="O1223" i="2"/>
  <c r="N1224" i="2"/>
  <c r="O1224" i="2"/>
  <c r="N1225" i="2"/>
  <c r="O1225" i="2"/>
  <c r="N1226" i="2"/>
  <c r="O1226" i="2"/>
  <c r="N1227" i="2"/>
  <c r="O1227" i="2"/>
  <c r="N1228" i="2"/>
  <c r="O1228" i="2"/>
  <c r="N1229" i="2"/>
  <c r="O1229" i="2"/>
  <c r="N1230" i="2"/>
  <c r="O1230" i="2"/>
  <c r="N1231" i="2"/>
  <c r="O1231" i="2"/>
  <c r="N1232" i="2"/>
  <c r="O1232" i="2"/>
  <c r="N1233" i="2"/>
  <c r="O1233" i="2"/>
  <c r="N1234" i="2"/>
  <c r="O1234" i="2"/>
  <c r="N1235" i="2"/>
  <c r="O1235" i="2"/>
  <c r="N1236" i="2"/>
  <c r="O1236" i="2"/>
  <c r="N1237" i="2"/>
  <c r="O1237" i="2"/>
  <c r="N1238" i="2"/>
  <c r="O1238" i="2"/>
  <c r="N1239" i="2"/>
  <c r="O1239" i="2"/>
  <c r="N1240" i="2"/>
  <c r="O1240" i="2"/>
  <c r="N1241" i="2"/>
  <c r="O1241" i="2"/>
  <c r="N1242" i="2"/>
  <c r="O1242" i="2"/>
  <c r="N1243" i="2"/>
  <c r="O1243" i="2"/>
  <c r="N1244" i="2"/>
  <c r="O1244" i="2"/>
  <c r="N1245" i="2"/>
  <c r="O1245" i="2"/>
  <c r="N1246" i="2"/>
  <c r="O1246" i="2"/>
  <c r="N1247" i="2"/>
  <c r="O1247" i="2"/>
  <c r="N1248" i="2"/>
  <c r="O1248" i="2"/>
  <c r="N1249" i="2"/>
  <c r="O1249" i="2"/>
  <c r="N1250" i="2"/>
  <c r="O1250" i="2"/>
  <c r="N1251" i="2"/>
  <c r="O1251" i="2"/>
  <c r="N1252" i="2"/>
  <c r="O1252" i="2"/>
  <c r="N1253" i="2"/>
  <c r="O1253" i="2"/>
  <c r="N1254" i="2"/>
  <c r="O1254" i="2"/>
  <c r="N1255" i="2"/>
  <c r="O1255" i="2"/>
  <c r="N1256" i="2"/>
  <c r="O1256" i="2"/>
  <c r="N1257" i="2"/>
  <c r="O1257" i="2"/>
  <c r="N1258" i="2"/>
  <c r="O1258" i="2"/>
  <c r="N1259" i="2"/>
  <c r="O1259" i="2"/>
  <c r="N1260" i="2"/>
  <c r="O1260" i="2"/>
  <c r="N1261" i="2"/>
  <c r="O1261" i="2"/>
  <c r="N1262" i="2"/>
  <c r="O1262" i="2"/>
  <c r="N1263" i="2"/>
  <c r="O1263" i="2"/>
  <c r="N1264" i="2"/>
  <c r="O1264" i="2"/>
  <c r="N1265" i="2"/>
  <c r="O1265" i="2"/>
  <c r="N1266" i="2"/>
  <c r="O1266" i="2"/>
  <c r="N1267" i="2"/>
  <c r="O1267" i="2"/>
  <c r="N1268" i="2"/>
  <c r="O1268" i="2"/>
  <c r="N1269" i="2"/>
  <c r="O1269" i="2"/>
  <c r="N1270" i="2"/>
  <c r="O1270" i="2"/>
  <c r="N1271" i="2"/>
  <c r="O1271" i="2"/>
  <c r="N1272" i="2"/>
  <c r="O1272" i="2"/>
  <c r="N1273" i="2"/>
  <c r="O1273" i="2"/>
  <c r="N1274" i="2"/>
  <c r="O1274" i="2"/>
  <c r="N1275" i="2"/>
  <c r="O1275" i="2"/>
  <c r="N1276" i="2"/>
  <c r="O1276" i="2"/>
  <c r="N1277" i="2"/>
  <c r="O1277" i="2"/>
  <c r="N1278" i="2"/>
  <c r="O1278" i="2"/>
  <c r="N1279" i="2"/>
  <c r="O1279" i="2"/>
  <c r="N1280" i="2"/>
  <c r="O1280" i="2"/>
  <c r="N1281" i="2"/>
  <c r="O1281" i="2"/>
  <c r="N1282" i="2"/>
  <c r="O1282" i="2"/>
  <c r="N1283" i="2"/>
  <c r="O1283" i="2"/>
  <c r="N1284" i="2"/>
  <c r="O1284" i="2"/>
  <c r="N1285" i="2"/>
  <c r="O1285" i="2"/>
  <c r="N1286" i="2"/>
  <c r="O1286" i="2"/>
  <c r="N1287" i="2"/>
  <c r="O1287" i="2"/>
  <c r="N1288" i="2"/>
  <c r="O1288" i="2"/>
  <c r="N1289" i="2"/>
  <c r="O1289" i="2"/>
  <c r="N1290" i="2"/>
  <c r="O1290" i="2"/>
  <c r="N1291" i="2"/>
  <c r="O1291" i="2"/>
  <c r="N1292" i="2"/>
  <c r="O1292" i="2"/>
  <c r="N1293" i="2"/>
  <c r="O1293" i="2"/>
  <c r="N1294" i="2"/>
  <c r="O1294" i="2"/>
  <c r="N1295" i="2"/>
  <c r="O1295" i="2"/>
  <c r="N1296" i="2"/>
  <c r="O1296" i="2"/>
  <c r="N1297" i="2"/>
  <c r="O1297" i="2"/>
  <c r="N1298" i="2"/>
  <c r="O1298" i="2"/>
  <c r="N1299" i="2"/>
  <c r="O1299" i="2"/>
  <c r="N1300" i="2"/>
  <c r="O1300" i="2"/>
  <c r="N1301" i="2"/>
  <c r="O1301" i="2"/>
  <c r="N1302" i="2"/>
  <c r="O1302" i="2"/>
  <c r="N1303" i="2"/>
  <c r="O1303" i="2"/>
  <c r="N1304" i="2"/>
  <c r="O1304" i="2"/>
  <c r="N1305" i="2"/>
  <c r="O1305" i="2"/>
  <c r="N1306" i="2"/>
  <c r="O1306" i="2"/>
  <c r="N1307" i="2"/>
  <c r="O1307" i="2"/>
  <c r="N1308" i="2"/>
  <c r="O1308" i="2"/>
  <c r="N1309" i="2"/>
  <c r="O1309" i="2"/>
  <c r="N1310" i="2"/>
  <c r="O1310" i="2"/>
  <c r="N1311" i="2"/>
  <c r="O1311" i="2"/>
  <c r="N1312" i="2"/>
  <c r="O1312" i="2"/>
  <c r="N1313" i="2"/>
  <c r="O1313" i="2"/>
  <c r="N1314" i="2"/>
  <c r="O1314" i="2"/>
  <c r="N1315" i="2"/>
  <c r="O1315" i="2"/>
  <c r="N1316" i="2"/>
  <c r="O1316" i="2"/>
  <c r="N1317" i="2"/>
  <c r="O1317" i="2"/>
  <c r="N1318" i="2"/>
  <c r="O1318" i="2"/>
  <c r="N1319" i="2"/>
  <c r="O1319" i="2"/>
  <c r="N1320" i="2"/>
  <c r="O1320" i="2"/>
  <c r="N1321" i="2"/>
  <c r="O1321" i="2"/>
  <c r="N1322" i="2"/>
  <c r="O1322" i="2"/>
  <c r="N1323" i="2"/>
  <c r="O1323" i="2"/>
  <c r="N1324" i="2"/>
  <c r="O1324" i="2"/>
  <c r="N1325" i="2"/>
  <c r="O1325" i="2"/>
  <c r="N1326" i="2"/>
  <c r="O1326" i="2"/>
  <c r="N1327" i="2"/>
  <c r="O1327" i="2"/>
  <c r="N1328" i="2"/>
  <c r="O1328" i="2"/>
  <c r="N1329" i="2"/>
  <c r="O1329" i="2"/>
  <c r="N1330" i="2"/>
  <c r="O1330" i="2"/>
  <c r="N1331" i="2"/>
  <c r="O1331" i="2"/>
  <c r="N1332" i="2"/>
  <c r="O1332" i="2"/>
  <c r="N1333" i="2"/>
  <c r="O1333" i="2"/>
  <c r="N1334" i="2"/>
  <c r="O1334" i="2"/>
  <c r="N1335" i="2"/>
  <c r="O1335" i="2"/>
  <c r="N1336" i="2"/>
  <c r="O1336" i="2"/>
  <c r="N1337" i="2"/>
  <c r="O1337" i="2"/>
  <c r="N1338" i="2"/>
  <c r="O1338" i="2"/>
  <c r="N1339" i="2"/>
  <c r="O1339" i="2"/>
  <c r="N1340" i="2"/>
  <c r="O1340" i="2"/>
  <c r="N1341" i="2"/>
  <c r="O1341" i="2"/>
  <c r="N1342" i="2"/>
  <c r="O1342" i="2"/>
  <c r="N1343" i="2"/>
  <c r="O1343" i="2"/>
  <c r="N1344" i="2"/>
  <c r="O1344" i="2"/>
  <c r="N1345" i="2"/>
  <c r="O1345" i="2"/>
  <c r="N1346" i="2"/>
  <c r="O1346" i="2"/>
  <c r="N1347" i="2"/>
  <c r="O1347" i="2"/>
  <c r="N1348" i="2"/>
  <c r="O1348" i="2"/>
  <c r="N1349" i="2"/>
  <c r="O1349" i="2"/>
  <c r="N1350" i="2"/>
  <c r="O1350" i="2"/>
  <c r="N1351" i="2"/>
  <c r="O1351" i="2"/>
  <c r="N1352" i="2"/>
  <c r="O1352" i="2"/>
  <c r="N1353" i="2"/>
  <c r="O1353" i="2"/>
  <c r="N1354" i="2"/>
  <c r="O1354" i="2"/>
  <c r="N1355" i="2"/>
  <c r="O1355" i="2"/>
  <c r="N1356" i="2"/>
  <c r="O1356" i="2"/>
  <c r="N1357" i="2"/>
  <c r="O1357" i="2"/>
  <c r="N1358" i="2"/>
  <c r="O1358" i="2"/>
  <c r="N1359" i="2"/>
  <c r="O1359" i="2"/>
  <c r="N1360" i="2"/>
  <c r="O1360" i="2"/>
  <c r="N1361" i="2"/>
  <c r="O1361" i="2"/>
  <c r="N1362" i="2"/>
  <c r="O1362" i="2"/>
  <c r="N1363" i="2"/>
  <c r="O1363" i="2"/>
  <c r="N1364" i="2"/>
  <c r="O1364" i="2"/>
  <c r="N1365" i="2"/>
  <c r="O1365" i="2"/>
  <c r="N1366" i="2"/>
  <c r="O1366" i="2"/>
  <c r="N1476" i="2"/>
  <c r="O1476" i="2"/>
  <c r="N1477" i="2"/>
  <c r="O1477" i="2"/>
  <c r="N1478" i="2"/>
  <c r="O1478" i="2"/>
  <c r="N1479" i="2"/>
  <c r="O1479" i="2"/>
  <c r="N1480" i="2"/>
  <c r="O1480" i="2"/>
  <c r="N1481" i="2"/>
  <c r="O1481" i="2"/>
  <c r="N1482" i="2"/>
  <c r="O1482" i="2"/>
  <c r="N1483" i="2"/>
  <c r="O1483" i="2"/>
  <c r="N1484" i="2"/>
  <c r="O1484" i="2"/>
  <c r="N1485" i="2"/>
  <c r="O1485" i="2"/>
  <c r="N1486" i="2"/>
  <c r="O1486" i="2"/>
  <c r="N1487" i="2"/>
  <c r="O1487" i="2"/>
  <c r="N1488" i="2"/>
  <c r="O1488" i="2"/>
  <c r="N1489" i="2"/>
  <c r="O1489" i="2"/>
  <c r="N1490" i="2"/>
  <c r="O1490" i="2"/>
  <c r="N1491" i="2"/>
  <c r="O1491" i="2"/>
  <c r="N1492" i="2"/>
  <c r="O1492" i="2"/>
  <c r="N1493" i="2"/>
  <c r="O1493" i="2"/>
  <c r="N1494" i="2"/>
  <c r="O1494" i="2"/>
  <c r="N1495" i="2"/>
  <c r="O1495" i="2"/>
  <c r="N1496" i="2"/>
  <c r="O1496" i="2"/>
  <c r="N1497" i="2"/>
  <c r="O1497" i="2"/>
  <c r="N1498" i="2"/>
  <c r="O1498" i="2"/>
  <c r="N1499" i="2"/>
  <c r="O1499" i="2"/>
  <c r="N1500" i="2"/>
  <c r="O1500" i="2"/>
  <c r="N1501" i="2"/>
  <c r="O1501" i="2"/>
  <c r="N1502" i="2"/>
  <c r="O1502" i="2"/>
  <c r="N1503" i="2"/>
  <c r="O1503" i="2"/>
  <c r="N1504" i="2"/>
  <c r="O1504" i="2"/>
  <c r="N1505" i="2"/>
  <c r="O1505" i="2"/>
  <c r="N1506" i="2"/>
  <c r="O1506" i="2"/>
  <c r="N1507" i="2"/>
  <c r="O1507" i="2"/>
  <c r="N1508" i="2"/>
  <c r="O1508" i="2"/>
  <c r="N1509" i="2"/>
  <c r="O1509" i="2"/>
  <c r="N1510" i="2"/>
  <c r="O1510" i="2"/>
  <c r="N1511" i="2"/>
  <c r="O1511" i="2"/>
  <c r="N1512" i="2"/>
  <c r="O1512" i="2"/>
  <c r="N1513" i="2"/>
  <c r="O1513" i="2"/>
  <c r="N1514" i="2"/>
  <c r="O1514" i="2"/>
  <c r="N1515" i="2"/>
  <c r="O1515" i="2"/>
  <c r="N1516" i="2"/>
  <c r="O1516" i="2"/>
  <c r="N1517" i="2"/>
  <c r="O1517" i="2"/>
  <c r="N1518" i="2"/>
  <c r="O1518" i="2"/>
  <c r="N1519" i="2"/>
  <c r="O1519" i="2"/>
  <c r="N1520" i="2"/>
  <c r="O1520" i="2"/>
  <c r="N1521" i="2"/>
  <c r="O1521" i="2"/>
  <c r="N1522" i="2"/>
  <c r="O1522" i="2"/>
  <c r="N1523" i="2"/>
  <c r="O1523" i="2"/>
  <c r="N1524" i="2"/>
  <c r="O1524" i="2"/>
  <c r="N1525" i="2"/>
  <c r="O1525" i="2"/>
  <c r="N1526" i="2"/>
  <c r="O1526" i="2"/>
  <c r="N1527" i="2"/>
  <c r="O1527" i="2"/>
  <c r="N1528" i="2"/>
  <c r="O1528" i="2"/>
  <c r="N1529" i="2"/>
  <c r="O1529" i="2"/>
  <c r="N1530" i="2"/>
  <c r="O1530" i="2"/>
  <c r="N1531" i="2"/>
  <c r="O1531" i="2"/>
  <c r="N1532" i="2"/>
  <c r="O1532" i="2"/>
  <c r="N1533" i="2"/>
  <c r="O1533" i="2"/>
  <c r="N1534" i="2"/>
  <c r="O1534" i="2"/>
  <c r="N1535" i="2"/>
  <c r="O1535" i="2"/>
  <c r="N1536" i="2"/>
  <c r="O1536" i="2"/>
  <c r="N1537" i="2"/>
  <c r="O1537" i="2"/>
  <c r="N1538" i="2"/>
  <c r="O1538" i="2"/>
  <c r="N1539" i="2"/>
  <c r="O1539" i="2"/>
  <c r="N1540" i="2"/>
  <c r="O1540" i="2"/>
  <c r="N1541" i="2"/>
  <c r="O1541" i="2"/>
  <c r="N1542" i="2"/>
  <c r="O1542" i="2"/>
  <c r="N1543" i="2"/>
  <c r="O1543" i="2"/>
  <c r="N1544" i="2"/>
  <c r="O1544" i="2"/>
  <c r="N1545" i="2"/>
  <c r="O1545" i="2"/>
  <c r="N1546" i="2"/>
  <c r="O1546" i="2"/>
  <c r="N1547" i="2"/>
  <c r="O1547" i="2"/>
  <c r="N1548" i="2"/>
  <c r="O1548" i="2"/>
  <c r="N1549" i="2"/>
  <c r="O1549" i="2"/>
  <c r="N1550" i="2"/>
  <c r="O1550" i="2"/>
  <c r="N1551" i="2"/>
  <c r="O1551" i="2"/>
  <c r="N1552" i="2"/>
  <c r="O1552" i="2"/>
  <c r="N1553" i="2"/>
  <c r="O1553" i="2"/>
  <c r="N1554" i="2"/>
  <c r="O1554" i="2"/>
  <c r="N1555" i="2"/>
  <c r="O1555" i="2"/>
  <c r="N1556" i="2"/>
  <c r="O1556" i="2"/>
  <c r="N1557" i="2"/>
  <c r="O1557" i="2"/>
  <c r="N1558" i="2"/>
  <c r="O1558" i="2"/>
  <c r="N1559" i="2"/>
  <c r="O1559" i="2"/>
  <c r="N1560" i="2"/>
  <c r="O1560" i="2"/>
  <c r="N1561" i="2"/>
  <c r="O1561" i="2"/>
  <c r="N1562" i="2"/>
  <c r="O1562" i="2"/>
  <c r="N1563" i="2"/>
  <c r="O1563" i="2"/>
  <c r="N1564" i="2"/>
  <c r="O1564" i="2"/>
  <c r="N1565" i="2"/>
  <c r="O1565" i="2"/>
  <c r="N1566" i="2"/>
  <c r="O1566" i="2"/>
  <c r="N1567" i="2"/>
  <c r="O1567" i="2"/>
  <c r="N1568" i="2"/>
  <c r="O1568" i="2"/>
  <c r="N1569" i="2"/>
  <c r="O1569" i="2"/>
  <c r="N1570" i="2"/>
  <c r="O1570" i="2"/>
  <c r="N1571" i="2"/>
  <c r="O1571" i="2"/>
  <c r="N1572" i="2"/>
  <c r="O1572" i="2"/>
  <c r="N1573" i="2"/>
  <c r="O1573" i="2"/>
  <c r="N1574" i="2"/>
  <c r="O1574" i="2"/>
  <c r="N1575" i="2"/>
  <c r="O1575" i="2"/>
  <c r="N1576" i="2"/>
  <c r="O1576" i="2"/>
  <c r="N1577" i="2"/>
  <c r="O1577" i="2"/>
  <c r="N1578" i="2"/>
  <c r="O1578" i="2"/>
  <c r="N1579" i="2"/>
  <c r="O1579" i="2"/>
  <c r="N1580" i="2"/>
  <c r="O1580" i="2"/>
  <c r="N1581" i="2"/>
  <c r="O1581" i="2"/>
  <c r="N1582" i="2"/>
  <c r="O1582" i="2"/>
  <c r="N1583" i="2"/>
  <c r="O1583" i="2"/>
  <c r="N1584" i="2"/>
  <c r="O1584" i="2"/>
  <c r="N1585" i="2"/>
  <c r="O1585" i="2"/>
  <c r="N1586" i="2"/>
  <c r="O1586" i="2"/>
  <c r="N1587" i="2"/>
  <c r="O1587" i="2"/>
  <c r="N1588" i="2"/>
  <c r="O1588" i="2"/>
  <c r="N1589" i="2"/>
  <c r="O1589" i="2"/>
  <c r="N1590" i="2"/>
  <c r="O1590" i="2"/>
  <c r="N1591" i="2"/>
  <c r="O1591" i="2"/>
  <c r="N1592" i="2"/>
  <c r="O1592" i="2"/>
  <c r="N1593" i="2"/>
  <c r="O1593" i="2"/>
  <c r="N1594" i="2"/>
  <c r="O1594" i="2"/>
  <c r="N1595" i="2"/>
  <c r="O1595" i="2"/>
  <c r="N1596" i="2"/>
  <c r="O1596" i="2"/>
  <c r="N1597" i="2"/>
  <c r="O1597" i="2"/>
  <c r="N1598" i="2"/>
  <c r="O1598" i="2"/>
  <c r="N1599" i="2"/>
  <c r="O1599" i="2"/>
  <c r="N1600" i="2"/>
  <c r="O1600" i="2"/>
  <c r="N1601" i="2"/>
  <c r="O1601" i="2"/>
  <c r="N1602" i="2"/>
  <c r="O1602" i="2"/>
  <c r="N1603" i="2"/>
  <c r="O1603" i="2"/>
  <c r="N1604" i="2"/>
  <c r="O1604" i="2"/>
  <c r="N1605" i="2"/>
  <c r="O1605" i="2"/>
  <c r="N1606" i="2"/>
  <c r="O1606" i="2"/>
  <c r="N1607" i="2"/>
  <c r="O1607" i="2"/>
  <c r="N1608" i="2"/>
  <c r="O1608" i="2"/>
  <c r="N1609" i="2"/>
  <c r="O1609" i="2"/>
  <c r="N1610" i="2"/>
  <c r="O1610" i="2"/>
  <c r="N1611" i="2"/>
  <c r="O1611" i="2"/>
  <c r="N1612" i="2"/>
  <c r="O1612" i="2"/>
  <c r="N1613" i="2"/>
  <c r="O1613" i="2"/>
  <c r="N1614" i="2"/>
  <c r="O1614" i="2"/>
  <c r="N1615" i="2"/>
  <c r="O1615" i="2"/>
  <c r="N1616" i="2"/>
  <c r="O1616" i="2"/>
  <c r="N1617" i="2"/>
  <c r="O1617" i="2"/>
  <c r="N1618" i="2"/>
  <c r="O1618" i="2"/>
  <c r="N1619" i="2"/>
  <c r="O1619" i="2"/>
  <c r="N1620" i="2"/>
  <c r="O1620" i="2"/>
  <c r="N1621" i="2"/>
  <c r="O1621" i="2"/>
  <c r="N1622" i="2"/>
  <c r="O1622" i="2"/>
  <c r="N1623" i="2"/>
  <c r="O1623" i="2"/>
  <c r="N1624" i="2"/>
  <c r="O1624" i="2"/>
  <c r="N1625" i="2"/>
  <c r="O1625" i="2"/>
  <c r="N1626" i="2"/>
  <c r="O1626" i="2"/>
  <c r="N1627" i="2"/>
  <c r="O1627" i="2"/>
  <c r="N1628" i="2"/>
  <c r="O1628" i="2"/>
  <c r="N1629" i="2"/>
  <c r="O1629" i="2"/>
  <c r="N1630" i="2"/>
  <c r="O1630" i="2"/>
  <c r="N1631" i="2"/>
  <c r="O1631" i="2"/>
  <c r="N1632" i="2"/>
  <c r="O1632" i="2"/>
  <c r="N1633" i="2"/>
  <c r="O1633" i="2"/>
  <c r="N1634" i="2"/>
  <c r="O1634" i="2"/>
  <c r="N1635" i="2"/>
  <c r="O1635" i="2"/>
  <c r="N1636" i="2"/>
  <c r="O1636" i="2"/>
  <c r="N1637" i="2"/>
  <c r="O1637" i="2"/>
  <c r="N1638" i="2"/>
  <c r="O1638" i="2"/>
  <c r="N1639" i="2"/>
  <c r="O1639" i="2"/>
  <c r="N1640" i="2"/>
  <c r="O1640" i="2"/>
  <c r="N1641" i="2"/>
  <c r="O1641" i="2"/>
  <c r="N1642" i="2"/>
  <c r="O1642" i="2"/>
  <c r="N1643" i="2"/>
  <c r="O1643" i="2"/>
  <c r="N1644" i="2"/>
  <c r="O1644" i="2"/>
  <c r="N1645" i="2"/>
  <c r="O1645" i="2"/>
  <c r="N1646" i="2"/>
  <c r="O1646" i="2"/>
  <c r="N1647" i="2"/>
  <c r="O1647" i="2"/>
  <c r="N1648" i="2"/>
  <c r="O1648" i="2"/>
  <c r="N1649" i="2"/>
  <c r="O1649" i="2"/>
  <c r="N1650" i="2"/>
  <c r="O1650" i="2"/>
  <c r="N1651" i="2"/>
  <c r="O1651" i="2"/>
  <c r="N1652" i="2"/>
  <c r="O1652" i="2"/>
  <c r="N1653" i="2"/>
  <c r="O1653" i="2"/>
  <c r="N1654" i="2"/>
  <c r="O1654" i="2"/>
  <c r="N1655" i="2"/>
  <c r="O1655" i="2"/>
  <c r="N1656" i="2"/>
  <c r="O1656" i="2"/>
  <c r="N1657" i="2"/>
  <c r="O1657" i="2"/>
  <c r="N1658" i="2"/>
  <c r="O1658" i="2"/>
  <c r="N1660" i="2"/>
  <c r="O1660" i="2"/>
  <c r="N1661" i="2"/>
  <c r="O1661" i="2"/>
  <c r="N1662" i="2"/>
  <c r="O1662" i="2"/>
  <c r="N1663" i="2"/>
  <c r="O1663" i="2"/>
  <c r="N1664" i="2"/>
  <c r="O1664" i="2"/>
  <c r="N1665" i="2"/>
  <c r="O1665" i="2"/>
  <c r="N1666" i="2"/>
  <c r="O1666" i="2"/>
  <c r="N1667" i="2"/>
  <c r="O1667" i="2"/>
  <c r="N1668" i="2"/>
  <c r="O1668" i="2"/>
  <c r="N1669" i="2"/>
  <c r="O1669" i="2"/>
  <c r="N1670" i="2"/>
  <c r="O1670" i="2"/>
  <c r="N1671" i="2"/>
  <c r="O1671" i="2"/>
  <c r="N1672" i="2"/>
  <c r="O1672" i="2"/>
  <c r="N1673" i="2"/>
  <c r="O1673" i="2"/>
  <c r="N1674" i="2"/>
  <c r="O1674" i="2"/>
  <c r="N1675" i="2"/>
  <c r="O1675" i="2"/>
  <c r="N1676" i="2"/>
  <c r="O1676" i="2"/>
  <c r="N1677" i="2"/>
  <c r="O1677" i="2"/>
  <c r="N1678" i="2"/>
  <c r="O1678" i="2"/>
  <c r="N1679" i="2"/>
  <c r="O1679" i="2"/>
  <c r="N1680" i="2"/>
  <c r="O1680" i="2"/>
  <c r="N1681" i="2"/>
  <c r="O1681" i="2"/>
  <c r="N1682" i="2"/>
  <c r="O1682" i="2"/>
  <c r="N1683" i="2"/>
  <c r="O1683" i="2"/>
  <c r="N1684" i="2"/>
  <c r="O1684" i="2"/>
  <c r="N1685" i="2"/>
  <c r="O1685" i="2"/>
  <c r="N1686" i="2"/>
  <c r="O1686" i="2"/>
  <c r="N1687" i="2"/>
  <c r="O1687" i="2"/>
  <c r="N1688" i="2"/>
  <c r="O1688" i="2"/>
  <c r="N1689" i="2"/>
  <c r="O1689" i="2"/>
  <c r="N1690" i="2"/>
  <c r="O1690" i="2"/>
  <c r="N1691" i="2"/>
  <c r="O1691" i="2"/>
  <c r="N1692" i="2"/>
  <c r="O1692" i="2"/>
  <c r="N1693" i="2"/>
  <c r="O1693" i="2"/>
  <c r="N1694" i="2"/>
  <c r="O1694" i="2"/>
  <c r="N1695" i="2"/>
  <c r="O1695" i="2"/>
  <c r="N1696" i="2"/>
  <c r="O1696" i="2"/>
  <c r="N1697" i="2"/>
  <c r="O1697" i="2"/>
  <c r="N1698" i="2"/>
  <c r="O1698" i="2"/>
  <c r="N1699" i="2"/>
  <c r="O1699" i="2"/>
  <c r="N1700" i="2"/>
  <c r="O1700" i="2"/>
  <c r="N1701" i="2"/>
  <c r="O1701" i="2"/>
  <c r="N1702" i="2"/>
  <c r="O1702" i="2"/>
  <c r="N1703" i="2"/>
  <c r="O1703" i="2"/>
  <c r="N1704" i="2"/>
  <c r="O1704" i="2"/>
  <c r="N1705" i="2"/>
  <c r="O1705" i="2"/>
  <c r="N1706" i="2"/>
  <c r="O1706" i="2"/>
  <c r="N1707" i="2"/>
  <c r="O1707" i="2"/>
  <c r="N1708" i="2"/>
  <c r="O1708" i="2"/>
  <c r="N1709" i="2"/>
  <c r="O1709" i="2"/>
  <c r="N1710" i="2"/>
  <c r="O1710" i="2"/>
  <c r="N1711" i="2"/>
  <c r="O1711" i="2"/>
  <c r="N1712" i="2"/>
  <c r="O1712" i="2"/>
  <c r="N1713" i="2"/>
  <c r="O1713" i="2"/>
  <c r="N1714" i="2"/>
  <c r="O1714" i="2"/>
  <c r="N1715" i="2"/>
  <c r="O1715" i="2"/>
  <c r="N1716" i="2"/>
  <c r="O1716" i="2"/>
  <c r="N1717" i="2"/>
  <c r="O1717" i="2"/>
  <c r="N1718" i="2"/>
  <c r="O1718" i="2"/>
  <c r="N1719" i="2"/>
  <c r="O1719" i="2"/>
  <c r="N1720" i="2"/>
  <c r="O1720" i="2"/>
  <c r="N1721" i="2"/>
  <c r="O1721" i="2"/>
  <c r="N1722" i="2"/>
  <c r="O1722" i="2"/>
  <c r="N1723" i="2"/>
  <c r="O1723" i="2"/>
  <c r="N1724" i="2"/>
  <c r="O1724" i="2"/>
  <c r="N1725" i="2"/>
  <c r="O1725" i="2"/>
  <c r="N1726" i="2"/>
  <c r="O1726" i="2"/>
  <c r="N1727" i="2"/>
  <c r="O1727" i="2"/>
  <c r="N1728" i="2"/>
  <c r="O1728" i="2"/>
  <c r="N1729" i="2"/>
  <c r="O1729" i="2"/>
  <c r="N1730" i="2"/>
  <c r="O1730" i="2"/>
  <c r="N1731" i="2"/>
  <c r="O1731" i="2"/>
  <c r="N1732" i="2"/>
  <c r="O1732" i="2"/>
  <c r="N1733" i="2"/>
  <c r="O1733" i="2"/>
  <c r="N1734" i="2"/>
  <c r="O1734" i="2"/>
  <c r="N1735" i="2"/>
  <c r="O1735" i="2"/>
  <c r="N1736" i="2"/>
  <c r="O1736" i="2"/>
  <c r="N1737" i="2"/>
  <c r="O1737" i="2"/>
  <c r="N1738" i="2"/>
  <c r="O1738" i="2"/>
  <c r="N1739" i="2"/>
  <c r="O1739" i="2"/>
  <c r="N1740" i="2"/>
  <c r="O1740" i="2"/>
  <c r="N1741" i="2"/>
  <c r="O1741" i="2"/>
  <c r="N1742" i="2"/>
  <c r="O1742" i="2"/>
  <c r="N1743" i="2"/>
  <c r="O1743" i="2"/>
  <c r="N1744" i="2"/>
  <c r="O1744" i="2"/>
  <c r="N1745" i="2"/>
  <c r="O1745" i="2"/>
  <c r="N1746" i="2"/>
  <c r="O1746" i="2"/>
  <c r="N1747" i="2"/>
  <c r="O1747" i="2"/>
  <c r="N1748" i="2"/>
  <c r="O1748" i="2"/>
  <c r="N1749" i="2"/>
  <c r="O1749" i="2"/>
  <c r="N1750" i="2"/>
  <c r="O1750" i="2"/>
  <c r="N1751" i="2"/>
  <c r="O1751" i="2"/>
  <c r="N1752" i="2"/>
  <c r="O1752" i="2"/>
  <c r="N1753" i="2"/>
  <c r="O1753" i="2"/>
  <c r="N1754" i="2"/>
  <c r="O1754" i="2"/>
  <c r="N1755" i="2"/>
  <c r="O1755" i="2"/>
  <c r="N1756" i="2"/>
  <c r="O1756" i="2"/>
  <c r="N1757" i="2"/>
  <c r="O1757" i="2"/>
  <c r="N1758" i="2"/>
  <c r="O1758" i="2"/>
  <c r="N1759" i="2"/>
  <c r="O1759" i="2"/>
  <c r="N1760" i="2"/>
  <c r="O1760" i="2"/>
  <c r="N1761" i="2"/>
  <c r="O1761" i="2"/>
  <c r="N1762" i="2"/>
  <c r="O1762" i="2"/>
  <c r="N1763" i="2"/>
  <c r="O1763" i="2"/>
  <c r="N1764" i="2"/>
  <c r="O1764" i="2"/>
  <c r="N1765" i="2"/>
  <c r="O1765" i="2"/>
  <c r="N1766" i="2"/>
  <c r="O1766" i="2"/>
  <c r="N1767" i="2"/>
  <c r="O1767" i="2"/>
  <c r="N1768" i="2"/>
  <c r="O1768" i="2"/>
  <c r="N1769" i="2"/>
  <c r="O1769" i="2"/>
  <c r="N1770" i="2"/>
  <c r="O1770" i="2"/>
  <c r="N1771" i="2"/>
  <c r="O1771" i="2"/>
  <c r="N1772" i="2"/>
  <c r="O1772" i="2"/>
  <c r="N1773" i="2"/>
  <c r="O1773" i="2"/>
  <c r="N1774" i="2"/>
  <c r="O1774" i="2"/>
  <c r="N1775" i="2"/>
  <c r="O1775" i="2"/>
  <c r="N1776" i="2"/>
  <c r="O1776" i="2"/>
  <c r="N1777" i="2"/>
  <c r="O1777" i="2"/>
  <c r="N1778" i="2"/>
  <c r="O1778" i="2"/>
  <c r="N1779" i="2"/>
  <c r="O1779" i="2"/>
  <c r="N1780" i="2"/>
  <c r="O1780" i="2"/>
  <c r="N1781" i="2"/>
  <c r="O1781" i="2"/>
  <c r="N1782" i="2"/>
  <c r="O1782" i="2"/>
  <c r="N1783" i="2"/>
  <c r="O1783" i="2"/>
  <c r="N1784" i="2"/>
  <c r="O1784" i="2"/>
  <c r="N1785" i="2"/>
  <c r="O1785" i="2"/>
  <c r="N1786" i="2"/>
  <c r="O1786" i="2"/>
  <c r="N1787" i="2"/>
  <c r="O1787" i="2"/>
  <c r="N1788" i="2"/>
  <c r="O1788" i="2"/>
  <c r="N1789" i="2"/>
  <c r="O1789" i="2"/>
  <c r="N1790" i="2"/>
  <c r="O1790" i="2"/>
  <c r="N1791" i="2"/>
  <c r="O1791" i="2"/>
  <c r="N1792" i="2"/>
  <c r="O1792" i="2"/>
  <c r="N1793" i="2"/>
  <c r="O1793" i="2"/>
  <c r="N1794" i="2"/>
  <c r="O1794" i="2"/>
  <c r="N1795" i="2"/>
  <c r="O1795" i="2"/>
  <c r="N1796" i="2"/>
  <c r="O1796" i="2"/>
  <c r="N1803" i="2"/>
  <c r="O1803" i="2"/>
  <c r="N1804" i="2"/>
  <c r="O1804" i="2"/>
  <c r="N1805" i="2"/>
  <c r="O1805" i="2"/>
  <c r="N1806" i="2"/>
  <c r="O1806" i="2"/>
  <c r="N1807" i="2"/>
  <c r="O1807" i="2"/>
  <c r="N1808" i="2"/>
  <c r="O1808" i="2"/>
  <c r="N1809" i="2"/>
  <c r="O1809" i="2"/>
  <c r="N1810" i="2"/>
  <c r="O1810" i="2"/>
  <c r="N1811" i="2"/>
  <c r="O1811" i="2"/>
  <c r="N1812" i="2"/>
  <c r="O1812" i="2"/>
  <c r="N1813" i="2"/>
  <c r="O1813" i="2"/>
  <c r="N1814" i="2"/>
  <c r="O1814" i="2"/>
  <c r="N1815" i="2"/>
  <c r="O1815" i="2"/>
  <c r="N1816" i="2"/>
  <c r="O1816" i="2"/>
  <c r="N1817" i="2"/>
  <c r="O1817" i="2"/>
  <c r="N1818" i="2"/>
  <c r="O1818" i="2"/>
  <c r="N1819" i="2"/>
  <c r="O1819" i="2"/>
  <c r="N1820" i="2"/>
  <c r="O1820" i="2"/>
  <c r="N1821" i="2"/>
  <c r="O1821" i="2"/>
  <c r="N1822" i="2"/>
  <c r="O1822" i="2"/>
  <c r="N1823" i="2"/>
  <c r="O1823" i="2"/>
  <c r="N1824" i="2"/>
  <c r="O1824" i="2"/>
  <c r="N1825" i="2"/>
  <c r="O1825" i="2"/>
  <c r="N1826" i="2"/>
  <c r="O1826" i="2"/>
  <c r="N1827" i="2"/>
  <c r="O1827" i="2"/>
  <c r="N1828" i="2"/>
  <c r="O1828" i="2"/>
  <c r="N1829" i="2"/>
  <c r="O1829" i="2"/>
  <c r="N1830" i="2"/>
  <c r="O1830" i="2"/>
  <c r="N1831" i="2"/>
  <c r="O1831" i="2"/>
  <c r="N1832" i="2"/>
  <c r="O1832" i="2"/>
  <c r="N1833" i="2"/>
  <c r="O1833" i="2"/>
  <c r="N1834" i="2"/>
  <c r="O1834" i="2"/>
  <c r="N1835" i="2"/>
  <c r="O1835" i="2"/>
  <c r="N1836" i="2"/>
  <c r="O1836" i="2"/>
  <c r="N1837" i="2"/>
  <c r="O1837" i="2"/>
  <c r="N1838" i="2"/>
  <c r="O1838" i="2"/>
  <c r="N1839" i="2"/>
  <c r="O1839" i="2"/>
  <c r="N1840" i="2"/>
  <c r="O1840" i="2"/>
  <c r="N1841" i="2"/>
  <c r="O1841" i="2"/>
  <c r="N1842" i="2"/>
  <c r="O1842" i="2"/>
  <c r="N1843" i="2"/>
  <c r="O1843" i="2"/>
  <c r="N1844" i="2"/>
  <c r="O1844" i="2"/>
  <c r="N1845" i="2"/>
  <c r="O1845" i="2"/>
  <c r="N1846" i="2"/>
  <c r="O1846" i="2"/>
  <c r="N1847" i="2"/>
  <c r="O1847" i="2"/>
  <c r="N1848" i="2"/>
  <c r="O1848" i="2"/>
  <c r="N1849" i="2"/>
  <c r="O1849" i="2"/>
  <c r="N1850" i="2"/>
  <c r="O1850" i="2"/>
  <c r="N1851" i="2"/>
  <c r="O1851" i="2"/>
  <c r="N1852" i="2"/>
  <c r="O1852" i="2"/>
  <c r="N1853" i="2"/>
  <c r="O1853" i="2"/>
  <c r="N1854" i="2"/>
  <c r="O1854" i="2"/>
  <c r="N1855" i="2"/>
  <c r="O1855" i="2"/>
  <c r="N1856" i="2"/>
  <c r="O1856" i="2"/>
  <c r="N1857" i="2"/>
  <c r="O1857" i="2"/>
  <c r="N1858" i="2"/>
  <c r="O1858" i="2"/>
  <c r="N1859" i="2"/>
  <c r="O1859" i="2"/>
  <c r="N1860" i="2"/>
  <c r="O1860" i="2"/>
  <c r="N1861" i="2"/>
  <c r="O1861" i="2"/>
  <c r="N1862" i="2"/>
  <c r="O1862" i="2"/>
  <c r="N1863" i="2"/>
  <c r="O1863" i="2"/>
  <c r="N1864" i="2"/>
  <c r="O1864" i="2"/>
  <c r="N1865" i="2"/>
  <c r="O1865" i="2"/>
  <c r="N1866" i="2"/>
  <c r="O1866" i="2"/>
  <c r="N1867" i="2"/>
  <c r="O1867" i="2"/>
  <c r="N1868" i="2"/>
  <c r="O1868" i="2"/>
  <c r="N1869" i="2"/>
  <c r="O1869" i="2"/>
  <c r="N1870" i="2"/>
  <c r="O1870" i="2"/>
  <c r="N1871" i="2"/>
  <c r="O1871" i="2"/>
  <c r="N1872" i="2"/>
  <c r="O1872" i="2"/>
  <c r="N1873" i="2"/>
  <c r="O1873" i="2"/>
  <c r="N1874" i="2"/>
  <c r="O1874" i="2"/>
  <c r="N1875" i="2"/>
  <c r="O1875" i="2"/>
  <c r="N1876" i="2"/>
  <c r="O1876" i="2"/>
  <c r="N1877" i="2"/>
  <c r="O1877" i="2"/>
  <c r="N1878" i="2"/>
  <c r="O1878" i="2"/>
  <c r="N1879" i="2"/>
  <c r="O1879" i="2"/>
  <c r="N1880" i="2"/>
  <c r="O1880" i="2"/>
  <c r="N1881" i="2"/>
  <c r="O1881" i="2"/>
  <c r="N1882" i="2"/>
  <c r="O1882" i="2"/>
  <c r="N1891" i="2"/>
  <c r="O1891" i="2"/>
  <c r="N1892" i="2"/>
  <c r="O1892" i="2"/>
  <c r="N1893" i="2"/>
  <c r="O1893" i="2"/>
  <c r="N1894" i="2"/>
  <c r="O1894" i="2"/>
  <c r="N1895" i="2"/>
  <c r="O1895" i="2"/>
  <c r="N1896" i="2"/>
  <c r="O1896" i="2"/>
  <c r="N1897" i="2"/>
  <c r="O1897" i="2"/>
  <c r="N1898" i="2"/>
  <c r="O1898" i="2"/>
  <c r="N1899" i="2"/>
  <c r="O1899" i="2"/>
  <c r="N1900" i="2"/>
  <c r="O1900" i="2"/>
  <c r="N1901" i="2"/>
  <c r="O1901" i="2"/>
  <c r="N1902" i="2"/>
  <c r="O1902" i="2"/>
  <c r="N1903" i="2"/>
  <c r="O1903" i="2"/>
  <c r="N1904" i="2"/>
  <c r="O1904" i="2"/>
  <c r="N1905" i="2"/>
  <c r="O1905" i="2"/>
  <c r="N1906" i="2"/>
  <c r="O1906" i="2"/>
  <c r="N1907" i="2"/>
  <c r="O1907" i="2"/>
  <c r="N1908" i="2"/>
  <c r="O1908" i="2"/>
  <c r="N1909" i="2"/>
  <c r="O1909" i="2"/>
  <c r="N1910" i="2"/>
  <c r="O1910" i="2"/>
  <c r="N1911" i="2"/>
  <c r="O1911" i="2"/>
  <c r="N1912" i="2"/>
  <c r="O1912" i="2"/>
  <c r="N1913" i="2"/>
  <c r="O1913" i="2"/>
  <c r="N1914" i="2"/>
  <c r="O1914" i="2"/>
  <c r="N1915" i="2"/>
  <c r="O1915" i="2"/>
  <c r="N1916" i="2"/>
  <c r="O1916" i="2"/>
  <c r="N1917" i="2"/>
  <c r="O1917" i="2"/>
  <c r="N1918" i="2"/>
  <c r="O1918" i="2"/>
  <c r="N1919" i="2"/>
  <c r="O1919" i="2"/>
  <c r="N1920" i="2"/>
  <c r="O1920" i="2"/>
  <c r="N1921" i="2"/>
  <c r="O1921" i="2"/>
  <c r="N1922" i="2"/>
  <c r="O1922" i="2"/>
  <c r="N1923" i="2"/>
  <c r="O1923" i="2"/>
  <c r="N1924" i="2"/>
  <c r="O1924" i="2"/>
  <c r="N1925" i="2"/>
  <c r="O1925" i="2"/>
  <c r="N1926" i="2"/>
  <c r="O1926" i="2"/>
  <c r="N1927" i="2"/>
  <c r="O1927" i="2"/>
  <c r="N1928" i="2"/>
  <c r="O1928" i="2"/>
  <c r="N1929" i="2"/>
  <c r="O1929" i="2"/>
  <c r="N1930" i="2"/>
  <c r="O1930" i="2"/>
  <c r="N1931" i="2"/>
  <c r="O1931" i="2"/>
  <c r="N1932" i="2"/>
  <c r="O1932" i="2"/>
  <c r="N1933" i="2"/>
  <c r="O1933" i="2"/>
  <c r="N1934" i="2"/>
  <c r="O1934" i="2"/>
  <c r="N1935" i="2"/>
  <c r="O1935" i="2"/>
  <c r="N1936" i="2"/>
  <c r="O1936" i="2"/>
  <c r="N1937" i="2"/>
  <c r="O1937" i="2"/>
  <c r="N1938" i="2"/>
  <c r="O1938" i="2"/>
  <c r="N1939" i="2"/>
  <c r="O1939" i="2"/>
  <c r="N1940" i="2"/>
  <c r="O1940" i="2"/>
  <c r="N1941" i="2"/>
  <c r="O1941" i="2"/>
  <c r="N1942" i="2"/>
  <c r="O1942" i="2"/>
  <c r="N1943" i="2"/>
  <c r="O1943" i="2"/>
  <c r="N1944" i="2"/>
  <c r="O1944" i="2"/>
  <c r="N1945" i="2"/>
  <c r="O1945" i="2"/>
  <c r="N1946" i="2"/>
  <c r="O1946" i="2"/>
  <c r="N1947" i="2"/>
  <c r="O1947" i="2"/>
  <c r="N1948" i="2"/>
  <c r="O1948" i="2"/>
  <c r="N1949" i="2"/>
  <c r="O1949" i="2"/>
  <c r="N1950" i="2"/>
  <c r="O1950" i="2"/>
  <c r="N1951" i="2"/>
  <c r="O1951" i="2"/>
  <c r="N1952" i="2"/>
  <c r="O1952" i="2"/>
  <c r="N1953" i="2"/>
  <c r="O1953" i="2"/>
  <c r="N1954" i="2"/>
  <c r="O1954" i="2"/>
  <c r="N1955" i="2"/>
  <c r="O1955" i="2"/>
  <c r="N1956" i="2"/>
  <c r="O1956" i="2"/>
  <c r="N1957" i="2"/>
  <c r="O1957" i="2"/>
  <c r="N1958" i="2"/>
  <c r="O1958" i="2"/>
  <c r="N1959" i="2"/>
  <c r="O1959" i="2"/>
  <c r="N1960" i="2"/>
  <c r="O1960" i="2"/>
  <c r="N1961" i="2"/>
  <c r="O1961" i="2"/>
  <c r="N1962" i="2"/>
  <c r="O1962" i="2"/>
  <c r="N1963" i="2"/>
  <c r="O1963" i="2"/>
  <c r="N1964" i="2"/>
  <c r="O1964" i="2"/>
  <c r="N1965" i="2"/>
  <c r="O1965" i="2"/>
  <c r="N1966" i="2"/>
  <c r="O1966" i="2"/>
  <c r="N1967" i="2"/>
  <c r="O1967" i="2"/>
  <c r="N1968" i="2"/>
  <c r="O1968" i="2"/>
  <c r="N1969" i="2"/>
  <c r="O1969" i="2"/>
  <c r="N1970" i="2"/>
  <c r="O1970" i="2"/>
  <c r="N1971" i="2"/>
  <c r="O1971" i="2"/>
  <c r="N1972" i="2"/>
  <c r="O1972" i="2"/>
  <c r="N1973" i="2"/>
  <c r="O1973" i="2"/>
  <c r="N1974" i="2"/>
  <c r="O1974" i="2"/>
  <c r="N1975" i="2"/>
  <c r="O1975" i="2"/>
  <c r="N1976" i="2"/>
  <c r="O1976" i="2"/>
  <c r="N1977" i="2"/>
  <c r="O1977" i="2"/>
  <c r="N1978" i="2"/>
  <c r="O1978" i="2"/>
  <c r="N1979" i="2"/>
  <c r="O1979" i="2"/>
  <c r="N1980" i="2"/>
  <c r="O1980" i="2"/>
  <c r="N1981" i="2"/>
  <c r="O1981" i="2"/>
  <c r="N1982" i="2"/>
  <c r="O1982" i="2"/>
  <c r="N1983" i="2"/>
  <c r="O1983" i="2"/>
  <c r="N1984" i="2"/>
  <c r="O1984" i="2"/>
  <c r="N1985" i="2"/>
  <c r="O1985" i="2"/>
  <c r="N1986" i="2"/>
  <c r="O1986" i="2"/>
  <c r="N1987" i="2"/>
  <c r="O1987" i="2"/>
  <c r="N1988" i="2"/>
  <c r="O1988" i="2"/>
  <c r="N1989" i="2"/>
  <c r="O1989" i="2"/>
  <c r="N1990" i="2"/>
  <c r="O1990" i="2"/>
  <c r="N1991" i="2"/>
  <c r="O1991" i="2"/>
  <c r="N1992" i="2"/>
  <c r="O1992" i="2"/>
  <c r="N1993" i="2"/>
  <c r="O1993" i="2"/>
  <c r="N1994" i="2"/>
  <c r="O1994" i="2"/>
  <c r="N1995" i="2"/>
  <c r="O1995" i="2"/>
  <c r="N1996" i="2"/>
  <c r="O1996" i="2"/>
  <c r="N1997" i="2"/>
  <c r="O1997" i="2"/>
  <c r="N1998" i="2"/>
  <c r="O1998" i="2"/>
  <c r="N1999" i="2"/>
  <c r="O1999" i="2"/>
  <c r="N2000" i="2"/>
  <c r="O2000" i="2"/>
  <c r="N2001" i="2"/>
  <c r="O2001" i="2"/>
  <c r="N2002" i="2"/>
  <c r="O2002" i="2"/>
  <c r="N2003" i="2"/>
  <c r="O2003" i="2"/>
  <c r="N2004" i="2"/>
  <c r="O2004" i="2"/>
  <c r="N2005" i="2"/>
  <c r="O2005" i="2"/>
  <c r="N2006" i="2"/>
  <c r="O2006" i="2"/>
  <c r="N2007" i="2"/>
  <c r="O2007" i="2"/>
  <c r="N2008" i="2"/>
  <c r="O2008" i="2"/>
  <c r="N2009" i="2"/>
  <c r="O2009" i="2"/>
  <c r="N2010" i="2"/>
  <c r="O2010" i="2"/>
  <c r="N2011" i="2"/>
  <c r="O2011" i="2"/>
  <c r="N2012" i="2"/>
  <c r="O2012" i="2"/>
  <c r="N2013" i="2"/>
  <c r="O2013" i="2"/>
  <c r="N2014" i="2"/>
  <c r="O2014" i="2"/>
  <c r="N2015" i="2"/>
  <c r="O2015" i="2"/>
  <c r="N2016" i="2"/>
  <c r="O2016" i="2"/>
  <c r="N2017" i="2"/>
  <c r="O2017" i="2"/>
  <c r="N2018" i="2"/>
  <c r="O2018" i="2"/>
  <c r="N2019" i="2"/>
  <c r="O2019" i="2"/>
  <c r="N2020" i="2"/>
  <c r="O2020" i="2"/>
  <c r="N2021" i="2"/>
  <c r="O2021" i="2"/>
  <c r="N2022" i="2"/>
  <c r="O2022" i="2"/>
  <c r="N2023" i="2"/>
  <c r="O2023" i="2"/>
  <c r="N2024" i="2"/>
  <c r="O2024" i="2"/>
  <c r="N2025" i="2"/>
  <c r="O2025" i="2"/>
  <c r="N2026" i="2"/>
  <c r="O2026" i="2"/>
  <c r="N2027" i="2"/>
  <c r="O2027" i="2"/>
  <c r="N2028" i="2"/>
  <c r="O2028" i="2"/>
  <c r="N2029" i="2"/>
  <c r="O2029" i="2"/>
  <c r="N2030" i="2"/>
  <c r="O2030" i="2"/>
  <c r="N2031" i="2"/>
  <c r="O2031" i="2"/>
  <c r="N2032" i="2"/>
  <c r="O2032" i="2"/>
  <c r="N2033" i="2"/>
  <c r="O2033" i="2"/>
  <c r="N2034" i="2"/>
  <c r="O2034" i="2"/>
  <c r="N2035" i="2"/>
  <c r="O2035" i="2"/>
  <c r="N2036" i="2"/>
  <c r="O2036" i="2"/>
  <c r="N2037" i="2"/>
  <c r="O2037" i="2"/>
  <c r="N2038" i="2"/>
  <c r="O2038" i="2"/>
  <c r="N2039" i="2"/>
  <c r="O2039" i="2"/>
  <c r="N2040" i="2"/>
  <c r="O2040" i="2"/>
  <c r="N2041" i="2"/>
  <c r="O2041" i="2"/>
  <c r="N2042" i="2"/>
  <c r="O2042" i="2"/>
  <c r="N2043" i="2"/>
  <c r="O2043" i="2"/>
  <c r="N2044" i="2"/>
  <c r="O2044" i="2"/>
  <c r="N2045" i="2"/>
  <c r="O2045" i="2"/>
  <c r="N2046" i="2"/>
  <c r="O2046" i="2"/>
  <c r="N2047" i="2"/>
  <c r="O2047" i="2"/>
  <c r="N2048" i="2"/>
  <c r="O2048" i="2"/>
  <c r="N2049" i="2"/>
  <c r="O2049" i="2"/>
  <c r="N2050" i="2"/>
  <c r="O2050" i="2"/>
  <c r="N2051" i="2"/>
  <c r="O2051" i="2"/>
  <c r="N2052" i="2"/>
  <c r="O2052" i="2"/>
  <c r="N2053" i="2"/>
  <c r="O2053" i="2"/>
  <c r="N2054" i="2"/>
  <c r="O2054" i="2"/>
  <c r="N2055" i="2"/>
  <c r="O2055" i="2"/>
  <c r="N2056" i="2"/>
  <c r="O2056" i="2"/>
  <c r="N2057" i="2"/>
  <c r="O2057" i="2"/>
  <c r="N2058" i="2"/>
  <c r="O2058" i="2"/>
  <c r="N2059" i="2"/>
  <c r="O2059" i="2"/>
  <c r="N2060" i="2"/>
  <c r="O2060" i="2"/>
  <c r="N2061" i="2"/>
  <c r="O2061" i="2"/>
  <c r="N2062" i="2"/>
  <c r="O2062" i="2"/>
  <c r="N2063" i="2"/>
  <c r="O2063" i="2"/>
  <c r="N2064" i="2"/>
  <c r="O2064" i="2"/>
  <c r="N2065" i="2"/>
  <c r="O2065" i="2"/>
  <c r="N2066" i="2"/>
  <c r="O2066" i="2"/>
  <c r="N2067" i="2"/>
  <c r="O2067" i="2"/>
  <c r="N2068" i="2"/>
  <c r="O2068" i="2"/>
  <c r="N2069" i="2"/>
  <c r="O2069" i="2"/>
  <c r="N2070" i="2"/>
  <c r="O2070" i="2"/>
  <c r="N2071" i="2"/>
  <c r="O2071" i="2"/>
  <c r="N2072" i="2"/>
  <c r="O2072" i="2"/>
  <c r="N2073" i="2"/>
  <c r="O2073" i="2"/>
  <c r="N2074" i="2"/>
  <c r="O2074" i="2"/>
  <c r="N2075" i="2"/>
  <c r="O2075" i="2"/>
  <c r="N2076" i="2"/>
  <c r="O2076" i="2"/>
  <c r="N2077" i="2"/>
  <c r="O2077" i="2"/>
  <c r="N2078" i="2"/>
  <c r="O2078" i="2"/>
  <c r="N2079" i="2"/>
  <c r="O2079" i="2"/>
  <c r="N2080" i="2"/>
  <c r="O2080" i="2"/>
  <c r="N2081" i="2"/>
  <c r="O2081" i="2"/>
  <c r="N2082" i="2"/>
  <c r="O2082" i="2"/>
  <c r="N2083" i="2"/>
  <c r="O2083" i="2"/>
  <c r="N2084" i="2"/>
  <c r="O2084" i="2"/>
  <c r="N2085" i="2"/>
  <c r="O2085" i="2"/>
  <c r="N2086" i="2"/>
  <c r="O2086" i="2"/>
  <c r="N2087" i="2"/>
  <c r="O2087" i="2"/>
  <c r="N2088" i="2"/>
  <c r="O2088" i="2"/>
  <c r="N2089" i="2"/>
  <c r="O2089" i="2"/>
  <c r="N2090" i="2"/>
  <c r="O2090" i="2"/>
  <c r="N2091" i="2"/>
  <c r="O2091" i="2"/>
  <c r="N2092" i="2"/>
  <c r="O2092" i="2"/>
  <c r="N2093" i="2"/>
  <c r="O2093" i="2"/>
  <c r="N2094" i="2"/>
  <c r="O2094" i="2"/>
  <c r="N2095" i="2"/>
  <c r="O2095" i="2"/>
  <c r="N2096" i="2"/>
  <c r="O2096" i="2"/>
  <c r="N2097" i="2"/>
  <c r="O2097" i="2"/>
  <c r="N2098" i="2"/>
  <c r="O2098" i="2"/>
  <c r="N2099" i="2"/>
  <c r="O2099" i="2"/>
  <c r="N2100" i="2"/>
  <c r="O2100" i="2"/>
  <c r="N2101" i="2"/>
  <c r="O2101" i="2"/>
  <c r="N2102" i="2"/>
  <c r="O2102" i="2"/>
  <c r="N2103" i="2"/>
  <c r="O2103" i="2"/>
  <c r="N2104" i="2"/>
  <c r="O2104" i="2"/>
  <c r="N2105" i="2"/>
  <c r="O2105" i="2"/>
  <c r="N2106" i="2"/>
  <c r="O2106" i="2"/>
  <c r="N2107" i="2"/>
  <c r="O2107" i="2"/>
  <c r="N2108" i="2"/>
  <c r="O2108" i="2"/>
  <c r="N2109" i="2"/>
  <c r="O2109" i="2"/>
  <c r="N2110" i="2"/>
  <c r="O2110" i="2"/>
  <c r="N2111" i="2"/>
  <c r="O2111" i="2"/>
  <c r="N2112" i="2"/>
  <c r="O2112" i="2"/>
  <c r="N2113" i="2"/>
  <c r="O2113" i="2"/>
  <c r="N2114" i="2"/>
  <c r="O2114" i="2"/>
  <c r="N2115" i="2"/>
  <c r="O2115" i="2"/>
  <c r="N2116" i="2"/>
  <c r="O2116" i="2"/>
  <c r="N2245" i="2"/>
  <c r="O2245" i="2"/>
  <c r="N2246" i="2"/>
  <c r="O2246" i="2"/>
  <c r="N2247" i="2"/>
  <c r="O2247" i="2"/>
  <c r="N2248" i="2"/>
  <c r="O2248" i="2"/>
  <c r="N2249" i="2"/>
  <c r="O2249" i="2"/>
  <c r="N2250" i="2"/>
  <c r="O2250" i="2"/>
  <c r="N2117" i="2"/>
  <c r="O2117" i="2"/>
  <c r="N2118" i="2"/>
  <c r="O2118" i="2"/>
  <c r="N2119" i="2"/>
  <c r="O2119" i="2"/>
  <c r="N2120" i="2"/>
  <c r="O2120" i="2"/>
  <c r="N2121" i="2"/>
  <c r="O2121" i="2"/>
  <c r="N2122" i="2"/>
  <c r="O2122" i="2"/>
  <c r="N2123" i="2"/>
  <c r="O2123" i="2"/>
  <c r="N2124" i="2"/>
  <c r="O2124" i="2"/>
  <c r="N2125" i="2"/>
  <c r="O2125" i="2"/>
  <c r="N2126" i="2"/>
  <c r="O2126" i="2"/>
  <c r="N2127" i="2"/>
  <c r="O2127" i="2"/>
  <c r="N2128" i="2"/>
  <c r="O2128" i="2"/>
  <c r="N2129" i="2"/>
  <c r="O2129" i="2"/>
  <c r="N2130" i="2"/>
  <c r="O2130" i="2"/>
  <c r="N2131" i="2"/>
  <c r="O2131" i="2"/>
  <c r="N2132" i="2"/>
  <c r="O2132" i="2"/>
  <c r="N2133" i="2"/>
  <c r="O2133" i="2"/>
  <c r="N2134" i="2"/>
  <c r="O2134" i="2"/>
  <c r="N2135" i="2"/>
  <c r="O2135" i="2"/>
  <c r="N2136" i="2"/>
  <c r="O2136" i="2"/>
  <c r="N2137" i="2"/>
  <c r="O2137" i="2"/>
  <c r="N2138" i="2"/>
  <c r="O2138" i="2"/>
  <c r="N2139" i="2"/>
  <c r="O2139" i="2"/>
  <c r="N2140" i="2"/>
  <c r="O2140" i="2"/>
  <c r="N2141" i="2"/>
  <c r="O2141" i="2"/>
  <c r="N2142" i="2"/>
  <c r="O2142" i="2"/>
  <c r="N2143" i="2"/>
  <c r="O2143" i="2"/>
  <c r="N2144" i="2"/>
  <c r="O2144" i="2"/>
  <c r="N2145" i="2"/>
  <c r="O2145" i="2"/>
  <c r="N2146" i="2"/>
  <c r="O2146" i="2"/>
  <c r="N2147" i="2"/>
  <c r="O2147" i="2"/>
  <c r="N2148" i="2"/>
  <c r="O2148" i="2"/>
  <c r="N2149" i="2"/>
  <c r="O2149" i="2"/>
  <c r="N2150" i="2"/>
  <c r="O2150" i="2"/>
  <c r="N2151" i="2"/>
  <c r="O2151" i="2"/>
  <c r="N2152" i="2"/>
  <c r="O2152" i="2"/>
  <c r="N2153" i="2"/>
  <c r="O2153" i="2"/>
  <c r="N2154" i="2"/>
  <c r="O2154" i="2"/>
  <c r="N2155" i="2"/>
  <c r="O2155" i="2"/>
  <c r="N2156" i="2"/>
  <c r="O2156" i="2"/>
  <c r="N2157" i="2"/>
  <c r="O2157" i="2"/>
  <c r="N2158" i="2"/>
  <c r="O2158" i="2"/>
  <c r="N2159" i="2"/>
  <c r="O2159" i="2"/>
  <c r="N2160" i="2"/>
  <c r="O2160" i="2"/>
  <c r="N2161" i="2"/>
  <c r="O2161" i="2"/>
  <c r="N2162" i="2"/>
  <c r="O2162" i="2"/>
  <c r="N2163" i="2"/>
  <c r="O2163" i="2"/>
  <c r="N2164" i="2"/>
  <c r="O2164" i="2"/>
  <c r="N2165" i="2"/>
  <c r="O2165" i="2"/>
  <c r="N2166" i="2"/>
  <c r="O2166" i="2"/>
  <c r="N2167" i="2"/>
  <c r="O2167" i="2"/>
  <c r="N2168" i="2"/>
  <c r="O2168" i="2"/>
  <c r="N2169" i="2"/>
  <c r="O2169" i="2"/>
  <c r="N2170" i="2"/>
  <c r="O2170" i="2"/>
  <c r="N2171" i="2"/>
  <c r="O2171" i="2"/>
  <c r="N2172" i="2"/>
  <c r="O2172" i="2"/>
  <c r="N2173" i="2"/>
  <c r="O2173" i="2"/>
  <c r="N2174" i="2"/>
  <c r="O2174" i="2"/>
  <c r="N2176" i="2"/>
  <c r="O2176" i="2"/>
  <c r="N2177" i="2"/>
  <c r="O2177" i="2"/>
  <c r="N2178" i="2"/>
  <c r="O2178" i="2"/>
  <c r="N2179" i="2"/>
  <c r="O2179" i="2"/>
  <c r="N2180" i="2"/>
  <c r="O2180" i="2"/>
  <c r="N2181" i="2"/>
  <c r="O2181" i="2"/>
  <c r="N2182" i="2"/>
  <c r="O2182" i="2"/>
  <c r="N2183" i="2"/>
  <c r="O2183" i="2"/>
  <c r="N2184" i="2"/>
  <c r="O2184" i="2"/>
  <c r="N2185" i="2"/>
  <c r="O2185" i="2"/>
  <c r="N2186" i="2"/>
  <c r="O2186" i="2"/>
  <c r="N2187" i="2"/>
  <c r="O2187" i="2"/>
  <c r="N2188" i="2"/>
  <c r="O2188" i="2"/>
  <c r="N2189" i="2"/>
  <c r="O2189" i="2"/>
  <c r="N2190" i="2"/>
  <c r="O2190" i="2"/>
  <c r="N2191" i="2"/>
  <c r="O2191" i="2"/>
  <c r="N2192" i="2"/>
  <c r="O2192" i="2"/>
  <c r="N2193" i="2"/>
  <c r="O2193" i="2"/>
  <c r="N2194" i="2"/>
  <c r="O2194" i="2"/>
  <c r="N2195" i="2"/>
  <c r="O2195" i="2"/>
  <c r="N2196" i="2"/>
  <c r="O2196" i="2"/>
  <c r="N2197" i="2"/>
  <c r="O2197" i="2"/>
  <c r="N2198" i="2"/>
  <c r="O2198" i="2"/>
  <c r="N2199" i="2"/>
  <c r="O2199" i="2"/>
  <c r="N2200" i="2"/>
  <c r="O2200" i="2"/>
  <c r="N2201" i="2"/>
  <c r="O2201" i="2"/>
  <c r="N2202" i="2"/>
  <c r="O2202" i="2"/>
  <c r="N2203" i="2"/>
  <c r="O2203" i="2"/>
  <c r="N2204" i="2"/>
  <c r="O2204" i="2"/>
  <c r="N2205" i="2"/>
  <c r="O2205" i="2"/>
  <c r="N2206" i="2"/>
  <c r="O2206" i="2"/>
  <c r="N2207" i="2"/>
  <c r="O2207" i="2"/>
  <c r="N2208" i="2"/>
  <c r="O2208" i="2"/>
  <c r="N2209" i="2"/>
  <c r="O2209" i="2"/>
  <c r="N2210" i="2"/>
  <c r="O2210" i="2"/>
  <c r="N2211" i="2"/>
  <c r="O2211" i="2"/>
  <c r="N2212" i="2"/>
  <c r="O2212" i="2"/>
  <c r="N2213" i="2"/>
  <c r="O2213" i="2"/>
  <c r="N2214" i="2"/>
  <c r="O2214" i="2"/>
  <c r="N2215" i="2"/>
  <c r="O2215" i="2"/>
  <c r="N2216" i="2"/>
  <c r="O2216" i="2"/>
  <c r="N2217" i="2"/>
  <c r="O2217" i="2"/>
  <c r="N2218" i="2"/>
  <c r="O2218" i="2"/>
  <c r="N2219" i="2"/>
  <c r="O2219" i="2"/>
  <c r="N2220" i="2"/>
  <c r="O2220" i="2"/>
  <c r="N2221" i="2"/>
  <c r="O2221" i="2"/>
  <c r="N2222" i="2"/>
  <c r="O2222" i="2"/>
  <c r="N2223" i="2"/>
  <c r="O2223" i="2"/>
  <c r="N2224" i="2"/>
  <c r="O2224" i="2"/>
  <c r="N2225" i="2"/>
  <c r="O2225" i="2"/>
  <c r="N2226" i="2"/>
  <c r="O2226" i="2"/>
  <c r="N2227" i="2"/>
  <c r="O2227" i="2"/>
  <c r="N2228" i="2"/>
  <c r="O2228" i="2"/>
  <c r="N2229" i="2"/>
  <c r="O2229" i="2"/>
  <c r="N2230" i="2"/>
  <c r="O2230" i="2"/>
  <c r="N2231" i="2"/>
  <c r="O2231" i="2"/>
  <c r="N2232" i="2"/>
  <c r="O2232" i="2"/>
  <c r="N2233" i="2"/>
  <c r="O2233" i="2"/>
  <c r="N2234" i="2"/>
  <c r="O2234" i="2"/>
  <c r="N2235" i="2"/>
  <c r="O2235" i="2"/>
  <c r="N2236" i="2"/>
  <c r="O2236" i="2"/>
  <c r="N2237" i="2"/>
  <c r="O2237" i="2"/>
  <c r="N2238" i="2"/>
  <c r="O2238" i="2"/>
  <c r="N2239" i="2"/>
  <c r="O2239" i="2"/>
  <c r="N2240" i="2"/>
  <c r="O2240" i="2"/>
  <c r="N2241" i="2"/>
  <c r="O2241" i="2"/>
  <c r="N2242" i="2"/>
  <c r="O2242" i="2"/>
  <c r="N2243" i="2"/>
  <c r="O2243" i="2"/>
  <c r="N2244" i="2"/>
  <c r="O2244" i="2"/>
  <c r="N2252" i="2"/>
  <c r="O2252" i="2"/>
  <c r="M61" i="2"/>
  <c r="M62" i="2"/>
  <c r="M63" i="2"/>
  <c r="M64" i="2"/>
  <c r="M65" i="2"/>
  <c r="M66" i="2"/>
  <c r="M67" i="2"/>
  <c r="M68" i="2"/>
  <c r="M69" i="2"/>
  <c r="M70" i="2"/>
  <c r="M71" i="2"/>
  <c r="M72" i="2"/>
  <c r="M73" i="2"/>
  <c r="M74" i="2"/>
  <c r="M75" i="2"/>
  <c r="M76" i="2"/>
  <c r="M77" i="2"/>
  <c r="M78" i="2"/>
  <c r="M79" i="2"/>
  <c r="M80" i="2"/>
  <c r="M84" i="2"/>
  <c r="M85" i="2"/>
  <c r="M89" i="2"/>
  <c r="M90" i="2"/>
  <c r="M91" i="2"/>
  <c r="M92" i="2"/>
  <c r="M93" i="2"/>
  <c r="M96" i="2"/>
  <c r="M97" i="2"/>
  <c r="M100" i="2"/>
  <c r="M101" i="2"/>
  <c r="M102" i="2"/>
  <c r="M103" i="2"/>
  <c r="M104" i="2"/>
  <c r="M105" i="2"/>
  <c r="M109" i="2"/>
  <c r="M110" i="2"/>
  <c r="M113" i="2"/>
  <c r="M114" i="2"/>
  <c r="M115" i="2"/>
  <c r="M116" i="2"/>
  <c r="M117" i="2"/>
  <c r="M118" i="2"/>
  <c r="M119" i="2"/>
  <c r="M123" i="2"/>
  <c r="M124" i="2"/>
  <c r="M125" i="2"/>
  <c r="M126" i="2"/>
  <c r="M127" i="2"/>
  <c r="M128" i="2"/>
  <c r="M129" i="2"/>
  <c r="M130" i="2"/>
  <c r="M131" i="2"/>
  <c r="M132" i="2"/>
  <c r="M133" i="2"/>
  <c r="M136" i="2"/>
  <c r="M137" i="2"/>
  <c r="M138" i="2"/>
  <c r="M139" i="2"/>
  <c r="M140" i="2"/>
  <c r="M141" i="2"/>
  <c r="M142" i="2"/>
  <c r="M143" i="2"/>
  <c r="M144" i="2"/>
  <c r="M145" i="2"/>
  <c r="M146" i="2"/>
  <c r="M147" i="2"/>
  <c r="M151" i="2"/>
  <c r="M152" i="2"/>
  <c r="M153" i="2"/>
  <c r="M157" i="2"/>
  <c r="M158" i="2"/>
  <c r="M159" i="2"/>
  <c r="M163" i="2"/>
  <c r="M164" i="2"/>
  <c r="M168" i="2"/>
  <c r="M169" i="2"/>
  <c r="M172" i="2"/>
  <c r="M173" i="2"/>
  <c r="M174" i="2"/>
  <c r="M175" i="2"/>
  <c r="M176" i="2"/>
  <c r="M177" i="2"/>
  <c r="M178" i="2"/>
  <c r="M179" i="2"/>
  <c r="M180" i="2"/>
  <c r="M181" i="2"/>
  <c r="M182" i="2"/>
  <c r="M183" i="2"/>
  <c r="M186" i="2"/>
  <c r="M187" i="2"/>
  <c r="M188" i="2"/>
  <c r="M189" i="2"/>
  <c r="M190" i="2"/>
  <c r="M193"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88" i="2"/>
  <c r="M789" i="2"/>
  <c r="M790" i="2"/>
  <c r="M791" i="2"/>
  <c r="M792" i="2"/>
  <c r="M795" i="2"/>
  <c r="M798" i="2"/>
  <c r="M801" i="2"/>
  <c r="M804" i="2"/>
  <c r="M807" i="2"/>
  <c r="M810" i="2"/>
  <c r="M813" i="2"/>
  <c r="M816" i="2"/>
  <c r="M819" i="2"/>
  <c r="M822" i="2"/>
  <c r="M825" i="2"/>
  <c r="M828" i="2"/>
  <c r="M831" i="2"/>
  <c r="M834" i="2"/>
  <c r="M839" i="2"/>
  <c r="M842" i="2"/>
  <c r="M845" i="2"/>
  <c r="M848" i="2"/>
  <c r="M851" i="2"/>
  <c r="M854" i="2"/>
  <c r="M857" i="2"/>
  <c r="M860" i="2"/>
  <c r="M863" i="2"/>
  <c r="M866" i="2"/>
  <c r="M869" i="2"/>
  <c r="M872" i="2"/>
  <c r="M875" i="2"/>
  <c r="M878" i="2"/>
  <c r="M881" i="2"/>
  <c r="M884" i="2"/>
  <c r="M887" i="2"/>
  <c r="M890" i="2"/>
  <c r="M893" i="2"/>
  <c r="M896" i="2"/>
  <c r="M899" i="2"/>
  <c r="M902" i="2"/>
  <c r="M905" i="2"/>
  <c r="M908" i="2"/>
  <c r="M911" i="2"/>
  <c r="M914" i="2"/>
  <c r="M917" i="2"/>
  <c r="M920" i="2"/>
  <c r="M923" i="2"/>
  <c r="M926" i="2"/>
  <c r="M929" i="2"/>
  <c r="M934" i="2"/>
  <c r="M935" i="2"/>
  <c r="M936" i="2"/>
  <c r="M937" i="2"/>
  <c r="M938" i="2"/>
  <c r="M939" i="2"/>
  <c r="M940" i="2"/>
  <c r="M941" i="2"/>
  <c r="M942" i="2"/>
  <c r="M943" i="2"/>
  <c r="M945" i="2"/>
  <c r="M946" i="2"/>
  <c r="M947" i="2"/>
  <c r="M948" i="2"/>
  <c r="M949" i="2"/>
  <c r="M950" i="2"/>
  <c r="M951" i="2"/>
  <c r="M952" i="2"/>
  <c r="M953" i="2"/>
  <c r="M954" i="2"/>
  <c r="M955" i="2"/>
  <c r="M956" i="2"/>
  <c r="M957" i="2"/>
  <c r="M962" i="2"/>
  <c r="M965" i="2"/>
  <c r="M1020" i="2"/>
  <c r="M1021" i="2"/>
  <c r="M1022" i="2"/>
  <c r="M1023" i="2"/>
  <c r="M1024" i="2"/>
  <c r="M1025" i="2"/>
  <c r="M1026" i="2"/>
  <c r="M1100" i="2"/>
  <c r="M1115"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803" i="2"/>
  <c r="M1804" i="2"/>
  <c r="M1805" i="2"/>
  <c r="M1806" i="2"/>
  <c r="M1807" i="2"/>
  <c r="M1808" i="2"/>
  <c r="M1809" i="2"/>
  <c r="M1811" i="2"/>
  <c r="M1812" i="2"/>
  <c r="M1813" i="2"/>
  <c r="M1814" i="2"/>
  <c r="M1815" i="2"/>
  <c r="M1816" i="2"/>
  <c r="M1817" i="2"/>
  <c r="M1818" i="2"/>
  <c r="M1819" i="2"/>
  <c r="M1820" i="2"/>
  <c r="M1821"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245" i="2"/>
  <c r="M224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52" i="2"/>
  <c r="K63" i="2"/>
  <c r="K100" i="2"/>
  <c r="K123" i="2"/>
  <c r="K124" i="2"/>
  <c r="K132" i="2"/>
  <c r="K196" i="2"/>
  <c r="K228" i="2"/>
  <c r="K260" i="2"/>
  <c r="K276" i="2"/>
  <c r="K292" i="2"/>
  <c r="K308" i="2"/>
  <c r="K324" i="2"/>
  <c r="K340" i="2"/>
  <c r="K356" i="2"/>
  <c r="K372" i="2"/>
  <c r="K388" i="2"/>
  <c r="K404" i="2"/>
  <c r="K413" i="2"/>
  <c r="K424" i="2"/>
  <c r="K432" i="2"/>
  <c r="K445" i="2"/>
  <c r="K452" i="2"/>
  <c r="K460" i="2"/>
  <c r="K476" i="2"/>
  <c r="K477" i="2"/>
  <c r="K480" i="2"/>
  <c r="K488" i="2"/>
  <c r="K496" i="2"/>
  <c r="K509" i="2"/>
  <c r="K516" i="2"/>
  <c r="K524" i="2"/>
  <c r="K540" i="2"/>
  <c r="K541" i="2"/>
  <c r="K544" i="2"/>
  <c r="K552" i="2"/>
  <c r="K556" i="2"/>
  <c r="K564" i="2"/>
  <c r="K572" i="2"/>
  <c r="K580" i="2"/>
  <c r="K592" i="2"/>
  <c r="K600" i="2"/>
  <c r="K608" i="2"/>
  <c r="K616" i="2"/>
  <c r="K620" i="2"/>
  <c r="K628" i="2"/>
  <c r="K636" i="2"/>
  <c r="K644" i="2"/>
  <c r="K656" i="2"/>
  <c r="K664" i="2"/>
  <c r="K672" i="2"/>
  <c r="K680" i="2"/>
  <c r="K684" i="2"/>
  <c r="K692" i="2"/>
  <c r="K700" i="2"/>
  <c r="K708" i="2"/>
  <c r="K720" i="2"/>
  <c r="K728" i="2"/>
  <c r="K736" i="2"/>
  <c r="K744" i="2"/>
  <c r="K748" i="2"/>
  <c r="K756" i="2"/>
  <c r="K764" i="2"/>
  <c r="K790" i="2"/>
  <c r="K807" i="2"/>
  <c r="K893" i="2"/>
  <c r="K917" i="2"/>
  <c r="K937" i="2"/>
  <c r="K938" i="2"/>
  <c r="K941" i="2"/>
  <c r="K1022" i="2"/>
  <c r="K1136" i="2"/>
  <c r="K1137" i="2"/>
  <c r="K1144" i="2"/>
  <c r="K1156" i="2"/>
  <c r="K1169" i="2"/>
  <c r="K1192" i="2"/>
  <c r="K1201" i="2"/>
  <c r="K1217" i="2"/>
  <c r="K1226" i="2"/>
  <c r="K1233" i="2"/>
  <c r="K1249" i="2"/>
  <c r="K1254" i="2"/>
  <c r="K1265" i="2"/>
  <c r="K1281" i="2"/>
  <c r="K1294" i="2"/>
  <c r="K1297" i="2"/>
  <c r="K1302" i="2"/>
  <c r="K1313" i="2"/>
  <c r="K1318" i="2"/>
  <c r="K1329" i="2"/>
  <c r="K1345" i="2"/>
  <c r="K1358" i="2"/>
  <c r="K1361" i="2"/>
  <c r="K1366" i="2"/>
  <c r="K1486" i="2"/>
  <c r="K1491" i="2"/>
  <c r="K1502" i="2"/>
  <c r="K1518" i="2"/>
  <c r="K1531" i="2"/>
  <c r="K1534" i="2"/>
  <c r="K1539" i="2"/>
  <c r="K1550" i="2"/>
  <c r="K1559" i="2"/>
  <c r="K1566" i="2"/>
  <c r="K1575" i="2"/>
  <c r="K1582" i="2"/>
  <c r="K1583" i="2"/>
  <c r="K1587" i="2"/>
  <c r="K1598" i="2"/>
  <c r="K1614" i="2"/>
  <c r="K1630" i="2"/>
  <c r="K1646" i="2"/>
  <c r="K1651" i="2"/>
  <c r="K1663" i="2"/>
  <c r="K1676" i="2"/>
  <c r="K1679" i="2"/>
  <c r="K1680" i="2"/>
  <c r="K1695" i="2"/>
  <c r="K1711" i="2"/>
  <c r="K1717" i="2"/>
  <c r="K1728" i="2"/>
  <c r="K1744" i="2"/>
  <c r="K1757" i="2"/>
  <c r="K1760" i="2"/>
  <c r="K1761" i="2"/>
  <c r="K1776" i="2"/>
  <c r="K1781" i="2"/>
  <c r="K1792" i="2"/>
  <c r="K1820" i="2"/>
  <c r="K1821" i="2"/>
  <c r="K1860" i="2"/>
  <c r="K1876" i="2"/>
  <c r="K1897" i="2"/>
  <c r="K1904" i="2"/>
  <c r="K1928" i="2"/>
  <c r="K1929" i="2"/>
  <c r="K1932" i="2"/>
  <c r="K1948" i="2"/>
  <c r="K1956" i="2"/>
  <c r="K1961" i="2"/>
  <c r="K1964" i="2"/>
  <c r="K1980" i="2"/>
  <c r="K1992" i="2"/>
  <c r="K1993" i="2"/>
  <c r="K1996" i="2"/>
  <c r="K2012" i="2"/>
  <c r="K2025" i="2"/>
  <c r="K2040" i="2"/>
  <c r="K2052" i="2"/>
  <c r="K2057" i="2"/>
  <c r="K2064" i="2"/>
  <c r="K2080" i="2"/>
  <c r="K2089" i="2"/>
  <c r="K2100" i="2"/>
  <c r="K2117" i="2"/>
  <c r="K2122" i="2"/>
  <c r="K2138" i="2"/>
  <c r="K2154" i="2"/>
  <c r="K2165" i="2"/>
  <c r="K2174" i="2"/>
  <c r="K2182" i="2"/>
  <c r="K2187" i="2"/>
  <c r="K2198" i="2"/>
  <c r="K2207" i="2"/>
  <c r="K2211" i="2"/>
  <c r="K2214" i="2"/>
  <c r="K2215" i="2"/>
  <c r="K2231" i="2"/>
  <c r="K2212" i="6" l="1"/>
  <c r="L2212" i="6" s="1"/>
  <c r="G2212" i="6"/>
  <c r="K2201" i="6"/>
  <c r="L2201" i="6" s="1"/>
  <c r="G2201" i="6"/>
  <c r="K2197" i="6"/>
  <c r="L2197" i="6" s="1"/>
  <c r="G2197" i="6"/>
  <c r="K2193" i="6"/>
  <c r="L2193" i="6" s="1"/>
  <c r="G2193" i="6"/>
  <c r="K2189" i="6"/>
  <c r="L2189" i="6" s="1"/>
  <c r="G2189" i="6"/>
  <c r="K2185" i="6"/>
  <c r="L2185" i="6" s="1"/>
  <c r="G2185" i="6"/>
  <c r="K2181" i="6"/>
  <c r="L2181" i="6" s="1"/>
  <c r="G2181" i="6"/>
  <c r="K2177" i="6"/>
  <c r="L2177" i="6" s="1"/>
  <c r="G2177" i="6"/>
  <c r="K2173" i="6"/>
  <c r="L2173" i="6" s="1"/>
  <c r="G2173" i="6"/>
  <c r="K2169" i="6"/>
  <c r="L2169" i="6" s="1"/>
  <c r="G2169" i="6"/>
  <c r="K2165" i="6"/>
  <c r="L2165" i="6" s="1"/>
  <c r="G2165" i="6"/>
  <c r="K2161" i="6"/>
  <c r="L2161" i="6" s="1"/>
  <c r="G2161" i="6"/>
  <c r="K2157" i="6"/>
  <c r="L2157" i="6" s="1"/>
  <c r="G2157" i="6"/>
  <c r="K2153" i="6"/>
  <c r="L2153" i="6" s="1"/>
  <c r="G2153" i="6"/>
  <c r="K2149" i="6"/>
  <c r="L2149" i="6" s="1"/>
  <c r="G2149" i="6"/>
  <c r="K2145" i="6"/>
  <c r="L2145" i="6" s="1"/>
  <c r="G2145" i="6"/>
  <c r="K2141" i="6"/>
  <c r="L2141" i="6" s="1"/>
  <c r="G2141" i="6"/>
  <c r="K2137" i="6"/>
  <c r="L2137" i="6" s="1"/>
  <c r="G2137" i="6"/>
  <c r="K2132" i="6"/>
  <c r="L2132" i="6" s="1"/>
  <c r="G2132" i="6"/>
  <c r="K2128" i="6"/>
  <c r="L2128" i="6" s="1"/>
  <c r="G2128" i="6"/>
  <c r="K2124" i="6"/>
  <c r="L2124" i="6" s="1"/>
  <c r="G2124" i="6"/>
  <c r="K2120" i="6"/>
  <c r="L2120" i="6" s="1"/>
  <c r="G2120" i="6"/>
  <c r="K2116" i="6"/>
  <c r="L2116" i="6" s="1"/>
  <c r="G2116" i="6"/>
  <c r="K2112" i="6"/>
  <c r="L2112" i="6" s="1"/>
  <c r="G2112" i="6"/>
  <c r="K2108" i="6"/>
  <c r="L2108" i="6" s="1"/>
  <c r="G2108" i="6"/>
  <c r="K2104" i="6"/>
  <c r="L2104" i="6" s="1"/>
  <c r="G2104" i="6"/>
  <c r="K2100" i="6"/>
  <c r="L2100" i="6" s="1"/>
  <c r="G2100" i="6"/>
  <c r="K2096" i="6"/>
  <c r="L2096" i="6" s="1"/>
  <c r="G2096" i="6"/>
  <c r="K2092" i="6"/>
  <c r="L2092" i="6" s="1"/>
  <c r="G2092" i="6"/>
  <c r="K2088" i="6"/>
  <c r="L2088" i="6" s="1"/>
  <c r="G2088" i="6"/>
  <c r="K2084" i="6"/>
  <c r="L2084" i="6" s="1"/>
  <c r="G2084" i="6"/>
  <c r="K2080" i="6"/>
  <c r="L2080" i="6" s="1"/>
  <c r="G2080" i="6"/>
  <c r="K2206" i="6"/>
  <c r="L2206" i="6" s="1"/>
  <c r="G2206" i="6"/>
  <c r="K2074" i="6"/>
  <c r="L2074" i="6" s="1"/>
  <c r="G2074" i="6"/>
  <c r="K2070" i="6"/>
  <c r="L2070" i="6" s="1"/>
  <c r="G2070" i="6"/>
  <c r="K2066" i="6"/>
  <c r="L2066" i="6" s="1"/>
  <c r="G2066" i="6"/>
  <c r="K2062" i="6"/>
  <c r="L2062" i="6" s="1"/>
  <c r="G2062" i="6"/>
  <c r="K2058" i="6"/>
  <c r="L2058" i="6" s="1"/>
  <c r="G2058" i="6"/>
  <c r="K2054" i="6"/>
  <c r="L2054" i="6" s="1"/>
  <c r="G2054" i="6"/>
  <c r="K2050" i="6"/>
  <c r="L2050" i="6" s="1"/>
  <c r="G2050" i="6"/>
  <c r="K2046" i="6"/>
  <c r="L2046" i="6" s="1"/>
  <c r="G2046" i="6"/>
  <c r="K2042" i="6"/>
  <c r="L2042" i="6" s="1"/>
  <c r="G2042" i="6"/>
  <c r="K2038" i="6"/>
  <c r="L2038" i="6" s="1"/>
  <c r="G2038" i="6"/>
  <c r="K2034" i="6"/>
  <c r="L2034" i="6" s="1"/>
  <c r="G2034" i="6"/>
  <c r="K2030" i="6"/>
  <c r="L2030" i="6" s="1"/>
  <c r="G2030" i="6"/>
  <c r="K2026" i="6"/>
  <c r="L2026" i="6" s="1"/>
  <c r="G2026" i="6"/>
  <c r="K2022" i="6"/>
  <c r="L2022" i="6" s="1"/>
  <c r="G2022" i="6"/>
  <c r="K2018" i="6"/>
  <c r="L2018" i="6" s="1"/>
  <c r="G2018" i="6"/>
  <c r="K2014" i="6"/>
  <c r="L2014" i="6" s="1"/>
  <c r="G2014" i="6"/>
  <c r="K2010" i="6"/>
  <c r="L2010" i="6" s="1"/>
  <c r="G2010" i="6"/>
  <c r="K2006" i="6"/>
  <c r="L2006" i="6" s="1"/>
  <c r="G2006" i="6"/>
  <c r="K2002" i="6"/>
  <c r="L2002" i="6" s="1"/>
  <c r="G2002" i="6"/>
  <c r="K1998" i="6"/>
  <c r="L1998" i="6" s="1"/>
  <c r="G1998" i="6"/>
  <c r="K1994" i="6"/>
  <c r="L1994" i="6" s="1"/>
  <c r="G1994" i="6"/>
  <c r="K1990" i="6"/>
  <c r="L1990" i="6" s="1"/>
  <c r="G1990" i="6"/>
  <c r="K1986" i="6"/>
  <c r="L1986" i="6" s="1"/>
  <c r="G1986" i="6"/>
  <c r="K1982" i="6"/>
  <c r="L1982" i="6" s="1"/>
  <c r="G1982" i="6"/>
  <c r="K1978" i="6"/>
  <c r="L1978" i="6" s="1"/>
  <c r="G1978" i="6"/>
  <c r="K1974" i="6"/>
  <c r="L1974" i="6" s="1"/>
  <c r="G1974" i="6"/>
  <c r="K1970" i="6"/>
  <c r="L1970" i="6" s="1"/>
  <c r="G1970" i="6"/>
  <c r="K1966" i="6"/>
  <c r="L1966" i="6" s="1"/>
  <c r="G1966" i="6"/>
  <c r="K1962" i="6"/>
  <c r="L1962" i="6" s="1"/>
  <c r="G1962" i="6"/>
  <c r="K1958" i="6"/>
  <c r="L1958" i="6" s="1"/>
  <c r="G1958" i="6"/>
  <c r="K1954" i="6"/>
  <c r="L1954" i="6" s="1"/>
  <c r="G1954" i="6"/>
  <c r="K1950" i="6"/>
  <c r="L1950" i="6" s="1"/>
  <c r="G1950" i="6"/>
  <c r="K1946" i="6"/>
  <c r="L1946" i="6" s="1"/>
  <c r="G1946" i="6"/>
  <c r="K1942" i="6"/>
  <c r="L1942" i="6" s="1"/>
  <c r="G1942" i="6"/>
  <c r="K1938" i="6"/>
  <c r="L1938" i="6" s="1"/>
  <c r="G1938" i="6"/>
  <c r="K1934" i="6"/>
  <c r="L1934" i="6" s="1"/>
  <c r="G1934" i="6"/>
  <c r="K1930" i="6"/>
  <c r="L1930" i="6" s="1"/>
  <c r="G1930" i="6"/>
  <c r="K1926" i="6"/>
  <c r="L1926" i="6" s="1"/>
  <c r="G1926" i="6"/>
  <c r="K1922" i="6"/>
  <c r="L1922" i="6" s="1"/>
  <c r="G1922" i="6"/>
  <c r="K1918" i="6"/>
  <c r="L1918" i="6" s="1"/>
  <c r="G1918" i="6"/>
  <c r="K1914" i="6"/>
  <c r="L1914" i="6" s="1"/>
  <c r="G1914" i="6"/>
  <c r="K1910" i="6"/>
  <c r="L1910" i="6" s="1"/>
  <c r="G1910" i="6"/>
  <c r="K1906" i="6"/>
  <c r="L1906" i="6" s="1"/>
  <c r="G1906" i="6"/>
  <c r="K1902" i="6"/>
  <c r="L1902" i="6" s="1"/>
  <c r="G1902" i="6"/>
  <c r="K1898" i="6"/>
  <c r="L1898" i="6" s="1"/>
  <c r="G1898" i="6"/>
  <c r="K1894" i="6"/>
  <c r="L1894" i="6" s="1"/>
  <c r="G1894" i="6"/>
  <c r="K1890" i="6"/>
  <c r="L1890" i="6" s="1"/>
  <c r="G1890" i="6"/>
  <c r="K1886" i="6"/>
  <c r="L1886" i="6" s="1"/>
  <c r="G1886" i="6"/>
  <c r="K1882" i="6"/>
  <c r="L1882" i="6" s="1"/>
  <c r="G1882" i="6"/>
  <c r="K1878" i="6"/>
  <c r="L1878" i="6" s="1"/>
  <c r="G1878" i="6"/>
  <c r="K1874" i="6"/>
  <c r="L1874" i="6" s="1"/>
  <c r="G1874" i="6"/>
  <c r="K1870" i="6"/>
  <c r="L1870" i="6" s="1"/>
  <c r="G1870" i="6"/>
  <c r="K1866" i="6"/>
  <c r="L1866" i="6" s="1"/>
  <c r="G1866" i="6"/>
  <c r="K1862" i="6"/>
  <c r="L1862" i="6" s="1"/>
  <c r="G1862" i="6"/>
  <c r="K1858" i="6"/>
  <c r="L1858" i="6" s="1"/>
  <c r="G1858" i="6"/>
  <c r="K1854" i="6"/>
  <c r="L1854" i="6" s="1"/>
  <c r="G1854" i="6"/>
  <c r="K1842" i="6"/>
  <c r="L1842" i="6" s="1"/>
  <c r="G1842" i="6"/>
  <c r="K1838" i="6"/>
  <c r="L1838" i="6" s="1"/>
  <c r="G1838" i="6"/>
  <c r="K1834" i="6"/>
  <c r="L1834" i="6" s="1"/>
  <c r="G1834" i="6"/>
  <c r="K1830" i="6"/>
  <c r="L1830" i="6" s="1"/>
  <c r="G1830" i="6"/>
  <c r="K1826" i="6"/>
  <c r="L1826" i="6" s="1"/>
  <c r="G1826" i="6"/>
  <c r="K1822" i="6"/>
  <c r="L1822" i="6" s="1"/>
  <c r="G1822" i="6"/>
  <c r="K1818" i="6"/>
  <c r="L1818" i="6" s="1"/>
  <c r="G1818" i="6"/>
  <c r="K1778" i="6"/>
  <c r="L1778" i="6" s="1"/>
  <c r="G1778" i="6"/>
  <c r="K1774" i="6"/>
  <c r="L1774" i="6" s="1"/>
  <c r="G1774" i="6"/>
  <c r="K1769" i="6"/>
  <c r="L1769" i="6" s="1"/>
  <c r="G1769" i="6"/>
  <c r="K1765" i="6"/>
  <c r="L1765" i="6" s="1"/>
  <c r="G1765" i="6"/>
  <c r="K1755" i="6"/>
  <c r="L1755" i="6" s="1"/>
  <c r="G1755" i="6"/>
  <c r="K1751" i="6"/>
  <c r="L1751" i="6" s="1"/>
  <c r="G1751" i="6"/>
  <c r="K1747" i="6"/>
  <c r="L1747" i="6" s="1"/>
  <c r="G1747" i="6"/>
  <c r="K1743" i="6"/>
  <c r="L1743" i="6" s="1"/>
  <c r="G1743" i="6"/>
  <c r="K1739" i="6"/>
  <c r="L1739" i="6" s="1"/>
  <c r="G1739" i="6"/>
  <c r="K1735" i="6"/>
  <c r="L1735" i="6" s="1"/>
  <c r="G1735" i="6"/>
  <c r="K1731" i="6"/>
  <c r="L1731" i="6" s="1"/>
  <c r="G1731" i="6"/>
  <c r="K1727" i="6"/>
  <c r="L1727" i="6" s="1"/>
  <c r="G1727" i="6"/>
  <c r="K1723" i="6"/>
  <c r="L1723" i="6" s="1"/>
  <c r="G1723" i="6"/>
  <c r="K1719" i="6"/>
  <c r="L1719" i="6" s="1"/>
  <c r="G1719" i="6"/>
  <c r="K1715" i="6"/>
  <c r="L1715" i="6" s="1"/>
  <c r="G1715" i="6"/>
  <c r="K1711" i="6"/>
  <c r="L1711" i="6" s="1"/>
  <c r="G1711" i="6"/>
  <c r="K1707" i="6"/>
  <c r="L1707" i="6" s="1"/>
  <c r="G1707" i="6"/>
  <c r="K1703" i="6"/>
  <c r="L1703" i="6" s="1"/>
  <c r="G1703" i="6"/>
  <c r="K1699" i="6"/>
  <c r="L1699" i="6" s="1"/>
  <c r="G1699" i="6"/>
  <c r="K1695" i="6"/>
  <c r="L1695" i="6" s="1"/>
  <c r="G1695" i="6"/>
  <c r="K1691" i="6"/>
  <c r="L1691" i="6" s="1"/>
  <c r="G1691" i="6"/>
  <c r="K1687" i="6"/>
  <c r="L1687" i="6" s="1"/>
  <c r="G1687" i="6"/>
  <c r="K1683" i="6"/>
  <c r="L1683" i="6" s="1"/>
  <c r="G1683" i="6"/>
  <c r="K1679" i="6"/>
  <c r="L1679" i="6" s="1"/>
  <c r="G1679" i="6"/>
  <c r="K1674" i="6"/>
  <c r="L1674" i="6" s="1"/>
  <c r="G1674" i="6"/>
  <c r="K1670" i="6"/>
  <c r="L1670" i="6" s="1"/>
  <c r="G1670" i="6"/>
  <c r="K1666" i="6"/>
  <c r="L1666" i="6" s="1"/>
  <c r="G1666" i="6"/>
  <c r="K1662" i="6"/>
  <c r="L1662" i="6" s="1"/>
  <c r="G1662" i="6"/>
  <c r="K1658" i="6"/>
  <c r="L1658" i="6" s="1"/>
  <c r="G1658" i="6"/>
  <c r="K1654" i="6"/>
  <c r="L1654" i="6" s="1"/>
  <c r="G1654" i="6"/>
  <c r="K1650" i="6"/>
  <c r="L1650" i="6" s="1"/>
  <c r="G1650" i="6"/>
  <c r="K1646" i="6"/>
  <c r="L1646" i="6" s="1"/>
  <c r="G1646" i="6"/>
  <c r="K1642" i="6"/>
  <c r="L1642" i="6" s="1"/>
  <c r="G1642" i="6"/>
  <c r="K1638" i="6"/>
  <c r="L1638" i="6" s="1"/>
  <c r="G1638" i="6"/>
  <c r="K1634" i="6"/>
  <c r="L1634" i="6" s="1"/>
  <c r="G1634" i="6"/>
  <c r="K1630" i="6"/>
  <c r="L1630" i="6" s="1"/>
  <c r="G1630" i="6"/>
  <c r="K1626" i="6"/>
  <c r="L1626" i="6" s="1"/>
  <c r="G1626" i="6"/>
  <c r="K1622" i="6"/>
  <c r="L1622" i="6" s="1"/>
  <c r="G1622" i="6"/>
  <c r="K1617" i="6"/>
  <c r="L1617" i="6" s="1"/>
  <c r="G1617" i="6"/>
  <c r="K1613" i="6"/>
  <c r="L1613" i="6" s="1"/>
  <c r="G1613" i="6"/>
  <c r="K1609" i="6"/>
  <c r="L1609" i="6" s="1"/>
  <c r="G1609" i="6"/>
  <c r="K1605" i="6"/>
  <c r="L1605" i="6" s="1"/>
  <c r="G1605" i="6"/>
  <c r="K1601" i="6"/>
  <c r="L1601" i="6" s="1"/>
  <c r="G1601" i="6"/>
  <c r="K1597" i="6"/>
  <c r="L1597" i="6" s="1"/>
  <c r="G1597" i="6"/>
  <c r="K1593" i="6"/>
  <c r="L1593" i="6" s="1"/>
  <c r="G1593" i="6"/>
  <c r="K1589" i="6"/>
  <c r="L1589" i="6" s="1"/>
  <c r="G1589" i="6"/>
  <c r="K1585" i="6"/>
  <c r="L1585" i="6" s="1"/>
  <c r="G1585" i="6"/>
  <c r="K1581" i="6"/>
  <c r="L1581" i="6" s="1"/>
  <c r="G1581" i="6"/>
  <c r="K1577" i="6"/>
  <c r="L1577" i="6" s="1"/>
  <c r="G1577" i="6"/>
  <c r="K1573" i="6"/>
  <c r="L1573" i="6" s="1"/>
  <c r="G1573" i="6"/>
  <c r="K1569" i="6"/>
  <c r="L1569" i="6" s="1"/>
  <c r="G1569" i="6"/>
  <c r="K1565" i="6"/>
  <c r="L1565" i="6" s="1"/>
  <c r="G1565" i="6"/>
  <c r="K1561" i="6"/>
  <c r="L1561" i="6" s="1"/>
  <c r="G1561" i="6"/>
  <c r="K1557" i="6"/>
  <c r="L1557" i="6" s="1"/>
  <c r="G1557" i="6"/>
  <c r="K1553" i="6"/>
  <c r="L1553" i="6" s="1"/>
  <c r="G1553" i="6"/>
  <c r="K1549" i="6"/>
  <c r="L1549" i="6" s="1"/>
  <c r="G1549" i="6"/>
  <c r="K1545" i="6"/>
  <c r="L1545" i="6" s="1"/>
  <c r="G1545" i="6"/>
  <c r="K1541" i="6"/>
  <c r="L1541" i="6" s="1"/>
  <c r="G1541" i="6"/>
  <c r="K1537" i="6"/>
  <c r="L1537" i="6" s="1"/>
  <c r="G1537" i="6"/>
  <c r="K1533" i="6"/>
  <c r="L1533" i="6" s="1"/>
  <c r="G1533" i="6"/>
  <c r="K1529" i="6"/>
  <c r="L1529" i="6" s="1"/>
  <c r="G1529" i="6"/>
  <c r="K1525" i="6"/>
  <c r="L1525" i="6" s="1"/>
  <c r="G1525" i="6"/>
  <c r="K1521" i="6"/>
  <c r="L1521" i="6" s="1"/>
  <c r="G1521" i="6"/>
  <c r="K1517" i="6"/>
  <c r="L1517" i="6" s="1"/>
  <c r="G1517" i="6"/>
  <c r="K1513" i="6"/>
  <c r="L1513" i="6" s="1"/>
  <c r="G1513" i="6"/>
  <c r="K1509" i="6"/>
  <c r="L1509" i="6" s="1"/>
  <c r="G1509" i="6"/>
  <c r="K1505" i="6"/>
  <c r="L1505" i="6" s="1"/>
  <c r="G1505" i="6"/>
  <c r="K1501" i="6"/>
  <c r="L1501" i="6" s="1"/>
  <c r="G1501" i="6"/>
  <c r="K1497" i="6"/>
  <c r="L1497" i="6" s="1"/>
  <c r="G1497" i="6"/>
  <c r="K1493" i="6"/>
  <c r="L1493" i="6" s="1"/>
  <c r="G1493" i="6"/>
  <c r="K1489" i="6"/>
  <c r="L1489" i="6" s="1"/>
  <c r="G1489" i="6"/>
  <c r="K1485" i="6"/>
  <c r="L1485" i="6" s="1"/>
  <c r="G1485" i="6"/>
  <c r="K1481" i="6"/>
  <c r="L1481" i="6" s="1"/>
  <c r="G1481" i="6"/>
  <c r="K1477" i="6"/>
  <c r="L1477" i="6" s="1"/>
  <c r="G1477" i="6"/>
  <c r="K1473" i="6"/>
  <c r="L1473" i="6" s="1"/>
  <c r="G1473" i="6"/>
  <c r="K1469" i="6"/>
  <c r="L1469" i="6" s="1"/>
  <c r="G1469" i="6"/>
  <c r="K1465" i="6"/>
  <c r="L1465" i="6" s="1"/>
  <c r="G1465" i="6"/>
  <c r="K1461" i="6"/>
  <c r="L1461" i="6" s="1"/>
  <c r="G1461" i="6"/>
  <c r="K1457" i="6"/>
  <c r="L1457" i="6" s="1"/>
  <c r="G1457" i="6"/>
  <c r="K1453" i="6"/>
  <c r="L1453" i="6" s="1"/>
  <c r="G1453" i="6"/>
  <c r="K1449" i="6"/>
  <c r="L1449" i="6" s="1"/>
  <c r="G1449" i="6"/>
  <c r="K1445" i="6"/>
  <c r="L1445" i="6" s="1"/>
  <c r="G1445" i="6"/>
  <c r="K1441" i="6"/>
  <c r="L1441" i="6" s="1"/>
  <c r="G1441" i="6"/>
  <c r="K1437" i="6"/>
  <c r="L1437" i="6" s="1"/>
  <c r="G1437" i="6"/>
  <c r="K1308" i="6"/>
  <c r="L1308" i="6" s="1"/>
  <c r="G1308" i="6"/>
  <c r="K1300" i="6"/>
  <c r="L1300" i="6" s="1"/>
  <c r="G1300" i="6"/>
  <c r="K1272" i="6"/>
  <c r="L1272" i="6" s="1"/>
  <c r="G1272" i="6"/>
  <c r="K1260" i="6"/>
  <c r="L1260" i="6" s="1"/>
  <c r="G1260" i="6"/>
  <c r="K1228" i="6"/>
  <c r="L1228" i="6" s="1"/>
  <c r="G1228" i="6"/>
  <c r="K1220" i="6"/>
  <c r="L1220" i="6" s="1"/>
  <c r="G1220" i="6"/>
  <c r="K1204" i="6"/>
  <c r="L1204" i="6" s="1"/>
  <c r="G1204" i="6"/>
  <c r="K1180" i="6"/>
  <c r="L1180" i="6" s="1"/>
  <c r="G1180" i="6"/>
  <c r="K1172" i="6"/>
  <c r="L1172" i="6" s="1"/>
  <c r="G1172" i="6"/>
  <c r="K1138" i="6"/>
  <c r="L1138" i="6" s="1"/>
  <c r="G1138" i="6"/>
  <c r="K1098" i="6"/>
  <c r="L1098" i="6" s="1"/>
  <c r="G1098" i="6"/>
  <c r="K912" i="6"/>
  <c r="L912" i="6" s="1"/>
  <c r="G912" i="6"/>
  <c r="K899" i="6"/>
  <c r="L899" i="6" s="1"/>
  <c r="G899" i="6"/>
  <c r="K835" i="6"/>
  <c r="L835" i="6" s="1"/>
  <c r="G835" i="6"/>
  <c r="K730" i="6"/>
  <c r="L730" i="6" s="1"/>
  <c r="G730" i="6"/>
  <c r="K722" i="6"/>
  <c r="L722" i="6" s="1"/>
  <c r="G722" i="6"/>
  <c r="K714" i="6"/>
  <c r="L714" i="6" s="1"/>
  <c r="G714" i="6"/>
  <c r="K706" i="6"/>
  <c r="L706" i="6" s="1"/>
  <c r="G706" i="6"/>
  <c r="K698" i="6"/>
  <c r="L698" i="6" s="1"/>
  <c r="G698" i="6"/>
  <c r="K690" i="6"/>
  <c r="L690" i="6" s="1"/>
  <c r="G690" i="6"/>
  <c r="K682" i="6"/>
  <c r="L682" i="6" s="1"/>
  <c r="G682" i="6"/>
  <c r="K674" i="6"/>
  <c r="L674" i="6" s="1"/>
  <c r="G674" i="6"/>
  <c r="K666" i="6"/>
  <c r="L666" i="6" s="1"/>
  <c r="G666" i="6"/>
  <c r="K658" i="6"/>
  <c r="L658" i="6" s="1"/>
  <c r="G658" i="6"/>
  <c r="K650" i="6"/>
  <c r="L650" i="6" s="1"/>
  <c r="G650" i="6"/>
  <c r="K642" i="6"/>
  <c r="L642" i="6" s="1"/>
  <c r="G642" i="6"/>
  <c r="K634" i="6"/>
  <c r="L634" i="6" s="1"/>
  <c r="G634" i="6"/>
  <c r="K626" i="6"/>
  <c r="L626" i="6" s="1"/>
  <c r="G626" i="6"/>
  <c r="K618" i="6"/>
  <c r="L618" i="6" s="1"/>
  <c r="G618" i="6"/>
  <c r="K610" i="6"/>
  <c r="L610" i="6" s="1"/>
  <c r="G610" i="6"/>
  <c r="K602" i="6"/>
  <c r="L602" i="6" s="1"/>
  <c r="G602" i="6"/>
  <c r="K594" i="6"/>
  <c r="L594" i="6" s="1"/>
  <c r="G594" i="6"/>
  <c r="K586" i="6"/>
  <c r="L586" i="6" s="1"/>
  <c r="G586" i="6"/>
  <c r="K578" i="6"/>
  <c r="L578" i="6" s="1"/>
  <c r="G578" i="6"/>
  <c r="K570" i="6"/>
  <c r="L570" i="6" s="1"/>
  <c r="G570" i="6"/>
  <c r="K562" i="6"/>
  <c r="L562" i="6" s="1"/>
  <c r="G562" i="6"/>
  <c r="K554" i="6"/>
  <c r="L554" i="6" s="1"/>
  <c r="G554" i="6"/>
  <c r="K546" i="6"/>
  <c r="L546" i="6" s="1"/>
  <c r="G546" i="6"/>
  <c r="K538" i="6"/>
  <c r="L538" i="6" s="1"/>
  <c r="G538" i="6"/>
  <c r="K530" i="6"/>
  <c r="L530" i="6" s="1"/>
  <c r="G530" i="6"/>
  <c r="K522" i="6"/>
  <c r="L522" i="6" s="1"/>
  <c r="G522" i="6"/>
  <c r="K514" i="6"/>
  <c r="L514" i="6" s="1"/>
  <c r="G514" i="6"/>
  <c r="K506" i="6"/>
  <c r="L506" i="6" s="1"/>
  <c r="G506" i="6"/>
  <c r="K474" i="6"/>
  <c r="L474" i="6" s="1"/>
  <c r="G474" i="6"/>
  <c r="K406" i="6"/>
  <c r="L406" i="6" s="1"/>
  <c r="G406" i="6"/>
  <c r="K394" i="6"/>
  <c r="L394" i="6" s="1"/>
  <c r="G394" i="6"/>
  <c r="K386" i="6"/>
  <c r="L386" i="6" s="1"/>
  <c r="G386" i="6"/>
  <c r="K378" i="6"/>
  <c r="L378" i="6" s="1"/>
  <c r="G378" i="6"/>
  <c r="K346" i="6"/>
  <c r="L346" i="6" s="1"/>
  <c r="G346" i="6"/>
  <c r="K318" i="6"/>
  <c r="L318" i="6" s="1"/>
  <c r="G318" i="6"/>
  <c r="K282" i="6"/>
  <c r="L282" i="6" s="1"/>
  <c r="G282" i="6"/>
  <c r="K254" i="6"/>
  <c r="L254" i="6" s="1"/>
  <c r="G254" i="6"/>
  <c r="K218" i="6"/>
  <c r="L218" i="6" s="1"/>
  <c r="G218" i="6"/>
  <c r="K190" i="6"/>
  <c r="L190" i="6" s="1"/>
  <c r="G190" i="6"/>
  <c r="K147" i="6"/>
  <c r="L147" i="6" s="1"/>
  <c r="G147" i="6"/>
  <c r="K107" i="6"/>
  <c r="L107" i="6" s="1"/>
  <c r="G107" i="6"/>
  <c r="K23" i="6"/>
  <c r="L23" i="6" s="1"/>
  <c r="G23" i="6"/>
  <c r="K2204" i="6"/>
  <c r="L2204" i="6" s="1"/>
  <c r="G2204" i="6"/>
  <c r="K2200" i="6"/>
  <c r="L2200" i="6" s="1"/>
  <c r="G2200" i="6"/>
  <c r="K2196" i="6"/>
  <c r="L2196" i="6" s="1"/>
  <c r="G2196" i="6"/>
  <c r="K2192" i="6"/>
  <c r="L2192" i="6" s="1"/>
  <c r="G2192" i="6"/>
  <c r="K2188" i="6"/>
  <c r="L2188" i="6" s="1"/>
  <c r="G2188" i="6"/>
  <c r="K2184" i="6"/>
  <c r="L2184" i="6" s="1"/>
  <c r="G2184" i="6"/>
  <c r="K2180" i="6"/>
  <c r="L2180" i="6" s="1"/>
  <c r="G2180" i="6"/>
  <c r="K2176" i="6"/>
  <c r="L2176" i="6" s="1"/>
  <c r="G2176" i="6"/>
  <c r="K2172" i="6"/>
  <c r="L2172" i="6" s="1"/>
  <c r="G2172" i="6"/>
  <c r="K2168" i="6"/>
  <c r="L2168" i="6" s="1"/>
  <c r="G2168" i="6"/>
  <c r="K2164" i="6"/>
  <c r="L2164" i="6" s="1"/>
  <c r="G2164" i="6"/>
  <c r="K2160" i="6"/>
  <c r="L2160" i="6" s="1"/>
  <c r="G2160" i="6"/>
  <c r="K2156" i="6"/>
  <c r="L2156" i="6" s="1"/>
  <c r="G2156" i="6"/>
  <c r="K2152" i="6"/>
  <c r="L2152" i="6" s="1"/>
  <c r="G2152" i="6"/>
  <c r="K2148" i="6"/>
  <c r="L2148" i="6" s="1"/>
  <c r="G2148" i="6"/>
  <c r="K2144" i="6"/>
  <c r="L2144" i="6" s="1"/>
  <c r="G2144" i="6"/>
  <c r="K2140" i="6"/>
  <c r="L2140" i="6" s="1"/>
  <c r="G2140" i="6"/>
  <c r="K2136" i="6"/>
  <c r="L2136" i="6" s="1"/>
  <c r="G2136" i="6"/>
  <c r="K2131" i="6"/>
  <c r="L2131" i="6" s="1"/>
  <c r="G2131" i="6"/>
  <c r="K2127" i="6"/>
  <c r="L2127" i="6" s="1"/>
  <c r="G2127" i="6"/>
  <c r="K2123" i="6"/>
  <c r="L2123" i="6" s="1"/>
  <c r="G2123" i="6"/>
  <c r="K2119" i="6"/>
  <c r="L2119" i="6" s="1"/>
  <c r="G2119" i="6"/>
  <c r="K2115" i="6"/>
  <c r="L2115" i="6" s="1"/>
  <c r="G2115" i="6"/>
  <c r="K2111" i="6"/>
  <c r="L2111" i="6" s="1"/>
  <c r="G2111" i="6"/>
  <c r="K2107" i="6"/>
  <c r="L2107" i="6" s="1"/>
  <c r="G2107" i="6"/>
  <c r="K2103" i="6"/>
  <c r="L2103" i="6" s="1"/>
  <c r="G2103" i="6"/>
  <c r="K2099" i="6"/>
  <c r="L2099" i="6" s="1"/>
  <c r="G2099" i="6"/>
  <c r="K2095" i="6"/>
  <c r="L2095" i="6" s="1"/>
  <c r="G2095" i="6"/>
  <c r="K2091" i="6"/>
  <c r="L2091" i="6" s="1"/>
  <c r="G2091" i="6"/>
  <c r="K2087" i="6"/>
  <c r="L2087" i="6" s="1"/>
  <c r="G2087" i="6"/>
  <c r="K2083" i="6"/>
  <c r="L2083" i="6" s="1"/>
  <c r="G2083" i="6"/>
  <c r="K2079" i="6"/>
  <c r="L2079" i="6" s="1"/>
  <c r="G2079" i="6"/>
  <c r="K2205" i="6"/>
  <c r="L2205" i="6" s="1"/>
  <c r="G2205" i="6"/>
  <c r="K2073" i="6"/>
  <c r="L2073" i="6" s="1"/>
  <c r="G2073" i="6"/>
  <c r="K2069" i="6"/>
  <c r="L2069" i="6" s="1"/>
  <c r="G2069" i="6"/>
  <c r="K2065" i="6"/>
  <c r="L2065" i="6" s="1"/>
  <c r="G2065" i="6"/>
  <c r="K2061" i="6"/>
  <c r="L2061" i="6" s="1"/>
  <c r="G2061" i="6"/>
  <c r="K2057" i="6"/>
  <c r="L2057" i="6" s="1"/>
  <c r="G2057" i="6"/>
  <c r="K2053" i="6"/>
  <c r="L2053" i="6" s="1"/>
  <c r="G2053" i="6"/>
  <c r="K2049" i="6"/>
  <c r="L2049" i="6" s="1"/>
  <c r="G2049" i="6"/>
  <c r="K2045" i="6"/>
  <c r="L2045" i="6" s="1"/>
  <c r="G2045" i="6"/>
  <c r="K2041" i="6"/>
  <c r="L2041" i="6" s="1"/>
  <c r="G2041" i="6"/>
  <c r="K2037" i="6"/>
  <c r="L2037" i="6" s="1"/>
  <c r="G2037" i="6"/>
  <c r="K2033" i="6"/>
  <c r="L2033" i="6" s="1"/>
  <c r="G2033" i="6"/>
  <c r="K2029" i="6"/>
  <c r="L2029" i="6" s="1"/>
  <c r="G2029" i="6"/>
  <c r="K2025" i="6"/>
  <c r="L2025" i="6" s="1"/>
  <c r="G2025" i="6"/>
  <c r="K2021" i="6"/>
  <c r="L2021" i="6" s="1"/>
  <c r="G2021" i="6"/>
  <c r="K2017" i="6"/>
  <c r="L2017" i="6" s="1"/>
  <c r="G2017" i="6"/>
  <c r="K2013" i="6"/>
  <c r="L2013" i="6" s="1"/>
  <c r="G2013" i="6"/>
  <c r="K2009" i="6"/>
  <c r="L2009" i="6" s="1"/>
  <c r="G2009" i="6"/>
  <c r="K2005" i="6"/>
  <c r="L2005" i="6" s="1"/>
  <c r="G2005" i="6"/>
  <c r="K2001" i="6"/>
  <c r="L2001" i="6" s="1"/>
  <c r="G2001" i="6"/>
  <c r="K1997" i="6"/>
  <c r="L1997" i="6" s="1"/>
  <c r="G1997" i="6"/>
  <c r="K1993" i="6"/>
  <c r="L1993" i="6" s="1"/>
  <c r="G1993" i="6"/>
  <c r="K1989" i="6"/>
  <c r="L1989" i="6" s="1"/>
  <c r="G1989" i="6"/>
  <c r="K1985" i="6"/>
  <c r="L1985" i="6" s="1"/>
  <c r="G1985" i="6"/>
  <c r="K1981" i="6"/>
  <c r="L1981" i="6" s="1"/>
  <c r="G1981" i="6"/>
  <c r="K1977" i="6"/>
  <c r="L1977" i="6" s="1"/>
  <c r="G1977" i="6"/>
  <c r="K1973" i="6"/>
  <c r="L1973" i="6" s="1"/>
  <c r="G1973" i="6"/>
  <c r="K1969" i="6"/>
  <c r="L1969" i="6" s="1"/>
  <c r="G1969" i="6"/>
  <c r="K1965" i="6"/>
  <c r="L1965" i="6" s="1"/>
  <c r="G1965" i="6"/>
  <c r="K1961" i="6"/>
  <c r="L1961" i="6" s="1"/>
  <c r="G1961" i="6"/>
  <c r="K1957" i="6"/>
  <c r="L1957" i="6" s="1"/>
  <c r="G1957" i="6"/>
  <c r="K1953" i="6"/>
  <c r="L1953" i="6" s="1"/>
  <c r="G1953" i="6"/>
  <c r="K1949" i="6"/>
  <c r="L1949" i="6" s="1"/>
  <c r="G1949" i="6"/>
  <c r="K1945" i="6"/>
  <c r="L1945" i="6" s="1"/>
  <c r="G1945" i="6"/>
  <c r="K1941" i="6"/>
  <c r="L1941" i="6" s="1"/>
  <c r="G1941" i="6"/>
  <c r="K1937" i="6"/>
  <c r="L1937" i="6" s="1"/>
  <c r="G1937" i="6"/>
  <c r="K1933" i="6"/>
  <c r="L1933" i="6" s="1"/>
  <c r="G1933" i="6"/>
  <c r="K1929" i="6"/>
  <c r="L1929" i="6" s="1"/>
  <c r="G1929" i="6"/>
  <c r="K1925" i="6"/>
  <c r="L1925" i="6" s="1"/>
  <c r="G1925" i="6"/>
  <c r="K1921" i="6"/>
  <c r="L1921" i="6" s="1"/>
  <c r="G1921" i="6"/>
  <c r="K1917" i="6"/>
  <c r="L1917" i="6" s="1"/>
  <c r="G1917" i="6"/>
  <c r="K1913" i="6"/>
  <c r="L1913" i="6" s="1"/>
  <c r="G1913" i="6"/>
  <c r="K1909" i="6"/>
  <c r="L1909" i="6" s="1"/>
  <c r="G1909" i="6"/>
  <c r="K1905" i="6"/>
  <c r="L1905" i="6" s="1"/>
  <c r="G1905" i="6"/>
  <c r="K1901" i="6"/>
  <c r="L1901" i="6" s="1"/>
  <c r="G1901" i="6"/>
  <c r="K1897" i="6"/>
  <c r="L1897" i="6" s="1"/>
  <c r="G1897" i="6"/>
  <c r="K1893" i="6"/>
  <c r="L1893" i="6" s="1"/>
  <c r="G1893" i="6"/>
  <c r="K1889" i="6"/>
  <c r="L1889" i="6" s="1"/>
  <c r="G1889" i="6"/>
  <c r="K1885" i="6"/>
  <c r="L1885" i="6" s="1"/>
  <c r="G1885" i="6"/>
  <c r="K1881" i="6"/>
  <c r="L1881" i="6" s="1"/>
  <c r="G1881" i="6"/>
  <c r="K1877" i="6"/>
  <c r="L1877" i="6" s="1"/>
  <c r="G1877" i="6"/>
  <c r="K1873" i="6"/>
  <c r="L1873" i="6" s="1"/>
  <c r="G1873" i="6"/>
  <c r="K1869" i="6"/>
  <c r="L1869" i="6" s="1"/>
  <c r="G1869" i="6"/>
  <c r="K1865" i="6"/>
  <c r="L1865" i="6" s="1"/>
  <c r="G1865" i="6"/>
  <c r="K1861" i="6"/>
  <c r="L1861" i="6" s="1"/>
  <c r="G1861" i="6"/>
  <c r="K1857" i="6"/>
  <c r="L1857" i="6" s="1"/>
  <c r="G1857" i="6"/>
  <c r="K1853" i="6"/>
  <c r="L1853" i="6" s="1"/>
  <c r="G1853" i="6"/>
  <c r="K1841" i="6"/>
  <c r="L1841" i="6" s="1"/>
  <c r="G1841" i="6"/>
  <c r="K1837" i="6"/>
  <c r="L1837" i="6" s="1"/>
  <c r="G1837" i="6"/>
  <c r="K1833" i="6"/>
  <c r="L1833" i="6" s="1"/>
  <c r="G1833" i="6"/>
  <c r="K1829" i="6"/>
  <c r="L1829" i="6" s="1"/>
  <c r="G1829" i="6"/>
  <c r="K1825" i="6"/>
  <c r="L1825" i="6" s="1"/>
  <c r="G1825" i="6"/>
  <c r="K1821" i="6"/>
  <c r="L1821" i="6" s="1"/>
  <c r="G1821" i="6"/>
  <c r="K1781" i="6"/>
  <c r="L1781" i="6" s="1"/>
  <c r="G1781" i="6"/>
  <c r="K1777" i="6"/>
  <c r="L1777" i="6" s="1"/>
  <c r="G1777" i="6"/>
  <c r="K1773" i="6"/>
  <c r="L1773" i="6" s="1"/>
  <c r="G1773" i="6"/>
  <c r="K1768" i="6"/>
  <c r="L1768" i="6" s="1"/>
  <c r="G1768" i="6"/>
  <c r="K1764" i="6"/>
  <c r="L1764" i="6" s="1"/>
  <c r="G1764" i="6"/>
  <c r="K1754" i="6"/>
  <c r="L1754" i="6" s="1"/>
  <c r="G1754" i="6"/>
  <c r="K1750" i="6"/>
  <c r="L1750" i="6" s="1"/>
  <c r="G1750" i="6"/>
  <c r="K1746" i="6"/>
  <c r="L1746" i="6" s="1"/>
  <c r="G1746" i="6"/>
  <c r="K1742" i="6"/>
  <c r="L1742" i="6" s="1"/>
  <c r="G1742" i="6"/>
  <c r="K1738" i="6"/>
  <c r="L1738" i="6" s="1"/>
  <c r="G1738" i="6"/>
  <c r="K1734" i="6"/>
  <c r="L1734" i="6" s="1"/>
  <c r="G1734" i="6"/>
  <c r="K1730" i="6"/>
  <c r="L1730" i="6" s="1"/>
  <c r="G1730" i="6"/>
  <c r="K1726" i="6"/>
  <c r="L1726" i="6" s="1"/>
  <c r="G1726" i="6"/>
  <c r="K1722" i="6"/>
  <c r="L1722" i="6" s="1"/>
  <c r="G1722" i="6"/>
  <c r="K1718" i="6"/>
  <c r="L1718" i="6" s="1"/>
  <c r="G1718" i="6"/>
  <c r="K1714" i="6"/>
  <c r="L1714" i="6" s="1"/>
  <c r="G1714" i="6"/>
  <c r="K1710" i="6"/>
  <c r="L1710" i="6" s="1"/>
  <c r="G1710" i="6"/>
  <c r="K1706" i="6"/>
  <c r="L1706" i="6" s="1"/>
  <c r="G1706" i="6"/>
  <c r="K1702" i="6"/>
  <c r="L1702" i="6" s="1"/>
  <c r="G1702" i="6"/>
  <c r="K1698" i="6"/>
  <c r="L1698" i="6" s="1"/>
  <c r="G1698" i="6"/>
  <c r="K1694" i="6"/>
  <c r="L1694" i="6" s="1"/>
  <c r="G1694" i="6"/>
  <c r="K1690" i="6"/>
  <c r="L1690" i="6" s="1"/>
  <c r="G1690" i="6"/>
  <c r="K1686" i="6"/>
  <c r="L1686" i="6" s="1"/>
  <c r="G1686" i="6"/>
  <c r="K1682" i="6"/>
  <c r="L1682" i="6" s="1"/>
  <c r="G1682" i="6"/>
  <c r="K1678" i="6"/>
  <c r="L1678" i="6" s="1"/>
  <c r="G1678" i="6"/>
  <c r="K1673" i="6"/>
  <c r="L1673" i="6" s="1"/>
  <c r="G1673" i="6"/>
  <c r="K1669" i="6"/>
  <c r="L1669" i="6" s="1"/>
  <c r="G1669" i="6"/>
  <c r="K1665" i="6"/>
  <c r="L1665" i="6" s="1"/>
  <c r="G1665" i="6"/>
  <c r="K1661" i="6"/>
  <c r="L1661" i="6" s="1"/>
  <c r="G1661" i="6"/>
  <c r="K1657" i="6"/>
  <c r="L1657" i="6" s="1"/>
  <c r="G1657" i="6"/>
  <c r="K1653" i="6"/>
  <c r="L1653" i="6" s="1"/>
  <c r="G1653" i="6"/>
  <c r="K1649" i="6"/>
  <c r="L1649" i="6" s="1"/>
  <c r="G1649" i="6"/>
  <c r="K1645" i="6"/>
  <c r="L1645" i="6" s="1"/>
  <c r="G1645" i="6"/>
  <c r="K1641" i="6"/>
  <c r="L1641" i="6" s="1"/>
  <c r="G1641" i="6"/>
  <c r="K1637" i="6"/>
  <c r="L1637" i="6" s="1"/>
  <c r="G1637" i="6"/>
  <c r="K1633" i="6"/>
  <c r="L1633" i="6" s="1"/>
  <c r="G1633" i="6"/>
  <c r="K1629" i="6"/>
  <c r="L1629" i="6" s="1"/>
  <c r="G1629" i="6"/>
  <c r="K1625" i="6"/>
  <c r="L1625" i="6" s="1"/>
  <c r="G1625" i="6"/>
  <c r="K1621" i="6"/>
  <c r="L1621" i="6" s="1"/>
  <c r="G1621" i="6"/>
  <c r="K1616" i="6"/>
  <c r="L1616" i="6" s="1"/>
  <c r="G1616" i="6"/>
  <c r="K1612" i="6"/>
  <c r="L1612" i="6" s="1"/>
  <c r="G1612" i="6"/>
  <c r="K1608" i="6"/>
  <c r="L1608" i="6" s="1"/>
  <c r="G1608" i="6"/>
  <c r="K1604" i="6"/>
  <c r="L1604" i="6" s="1"/>
  <c r="G1604" i="6"/>
  <c r="K1600" i="6"/>
  <c r="L1600" i="6" s="1"/>
  <c r="G1600" i="6"/>
  <c r="K1596" i="6"/>
  <c r="L1596" i="6" s="1"/>
  <c r="G1596" i="6"/>
  <c r="K1592" i="6"/>
  <c r="L1592" i="6" s="1"/>
  <c r="G1592" i="6"/>
  <c r="K1588" i="6"/>
  <c r="L1588" i="6" s="1"/>
  <c r="G1588" i="6"/>
  <c r="K1584" i="6"/>
  <c r="L1584" i="6" s="1"/>
  <c r="G1584" i="6"/>
  <c r="K1580" i="6"/>
  <c r="L1580" i="6" s="1"/>
  <c r="G1580" i="6"/>
  <c r="K1576" i="6"/>
  <c r="L1576" i="6" s="1"/>
  <c r="G1576" i="6"/>
  <c r="K1572" i="6"/>
  <c r="L1572" i="6" s="1"/>
  <c r="G1572" i="6"/>
  <c r="K1568" i="6"/>
  <c r="L1568" i="6" s="1"/>
  <c r="G1568" i="6"/>
  <c r="K1564" i="6"/>
  <c r="L1564" i="6" s="1"/>
  <c r="G1564" i="6"/>
  <c r="K1560" i="6"/>
  <c r="L1560" i="6" s="1"/>
  <c r="G1560" i="6"/>
  <c r="K1556" i="6"/>
  <c r="L1556" i="6" s="1"/>
  <c r="G1556" i="6"/>
  <c r="K1552" i="6"/>
  <c r="L1552" i="6" s="1"/>
  <c r="G1552" i="6"/>
  <c r="K1548" i="6"/>
  <c r="L1548" i="6" s="1"/>
  <c r="G1548" i="6"/>
  <c r="K1544" i="6"/>
  <c r="L1544" i="6" s="1"/>
  <c r="G1544" i="6"/>
  <c r="K1540" i="6"/>
  <c r="L1540" i="6" s="1"/>
  <c r="G1540" i="6"/>
  <c r="K1536" i="6"/>
  <c r="L1536" i="6" s="1"/>
  <c r="G1536" i="6"/>
  <c r="K1532" i="6"/>
  <c r="L1532" i="6" s="1"/>
  <c r="G1532" i="6"/>
  <c r="K1528" i="6"/>
  <c r="L1528" i="6" s="1"/>
  <c r="G1528" i="6"/>
  <c r="K1524" i="6"/>
  <c r="L1524" i="6" s="1"/>
  <c r="G1524" i="6"/>
  <c r="K1520" i="6"/>
  <c r="L1520" i="6" s="1"/>
  <c r="G1520" i="6"/>
  <c r="K1516" i="6"/>
  <c r="L1516" i="6" s="1"/>
  <c r="G1516" i="6"/>
  <c r="K1512" i="6"/>
  <c r="L1512" i="6" s="1"/>
  <c r="G1512" i="6"/>
  <c r="K1508" i="6"/>
  <c r="L1508" i="6" s="1"/>
  <c r="G1508" i="6"/>
  <c r="K1504" i="6"/>
  <c r="L1504" i="6" s="1"/>
  <c r="G1504" i="6"/>
  <c r="K1500" i="6"/>
  <c r="L1500" i="6" s="1"/>
  <c r="G1500" i="6"/>
  <c r="K1496" i="6"/>
  <c r="L1496" i="6" s="1"/>
  <c r="G1496" i="6"/>
  <c r="K1492" i="6"/>
  <c r="L1492" i="6" s="1"/>
  <c r="G1492" i="6"/>
  <c r="K1488" i="6"/>
  <c r="L1488" i="6" s="1"/>
  <c r="G1488" i="6"/>
  <c r="K1484" i="6"/>
  <c r="L1484" i="6" s="1"/>
  <c r="G1484" i="6"/>
  <c r="K1480" i="6"/>
  <c r="L1480" i="6" s="1"/>
  <c r="G1480" i="6"/>
  <c r="K1476" i="6"/>
  <c r="L1476" i="6" s="1"/>
  <c r="G1476" i="6"/>
  <c r="K1472" i="6"/>
  <c r="L1472" i="6" s="1"/>
  <c r="G1472" i="6"/>
  <c r="K1468" i="6"/>
  <c r="L1468" i="6" s="1"/>
  <c r="G1468" i="6"/>
  <c r="K1464" i="6"/>
  <c r="L1464" i="6" s="1"/>
  <c r="G1464" i="6"/>
  <c r="K1460" i="6"/>
  <c r="L1460" i="6" s="1"/>
  <c r="G1460" i="6"/>
  <c r="K1456" i="6"/>
  <c r="L1456" i="6" s="1"/>
  <c r="G1456" i="6"/>
  <c r="K1452" i="6"/>
  <c r="L1452" i="6" s="1"/>
  <c r="G1452" i="6"/>
  <c r="K1448" i="6"/>
  <c r="L1448" i="6" s="1"/>
  <c r="G1448" i="6"/>
  <c r="K1444" i="6"/>
  <c r="L1444" i="6" s="1"/>
  <c r="G1444" i="6"/>
  <c r="K1440" i="6"/>
  <c r="L1440" i="6" s="1"/>
  <c r="G1440" i="6"/>
  <c r="K1436" i="6"/>
  <c r="L1436" i="6" s="1"/>
  <c r="G1436" i="6"/>
  <c r="K1161" i="6"/>
  <c r="L1161" i="6" s="1"/>
  <c r="G1161" i="6"/>
  <c r="K1129" i="6"/>
  <c r="L1129" i="6" s="1"/>
  <c r="G1129" i="6"/>
  <c r="K1097" i="6"/>
  <c r="L1097" i="6" s="1"/>
  <c r="G1097" i="6"/>
  <c r="K898" i="6"/>
  <c r="L898" i="6" s="1"/>
  <c r="G898" i="6"/>
  <c r="K750" i="6"/>
  <c r="L750" i="6" s="1"/>
  <c r="G750" i="6"/>
  <c r="K501" i="6"/>
  <c r="L501" i="6" s="1"/>
  <c r="G501" i="6"/>
  <c r="K469" i="6"/>
  <c r="L469" i="6" s="1"/>
  <c r="G469" i="6"/>
  <c r="K437" i="6"/>
  <c r="L437" i="6" s="1"/>
  <c r="G437" i="6"/>
  <c r="K405" i="6"/>
  <c r="L405" i="6" s="1"/>
  <c r="G405" i="6"/>
  <c r="K373" i="6"/>
  <c r="L373" i="6" s="1"/>
  <c r="G373" i="6"/>
  <c r="K92" i="6"/>
  <c r="L92" i="6" s="1"/>
  <c r="G92" i="6"/>
  <c r="K84" i="6"/>
  <c r="L84" i="6" s="1"/>
  <c r="G84" i="6"/>
  <c r="K60" i="6"/>
  <c r="L60" i="6" s="1"/>
  <c r="G60" i="6"/>
  <c r="K2203" i="6"/>
  <c r="L2203" i="6" s="1"/>
  <c r="G2203" i="6"/>
  <c r="K2199" i="6"/>
  <c r="L2199" i="6" s="1"/>
  <c r="G2199" i="6"/>
  <c r="K2195" i="6"/>
  <c r="L2195" i="6" s="1"/>
  <c r="G2195" i="6"/>
  <c r="K2191" i="6"/>
  <c r="L2191" i="6" s="1"/>
  <c r="G2191" i="6"/>
  <c r="K2187" i="6"/>
  <c r="L2187" i="6" s="1"/>
  <c r="G2187" i="6"/>
  <c r="K2183" i="6"/>
  <c r="L2183" i="6" s="1"/>
  <c r="G2183" i="6"/>
  <c r="K2179" i="6"/>
  <c r="L2179" i="6" s="1"/>
  <c r="G2179" i="6"/>
  <c r="K2175" i="6"/>
  <c r="L2175" i="6" s="1"/>
  <c r="G2175" i="6"/>
  <c r="K2171" i="6"/>
  <c r="L2171" i="6" s="1"/>
  <c r="G2171" i="6"/>
  <c r="K2167" i="6"/>
  <c r="L2167" i="6" s="1"/>
  <c r="G2167" i="6"/>
  <c r="K2163" i="6"/>
  <c r="L2163" i="6" s="1"/>
  <c r="G2163" i="6"/>
  <c r="K2159" i="6"/>
  <c r="L2159" i="6" s="1"/>
  <c r="G2159" i="6"/>
  <c r="K2155" i="6"/>
  <c r="L2155" i="6" s="1"/>
  <c r="G2155" i="6"/>
  <c r="K2151" i="6"/>
  <c r="L2151" i="6" s="1"/>
  <c r="G2151" i="6"/>
  <c r="K2147" i="6"/>
  <c r="L2147" i="6" s="1"/>
  <c r="G2147" i="6"/>
  <c r="K2143" i="6"/>
  <c r="L2143" i="6" s="1"/>
  <c r="G2143" i="6"/>
  <c r="K2139" i="6"/>
  <c r="L2139" i="6" s="1"/>
  <c r="G2139" i="6"/>
  <c r="K2134" i="6"/>
  <c r="L2134" i="6" s="1"/>
  <c r="G2134" i="6"/>
  <c r="K2130" i="6"/>
  <c r="L2130" i="6" s="1"/>
  <c r="G2130" i="6"/>
  <c r="K2126" i="6"/>
  <c r="L2126" i="6" s="1"/>
  <c r="G2126" i="6"/>
  <c r="K2122" i="6"/>
  <c r="L2122" i="6" s="1"/>
  <c r="G2122" i="6"/>
  <c r="K2118" i="6"/>
  <c r="L2118" i="6" s="1"/>
  <c r="G2118" i="6"/>
  <c r="K2114" i="6"/>
  <c r="L2114" i="6" s="1"/>
  <c r="G2114" i="6"/>
  <c r="K2110" i="6"/>
  <c r="L2110" i="6" s="1"/>
  <c r="G2110" i="6"/>
  <c r="K2106" i="6"/>
  <c r="L2106" i="6" s="1"/>
  <c r="G2106" i="6"/>
  <c r="K2102" i="6"/>
  <c r="L2102" i="6" s="1"/>
  <c r="G2102" i="6"/>
  <c r="K2098" i="6"/>
  <c r="L2098" i="6" s="1"/>
  <c r="G2098" i="6"/>
  <c r="K2094" i="6"/>
  <c r="L2094" i="6" s="1"/>
  <c r="G2094" i="6"/>
  <c r="K2090" i="6"/>
  <c r="L2090" i="6" s="1"/>
  <c r="G2090" i="6"/>
  <c r="K2086" i="6"/>
  <c r="L2086" i="6" s="1"/>
  <c r="G2086" i="6"/>
  <c r="K2082" i="6"/>
  <c r="L2082" i="6" s="1"/>
  <c r="G2082" i="6"/>
  <c r="K2078" i="6"/>
  <c r="L2078" i="6" s="1"/>
  <c r="G2078" i="6"/>
  <c r="K2076" i="6"/>
  <c r="L2076" i="6" s="1"/>
  <c r="G2076" i="6"/>
  <c r="K2072" i="6"/>
  <c r="L2072" i="6" s="1"/>
  <c r="G2072" i="6"/>
  <c r="K2068" i="6"/>
  <c r="L2068" i="6" s="1"/>
  <c r="G2068" i="6"/>
  <c r="K2064" i="6"/>
  <c r="L2064" i="6" s="1"/>
  <c r="G2064" i="6"/>
  <c r="K2060" i="6"/>
  <c r="L2060" i="6" s="1"/>
  <c r="G2060" i="6"/>
  <c r="K2056" i="6"/>
  <c r="L2056" i="6" s="1"/>
  <c r="G2056" i="6"/>
  <c r="K2052" i="6"/>
  <c r="L2052" i="6" s="1"/>
  <c r="G2052" i="6"/>
  <c r="K2048" i="6"/>
  <c r="L2048" i="6" s="1"/>
  <c r="G2048" i="6"/>
  <c r="K2044" i="6"/>
  <c r="L2044" i="6" s="1"/>
  <c r="G2044" i="6"/>
  <c r="K2040" i="6"/>
  <c r="L2040" i="6" s="1"/>
  <c r="G2040" i="6"/>
  <c r="K2036" i="6"/>
  <c r="L2036" i="6" s="1"/>
  <c r="G2036" i="6"/>
  <c r="K2032" i="6"/>
  <c r="L2032" i="6" s="1"/>
  <c r="G2032" i="6"/>
  <c r="K2028" i="6"/>
  <c r="L2028" i="6" s="1"/>
  <c r="G2028" i="6"/>
  <c r="K2024" i="6"/>
  <c r="L2024" i="6" s="1"/>
  <c r="G2024" i="6"/>
  <c r="K2020" i="6"/>
  <c r="L2020" i="6" s="1"/>
  <c r="G2020" i="6"/>
  <c r="K2016" i="6"/>
  <c r="L2016" i="6" s="1"/>
  <c r="G2016" i="6"/>
  <c r="K2012" i="6"/>
  <c r="L2012" i="6" s="1"/>
  <c r="G2012" i="6"/>
  <c r="K2008" i="6"/>
  <c r="L2008" i="6" s="1"/>
  <c r="G2008" i="6"/>
  <c r="K2004" i="6"/>
  <c r="L2004" i="6" s="1"/>
  <c r="G2004" i="6"/>
  <c r="K2000" i="6"/>
  <c r="L2000" i="6" s="1"/>
  <c r="G2000" i="6"/>
  <c r="K1996" i="6"/>
  <c r="L1996" i="6" s="1"/>
  <c r="G1996" i="6"/>
  <c r="K1992" i="6"/>
  <c r="L1992" i="6" s="1"/>
  <c r="G1992" i="6"/>
  <c r="K1988" i="6"/>
  <c r="L1988" i="6" s="1"/>
  <c r="G1988" i="6"/>
  <c r="K1984" i="6"/>
  <c r="L1984" i="6" s="1"/>
  <c r="G1984" i="6"/>
  <c r="K1980" i="6"/>
  <c r="L1980" i="6" s="1"/>
  <c r="G1980" i="6"/>
  <c r="K1976" i="6"/>
  <c r="L1976" i="6" s="1"/>
  <c r="G1976" i="6"/>
  <c r="K1972" i="6"/>
  <c r="L1972" i="6" s="1"/>
  <c r="G1972" i="6"/>
  <c r="K1968" i="6"/>
  <c r="L1968" i="6" s="1"/>
  <c r="G1968" i="6"/>
  <c r="K1964" i="6"/>
  <c r="L1964" i="6" s="1"/>
  <c r="G1964" i="6"/>
  <c r="K1960" i="6"/>
  <c r="L1960" i="6" s="1"/>
  <c r="G1960" i="6"/>
  <c r="K1956" i="6"/>
  <c r="L1956" i="6" s="1"/>
  <c r="G1956" i="6"/>
  <c r="K1952" i="6"/>
  <c r="L1952" i="6" s="1"/>
  <c r="G1952" i="6"/>
  <c r="K1948" i="6"/>
  <c r="L1948" i="6" s="1"/>
  <c r="G1948" i="6"/>
  <c r="K1944" i="6"/>
  <c r="L1944" i="6" s="1"/>
  <c r="G1944" i="6"/>
  <c r="K1940" i="6"/>
  <c r="L1940" i="6" s="1"/>
  <c r="G1940" i="6"/>
  <c r="K1936" i="6"/>
  <c r="L1936" i="6" s="1"/>
  <c r="G1936" i="6"/>
  <c r="K1932" i="6"/>
  <c r="L1932" i="6" s="1"/>
  <c r="G1932" i="6"/>
  <c r="K1928" i="6"/>
  <c r="L1928" i="6" s="1"/>
  <c r="G1928" i="6"/>
  <c r="K1924" i="6"/>
  <c r="L1924" i="6" s="1"/>
  <c r="G1924" i="6"/>
  <c r="K1920" i="6"/>
  <c r="L1920" i="6" s="1"/>
  <c r="G1920" i="6"/>
  <c r="K1916" i="6"/>
  <c r="L1916" i="6" s="1"/>
  <c r="G1916" i="6"/>
  <c r="K1912" i="6"/>
  <c r="L1912" i="6" s="1"/>
  <c r="G1912" i="6"/>
  <c r="K1908" i="6"/>
  <c r="L1908" i="6" s="1"/>
  <c r="G1908" i="6"/>
  <c r="K1904" i="6"/>
  <c r="L1904" i="6" s="1"/>
  <c r="G1904" i="6"/>
  <c r="K1900" i="6"/>
  <c r="L1900" i="6" s="1"/>
  <c r="G1900" i="6"/>
  <c r="K1896" i="6"/>
  <c r="L1896" i="6" s="1"/>
  <c r="G1896" i="6"/>
  <c r="K1892" i="6"/>
  <c r="L1892" i="6" s="1"/>
  <c r="G1892" i="6"/>
  <c r="K1888" i="6"/>
  <c r="L1888" i="6" s="1"/>
  <c r="G1888" i="6"/>
  <c r="K1884" i="6"/>
  <c r="L1884" i="6" s="1"/>
  <c r="G1884" i="6"/>
  <c r="K1880" i="6"/>
  <c r="L1880" i="6" s="1"/>
  <c r="G1880" i="6"/>
  <c r="K1876" i="6"/>
  <c r="L1876" i="6" s="1"/>
  <c r="G1876" i="6"/>
  <c r="K1872" i="6"/>
  <c r="L1872" i="6" s="1"/>
  <c r="G1872" i="6"/>
  <c r="K1868" i="6"/>
  <c r="L1868" i="6" s="1"/>
  <c r="G1868" i="6"/>
  <c r="K1864" i="6"/>
  <c r="L1864" i="6" s="1"/>
  <c r="G1864" i="6"/>
  <c r="K1860" i="6"/>
  <c r="L1860" i="6" s="1"/>
  <c r="G1860" i="6"/>
  <c r="K1856" i="6"/>
  <c r="L1856" i="6" s="1"/>
  <c r="G1856" i="6"/>
  <c r="K1852" i="6"/>
  <c r="L1852" i="6" s="1"/>
  <c r="G1852" i="6"/>
  <c r="K1840" i="6"/>
  <c r="L1840" i="6" s="1"/>
  <c r="G1840" i="6"/>
  <c r="K1836" i="6"/>
  <c r="L1836" i="6" s="1"/>
  <c r="G1836" i="6"/>
  <c r="K1832" i="6"/>
  <c r="L1832" i="6" s="1"/>
  <c r="G1832" i="6"/>
  <c r="K1828" i="6"/>
  <c r="L1828" i="6" s="1"/>
  <c r="G1828" i="6"/>
  <c r="K1824" i="6"/>
  <c r="L1824" i="6" s="1"/>
  <c r="G1824" i="6"/>
  <c r="K1820" i="6"/>
  <c r="L1820" i="6" s="1"/>
  <c r="G1820" i="6"/>
  <c r="K1780" i="6"/>
  <c r="L1780" i="6" s="1"/>
  <c r="G1780" i="6"/>
  <c r="K1776" i="6"/>
  <c r="L1776" i="6" s="1"/>
  <c r="G1776" i="6"/>
  <c r="K1772" i="6"/>
  <c r="L1772" i="6" s="1"/>
  <c r="G1772" i="6"/>
  <c r="K1767" i="6"/>
  <c r="L1767" i="6" s="1"/>
  <c r="G1767" i="6"/>
  <c r="K1763" i="6"/>
  <c r="L1763" i="6" s="1"/>
  <c r="G1763" i="6"/>
  <c r="K1753" i="6"/>
  <c r="L1753" i="6" s="1"/>
  <c r="G1753" i="6"/>
  <c r="K1749" i="6"/>
  <c r="L1749" i="6" s="1"/>
  <c r="G1749" i="6"/>
  <c r="K1745" i="6"/>
  <c r="L1745" i="6" s="1"/>
  <c r="G1745" i="6"/>
  <c r="K1741" i="6"/>
  <c r="L1741" i="6" s="1"/>
  <c r="G1741" i="6"/>
  <c r="K1737" i="6"/>
  <c r="L1737" i="6" s="1"/>
  <c r="G1737" i="6"/>
  <c r="K1733" i="6"/>
  <c r="L1733" i="6" s="1"/>
  <c r="G1733" i="6"/>
  <c r="K1729" i="6"/>
  <c r="L1729" i="6" s="1"/>
  <c r="G1729" i="6"/>
  <c r="K1725" i="6"/>
  <c r="L1725" i="6" s="1"/>
  <c r="G1725" i="6"/>
  <c r="K1721" i="6"/>
  <c r="L1721" i="6" s="1"/>
  <c r="G1721" i="6"/>
  <c r="K1717" i="6"/>
  <c r="L1717" i="6" s="1"/>
  <c r="G1717" i="6"/>
  <c r="K1713" i="6"/>
  <c r="L1713" i="6" s="1"/>
  <c r="G1713" i="6"/>
  <c r="K1709" i="6"/>
  <c r="L1709" i="6" s="1"/>
  <c r="G1709" i="6"/>
  <c r="K1705" i="6"/>
  <c r="L1705" i="6" s="1"/>
  <c r="G1705" i="6"/>
  <c r="K1701" i="6"/>
  <c r="L1701" i="6" s="1"/>
  <c r="G1701" i="6"/>
  <c r="K1697" i="6"/>
  <c r="L1697" i="6" s="1"/>
  <c r="G1697" i="6"/>
  <c r="K1693" i="6"/>
  <c r="L1693" i="6" s="1"/>
  <c r="G1693" i="6"/>
  <c r="K1689" i="6"/>
  <c r="L1689" i="6" s="1"/>
  <c r="G1689" i="6"/>
  <c r="K1685" i="6"/>
  <c r="L1685" i="6" s="1"/>
  <c r="G1685" i="6"/>
  <c r="K1681" i="6"/>
  <c r="L1681" i="6" s="1"/>
  <c r="G1681" i="6"/>
  <c r="K1677" i="6"/>
  <c r="L1677" i="6" s="1"/>
  <c r="G1677" i="6"/>
  <c r="K1672" i="6"/>
  <c r="L1672" i="6" s="1"/>
  <c r="G1672" i="6"/>
  <c r="K1668" i="6"/>
  <c r="L1668" i="6" s="1"/>
  <c r="G1668" i="6"/>
  <c r="K1664" i="6"/>
  <c r="L1664" i="6" s="1"/>
  <c r="G1664" i="6"/>
  <c r="K1660" i="6"/>
  <c r="L1660" i="6" s="1"/>
  <c r="G1660" i="6"/>
  <c r="K1656" i="6"/>
  <c r="L1656" i="6" s="1"/>
  <c r="G1656" i="6"/>
  <c r="K1652" i="6"/>
  <c r="L1652" i="6" s="1"/>
  <c r="G1652" i="6"/>
  <c r="K1648" i="6"/>
  <c r="L1648" i="6" s="1"/>
  <c r="G1648" i="6"/>
  <c r="K1644" i="6"/>
  <c r="L1644" i="6" s="1"/>
  <c r="G1644" i="6"/>
  <c r="K1640" i="6"/>
  <c r="L1640" i="6" s="1"/>
  <c r="G1640" i="6"/>
  <c r="K1636" i="6"/>
  <c r="L1636" i="6" s="1"/>
  <c r="G1636" i="6"/>
  <c r="K1632" i="6"/>
  <c r="L1632" i="6" s="1"/>
  <c r="G1632" i="6"/>
  <c r="K1628" i="6"/>
  <c r="L1628" i="6" s="1"/>
  <c r="G1628" i="6"/>
  <c r="K1624" i="6"/>
  <c r="L1624" i="6" s="1"/>
  <c r="G1624" i="6"/>
  <c r="K1620" i="6"/>
  <c r="L1620" i="6" s="1"/>
  <c r="G1620" i="6"/>
  <c r="K1611" i="6"/>
  <c r="L1611" i="6" s="1"/>
  <c r="G1611" i="6"/>
  <c r="K1603" i="6"/>
  <c r="L1603" i="6" s="1"/>
  <c r="G1603" i="6"/>
  <c r="K1595" i="6"/>
  <c r="L1595" i="6" s="1"/>
  <c r="G1595" i="6"/>
  <c r="K1579" i="6"/>
  <c r="L1579" i="6" s="1"/>
  <c r="G1579" i="6"/>
  <c r="K1567" i="6"/>
  <c r="L1567" i="6" s="1"/>
  <c r="G1567" i="6"/>
  <c r="K1563" i="6"/>
  <c r="L1563" i="6" s="1"/>
  <c r="G1563" i="6"/>
  <c r="K1559" i="6"/>
  <c r="L1559" i="6" s="1"/>
  <c r="G1559" i="6"/>
  <c r="K1555" i="6"/>
  <c r="L1555" i="6" s="1"/>
  <c r="G1555" i="6"/>
  <c r="K1547" i="6"/>
  <c r="L1547" i="6" s="1"/>
  <c r="G1547" i="6"/>
  <c r="K1543" i="6"/>
  <c r="L1543" i="6" s="1"/>
  <c r="G1543" i="6"/>
  <c r="K1539" i="6"/>
  <c r="L1539" i="6" s="1"/>
  <c r="G1539" i="6"/>
  <c r="K1535" i="6"/>
  <c r="L1535" i="6" s="1"/>
  <c r="G1535" i="6"/>
  <c r="K1531" i="6"/>
  <c r="L1531" i="6" s="1"/>
  <c r="G1531" i="6"/>
  <c r="K1519" i="6"/>
  <c r="L1519" i="6" s="1"/>
  <c r="G1519" i="6"/>
  <c r="K1511" i="6"/>
  <c r="L1511" i="6" s="1"/>
  <c r="G1511" i="6"/>
  <c r="K1503" i="6"/>
  <c r="L1503" i="6" s="1"/>
  <c r="G1503" i="6"/>
  <c r="K1499" i="6"/>
  <c r="L1499" i="6" s="1"/>
  <c r="G1499" i="6"/>
  <c r="K1495" i="6"/>
  <c r="L1495" i="6" s="1"/>
  <c r="G1495" i="6"/>
  <c r="K1491" i="6"/>
  <c r="L1491" i="6" s="1"/>
  <c r="G1491" i="6"/>
  <c r="K1483" i="6"/>
  <c r="L1483" i="6" s="1"/>
  <c r="G1483" i="6"/>
  <c r="K1475" i="6"/>
  <c r="L1475" i="6" s="1"/>
  <c r="G1475" i="6"/>
  <c r="K1467" i="6"/>
  <c r="L1467" i="6" s="1"/>
  <c r="G1467" i="6"/>
  <c r="K1463" i="6"/>
  <c r="L1463" i="6" s="1"/>
  <c r="G1463" i="6"/>
  <c r="K1459" i="6"/>
  <c r="L1459" i="6" s="1"/>
  <c r="G1459" i="6"/>
  <c r="K1451" i="6"/>
  <c r="L1451" i="6" s="1"/>
  <c r="G1451" i="6"/>
  <c r="K1439" i="6"/>
  <c r="L1439" i="6" s="1"/>
  <c r="G1439" i="6"/>
  <c r="K1326" i="6"/>
  <c r="L1326" i="6" s="1"/>
  <c r="G1326" i="6"/>
  <c r="K1318" i="6"/>
  <c r="L1318" i="6" s="1"/>
  <c r="G1318" i="6"/>
  <c r="K1310" i="6"/>
  <c r="L1310" i="6" s="1"/>
  <c r="G1310" i="6"/>
  <c r="K1290" i="6"/>
  <c r="L1290" i="6" s="1"/>
  <c r="G1290" i="6"/>
  <c r="K1286" i="6"/>
  <c r="L1286" i="6" s="1"/>
  <c r="G1286" i="6"/>
  <c r="K1278" i="6"/>
  <c r="L1278" i="6" s="1"/>
  <c r="G1278" i="6"/>
  <c r="K1262" i="6"/>
  <c r="L1262" i="6" s="1"/>
  <c r="G1262" i="6"/>
  <c r="K1254" i="6"/>
  <c r="L1254" i="6" s="1"/>
  <c r="G1254" i="6"/>
  <c r="K1246" i="6"/>
  <c r="L1246" i="6" s="1"/>
  <c r="G1246" i="6"/>
  <c r="K1226" i="6"/>
  <c r="L1226" i="6" s="1"/>
  <c r="G1226" i="6"/>
  <c r="K1222" i="6"/>
  <c r="L1222" i="6" s="1"/>
  <c r="G1222" i="6"/>
  <c r="K1214" i="6"/>
  <c r="L1214" i="6" s="1"/>
  <c r="G1214" i="6"/>
  <c r="K1186" i="6"/>
  <c r="L1186" i="6" s="1"/>
  <c r="G1186" i="6"/>
  <c r="K1178" i="6"/>
  <c r="L1178" i="6" s="1"/>
  <c r="G1178" i="6"/>
  <c r="K1170" i="6"/>
  <c r="L1170" i="6" s="1"/>
  <c r="G1170" i="6"/>
  <c r="K1160" i="6"/>
  <c r="L1160" i="6" s="1"/>
  <c r="G1160" i="6"/>
  <c r="K1152" i="6"/>
  <c r="L1152" i="6" s="1"/>
  <c r="G1152" i="6"/>
  <c r="K1140" i="6"/>
  <c r="L1140" i="6" s="1"/>
  <c r="G1140" i="6"/>
  <c r="K1124" i="6"/>
  <c r="L1124" i="6" s="1"/>
  <c r="G1124" i="6"/>
  <c r="K1116" i="6"/>
  <c r="L1116" i="6" s="1"/>
  <c r="G1116" i="6"/>
  <c r="K1104" i="6"/>
  <c r="L1104" i="6" s="1"/>
  <c r="G1104" i="6"/>
  <c r="K1096" i="6"/>
  <c r="L1096" i="6" s="1"/>
  <c r="G1096" i="6"/>
  <c r="K982" i="6"/>
  <c r="L982" i="6" s="1"/>
  <c r="G982" i="6"/>
  <c r="K901" i="6"/>
  <c r="L901" i="6" s="1"/>
  <c r="G901" i="6"/>
  <c r="K897" i="6"/>
  <c r="L897" i="6" s="1"/>
  <c r="G897" i="6"/>
  <c r="K877" i="6"/>
  <c r="L877" i="6" s="1"/>
  <c r="G877" i="6"/>
  <c r="K853" i="6"/>
  <c r="L853" i="6" s="1"/>
  <c r="G853" i="6"/>
  <c r="K767" i="6"/>
  <c r="L767" i="6" s="1"/>
  <c r="G767" i="6"/>
  <c r="K724" i="6"/>
  <c r="L724" i="6" s="1"/>
  <c r="G724" i="6"/>
  <c r="K716" i="6"/>
  <c r="L716" i="6" s="1"/>
  <c r="G716" i="6"/>
  <c r="K708" i="6"/>
  <c r="L708" i="6" s="1"/>
  <c r="G708" i="6"/>
  <c r="K704" i="6"/>
  <c r="L704" i="6" s="1"/>
  <c r="G704" i="6"/>
  <c r="K696" i="6"/>
  <c r="L696" i="6" s="1"/>
  <c r="G696" i="6"/>
  <c r="K688" i="6"/>
  <c r="L688" i="6" s="1"/>
  <c r="G688" i="6"/>
  <c r="K680" i="6"/>
  <c r="L680" i="6" s="1"/>
  <c r="G680" i="6"/>
  <c r="K668" i="6"/>
  <c r="L668" i="6" s="1"/>
  <c r="G668" i="6"/>
  <c r="K660" i="6"/>
  <c r="L660" i="6" s="1"/>
  <c r="G660" i="6"/>
  <c r="K652" i="6"/>
  <c r="L652" i="6" s="1"/>
  <c r="G652" i="6"/>
  <c r="K644" i="6"/>
  <c r="L644" i="6" s="1"/>
  <c r="G644" i="6"/>
  <c r="K640" i="6"/>
  <c r="L640" i="6" s="1"/>
  <c r="G640" i="6"/>
  <c r="K632" i="6"/>
  <c r="L632" i="6" s="1"/>
  <c r="G632" i="6"/>
  <c r="K624" i="6"/>
  <c r="L624" i="6" s="1"/>
  <c r="G624" i="6"/>
  <c r="K616" i="6"/>
  <c r="L616" i="6" s="1"/>
  <c r="G616" i="6"/>
  <c r="K604" i="6"/>
  <c r="L604" i="6" s="1"/>
  <c r="G604" i="6"/>
  <c r="K596" i="6"/>
  <c r="L596" i="6" s="1"/>
  <c r="G596" i="6"/>
  <c r="K588" i="6"/>
  <c r="L588" i="6" s="1"/>
  <c r="G588" i="6"/>
  <c r="K580" i="6"/>
  <c r="L580" i="6" s="1"/>
  <c r="G580" i="6"/>
  <c r="K576" i="6"/>
  <c r="L576" i="6" s="1"/>
  <c r="G576" i="6"/>
  <c r="K568" i="6"/>
  <c r="L568" i="6" s="1"/>
  <c r="G568" i="6"/>
  <c r="K560" i="6"/>
  <c r="L560" i="6" s="1"/>
  <c r="G560" i="6"/>
  <c r="K552" i="6"/>
  <c r="L552" i="6" s="1"/>
  <c r="G552" i="6"/>
  <c r="K540" i="6"/>
  <c r="L540" i="6" s="1"/>
  <c r="G540" i="6"/>
  <c r="K532" i="6"/>
  <c r="L532" i="6" s="1"/>
  <c r="G532" i="6"/>
  <c r="K524" i="6"/>
  <c r="L524" i="6" s="1"/>
  <c r="G524" i="6"/>
  <c r="K516" i="6"/>
  <c r="L516" i="6" s="1"/>
  <c r="G516" i="6"/>
  <c r="K512" i="6"/>
  <c r="L512" i="6" s="1"/>
  <c r="G512" i="6"/>
  <c r="K504" i="6"/>
  <c r="L504" i="6" s="1"/>
  <c r="G504" i="6"/>
  <c r="K500" i="6"/>
  <c r="L500" i="6" s="1"/>
  <c r="G500" i="6"/>
  <c r="K484" i="6"/>
  <c r="L484" i="6" s="1"/>
  <c r="G484" i="6"/>
  <c r="K476" i="6"/>
  <c r="L476" i="6" s="1"/>
  <c r="G476" i="6"/>
  <c r="K456" i="6"/>
  <c r="L456" i="6" s="1"/>
  <c r="G456" i="6"/>
  <c r="K448" i="6"/>
  <c r="L448" i="6" s="1"/>
  <c r="G448" i="6"/>
  <c r="K440" i="6"/>
  <c r="L440" i="6" s="1"/>
  <c r="G440" i="6"/>
  <c r="K436" i="6"/>
  <c r="L436" i="6" s="1"/>
  <c r="G436" i="6"/>
  <c r="K420" i="6"/>
  <c r="L420" i="6" s="1"/>
  <c r="G420" i="6"/>
  <c r="K412" i="6"/>
  <c r="L412" i="6" s="1"/>
  <c r="G412" i="6"/>
  <c r="K392" i="6"/>
  <c r="L392" i="6" s="1"/>
  <c r="G392" i="6"/>
  <c r="K384" i="6"/>
  <c r="L384" i="6" s="1"/>
  <c r="G384" i="6"/>
  <c r="K364" i="6"/>
  <c r="L364" i="6" s="1"/>
  <c r="G364" i="6"/>
  <c r="K348" i="6"/>
  <c r="L348" i="6" s="1"/>
  <c r="G348" i="6"/>
  <c r="K332" i="6"/>
  <c r="L332" i="6" s="1"/>
  <c r="G332" i="6"/>
  <c r="K316" i="6"/>
  <c r="L316" i="6" s="1"/>
  <c r="G316" i="6"/>
  <c r="K300" i="6"/>
  <c r="L300" i="6" s="1"/>
  <c r="G300" i="6"/>
  <c r="K284" i="6"/>
  <c r="L284" i="6" s="1"/>
  <c r="G284" i="6"/>
  <c r="K268" i="6"/>
  <c r="L268" i="6" s="1"/>
  <c r="G268" i="6"/>
  <c r="K252" i="6"/>
  <c r="L252" i="6" s="1"/>
  <c r="G252" i="6"/>
  <c r="K236" i="6"/>
  <c r="L236" i="6" s="1"/>
  <c r="G236" i="6"/>
  <c r="K220" i="6"/>
  <c r="L220" i="6" s="1"/>
  <c r="G220" i="6"/>
  <c r="K188" i="6"/>
  <c r="L188" i="6" s="1"/>
  <c r="G188" i="6"/>
  <c r="K156" i="6"/>
  <c r="L156" i="6" s="1"/>
  <c r="G156" i="6"/>
  <c r="K83" i="6"/>
  <c r="L83" i="6" s="1"/>
  <c r="G83" i="6"/>
  <c r="K2202" i="6"/>
  <c r="L2202" i="6" s="1"/>
  <c r="G2202" i="6"/>
  <c r="K2198" i="6"/>
  <c r="L2198" i="6" s="1"/>
  <c r="G2198" i="6"/>
  <c r="K2194" i="6"/>
  <c r="L2194" i="6" s="1"/>
  <c r="G2194" i="6"/>
  <c r="K2190" i="6"/>
  <c r="L2190" i="6" s="1"/>
  <c r="G2190" i="6"/>
  <c r="K2186" i="6"/>
  <c r="L2186" i="6" s="1"/>
  <c r="G2186" i="6"/>
  <c r="K2182" i="6"/>
  <c r="L2182" i="6" s="1"/>
  <c r="G2182" i="6"/>
  <c r="K2178" i="6"/>
  <c r="L2178" i="6" s="1"/>
  <c r="G2178" i="6"/>
  <c r="K2174" i="6"/>
  <c r="L2174" i="6" s="1"/>
  <c r="G2174" i="6"/>
  <c r="K2170" i="6"/>
  <c r="L2170" i="6" s="1"/>
  <c r="G2170" i="6"/>
  <c r="K2166" i="6"/>
  <c r="L2166" i="6" s="1"/>
  <c r="G2166" i="6"/>
  <c r="K2162" i="6"/>
  <c r="L2162" i="6" s="1"/>
  <c r="G2162" i="6"/>
  <c r="K2158" i="6"/>
  <c r="L2158" i="6" s="1"/>
  <c r="G2158" i="6"/>
  <c r="K2154" i="6"/>
  <c r="L2154" i="6" s="1"/>
  <c r="G2154" i="6"/>
  <c r="K2150" i="6"/>
  <c r="L2150" i="6" s="1"/>
  <c r="G2150" i="6"/>
  <c r="K2146" i="6"/>
  <c r="L2146" i="6" s="1"/>
  <c r="G2146" i="6"/>
  <c r="K2142" i="6"/>
  <c r="L2142" i="6" s="1"/>
  <c r="G2142" i="6"/>
  <c r="K2138" i="6"/>
  <c r="L2138" i="6" s="1"/>
  <c r="G2138" i="6"/>
  <c r="K2133" i="6"/>
  <c r="L2133" i="6" s="1"/>
  <c r="G2133" i="6"/>
  <c r="K2129" i="6"/>
  <c r="L2129" i="6" s="1"/>
  <c r="G2129" i="6"/>
  <c r="K2125" i="6"/>
  <c r="L2125" i="6" s="1"/>
  <c r="G2125" i="6"/>
  <c r="K2121" i="6"/>
  <c r="L2121" i="6" s="1"/>
  <c r="G2121" i="6"/>
  <c r="K2117" i="6"/>
  <c r="L2117" i="6" s="1"/>
  <c r="G2117" i="6"/>
  <c r="K2113" i="6"/>
  <c r="L2113" i="6" s="1"/>
  <c r="G2113" i="6"/>
  <c r="K2109" i="6"/>
  <c r="L2109" i="6" s="1"/>
  <c r="G2109" i="6"/>
  <c r="K2105" i="6"/>
  <c r="L2105" i="6" s="1"/>
  <c r="G2105" i="6"/>
  <c r="K2101" i="6"/>
  <c r="L2101" i="6" s="1"/>
  <c r="G2101" i="6"/>
  <c r="K2097" i="6"/>
  <c r="L2097" i="6" s="1"/>
  <c r="G2097" i="6"/>
  <c r="K2093" i="6"/>
  <c r="L2093" i="6" s="1"/>
  <c r="G2093" i="6"/>
  <c r="K2089" i="6"/>
  <c r="L2089" i="6" s="1"/>
  <c r="G2089" i="6"/>
  <c r="K2085" i="6"/>
  <c r="L2085" i="6" s="1"/>
  <c r="G2085" i="6"/>
  <c r="K2081" i="6"/>
  <c r="L2081" i="6" s="1"/>
  <c r="G2081" i="6"/>
  <c r="K2077" i="6"/>
  <c r="L2077" i="6" s="1"/>
  <c r="G2077" i="6"/>
  <c r="K2075" i="6"/>
  <c r="L2075" i="6" s="1"/>
  <c r="G2075" i="6"/>
  <c r="K2071" i="6"/>
  <c r="L2071" i="6" s="1"/>
  <c r="G2071" i="6"/>
  <c r="K2067" i="6"/>
  <c r="L2067" i="6" s="1"/>
  <c r="G2067" i="6"/>
  <c r="K2063" i="6"/>
  <c r="L2063" i="6" s="1"/>
  <c r="G2063" i="6"/>
  <c r="K2059" i="6"/>
  <c r="L2059" i="6" s="1"/>
  <c r="G2059" i="6"/>
  <c r="K2055" i="6"/>
  <c r="L2055" i="6" s="1"/>
  <c r="G2055" i="6"/>
  <c r="K2051" i="6"/>
  <c r="L2051" i="6" s="1"/>
  <c r="G2051" i="6"/>
  <c r="K2047" i="6"/>
  <c r="L2047" i="6" s="1"/>
  <c r="G2047" i="6"/>
  <c r="K2043" i="6"/>
  <c r="L2043" i="6" s="1"/>
  <c r="G2043" i="6"/>
  <c r="K2039" i="6"/>
  <c r="L2039" i="6" s="1"/>
  <c r="G2039" i="6"/>
  <c r="K2035" i="6"/>
  <c r="L2035" i="6" s="1"/>
  <c r="G2035" i="6"/>
  <c r="K2031" i="6"/>
  <c r="L2031" i="6" s="1"/>
  <c r="G2031" i="6"/>
  <c r="K2027" i="6"/>
  <c r="L2027" i="6" s="1"/>
  <c r="G2027" i="6"/>
  <c r="K2023" i="6"/>
  <c r="L2023" i="6" s="1"/>
  <c r="G2023" i="6"/>
  <c r="K2019" i="6"/>
  <c r="L2019" i="6" s="1"/>
  <c r="G2019" i="6"/>
  <c r="K2015" i="6"/>
  <c r="L2015" i="6" s="1"/>
  <c r="G2015" i="6"/>
  <c r="K2011" i="6"/>
  <c r="L2011" i="6" s="1"/>
  <c r="G2011" i="6"/>
  <c r="K2007" i="6"/>
  <c r="L2007" i="6" s="1"/>
  <c r="G2007" i="6"/>
  <c r="K2003" i="6"/>
  <c r="L2003" i="6" s="1"/>
  <c r="G2003" i="6"/>
  <c r="K1999" i="6"/>
  <c r="L1999" i="6" s="1"/>
  <c r="G1999" i="6"/>
  <c r="K1995" i="6"/>
  <c r="L1995" i="6" s="1"/>
  <c r="G1995" i="6"/>
  <c r="K1991" i="6"/>
  <c r="L1991" i="6" s="1"/>
  <c r="G1991" i="6"/>
  <c r="K1987" i="6"/>
  <c r="L1987" i="6" s="1"/>
  <c r="G1987" i="6"/>
  <c r="K1983" i="6"/>
  <c r="L1983" i="6" s="1"/>
  <c r="G1983" i="6"/>
  <c r="K1979" i="6"/>
  <c r="L1979" i="6" s="1"/>
  <c r="G1979" i="6"/>
  <c r="K1975" i="6"/>
  <c r="L1975" i="6" s="1"/>
  <c r="G1975" i="6"/>
  <c r="K1971" i="6"/>
  <c r="L1971" i="6" s="1"/>
  <c r="G1971" i="6"/>
  <c r="K1967" i="6"/>
  <c r="L1967" i="6" s="1"/>
  <c r="G1967" i="6"/>
  <c r="K1963" i="6"/>
  <c r="L1963" i="6" s="1"/>
  <c r="G1963" i="6"/>
  <c r="K1959" i="6"/>
  <c r="L1959" i="6" s="1"/>
  <c r="G1959" i="6"/>
  <c r="K1955" i="6"/>
  <c r="L1955" i="6" s="1"/>
  <c r="G1955" i="6"/>
  <c r="K1951" i="6"/>
  <c r="L1951" i="6" s="1"/>
  <c r="G1951" i="6"/>
  <c r="K1947" i="6"/>
  <c r="L1947" i="6" s="1"/>
  <c r="G1947" i="6"/>
  <c r="K1943" i="6"/>
  <c r="L1943" i="6" s="1"/>
  <c r="G1943" i="6"/>
  <c r="K1939" i="6"/>
  <c r="L1939" i="6" s="1"/>
  <c r="G1939" i="6"/>
  <c r="K1935" i="6"/>
  <c r="L1935" i="6" s="1"/>
  <c r="G1935" i="6"/>
  <c r="K1931" i="6"/>
  <c r="L1931" i="6" s="1"/>
  <c r="G1931" i="6"/>
  <c r="K1927" i="6"/>
  <c r="L1927" i="6" s="1"/>
  <c r="G1927" i="6"/>
  <c r="K1923" i="6"/>
  <c r="L1923" i="6" s="1"/>
  <c r="G1923" i="6"/>
  <c r="K1919" i="6"/>
  <c r="L1919" i="6" s="1"/>
  <c r="G1919" i="6"/>
  <c r="K1915" i="6"/>
  <c r="L1915" i="6" s="1"/>
  <c r="G1915" i="6"/>
  <c r="K1911" i="6"/>
  <c r="L1911" i="6" s="1"/>
  <c r="G1911" i="6"/>
  <c r="K1907" i="6"/>
  <c r="L1907" i="6" s="1"/>
  <c r="G1907" i="6"/>
  <c r="K1903" i="6"/>
  <c r="L1903" i="6" s="1"/>
  <c r="G1903" i="6"/>
  <c r="K1899" i="6"/>
  <c r="L1899" i="6" s="1"/>
  <c r="G1899" i="6"/>
  <c r="K1895" i="6"/>
  <c r="L1895" i="6" s="1"/>
  <c r="G1895" i="6"/>
  <c r="K1891" i="6"/>
  <c r="L1891" i="6" s="1"/>
  <c r="G1891" i="6"/>
  <c r="K1887" i="6"/>
  <c r="L1887" i="6" s="1"/>
  <c r="G1887" i="6"/>
  <c r="K1883" i="6"/>
  <c r="L1883" i="6" s="1"/>
  <c r="G1883" i="6"/>
  <c r="K1879" i="6"/>
  <c r="L1879" i="6" s="1"/>
  <c r="G1879" i="6"/>
  <c r="K1875" i="6"/>
  <c r="L1875" i="6" s="1"/>
  <c r="G1875" i="6"/>
  <c r="K1871" i="6"/>
  <c r="L1871" i="6" s="1"/>
  <c r="G1871" i="6"/>
  <c r="K1867" i="6"/>
  <c r="L1867" i="6" s="1"/>
  <c r="G1867" i="6"/>
  <c r="K1863" i="6"/>
  <c r="L1863" i="6" s="1"/>
  <c r="G1863" i="6"/>
  <c r="K1859" i="6"/>
  <c r="L1859" i="6" s="1"/>
  <c r="G1859" i="6"/>
  <c r="K1855" i="6"/>
  <c r="L1855" i="6" s="1"/>
  <c r="G1855" i="6"/>
  <c r="K1851" i="6"/>
  <c r="L1851" i="6" s="1"/>
  <c r="G1851" i="6"/>
  <c r="K1839" i="6"/>
  <c r="L1839" i="6" s="1"/>
  <c r="G1839" i="6"/>
  <c r="K1835" i="6"/>
  <c r="L1835" i="6" s="1"/>
  <c r="G1835" i="6"/>
  <c r="K1831" i="6"/>
  <c r="L1831" i="6" s="1"/>
  <c r="G1831" i="6"/>
  <c r="K1827" i="6"/>
  <c r="L1827" i="6" s="1"/>
  <c r="G1827" i="6"/>
  <c r="K1823" i="6"/>
  <c r="L1823" i="6" s="1"/>
  <c r="G1823" i="6"/>
  <c r="K1819" i="6"/>
  <c r="L1819" i="6" s="1"/>
  <c r="G1819" i="6"/>
  <c r="K1779" i="6"/>
  <c r="L1779" i="6" s="1"/>
  <c r="G1779" i="6"/>
  <c r="K1775" i="6"/>
  <c r="L1775" i="6" s="1"/>
  <c r="G1775" i="6"/>
  <c r="K1771" i="6"/>
  <c r="L1771" i="6" s="1"/>
  <c r="G1771" i="6"/>
  <c r="K1766" i="6"/>
  <c r="L1766" i="6" s="1"/>
  <c r="G1766" i="6"/>
  <c r="K1756" i="6"/>
  <c r="L1756" i="6" s="1"/>
  <c r="G1756" i="6"/>
  <c r="K1752" i="6"/>
  <c r="L1752" i="6" s="1"/>
  <c r="G1752" i="6"/>
  <c r="K1748" i="6"/>
  <c r="L1748" i="6" s="1"/>
  <c r="G1748" i="6"/>
  <c r="K1744" i="6"/>
  <c r="L1744" i="6" s="1"/>
  <c r="G1744" i="6"/>
  <c r="K1740" i="6"/>
  <c r="L1740" i="6" s="1"/>
  <c r="G1740" i="6"/>
  <c r="K1736" i="6"/>
  <c r="L1736" i="6" s="1"/>
  <c r="G1736" i="6"/>
  <c r="K1732" i="6"/>
  <c r="L1732" i="6" s="1"/>
  <c r="G1732" i="6"/>
  <c r="K1728" i="6"/>
  <c r="L1728" i="6" s="1"/>
  <c r="G1728" i="6"/>
  <c r="K1724" i="6"/>
  <c r="L1724" i="6" s="1"/>
  <c r="G1724" i="6"/>
  <c r="K1720" i="6"/>
  <c r="L1720" i="6" s="1"/>
  <c r="G1720" i="6"/>
  <c r="K1716" i="6"/>
  <c r="L1716" i="6" s="1"/>
  <c r="G1716" i="6"/>
  <c r="K1712" i="6"/>
  <c r="L1712" i="6" s="1"/>
  <c r="G1712" i="6"/>
  <c r="K1708" i="6"/>
  <c r="L1708" i="6" s="1"/>
  <c r="G1708" i="6"/>
  <c r="K1704" i="6"/>
  <c r="L1704" i="6" s="1"/>
  <c r="G1704" i="6"/>
  <c r="K1700" i="6"/>
  <c r="L1700" i="6" s="1"/>
  <c r="G1700" i="6"/>
  <c r="K1696" i="6"/>
  <c r="L1696" i="6" s="1"/>
  <c r="G1696" i="6"/>
  <c r="K1692" i="6"/>
  <c r="L1692" i="6" s="1"/>
  <c r="G1692" i="6"/>
  <c r="K1688" i="6"/>
  <c r="L1688" i="6" s="1"/>
  <c r="G1688" i="6"/>
  <c r="K1684" i="6"/>
  <c r="L1684" i="6" s="1"/>
  <c r="G1684" i="6"/>
  <c r="K1680" i="6"/>
  <c r="L1680" i="6" s="1"/>
  <c r="G1680" i="6"/>
  <c r="K1675" i="6"/>
  <c r="L1675" i="6" s="1"/>
  <c r="G1675" i="6"/>
  <c r="K1671" i="6"/>
  <c r="L1671" i="6" s="1"/>
  <c r="G1671" i="6"/>
  <c r="K1667" i="6"/>
  <c r="L1667" i="6" s="1"/>
  <c r="G1667" i="6"/>
  <c r="K1663" i="6"/>
  <c r="L1663" i="6" s="1"/>
  <c r="G1663" i="6"/>
  <c r="K1659" i="6"/>
  <c r="L1659" i="6" s="1"/>
  <c r="G1659" i="6"/>
  <c r="K1655" i="6"/>
  <c r="L1655" i="6" s="1"/>
  <c r="G1655" i="6"/>
  <c r="K1651" i="6"/>
  <c r="L1651" i="6" s="1"/>
  <c r="G1651" i="6"/>
  <c r="K1647" i="6"/>
  <c r="L1647" i="6" s="1"/>
  <c r="G1647" i="6"/>
  <c r="K1643" i="6"/>
  <c r="L1643" i="6" s="1"/>
  <c r="G1643" i="6"/>
  <c r="K1639" i="6"/>
  <c r="L1639" i="6" s="1"/>
  <c r="G1639" i="6"/>
  <c r="K1635" i="6"/>
  <c r="L1635" i="6" s="1"/>
  <c r="G1635" i="6"/>
  <c r="K1631" i="6"/>
  <c r="L1631" i="6" s="1"/>
  <c r="G1631" i="6"/>
  <c r="K1627" i="6"/>
  <c r="L1627" i="6" s="1"/>
  <c r="G1627" i="6"/>
  <c r="K1623" i="6"/>
  <c r="L1623" i="6" s="1"/>
  <c r="G1623" i="6"/>
  <c r="K1618" i="6"/>
  <c r="L1618" i="6" s="1"/>
  <c r="G1618" i="6"/>
  <c r="K1614" i="6"/>
  <c r="L1614" i="6" s="1"/>
  <c r="G1614" i="6"/>
  <c r="K1610" i="6"/>
  <c r="L1610" i="6" s="1"/>
  <c r="G1610" i="6"/>
  <c r="K1606" i="6"/>
  <c r="L1606" i="6" s="1"/>
  <c r="G1606" i="6"/>
  <c r="K1602" i="6"/>
  <c r="L1602" i="6" s="1"/>
  <c r="G1602" i="6"/>
  <c r="K1598" i="6"/>
  <c r="L1598" i="6" s="1"/>
  <c r="G1598" i="6"/>
  <c r="K1594" i="6"/>
  <c r="L1594" i="6" s="1"/>
  <c r="G1594" i="6"/>
  <c r="K1590" i="6"/>
  <c r="L1590" i="6" s="1"/>
  <c r="G1590" i="6"/>
  <c r="K1586" i="6"/>
  <c r="L1586" i="6" s="1"/>
  <c r="G1586" i="6"/>
  <c r="K1582" i="6"/>
  <c r="L1582" i="6" s="1"/>
  <c r="G1582" i="6"/>
  <c r="K1578" i="6"/>
  <c r="L1578" i="6" s="1"/>
  <c r="G1578" i="6"/>
  <c r="K1574" i="6"/>
  <c r="L1574" i="6" s="1"/>
  <c r="G1574" i="6"/>
  <c r="K1570" i="6"/>
  <c r="L1570" i="6" s="1"/>
  <c r="G1570" i="6"/>
  <c r="K1566" i="6"/>
  <c r="L1566" i="6" s="1"/>
  <c r="G1566" i="6"/>
  <c r="K1562" i="6"/>
  <c r="L1562" i="6" s="1"/>
  <c r="G1562" i="6"/>
  <c r="K1558" i="6"/>
  <c r="L1558" i="6" s="1"/>
  <c r="G1558" i="6"/>
  <c r="K1554" i="6"/>
  <c r="L1554" i="6" s="1"/>
  <c r="G1554" i="6"/>
  <c r="K1550" i="6"/>
  <c r="L1550" i="6" s="1"/>
  <c r="G1550" i="6"/>
  <c r="K1546" i="6"/>
  <c r="L1546" i="6" s="1"/>
  <c r="G1546" i="6"/>
  <c r="K1542" i="6"/>
  <c r="L1542" i="6" s="1"/>
  <c r="G1542" i="6"/>
  <c r="K1538" i="6"/>
  <c r="L1538" i="6" s="1"/>
  <c r="G1538" i="6"/>
  <c r="K1534" i="6"/>
  <c r="L1534" i="6" s="1"/>
  <c r="G1534" i="6"/>
  <c r="K1530" i="6"/>
  <c r="L1530" i="6" s="1"/>
  <c r="G1530" i="6"/>
  <c r="K1526" i="6"/>
  <c r="L1526" i="6" s="1"/>
  <c r="G1526" i="6"/>
  <c r="K1522" i="6"/>
  <c r="L1522" i="6" s="1"/>
  <c r="G1522" i="6"/>
  <c r="K1518" i="6"/>
  <c r="L1518" i="6" s="1"/>
  <c r="G1518" i="6"/>
  <c r="K1514" i="6"/>
  <c r="L1514" i="6" s="1"/>
  <c r="G1514" i="6"/>
  <c r="K1510" i="6"/>
  <c r="L1510" i="6" s="1"/>
  <c r="G1510" i="6"/>
  <c r="K1506" i="6"/>
  <c r="L1506" i="6" s="1"/>
  <c r="G1506" i="6"/>
  <c r="K1502" i="6"/>
  <c r="L1502" i="6" s="1"/>
  <c r="G1502" i="6"/>
  <c r="K1498" i="6"/>
  <c r="L1498" i="6" s="1"/>
  <c r="G1498" i="6"/>
  <c r="K1494" i="6"/>
  <c r="L1494" i="6" s="1"/>
  <c r="G1494" i="6"/>
  <c r="K1490" i="6"/>
  <c r="L1490" i="6" s="1"/>
  <c r="G1490" i="6"/>
  <c r="K1486" i="6"/>
  <c r="L1486" i="6" s="1"/>
  <c r="G1486" i="6"/>
  <c r="K1482" i="6"/>
  <c r="L1482" i="6" s="1"/>
  <c r="G1482" i="6"/>
  <c r="K1478" i="6"/>
  <c r="L1478" i="6" s="1"/>
  <c r="G1478" i="6"/>
  <c r="K1474" i="6"/>
  <c r="L1474" i="6" s="1"/>
  <c r="G1474" i="6"/>
  <c r="K1470" i="6"/>
  <c r="L1470" i="6" s="1"/>
  <c r="G1470" i="6"/>
  <c r="K1466" i="6"/>
  <c r="L1466" i="6" s="1"/>
  <c r="G1466" i="6"/>
  <c r="K1462" i="6"/>
  <c r="L1462" i="6" s="1"/>
  <c r="G1462" i="6"/>
  <c r="K1458" i="6"/>
  <c r="L1458" i="6" s="1"/>
  <c r="G1458" i="6"/>
  <c r="K1454" i="6"/>
  <c r="L1454" i="6" s="1"/>
  <c r="G1454" i="6"/>
  <c r="K1450" i="6"/>
  <c r="L1450" i="6" s="1"/>
  <c r="G1450" i="6"/>
  <c r="K1446" i="6"/>
  <c r="L1446" i="6" s="1"/>
  <c r="G1446" i="6"/>
  <c r="K1442" i="6"/>
  <c r="L1442" i="6" s="1"/>
  <c r="G1442" i="6"/>
  <c r="K1438" i="6"/>
  <c r="L1438" i="6" s="1"/>
  <c r="G1438" i="6"/>
  <c r="K1321" i="6"/>
  <c r="L1321" i="6" s="1"/>
  <c r="G1321" i="6"/>
  <c r="K1305" i="6"/>
  <c r="L1305" i="6" s="1"/>
  <c r="G1305" i="6"/>
  <c r="K1289" i="6"/>
  <c r="L1289" i="6" s="1"/>
  <c r="G1289" i="6"/>
  <c r="K1273" i="6"/>
  <c r="L1273" i="6" s="1"/>
  <c r="G1273" i="6"/>
  <c r="K1257" i="6"/>
  <c r="L1257" i="6" s="1"/>
  <c r="G1257" i="6"/>
  <c r="K1241" i="6"/>
  <c r="L1241" i="6" s="1"/>
  <c r="G1241" i="6"/>
  <c r="K1225" i="6"/>
  <c r="L1225" i="6" s="1"/>
  <c r="G1225" i="6"/>
  <c r="K1209" i="6"/>
  <c r="L1209" i="6" s="1"/>
  <c r="G1209" i="6"/>
  <c r="K1193" i="6"/>
  <c r="L1193" i="6" s="1"/>
  <c r="G1193" i="6"/>
  <c r="K1177" i="6"/>
  <c r="L1177" i="6" s="1"/>
  <c r="G1177" i="6"/>
  <c r="K682" i="2"/>
  <c r="K2209" i="2"/>
  <c r="K554" i="2"/>
  <c r="K1666" i="2"/>
  <c r="K1633" i="2"/>
  <c r="K1986" i="2"/>
  <c r="K1549" i="2"/>
  <c r="K650" i="2"/>
  <c r="K1585" i="2"/>
  <c r="K746" i="2"/>
  <c r="K618" i="2"/>
  <c r="K2046" i="2"/>
  <c r="K1950" i="2"/>
  <c r="K1625" i="2"/>
  <c r="K418" i="2"/>
  <c r="K2114" i="2"/>
  <c r="K1706" i="2"/>
  <c r="K1244" i="2"/>
  <c r="K952" i="2"/>
  <c r="K714" i="2"/>
  <c r="K586" i="2"/>
  <c r="K2223" i="2"/>
  <c r="K2195" i="2"/>
  <c r="K2166" i="2"/>
  <c r="K2146" i="2"/>
  <c r="K2092" i="2"/>
  <c r="K2072" i="2"/>
  <c r="K2020" i="2"/>
  <c r="K1972" i="2"/>
  <c r="K1789" i="2"/>
  <c r="K1733" i="2"/>
  <c r="K1688" i="2"/>
  <c r="K1619" i="2"/>
  <c r="K1595" i="2"/>
  <c r="K1551" i="2"/>
  <c r="K1503" i="2"/>
  <c r="K1350" i="2"/>
  <c r="K1326" i="2"/>
  <c r="K1266" i="2"/>
  <c r="K1218" i="2"/>
  <c r="K1200" i="2"/>
  <c r="K1164" i="2"/>
  <c r="K2235" i="2"/>
  <c r="K2227" i="2"/>
  <c r="K2179" i="2"/>
  <c r="K2170" i="2"/>
  <c r="K2158" i="2"/>
  <c r="K2142" i="2"/>
  <c r="K2134" i="2"/>
  <c r="K2116" i="2"/>
  <c r="K2112" i="2"/>
  <c r="K2104" i="2"/>
  <c r="K2096" i="2"/>
  <c r="K2084" i="2"/>
  <c r="K2076" i="2"/>
  <c r="K2044" i="2"/>
  <c r="K2016" i="2"/>
  <c r="K1988" i="2"/>
  <c r="K1984" i="2"/>
  <c r="K1976" i="2"/>
  <c r="K1968" i="2"/>
  <c r="K1944" i="2"/>
  <c r="K1936" i="2"/>
  <c r="K1920" i="2"/>
  <c r="K1908" i="2"/>
  <c r="K1900" i="2"/>
  <c r="K1892" i="2"/>
  <c r="K1872" i="2"/>
  <c r="K1864" i="2"/>
  <c r="K1812" i="2"/>
  <c r="K1785" i="2"/>
  <c r="K1777" i="2"/>
  <c r="K1769" i="2"/>
  <c r="K1753" i="2"/>
  <c r="K1745" i="2"/>
  <c r="K1741" i="2"/>
  <c r="K1721" i="2"/>
  <c r="K1712" i="2"/>
  <c r="K1696" i="2"/>
  <c r="K1692" i="2"/>
  <c r="K1684" i="2"/>
  <c r="K1668" i="2"/>
  <c r="F1615" i="6"/>
  <c r="K1655" i="2"/>
  <c r="F1607" i="6"/>
  <c r="K1647" i="2"/>
  <c r="F1599" i="6"/>
  <c r="K1639" i="2"/>
  <c r="F1591" i="6"/>
  <c r="K1631" i="2"/>
  <c r="F1587" i="6"/>
  <c r="K1627" i="2"/>
  <c r="F1583" i="6"/>
  <c r="K1623" i="2"/>
  <c r="F1575" i="6"/>
  <c r="K1615" i="2"/>
  <c r="F1571" i="6"/>
  <c r="K1611" i="2"/>
  <c r="F1551" i="6"/>
  <c r="K1591" i="2"/>
  <c r="F1527" i="6"/>
  <c r="K1567" i="2"/>
  <c r="F1523" i="6"/>
  <c r="K1563" i="2"/>
  <c r="F1515" i="6"/>
  <c r="K1555" i="2"/>
  <c r="F1507" i="6"/>
  <c r="K1547" i="2"/>
  <c r="F1487" i="6"/>
  <c r="K1527" i="2"/>
  <c r="F1479" i="6"/>
  <c r="K1519" i="2"/>
  <c r="F1471" i="6"/>
  <c r="K1511" i="2"/>
  <c r="F1455" i="6"/>
  <c r="K1495" i="2"/>
  <c r="F1447" i="6"/>
  <c r="K1487" i="2"/>
  <c r="F1443" i="6"/>
  <c r="K1483" i="2"/>
  <c r="F1314" i="6"/>
  <c r="K1354" i="2"/>
  <c r="F1306" i="6"/>
  <c r="K1346" i="2"/>
  <c r="F1298" i="6"/>
  <c r="K1338" i="2"/>
  <c r="F1282" i="6"/>
  <c r="K1322" i="2"/>
  <c r="F1274" i="6"/>
  <c r="K1314" i="2"/>
  <c r="F1270" i="6"/>
  <c r="K1310" i="2"/>
  <c r="F1250" i="6"/>
  <c r="K1290" i="2"/>
  <c r="F1242" i="6"/>
  <c r="K1282" i="2"/>
  <c r="F1234" i="6"/>
  <c r="K1274" i="2"/>
  <c r="F1218" i="6"/>
  <c r="K1258" i="2"/>
  <c r="F1210" i="6"/>
  <c r="K1250" i="2"/>
  <c r="F1206" i="6"/>
  <c r="K1246" i="2"/>
  <c r="F1198" i="6"/>
  <c r="K1238" i="2"/>
  <c r="F1182" i="6"/>
  <c r="K1222" i="2"/>
  <c r="F1156" i="6"/>
  <c r="K1196" i="2"/>
  <c r="F1148" i="6"/>
  <c r="K1188" i="2"/>
  <c r="F1132" i="6"/>
  <c r="K1172" i="2"/>
  <c r="F1128" i="6"/>
  <c r="K1168" i="2"/>
  <c r="F1120" i="6"/>
  <c r="K1160" i="2"/>
  <c r="F1112" i="6"/>
  <c r="K1152" i="2"/>
  <c r="F986" i="6"/>
  <c r="K1026" i="2"/>
  <c r="F922" i="6"/>
  <c r="K962" i="2"/>
  <c r="F910" i="6"/>
  <c r="K950" i="2"/>
  <c r="F889" i="6"/>
  <c r="K929" i="2"/>
  <c r="F865" i="6"/>
  <c r="K905" i="2"/>
  <c r="F779" i="6"/>
  <c r="K819" i="2"/>
  <c r="F755" i="6"/>
  <c r="K795" i="2"/>
  <c r="F728" i="6"/>
  <c r="K768" i="2"/>
  <c r="F720" i="6"/>
  <c r="K760" i="2"/>
  <c r="F712" i="6"/>
  <c r="K752" i="2"/>
  <c r="F700" i="6"/>
  <c r="K740" i="2"/>
  <c r="F692" i="6"/>
  <c r="K732" i="2"/>
  <c r="F684" i="6"/>
  <c r="K724" i="2"/>
  <c r="F676" i="6"/>
  <c r="K716" i="2"/>
  <c r="F672" i="6"/>
  <c r="K712" i="2"/>
  <c r="F664" i="6"/>
  <c r="K704" i="2"/>
  <c r="F656" i="6"/>
  <c r="K696" i="2"/>
  <c r="F648" i="6"/>
  <c r="K688" i="2"/>
  <c r="F636" i="6"/>
  <c r="K676" i="2"/>
  <c r="F628" i="6"/>
  <c r="K668" i="2"/>
  <c r="F620" i="6"/>
  <c r="K660" i="2"/>
  <c r="F612" i="6"/>
  <c r="K652" i="2"/>
  <c r="F608" i="6"/>
  <c r="K648" i="2"/>
  <c r="F600" i="6"/>
  <c r="K640" i="2"/>
  <c r="F592" i="6"/>
  <c r="K632" i="2"/>
  <c r="F584" i="6"/>
  <c r="K624" i="2"/>
  <c r="F572" i="6"/>
  <c r="K612" i="2"/>
  <c r="F564" i="6"/>
  <c r="K604" i="2"/>
  <c r="F556" i="6"/>
  <c r="K596" i="2"/>
  <c r="F548" i="6"/>
  <c r="K588" i="2"/>
  <c r="F544" i="6"/>
  <c r="K584" i="2"/>
  <c r="F536" i="6"/>
  <c r="K576" i="2"/>
  <c r="F528" i="6"/>
  <c r="K568" i="2"/>
  <c r="F520" i="6"/>
  <c r="K560" i="2"/>
  <c r="F508" i="6"/>
  <c r="K548" i="2"/>
  <c r="F492" i="6"/>
  <c r="K532" i="2"/>
  <c r="F480" i="6"/>
  <c r="K520" i="2"/>
  <c r="F472" i="6"/>
  <c r="K512" i="2"/>
  <c r="F464" i="6"/>
  <c r="K504" i="2"/>
  <c r="F452" i="6"/>
  <c r="K492" i="2"/>
  <c r="F444" i="6"/>
  <c r="K484" i="2"/>
  <c r="F428" i="6"/>
  <c r="K468" i="2"/>
  <c r="F416" i="6"/>
  <c r="K456" i="2"/>
  <c r="F408" i="6"/>
  <c r="K448" i="2"/>
  <c r="F400" i="6"/>
  <c r="K440" i="2"/>
  <c r="F388" i="6"/>
  <c r="K428" i="2"/>
  <c r="F380" i="6"/>
  <c r="K420" i="2"/>
  <c r="F376" i="6"/>
  <c r="K416" i="2"/>
  <c r="F372" i="6"/>
  <c r="K412" i="2"/>
  <c r="F356" i="6"/>
  <c r="K396" i="2"/>
  <c r="F340" i="6"/>
  <c r="K380" i="2"/>
  <c r="F324" i="6"/>
  <c r="K364" i="2"/>
  <c r="F308" i="6"/>
  <c r="K348" i="2"/>
  <c r="F292" i="6"/>
  <c r="K332" i="2"/>
  <c r="F276" i="6"/>
  <c r="K316" i="2"/>
  <c r="F260" i="6"/>
  <c r="K300" i="2"/>
  <c r="F244" i="6"/>
  <c r="K284" i="2"/>
  <c r="F228" i="6"/>
  <c r="K268" i="2"/>
  <c r="F212" i="6"/>
  <c r="K252" i="2"/>
  <c r="F204" i="6"/>
  <c r="K244" i="2"/>
  <c r="F196" i="6"/>
  <c r="K236" i="2"/>
  <c r="F180" i="6"/>
  <c r="K220" i="2"/>
  <c r="F172" i="6"/>
  <c r="K212" i="2"/>
  <c r="F164" i="6"/>
  <c r="K204" i="2"/>
  <c r="F139" i="6"/>
  <c r="K179" i="2"/>
  <c r="F135" i="6"/>
  <c r="K175" i="2"/>
  <c r="F112" i="6"/>
  <c r="K152" i="2"/>
  <c r="F91" i="6"/>
  <c r="K131" i="2"/>
  <c r="F87" i="6"/>
  <c r="K127" i="2"/>
  <c r="F76" i="6"/>
  <c r="K116" i="2"/>
  <c r="F70" i="6"/>
  <c r="K110" i="2"/>
  <c r="F63" i="6"/>
  <c r="K103" i="2"/>
  <c r="F44" i="6"/>
  <c r="K84" i="2"/>
  <c r="K2243" i="2"/>
  <c r="K2219" i="2"/>
  <c r="K2203" i="2"/>
  <c r="K2191" i="2"/>
  <c r="K2183" i="2"/>
  <c r="K2150" i="2"/>
  <c r="K2126" i="2"/>
  <c r="K2118" i="2"/>
  <c r="K2068" i="2"/>
  <c r="K2060" i="2"/>
  <c r="K2056" i="2"/>
  <c r="K2048" i="2"/>
  <c r="K2036" i="2"/>
  <c r="K2028" i="2"/>
  <c r="K2024" i="2"/>
  <c r="K2008" i="2"/>
  <c r="K2000" i="2"/>
  <c r="F1190" i="6"/>
  <c r="K1230" i="2"/>
  <c r="K2239" i="2"/>
  <c r="K2199" i="2"/>
  <c r="K2162" i="2"/>
  <c r="K2130" i="2"/>
  <c r="K2108" i="2"/>
  <c r="K2088" i="2"/>
  <c r="K2032" i="2"/>
  <c r="K2004" i="2"/>
  <c r="K1940" i="2"/>
  <c r="K1912" i="2"/>
  <c r="K1868" i="2"/>
  <c r="K1803" i="2"/>
  <c r="K1749" i="2"/>
  <c r="K1725" i="2"/>
  <c r="K1704" i="2"/>
  <c r="K1660" i="2"/>
  <c r="K1603" i="2"/>
  <c r="K1523" i="2"/>
  <c r="K1499" i="2"/>
  <c r="K1330" i="2"/>
  <c r="K1286" i="2"/>
  <c r="K1262" i="2"/>
  <c r="K1210" i="2"/>
  <c r="K1180" i="2"/>
  <c r="K2252" i="2"/>
  <c r="K2241" i="2"/>
  <c r="K2237" i="2"/>
  <c r="K2233" i="2"/>
  <c r="K2229" i="2"/>
  <c r="K2225" i="2"/>
  <c r="K2221" i="2"/>
  <c r="K2217" i="2"/>
  <c r="K2213" i="2"/>
  <c r="K2205" i="2"/>
  <c r="K2201" i="2"/>
  <c r="K2197" i="2"/>
  <c r="K2193" i="2"/>
  <c r="K2189" i="2"/>
  <c r="K2185" i="2"/>
  <c r="K2181" i="2"/>
  <c r="K2177" i="2"/>
  <c r="K2172" i="2"/>
  <c r="K2168" i="2"/>
  <c r="K2164" i="2"/>
  <c r="K2160" i="2"/>
  <c r="K2156" i="2"/>
  <c r="K2152" i="2"/>
  <c r="K2148" i="2"/>
  <c r="K2144" i="2"/>
  <c r="K2140" i="2"/>
  <c r="K2136" i="2"/>
  <c r="K2132" i="2"/>
  <c r="K2128" i="2"/>
  <c r="K2124" i="2"/>
  <c r="K2120" i="2"/>
  <c r="K2246" i="2"/>
  <c r="K2110" i="2"/>
  <c r="K2106" i="2"/>
  <c r="K2102" i="2"/>
  <c r="K2098" i="2"/>
  <c r="K2094" i="2"/>
  <c r="K2090" i="2"/>
  <c r="K2086" i="2"/>
  <c r="K2082" i="2"/>
  <c r="K2078" i="2"/>
  <c r="K2074" i="2"/>
  <c r="K2070" i="2"/>
  <c r="K2066" i="2"/>
  <c r="K2062" i="2"/>
  <c r="K2058" i="2"/>
  <c r="K2054" i="2"/>
  <c r="K2050" i="2"/>
  <c r="K2042" i="2"/>
  <c r="K2038" i="2"/>
  <c r="K2034" i="2"/>
  <c r="K2030" i="2"/>
  <c r="K2026" i="2"/>
  <c r="K2022" i="2"/>
  <c r="K2018" i="2"/>
  <c r="K2014" i="2"/>
  <c r="K2010" i="2"/>
  <c r="K2006" i="2"/>
  <c r="K2002" i="2"/>
  <c r="K1998" i="2"/>
  <c r="K1994" i="2"/>
  <c r="K1990" i="2"/>
  <c r="K1982" i="2"/>
  <c r="K1978" i="2"/>
  <c r="K1974" i="2"/>
  <c r="K1970" i="2"/>
  <c r="K1966" i="2"/>
  <c r="K1962" i="2"/>
  <c r="K1958" i="2"/>
  <c r="K1954" i="2"/>
  <c r="K1946" i="2"/>
  <c r="K1942" i="2"/>
  <c r="K1938" i="2"/>
  <c r="K1934" i="2"/>
  <c r="K1930" i="2"/>
  <c r="K1926" i="2"/>
  <c r="K1922" i="2"/>
  <c r="K1918" i="2"/>
  <c r="K1914" i="2"/>
  <c r="K2244" i="2"/>
  <c r="K2240" i="2"/>
  <c r="K2236" i="2"/>
  <c r="K2232" i="2"/>
  <c r="K2228" i="2"/>
  <c r="K2224" i="2"/>
  <c r="K2220" i="2"/>
  <c r="K2216" i="2"/>
  <c r="K2212" i="2"/>
  <c r="K2208" i="2"/>
  <c r="K2204" i="2"/>
  <c r="K2200" i="2"/>
  <c r="K2196" i="2"/>
  <c r="K2192" i="2"/>
  <c r="K2188" i="2"/>
  <c r="K2184" i="2"/>
  <c r="K2180" i="2"/>
  <c r="K2176" i="2"/>
  <c r="K2171" i="2"/>
  <c r="K2167" i="2"/>
  <c r="K2163" i="2"/>
  <c r="K2159" i="2"/>
  <c r="K2155" i="2"/>
  <c r="K2151" i="2"/>
  <c r="K2147" i="2"/>
  <c r="K2143" i="2"/>
  <c r="K2139" i="2"/>
  <c r="K2135" i="2"/>
  <c r="K2131" i="2"/>
  <c r="K2127" i="2"/>
  <c r="K2123" i="2"/>
  <c r="K2119" i="2"/>
  <c r="K2245" i="2"/>
  <c r="K2113" i="2"/>
  <c r="K2109" i="2"/>
  <c r="K2105" i="2"/>
  <c r="K2101" i="2"/>
  <c r="K2097" i="2"/>
  <c r="K2093" i="2"/>
  <c r="K2085" i="2"/>
  <c r="K2081" i="2"/>
  <c r="K2077" i="2"/>
  <c r="K2073" i="2"/>
  <c r="K2069" i="2"/>
  <c r="K2065" i="2"/>
  <c r="K2061" i="2"/>
  <c r="K2053" i="2"/>
  <c r="K2049" i="2"/>
  <c r="K2045" i="2"/>
  <c r="K2041" i="2"/>
  <c r="K2037" i="2"/>
  <c r="K2033" i="2"/>
  <c r="K2029" i="2"/>
  <c r="K2021" i="2"/>
  <c r="K2017" i="2"/>
  <c r="K2013" i="2"/>
  <c r="K2009" i="2"/>
  <c r="K2005" i="2"/>
  <c r="K2001" i="2"/>
  <c r="K1997" i="2"/>
  <c r="K1989" i="2"/>
  <c r="K1985" i="2"/>
  <c r="K1981" i="2"/>
  <c r="K1977" i="2"/>
  <c r="K1973" i="2"/>
  <c r="K1969" i="2"/>
  <c r="K1965" i="2"/>
  <c r="K1957" i="2"/>
  <c r="K1953" i="2"/>
  <c r="K1949" i="2"/>
  <c r="K1945" i="2"/>
  <c r="K1941" i="2"/>
  <c r="K1937" i="2"/>
  <c r="K1933" i="2"/>
  <c r="K1925" i="2"/>
  <c r="K1921" i="2"/>
  <c r="K1917" i="2"/>
  <c r="K1913" i="2"/>
  <c r="K1960" i="2"/>
  <c r="K1952" i="2"/>
  <c r="K1924" i="2"/>
  <c r="K1916" i="2"/>
  <c r="K2242" i="2"/>
  <c r="K2238" i="2"/>
  <c r="K2234" i="2"/>
  <c r="K2230" i="2"/>
  <c r="K2226" i="2"/>
  <c r="K2222" i="2"/>
  <c r="K2218" i="2"/>
  <c r="K2210" i="2"/>
  <c r="K2206" i="2"/>
  <c r="K2202" i="2"/>
  <c r="K2194" i="2"/>
  <c r="K2190" i="2"/>
  <c r="K2186" i="2"/>
  <c r="K2178" i="2"/>
  <c r="K2173" i="2"/>
  <c r="K2169" i="2"/>
  <c r="K2161" i="2"/>
  <c r="K2157" i="2"/>
  <c r="K2153" i="2"/>
  <c r="K2149" i="2"/>
  <c r="K2145" i="2"/>
  <c r="K2141" i="2"/>
  <c r="K2137" i="2"/>
  <c r="K2133" i="2"/>
  <c r="K2129" i="2"/>
  <c r="K2125" i="2"/>
  <c r="K2121" i="2"/>
  <c r="K2115" i="2"/>
  <c r="K2111" i="2"/>
  <c r="K2107" i="2"/>
  <c r="K2103" i="2"/>
  <c r="K2099" i="2"/>
  <c r="K2095" i="2"/>
  <c r="K2091" i="2"/>
  <c r="K2087" i="2"/>
  <c r="K2083" i="2"/>
  <c r="K2079" i="2"/>
  <c r="K2075" i="2"/>
  <c r="K2071" i="2"/>
  <c r="K2067" i="2"/>
  <c r="K2063" i="2"/>
  <c r="K2059" i="2"/>
  <c r="K2055" i="2"/>
  <c r="K2051" i="2"/>
  <c r="K2047" i="2"/>
  <c r="K2043" i="2"/>
  <c r="K2039" i="2"/>
  <c r="K2035" i="2"/>
  <c r="K2031" i="2"/>
  <c r="K2027" i="2"/>
  <c r="K2023" i="2"/>
  <c r="K2019" i="2"/>
  <c r="K2015" i="2"/>
  <c r="K2011" i="2"/>
  <c r="K2007" i="2"/>
  <c r="K2003" i="2"/>
  <c r="K1999" i="2"/>
  <c r="K1995" i="2"/>
  <c r="K1991" i="2"/>
  <c r="K1987" i="2"/>
  <c r="K1983" i="2"/>
  <c r="K1979" i="2"/>
  <c r="K1975" i="2"/>
  <c r="K1971" i="2"/>
  <c r="K1967" i="2"/>
  <c r="K1963" i="2"/>
  <c r="K1959" i="2"/>
  <c r="K1955" i="2"/>
  <c r="K1951" i="2"/>
  <c r="K1947" i="2"/>
  <c r="K1943" i="2"/>
  <c r="K1939" i="2"/>
  <c r="K1935" i="2"/>
  <c r="K1931" i="2"/>
  <c r="K1927" i="2"/>
  <c r="K1923" i="2"/>
  <c r="K1919" i="2"/>
  <c r="K1915" i="2"/>
  <c r="K722" i="2"/>
  <c r="K1755" i="2"/>
  <c r="K1678" i="2"/>
  <c r="K1481" i="2"/>
  <c r="K1212" i="2"/>
  <c r="K1178" i="2"/>
  <c r="K690" i="2"/>
  <c r="K626" i="2"/>
  <c r="K562" i="2"/>
  <c r="K322" i="2"/>
  <c r="K147" i="2"/>
  <c r="K1795" i="2"/>
  <c r="K1763" i="2"/>
  <c r="K1714" i="2"/>
  <c r="K754" i="2"/>
  <c r="K658" i="2"/>
  <c r="K594" i="2"/>
  <c r="K426" i="2"/>
  <c r="K294" i="2"/>
  <c r="K187" i="2"/>
  <c r="K1906" i="2"/>
  <c r="K1814" i="2"/>
  <c r="K1609" i="2"/>
  <c r="K1340" i="2"/>
  <c r="K1300" i="2"/>
  <c r="K1268" i="2"/>
  <c r="K1260" i="2"/>
  <c r="K1220" i="2"/>
  <c r="K1138" i="2"/>
  <c r="K875" i="2"/>
  <c r="K762" i="2"/>
  <c r="K730" i="2"/>
  <c r="K698" i="2"/>
  <c r="K666" i="2"/>
  <c r="K634" i="2"/>
  <c r="K602" i="2"/>
  <c r="K570" i="2"/>
  <c r="K434" i="2"/>
  <c r="K1739" i="2"/>
  <c r="K1577" i="2"/>
  <c r="K1537" i="2"/>
  <c r="K1505" i="2"/>
  <c r="K1497" i="2"/>
  <c r="K1348" i="2"/>
  <c r="K1312" i="2"/>
  <c r="K939" i="2"/>
  <c r="K770" i="2"/>
  <c r="K738" i="2"/>
  <c r="K706" i="2"/>
  <c r="K674" i="2"/>
  <c r="K642" i="2"/>
  <c r="K610" i="2"/>
  <c r="K578" i="2"/>
  <c r="K546" i="2"/>
  <c r="K514" i="2"/>
  <c r="K446" i="2"/>
  <c r="K386" i="2"/>
  <c r="K358" i="2"/>
  <c r="K258" i="2"/>
  <c r="K230" i="2"/>
  <c r="K1910" i="2"/>
  <c r="K1902" i="2"/>
  <c r="K1898" i="2"/>
  <c r="K1894" i="2"/>
  <c r="K1882" i="2"/>
  <c r="K1878" i="2"/>
  <c r="K1874" i="2"/>
  <c r="K1870" i="2"/>
  <c r="K1866" i="2"/>
  <c r="K1862" i="2"/>
  <c r="K1858" i="2"/>
  <c r="K1818" i="2"/>
  <c r="K1809" i="2"/>
  <c r="K1805" i="2"/>
  <c r="K1791" i="2"/>
  <c r="K1787" i="2"/>
  <c r="K1783" i="2"/>
  <c r="K1779" i="2"/>
  <c r="K1775" i="2"/>
  <c r="K1771" i="2"/>
  <c r="K1767" i="2"/>
  <c r="K1759" i="2"/>
  <c r="K1751" i="2"/>
  <c r="K1747" i="2"/>
  <c r="K1743" i="2"/>
  <c r="K1735" i="2"/>
  <c r="K1731" i="2"/>
  <c r="K1727" i="2"/>
  <c r="K1723" i="2"/>
  <c r="K1719" i="2"/>
  <c r="K1710" i="2"/>
  <c r="K1702" i="2"/>
  <c r="K1698" i="2"/>
  <c r="K1694" i="2"/>
  <c r="K1690" i="2"/>
  <c r="K1686" i="2"/>
  <c r="K1682" i="2"/>
  <c r="K1674" i="2"/>
  <c r="K1670" i="2"/>
  <c r="K1662" i="2"/>
  <c r="K1657" i="2"/>
  <c r="K1653" i="2"/>
  <c r="K1649" i="2"/>
  <c r="K1645" i="2"/>
  <c r="K1641" i="2"/>
  <c r="K1637" i="2"/>
  <c r="K1629" i="2"/>
  <c r="K1621" i="2"/>
  <c r="K1617" i="2"/>
  <c r="K1613" i="2"/>
  <c r="K1605" i="2"/>
  <c r="K1601" i="2"/>
  <c r="K1597" i="2"/>
  <c r="K1593" i="2"/>
  <c r="K1589" i="2"/>
  <c r="K1581" i="2"/>
  <c r="K1573" i="2"/>
  <c r="K1569" i="2"/>
  <c r="K1565" i="2"/>
  <c r="K1561" i="2"/>
  <c r="K1557" i="2"/>
  <c r="K1553" i="2"/>
  <c r="K1545" i="2"/>
  <c r="K1541" i="2"/>
  <c r="K1533" i="2"/>
  <c r="K1529" i="2"/>
  <c r="K1525" i="2"/>
  <c r="K1521" i="2"/>
  <c r="K1517" i="2"/>
  <c r="K1513" i="2"/>
  <c r="K1509" i="2"/>
  <c r="K1501" i="2"/>
  <c r="K1493" i="2"/>
  <c r="K1489" i="2"/>
  <c r="K1485" i="2"/>
  <c r="K1477" i="2"/>
  <c r="K1364" i="2"/>
  <c r="F1324" i="6"/>
  <c r="K1360" i="2"/>
  <c r="F1320" i="6"/>
  <c r="K1356" i="2"/>
  <c r="F1316" i="6"/>
  <c r="K1352" i="2"/>
  <c r="F1312" i="6"/>
  <c r="K1344" i="2"/>
  <c r="F1304" i="6"/>
  <c r="K1336" i="2"/>
  <c r="F1296" i="6"/>
  <c r="K1332" i="2"/>
  <c r="F1292" i="6"/>
  <c r="K1328" i="2"/>
  <c r="F1288" i="6"/>
  <c r="K1324" i="2"/>
  <c r="F1284" i="6"/>
  <c r="K1320" i="2"/>
  <c r="F1280" i="6"/>
  <c r="K1316" i="2"/>
  <c r="F1276" i="6"/>
  <c r="K1308" i="2"/>
  <c r="F1268" i="6"/>
  <c r="K1304" i="2"/>
  <c r="F1264" i="6"/>
  <c r="K1296" i="2"/>
  <c r="F1256" i="6"/>
  <c r="K1292" i="2"/>
  <c r="F1252" i="6"/>
  <c r="K1288" i="2"/>
  <c r="F1248" i="6"/>
  <c r="K1284" i="2"/>
  <c r="F1244" i="6"/>
  <c r="K1280" i="2"/>
  <c r="F1240" i="6"/>
  <c r="K1276" i="2"/>
  <c r="F1236" i="6"/>
  <c r="K1272" i="2"/>
  <c r="F1232" i="6"/>
  <c r="K1264" i="2"/>
  <c r="F1224" i="6"/>
  <c r="K1256" i="2"/>
  <c r="F1216" i="6"/>
  <c r="K1252" i="2"/>
  <c r="F1212" i="6"/>
  <c r="K1248" i="2"/>
  <c r="F1208" i="6"/>
  <c r="K1240" i="2"/>
  <c r="F1200" i="6"/>
  <c r="K1236" i="2"/>
  <c r="F1196" i="6"/>
  <c r="K1232" i="2"/>
  <c r="F1192" i="6"/>
  <c r="K1228" i="2"/>
  <c r="F1188" i="6"/>
  <c r="K1224" i="2"/>
  <c r="F1184" i="6"/>
  <c r="K1216" i="2"/>
  <c r="F1176" i="6"/>
  <c r="K1208" i="2"/>
  <c r="F1168" i="6"/>
  <c r="K1202" i="2"/>
  <c r="F1162" i="6"/>
  <c r="K1198" i="2"/>
  <c r="F1158" i="6"/>
  <c r="K1194" i="2"/>
  <c r="F1154" i="6"/>
  <c r="K1190" i="2"/>
  <c r="F1150" i="6"/>
  <c r="K1186" i="2"/>
  <c r="F1146" i="6"/>
  <c r="K1182" i="2"/>
  <c r="F1142" i="6"/>
  <c r="K1174" i="2"/>
  <c r="F1134" i="6"/>
  <c r="K1170" i="2"/>
  <c r="F1130" i="6"/>
  <c r="K1166" i="2"/>
  <c r="F1126" i="6"/>
  <c r="K1162" i="2"/>
  <c r="F1122" i="6"/>
  <c r="K1158" i="2"/>
  <c r="F1118" i="6"/>
  <c r="K1154" i="2"/>
  <c r="F1114" i="6"/>
  <c r="K1150" i="2"/>
  <c r="F1110" i="6"/>
  <c r="K1146" i="2"/>
  <c r="F1106" i="6"/>
  <c r="K1142" i="2"/>
  <c r="F1102" i="6"/>
  <c r="K1115" i="2"/>
  <c r="F1075" i="6"/>
  <c r="K1024" i="2"/>
  <c r="F984" i="6"/>
  <c r="K1020" i="2"/>
  <c r="F980" i="6"/>
  <c r="K956" i="2"/>
  <c r="F916" i="6"/>
  <c r="K948" i="2"/>
  <c r="F908" i="6"/>
  <c r="K943" i="2"/>
  <c r="F903" i="6"/>
  <c r="K935" i="2"/>
  <c r="F895" i="6"/>
  <c r="K923" i="2"/>
  <c r="F883" i="6"/>
  <c r="K911" i="2"/>
  <c r="F871" i="6"/>
  <c r="K899" i="2"/>
  <c r="F859" i="6"/>
  <c r="K887" i="2"/>
  <c r="F847" i="6"/>
  <c r="K863" i="2"/>
  <c r="F823" i="6"/>
  <c r="K851" i="2"/>
  <c r="F811" i="6"/>
  <c r="K839" i="2"/>
  <c r="F799" i="6"/>
  <c r="K825" i="2"/>
  <c r="F785" i="6"/>
  <c r="K813" i="2"/>
  <c r="F773" i="6"/>
  <c r="K801" i="2"/>
  <c r="F761" i="6"/>
  <c r="K791" i="2"/>
  <c r="F751" i="6"/>
  <c r="K766" i="2"/>
  <c r="F726" i="6"/>
  <c r="K758" i="2"/>
  <c r="F718" i="6"/>
  <c r="K750" i="2"/>
  <c r="F710" i="6"/>
  <c r="K742" i="2"/>
  <c r="F702" i="6"/>
  <c r="K734" i="2"/>
  <c r="F694" i="6"/>
  <c r="K726" i="2"/>
  <c r="F686" i="6"/>
  <c r="K718" i="2"/>
  <c r="F678" i="6"/>
  <c r="K710" i="2"/>
  <c r="F670" i="6"/>
  <c r="K702" i="2"/>
  <c r="F662" i="6"/>
  <c r="K694" i="2"/>
  <c r="F654" i="6"/>
  <c r="K686" i="2"/>
  <c r="F646" i="6"/>
  <c r="K678" i="2"/>
  <c r="F638" i="6"/>
  <c r="K670" i="2"/>
  <c r="F630" i="6"/>
  <c r="K662" i="2"/>
  <c r="F622" i="6"/>
  <c r="K654" i="2"/>
  <c r="F614" i="6"/>
  <c r="K646" i="2"/>
  <c r="F606" i="6"/>
  <c r="K638" i="2"/>
  <c r="F598" i="6"/>
  <c r="K630" i="2"/>
  <c r="F590" i="6"/>
  <c r="K622" i="2"/>
  <c r="F582" i="6"/>
  <c r="K614" i="2"/>
  <c r="F574" i="6"/>
  <c r="K606" i="2"/>
  <c r="F566" i="6"/>
  <c r="K598" i="2"/>
  <c r="F558" i="6"/>
  <c r="K590" i="2"/>
  <c r="F550" i="6"/>
  <c r="K582" i="2"/>
  <c r="F542" i="6"/>
  <c r="K574" i="2"/>
  <c r="F534" i="6"/>
  <c r="K566" i="2"/>
  <c r="F526" i="6"/>
  <c r="K558" i="2"/>
  <c r="F518" i="6"/>
  <c r="K550" i="2"/>
  <c r="F510" i="6"/>
  <c r="K542" i="2"/>
  <c r="F502" i="6"/>
  <c r="K538" i="2"/>
  <c r="F498" i="6"/>
  <c r="K534" i="2"/>
  <c r="F494" i="6"/>
  <c r="K530" i="2"/>
  <c r="F490" i="6"/>
  <c r="K526" i="2"/>
  <c r="F486" i="6"/>
  <c r="K522" i="2"/>
  <c r="F482" i="6"/>
  <c r="K518" i="2"/>
  <c r="F478" i="6"/>
  <c r="K510" i="2"/>
  <c r="F470" i="6"/>
  <c r="K506" i="2"/>
  <c r="F466" i="6"/>
  <c r="K502" i="2"/>
  <c r="F462" i="6"/>
  <c r="K498" i="2"/>
  <c r="F458" i="6"/>
  <c r="K494" i="2"/>
  <c r="F454" i="6"/>
  <c r="K490" i="2"/>
  <c r="F450" i="6"/>
  <c r="K486" i="2"/>
  <c r="F446" i="6"/>
  <c r="K482" i="2"/>
  <c r="F442" i="6"/>
  <c r="K478" i="2"/>
  <c r="F438" i="6"/>
  <c r="K474" i="2"/>
  <c r="F434" i="6"/>
  <c r="K470" i="2"/>
  <c r="F430" i="6"/>
  <c r="K466" i="2"/>
  <c r="F426" i="6"/>
  <c r="K462" i="2"/>
  <c r="F422" i="6"/>
  <c r="K458" i="2"/>
  <c r="F418" i="6"/>
  <c r="K454" i="2"/>
  <c r="F414" i="6"/>
  <c r="K450" i="2"/>
  <c r="F410" i="6"/>
  <c r="K442" i="2"/>
  <c r="F402" i="6"/>
  <c r="K438" i="2"/>
  <c r="F398" i="6"/>
  <c r="K430" i="2"/>
  <c r="F390" i="6"/>
  <c r="K422" i="2"/>
  <c r="F382" i="6"/>
  <c r="K414" i="2"/>
  <c r="F374" i="6"/>
  <c r="K410" i="2"/>
  <c r="F370" i="6"/>
  <c r="K406" i="2"/>
  <c r="F366" i="6"/>
  <c r="K402" i="2"/>
  <c r="F362" i="6"/>
  <c r="K398" i="2"/>
  <c r="F358" i="6"/>
  <c r="K394" i="2"/>
  <c r="F354" i="6"/>
  <c r="K390" i="2"/>
  <c r="F350" i="6"/>
  <c r="K382" i="2"/>
  <c r="F342" i="6"/>
  <c r="K378" i="2"/>
  <c r="F338" i="6"/>
  <c r="K374" i="2"/>
  <c r="F334" i="6"/>
  <c r="K370" i="2"/>
  <c r="F330" i="6"/>
  <c r="K366" i="2"/>
  <c r="F326" i="6"/>
  <c r="K362" i="2"/>
  <c r="F322" i="6"/>
  <c r="K354" i="2"/>
  <c r="F314" i="6"/>
  <c r="K350" i="2"/>
  <c r="F310" i="6"/>
  <c r="K346" i="2"/>
  <c r="F306" i="6"/>
  <c r="K342" i="2"/>
  <c r="F302" i="6"/>
  <c r="K338" i="2"/>
  <c r="F298" i="6"/>
  <c r="K334" i="2"/>
  <c r="F294" i="6"/>
  <c r="K330" i="2"/>
  <c r="F290" i="6"/>
  <c r="K326" i="2"/>
  <c r="F286" i="6"/>
  <c r="K318" i="2"/>
  <c r="F278" i="6"/>
  <c r="K314" i="2"/>
  <c r="F274" i="6"/>
  <c r="K310" i="2"/>
  <c r="F270" i="6"/>
  <c r="K306" i="2"/>
  <c r="F266" i="6"/>
  <c r="K302" i="2"/>
  <c r="F262" i="6"/>
  <c r="K298" i="2"/>
  <c r="F258" i="6"/>
  <c r="K290" i="2"/>
  <c r="F250" i="6"/>
  <c r="K286" i="2"/>
  <c r="F246" i="6"/>
  <c r="K282" i="2"/>
  <c r="F242" i="6"/>
  <c r="K278" i="2"/>
  <c r="F238" i="6"/>
  <c r="K274" i="2"/>
  <c r="F234" i="6"/>
  <c r="K270" i="2"/>
  <c r="F230" i="6"/>
  <c r="K266" i="2"/>
  <c r="F226" i="6"/>
  <c r="K262" i="2"/>
  <c r="F222" i="6"/>
  <c r="K254" i="2"/>
  <c r="F214" i="6"/>
  <c r="K250" i="2"/>
  <c r="F210" i="6"/>
  <c r="K246" i="2"/>
  <c r="F206" i="6"/>
  <c r="K242" i="2"/>
  <c r="F202" i="6"/>
  <c r="K238" i="2"/>
  <c r="F198" i="6"/>
  <c r="K234" i="2"/>
  <c r="F194" i="6"/>
  <c r="K226" i="2"/>
  <c r="F186" i="6"/>
  <c r="K222" i="2"/>
  <c r="F182" i="6"/>
  <c r="K218" i="2"/>
  <c r="F178" i="6"/>
  <c r="K214" i="2"/>
  <c r="F174" i="6"/>
  <c r="K210" i="2"/>
  <c r="F170" i="6"/>
  <c r="K206" i="2"/>
  <c r="F166" i="6"/>
  <c r="K202" i="2"/>
  <c r="F162" i="6"/>
  <c r="K198" i="2"/>
  <c r="F158" i="6"/>
  <c r="K193" i="2"/>
  <c r="F153" i="6"/>
  <c r="K181" i="2"/>
  <c r="F141" i="6"/>
  <c r="K177" i="2"/>
  <c r="F137" i="6"/>
  <c r="K173" i="2"/>
  <c r="F133" i="6"/>
  <c r="K164" i="2"/>
  <c r="F124" i="6"/>
  <c r="K157" i="2"/>
  <c r="F117" i="6"/>
  <c r="K143" i="2"/>
  <c r="F103" i="6"/>
  <c r="K139" i="2"/>
  <c r="F99" i="6"/>
  <c r="K133" i="2"/>
  <c r="F93" i="6"/>
  <c r="K129" i="2"/>
  <c r="F89" i="6"/>
  <c r="K125" i="2"/>
  <c r="F85" i="6"/>
  <c r="K118" i="2"/>
  <c r="F78" i="6"/>
  <c r="K114" i="2"/>
  <c r="F74" i="6"/>
  <c r="K105" i="2"/>
  <c r="F65" i="6"/>
  <c r="K101" i="2"/>
  <c r="F61" i="6"/>
  <c r="K93" i="2"/>
  <c r="F53" i="6"/>
  <c r="K89" i="2"/>
  <c r="F49" i="6"/>
  <c r="K79" i="2"/>
  <c r="F39" i="6"/>
  <c r="K75" i="2"/>
  <c r="F35" i="6"/>
  <c r="K71" i="2"/>
  <c r="F31" i="6"/>
  <c r="K67" i="2"/>
  <c r="F27" i="6"/>
  <c r="K1909" i="2"/>
  <c r="K1905" i="2"/>
  <c r="K1901" i="2"/>
  <c r="K1893" i="2"/>
  <c r="K1881" i="2"/>
  <c r="K1877" i="2"/>
  <c r="K1873" i="2"/>
  <c r="K1869" i="2"/>
  <c r="K1865" i="2"/>
  <c r="K1861" i="2"/>
  <c r="K1817" i="2"/>
  <c r="K1813" i="2"/>
  <c r="K1808" i="2"/>
  <c r="K1804" i="2"/>
  <c r="K1794" i="2"/>
  <c r="K1790" i="2"/>
  <c r="K1786" i="2"/>
  <c r="K1782" i="2"/>
  <c r="K1778" i="2"/>
  <c r="K1774" i="2"/>
  <c r="K1770" i="2"/>
  <c r="K1766" i="2"/>
  <c r="K1762" i="2"/>
  <c r="K1758" i="2"/>
  <c r="K1754" i="2"/>
  <c r="K1750" i="2"/>
  <c r="K1746" i="2"/>
  <c r="K1742" i="2"/>
  <c r="K1738" i="2"/>
  <c r="K1734" i="2"/>
  <c r="K1730" i="2"/>
  <c r="K1726" i="2"/>
  <c r="K1722" i="2"/>
  <c r="K1718" i="2"/>
  <c r="K1713" i="2"/>
  <c r="K1709" i="2"/>
  <c r="K1705" i="2"/>
  <c r="K1701" i="2"/>
  <c r="K1697" i="2"/>
  <c r="K1693" i="2"/>
  <c r="K1689" i="2"/>
  <c r="K1685" i="2"/>
  <c r="K1681" i="2"/>
  <c r="K1677" i="2"/>
  <c r="K1673" i="2"/>
  <c r="K1669" i="2"/>
  <c r="K1665" i="2"/>
  <c r="K1661" i="2"/>
  <c r="K1656" i="2"/>
  <c r="K1652" i="2"/>
  <c r="K1648" i="2"/>
  <c r="K1644" i="2"/>
  <c r="K1640" i="2"/>
  <c r="K1636" i="2"/>
  <c r="K1632" i="2"/>
  <c r="K1628" i="2"/>
  <c r="K1624" i="2"/>
  <c r="K1620" i="2"/>
  <c r="K1616" i="2"/>
  <c r="K1612" i="2"/>
  <c r="K1608" i="2"/>
  <c r="K1604" i="2"/>
  <c r="K1600" i="2"/>
  <c r="K1596" i="2"/>
  <c r="K1592" i="2"/>
  <c r="K1588" i="2"/>
  <c r="K1584" i="2"/>
  <c r="K1580" i="2"/>
  <c r="K1576" i="2"/>
  <c r="K1572" i="2"/>
  <c r="K1568" i="2"/>
  <c r="K1564" i="2"/>
  <c r="K1560" i="2"/>
  <c r="K1556" i="2"/>
  <c r="K1552" i="2"/>
  <c r="K1548" i="2"/>
  <c r="K1544" i="2"/>
  <c r="K1540" i="2"/>
  <c r="K1536" i="2"/>
  <c r="K1532" i="2"/>
  <c r="K1528" i="2"/>
  <c r="K1524" i="2"/>
  <c r="K1520" i="2"/>
  <c r="K1516" i="2"/>
  <c r="K1512" i="2"/>
  <c r="K1508" i="2"/>
  <c r="K1504" i="2"/>
  <c r="K1500" i="2"/>
  <c r="K1496" i="2"/>
  <c r="K1492" i="2"/>
  <c r="K1488" i="2"/>
  <c r="K1484" i="2"/>
  <c r="K1480" i="2"/>
  <c r="K1476" i="2"/>
  <c r="K1363" i="2"/>
  <c r="F1323" i="6"/>
  <c r="K1359" i="2"/>
  <c r="F1319" i="6"/>
  <c r="K1355" i="2"/>
  <c r="F1315" i="6"/>
  <c r="K1351" i="2"/>
  <c r="F1311" i="6"/>
  <c r="K1347" i="2"/>
  <c r="F1307" i="6"/>
  <c r="K1343" i="2"/>
  <c r="F1303" i="6"/>
  <c r="K1339" i="2"/>
  <c r="F1299" i="6"/>
  <c r="K1335" i="2"/>
  <c r="F1295" i="6"/>
  <c r="K1331" i="2"/>
  <c r="F1291" i="6"/>
  <c r="K1327" i="2"/>
  <c r="F1287" i="6"/>
  <c r="K1323" i="2"/>
  <c r="F1283" i="6"/>
  <c r="K1319" i="2"/>
  <c r="F1279" i="6"/>
  <c r="K1315" i="2"/>
  <c r="F1275" i="6"/>
  <c r="K1311" i="2"/>
  <c r="F1271" i="6"/>
  <c r="K1307" i="2"/>
  <c r="F1267" i="6"/>
  <c r="K1303" i="2"/>
  <c r="F1263" i="6"/>
  <c r="K1299" i="2"/>
  <c r="F1259" i="6"/>
  <c r="K1295" i="2"/>
  <c r="F1255" i="6"/>
  <c r="K1291" i="2"/>
  <c r="F1251" i="6"/>
  <c r="K1287" i="2"/>
  <c r="F1247" i="6"/>
  <c r="K1283" i="2"/>
  <c r="F1243" i="6"/>
  <c r="K1279" i="2"/>
  <c r="F1239" i="6"/>
  <c r="K1275" i="2"/>
  <c r="F1235" i="6"/>
  <c r="K1271" i="2"/>
  <c r="F1231" i="6"/>
  <c r="K1267" i="2"/>
  <c r="F1227" i="6"/>
  <c r="K1263" i="2"/>
  <c r="F1223" i="6"/>
  <c r="K1259" i="2"/>
  <c r="F1219" i="6"/>
  <c r="K1255" i="2"/>
  <c r="F1215" i="6"/>
  <c r="K1251" i="2"/>
  <c r="F1211" i="6"/>
  <c r="K1247" i="2"/>
  <c r="F1207" i="6"/>
  <c r="K1243" i="2"/>
  <c r="F1203" i="6"/>
  <c r="K1239" i="2"/>
  <c r="F1199" i="6"/>
  <c r="K1235" i="2"/>
  <c r="F1195" i="6"/>
  <c r="K1231" i="2"/>
  <c r="F1191" i="6"/>
  <c r="K1227" i="2"/>
  <c r="F1187" i="6"/>
  <c r="K1223" i="2"/>
  <c r="F1183" i="6"/>
  <c r="K1219" i="2"/>
  <c r="F1179" i="6"/>
  <c r="K1215" i="2"/>
  <c r="F1175" i="6"/>
  <c r="K1211" i="2"/>
  <c r="F1171" i="6"/>
  <c r="K1207" i="2"/>
  <c r="F1167" i="6"/>
  <c r="K1197" i="2"/>
  <c r="F1157" i="6"/>
  <c r="K1193" i="2"/>
  <c r="F1153" i="6"/>
  <c r="K1189" i="2"/>
  <c r="F1149" i="6"/>
  <c r="K1185" i="2"/>
  <c r="F1145" i="6"/>
  <c r="K1181" i="2"/>
  <c r="F1141" i="6"/>
  <c r="K1177" i="2"/>
  <c r="F1137" i="6"/>
  <c r="K1173" i="2"/>
  <c r="F1133" i="6"/>
  <c r="K1165" i="2"/>
  <c r="F1125" i="6"/>
  <c r="K1161" i="2"/>
  <c r="F1121" i="6"/>
  <c r="K1157" i="2"/>
  <c r="F1117" i="6"/>
  <c r="K1153" i="2"/>
  <c r="F1113" i="6"/>
  <c r="K1149" i="2"/>
  <c r="F1109" i="6"/>
  <c r="K1145" i="2"/>
  <c r="F1105" i="6"/>
  <c r="K1141" i="2"/>
  <c r="F1101" i="6"/>
  <c r="K1100" i="2"/>
  <c r="F1060" i="6"/>
  <c r="K1023" i="2"/>
  <c r="F983" i="6"/>
  <c r="K965" i="2"/>
  <c r="F925" i="6"/>
  <c r="K955" i="2"/>
  <c r="F915" i="6"/>
  <c r="K951" i="2"/>
  <c r="F911" i="6"/>
  <c r="K947" i="2"/>
  <c r="F907" i="6"/>
  <c r="K942" i="2"/>
  <c r="F902" i="6"/>
  <c r="K934" i="2"/>
  <c r="F894" i="6"/>
  <c r="K920" i="2"/>
  <c r="F880" i="6"/>
  <c r="K908" i="2"/>
  <c r="F868" i="6"/>
  <c r="K896" i="2"/>
  <c r="F856" i="6"/>
  <c r="K884" i="2"/>
  <c r="F844" i="6"/>
  <c r="K872" i="2"/>
  <c r="F832" i="6"/>
  <c r="K860" i="2"/>
  <c r="F820" i="6"/>
  <c r="K848" i="2"/>
  <c r="F808" i="6"/>
  <c r="K834" i="2"/>
  <c r="F794" i="6"/>
  <c r="K822" i="2"/>
  <c r="F782" i="6"/>
  <c r="K810" i="2"/>
  <c r="F770" i="6"/>
  <c r="K798" i="2"/>
  <c r="F758" i="6"/>
  <c r="K769" i="2"/>
  <c r="F729" i="6"/>
  <c r="K765" i="2"/>
  <c r="F725" i="6"/>
  <c r="K761" i="2"/>
  <c r="F721" i="6"/>
  <c r="K757" i="2"/>
  <c r="F717" i="6"/>
  <c r="K753" i="2"/>
  <c r="F713" i="6"/>
  <c r="K749" i="2"/>
  <c r="F709" i="6"/>
  <c r="K745" i="2"/>
  <c r="F705" i="6"/>
  <c r="K741" i="2"/>
  <c r="F701" i="6"/>
  <c r="K737" i="2"/>
  <c r="F697" i="6"/>
  <c r="K733" i="2"/>
  <c r="F693" i="6"/>
  <c r="K729" i="2"/>
  <c r="F689" i="6"/>
  <c r="K725" i="2"/>
  <c r="F685" i="6"/>
  <c r="K721" i="2"/>
  <c r="F681" i="6"/>
  <c r="K717" i="2"/>
  <c r="F677" i="6"/>
  <c r="K713" i="2"/>
  <c r="F673" i="6"/>
  <c r="K709" i="2"/>
  <c r="F669" i="6"/>
  <c r="K705" i="2"/>
  <c r="F665" i="6"/>
  <c r="K701" i="2"/>
  <c r="F661" i="6"/>
  <c r="K697" i="2"/>
  <c r="F657" i="6"/>
  <c r="K693" i="2"/>
  <c r="F653" i="6"/>
  <c r="K689" i="2"/>
  <c r="F649" i="6"/>
  <c r="K685" i="2"/>
  <c r="F645" i="6"/>
  <c r="K681" i="2"/>
  <c r="F641" i="6"/>
  <c r="K677" i="2"/>
  <c r="F637" i="6"/>
  <c r="K673" i="2"/>
  <c r="F633" i="6"/>
  <c r="K669" i="2"/>
  <c r="F629" i="6"/>
  <c r="K665" i="2"/>
  <c r="F625" i="6"/>
  <c r="K661" i="2"/>
  <c r="F621" i="6"/>
  <c r="K657" i="2"/>
  <c r="F617" i="6"/>
  <c r="K653" i="2"/>
  <c r="F613" i="6"/>
  <c r="K649" i="2"/>
  <c r="F609" i="6"/>
  <c r="K645" i="2"/>
  <c r="F605" i="6"/>
  <c r="K641" i="2"/>
  <c r="F601" i="6"/>
  <c r="K637" i="2"/>
  <c r="F597" i="6"/>
  <c r="K633" i="2"/>
  <c r="F593" i="6"/>
  <c r="K629" i="2"/>
  <c r="F589" i="6"/>
  <c r="K625" i="2"/>
  <c r="F585" i="6"/>
  <c r="K621" i="2"/>
  <c r="F581" i="6"/>
  <c r="K617" i="2"/>
  <c r="F577" i="6"/>
  <c r="K613" i="2"/>
  <c r="F573" i="6"/>
  <c r="K609" i="2"/>
  <c r="F569" i="6"/>
  <c r="K605" i="2"/>
  <c r="F565" i="6"/>
  <c r="K601" i="2"/>
  <c r="F561" i="6"/>
  <c r="K597" i="2"/>
  <c r="F557" i="6"/>
  <c r="K593" i="2"/>
  <c r="F553" i="6"/>
  <c r="K589" i="2"/>
  <c r="F549" i="6"/>
  <c r="K585" i="2"/>
  <c r="F545" i="6"/>
  <c r="K581" i="2"/>
  <c r="F541" i="6"/>
  <c r="K577" i="2"/>
  <c r="F537" i="6"/>
  <c r="K573" i="2"/>
  <c r="F533" i="6"/>
  <c r="K569" i="2"/>
  <c r="F529" i="6"/>
  <c r="K565" i="2"/>
  <c r="F525" i="6"/>
  <c r="K561" i="2"/>
  <c r="F521" i="6"/>
  <c r="K557" i="2"/>
  <c r="F517" i="6"/>
  <c r="K553" i="2"/>
  <c r="F513" i="6"/>
  <c r="K549" i="2"/>
  <c r="F509" i="6"/>
  <c r="K545" i="2"/>
  <c r="F505" i="6"/>
  <c r="K537" i="2"/>
  <c r="F497" i="6"/>
  <c r="K533" i="2"/>
  <c r="F493" i="6"/>
  <c r="K529" i="2"/>
  <c r="F489" i="6"/>
  <c r="K525" i="2"/>
  <c r="F485" i="6"/>
  <c r="K521" i="2"/>
  <c r="F481" i="6"/>
  <c r="K517" i="2"/>
  <c r="F477" i="6"/>
  <c r="K513" i="2"/>
  <c r="F473" i="6"/>
  <c r="K505" i="2"/>
  <c r="F465" i="6"/>
  <c r="K501" i="2"/>
  <c r="F461" i="6"/>
  <c r="K497" i="2"/>
  <c r="F457" i="6"/>
  <c r="K493" i="2"/>
  <c r="F453" i="6"/>
  <c r="K489" i="2"/>
  <c r="F449" i="6"/>
  <c r="K485" i="2"/>
  <c r="F445" i="6"/>
  <c r="K481" i="2"/>
  <c r="F441" i="6"/>
  <c r="K473" i="2"/>
  <c r="F433" i="6"/>
  <c r="K469" i="2"/>
  <c r="F429" i="6"/>
  <c r="K465" i="2"/>
  <c r="F425" i="6"/>
  <c r="K461" i="2"/>
  <c r="F421" i="6"/>
  <c r="K457" i="2"/>
  <c r="F417" i="6"/>
  <c r="K453" i="2"/>
  <c r="F413" i="6"/>
  <c r="K449" i="2"/>
  <c r="F409" i="6"/>
  <c r="K441" i="2"/>
  <c r="F401" i="6"/>
  <c r="K437" i="2"/>
  <c r="F397" i="6"/>
  <c r="K433" i="2"/>
  <c r="F393" i="6"/>
  <c r="K429" i="2"/>
  <c r="F389" i="6"/>
  <c r="K425" i="2"/>
  <c r="F385" i="6"/>
  <c r="K421" i="2"/>
  <c r="F381" i="6"/>
  <c r="K417" i="2"/>
  <c r="F377" i="6"/>
  <c r="K409" i="2"/>
  <c r="F369" i="6"/>
  <c r="K405" i="2"/>
  <c r="F365" i="6"/>
  <c r="K401" i="2"/>
  <c r="F361" i="6"/>
  <c r="K397" i="2"/>
  <c r="F357" i="6"/>
  <c r="K393" i="2"/>
  <c r="F353" i="6"/>
  <c r="K389" i="2"/>
  <c r="F349" i="6"/>
  <c r="K385" i="2"/>
  <c r="F345" i="6"/>
  <c r="K381" i="2"/>
  <c r="F341" i="6"/>
  <c r="K377" i="2"/>
  <c r="F337" i="6"/>
  <c r="K373" i="2"/>
  <c r="F333" i="6"/>
  <c r="K369" i="2"/>
  <c r="F329" i="6"/>
  <c r="K365" i="2"/>
  <c r="F325" i="6"/>
  <c r="K361" i="2"/>
  <c r="F321" i="6"/>
  <c r="K357" i="2"/>
  <c r="F317" i="6"/>
  <c r="K353" i="2"/>
  <c r="F313" i="6"/>
  <c r="K349" i="2"/>
  <c r="F309" i="6"/>
  <c r="K345" i="2"/>
  <c r="F305" i="6"/>
  <c r="K341" i="2"/>
  <c r="F301" i="6"/>
  <c r="K337" i="2"/>
  <c r="F297" i="6"/>
  <c r="K333" i="2"/>
  <c r="F293" i="6"/>
  <c r="K329" i="2"/>
  <c r="F289" i="6"/>
  <c r="K325" i="2"/>
  <c r="F285" i="6"/>
  <c r="K321" i="2"/>
  <c r="F281" i="6"/>
  <c r="K317" i="2"/>
  <c r="F277" i="6"/>
  <c r="K313" i="2"/>
  <c r="F273" i="6"/>
  <c r="K309" i="2"/>
  <c r="F269" i="6"/>
  <c r="K305" i="2"/>
  <c r="F265" i="6"/>
  <c r="K301" i="2"/>
  <c r="F261" i="6"/>
  <c r="K297" i="2"/>
  <c r="F257" i="6"/>
  <c r="K293" i="2"/>
  <c r="F253" i="6"/>
  <c r="K289" i="2"/>
  <c r="F249" i="6"/>
  <c r="K285" i="2"/>
  <c r="F245" i="6"/>
  <c r="K281" i="2"/>
  <c r="F241" i="6"/>
  <c r="K277" i="2"/>
  <c r="F237" i="6"/>
  <c r="K273" i="2"/>
  <c r="F233" i="6"/>
  <c r="K269" i="2"/>
  <c r="F229" i="6"/>
  <c r="K265" i="2"/>
  <c r="F225" i="6"/>
  <c r="K261" i="2"/>
  <c r="F221" i="6"/>
  <c r="K257" i="2"/>
  <c r="F217" i="6"/>
  <c r="K253" i="2"/>
  <c r="F213" i="6"/>
  <c r="K249" i="2"/>
  <c r="F209" i="6"/>
  <c r="K245" i="2"/>
  <c r="F205" i="6"/>
  <c r="K241" i="2"/>
  <c r="F201" i="6"/>
  <c r="K237" i="2"/>
  <c r="F197" i="6"/>
  <c r="K233" i="2"/>
  <c r="F193" i="6"/>
  <c r="K229" i="2"/>
  <c r="F189" i="6"/>
  <c r="K225" i="2"/>
  <c r="F185" i="6"/>
  <c r="K221" i="2"/>
  <c r="F181" i="6"/>
  <c r="K217" i="2"/>
  <c r="F177" i="6"/>
  <c r="K213" i="2"/>
  <c r="F173" i="6"/>
  <c r="K209" i="2"/>
  <c r="F169" i="6"/>
  <c r="K205" i="2"/>
  <c r="F165" i="6"/>
  <c r="K201" i="2"/>
  <c r="F161" i="6"/>
  <c r="K197" i="2"/>
  <c r="F157" i="6"/>
  <c r="K190" i="2"/>
  <c r="F150" i="6"/>
  <c r="K186" i="2"/>
  <c r="F146" i="6"/>
  <c r="K180" i="2"/>
  <c r="F140" i="6"/>
  <c r="K176" i="2"/>
  <c r="F136" i="6"/>
  <c r="K172" i="2"/>
  <c r="F132" i="6"/>
  <c r="K163" i="2"/>
  <c r="F123" i="6"/>
  <c r="K153" i="2"/>
  <c r="F113" i="6"/>
  <c r="K146" i="2"/>
  <c r="F106" i="6"/>
  <c r="K142" i="2"/>
  <c r="F102" i="6"/>
  <c r="K138" i="2"/>
  <c r="F98" i="6"/>
  <c r="K128" i="2"/>
  <c r="F88" i="6"/>
  <c r="K117" i="2"/>
  <c r="F77" i="6"/>
  <c r="K113" i="2"/>
  <c r="F73" i="6"/>
  <c r="K104" i="2"/>
  <c r="F64" i="6"/>
  <c r="K92" i="2"/>
  <c r="F52" i="6"/>
  <c r="K85" i="2"/>
  <c r="F45" i="6"/>
  <c r="K78" i="2"/>
  <c r="F38" i="6"/>
  <c r="K74" i="2"/>
  <c r="F34" i="6"/>
  <c r="K70" i="2"/>
  <c r="F30" i="6"/>
  <c r="K66" i="2"/>
  <c r="F26" i="6"/>
  <c r="K62" i="2"/>
  <c r="F22" i="6"/>
  <c r="K1896" i="2"/>
  <c r="K1880" i="2"/>
  <c r="K1816" i="2"/>
  <c r="K1807" i="2"/>
  <c r="K1793" i="2"/>
  <c r="K1773" i="2"/>
  <c r="K1765" i="2"/>
  <c r="K1737" i="2"/>
  <c r="K1729" i="2"/>
  <c r="K1708" i="2"/>
  <c r="K1700" i="2"/>
  <c r="K1672" i="2"/>
  <c r="K1664" i="2"/>
  <c r="K1643" i="2"/>
  <c r="K1635" i="2"/>
  <c r="K1607" i="2"/>
  <c r="K1599" i="2"/>
  <c r="K1579" i="2"/>
  <c r="K1571" i="2"/>
  <c r="K1543" i="2"/>
  <c r="K1535" i="2"/>
  <c r="K1515" i="2"/>
  <c r="K1507" i="2"/>
  <c r="K1479" i="2"/>
  <c r="K1362" i="2"/>
  <c r="F1322" i="6"/>
  <c r="K1342" i="2"/>
  <c r="F1302" i="6"/>
  <c r="K1334" i="2"/>
  <c r="F1294" i="6"/>
  <c r="K1306" i="2"/>
  <c r="F1266" i="6"/>
  <c r="K1298" i="2"/>
  <c r="F1258" i="6"/>
  <c r="K1278" i="2"/>
  <c r="F1238" i="6"/>
  <c r="K1270" i="2"/>
  <c r="F1230" i="6"/>
  <c r="K1242" i="2"/>
  <c r="F1202" i="6"/>
  <c r="K1234" i="2"/>
  <c r="F1194" i="6"/>
  <c r="K1214" i="2"/>
  <c r="F1174" i="6"/>
  <c r="K1206" i="2"/>
  <c r="F1166" i="6"/>
  <c r="K1184" i="2"/>
  <c r="F1144" i="6"/>
  <c r="K1176" i="2"/>
  <c r="F1136" i="6"/>
  <c r="K1148" i="2"/>
  <c r="F1108" i="6"/>
  <c r="K1140" i="2"/>
  <c r="F1100" i="6"/>
  <c r="K954" i="2"/>
  <c r="F914" i="6"/>
  <c r="K946" i="2"/>
  <c r="F906" i="6"/>
  <c r="K881" i="2"/>
  <c r="F841" i="6"/>
  <c r="K869" i="2"/>
  <c r="F829" i="6"/>
  <c r="K857" i="2"/>
  <c r="F817" i="6"/>
  <c r="K845" i="2"/>
  <c r="F805" i="6"/>
  <c r="K831" i="2"/>
  <c r="F791" i="6"/>
  <c r="K789" i="2"/>
  <c r="F749" i="6"/>
  <c r="K536" i="2"/>
  <c r="F496" i="6"/>
  <c r="K528" i="2"/>
  <c r="F488" i="6"/>
  <c r="K508" i="2"/>
  <c r="F468" i="6"/>
  <c r="K500" i="2"/>
  <c r="F460" i="6"/>
  <c r="K472" i="2"/>
  <c r="F432" i="6"/>
  <c r="K464" i="2"/>
  <c r="F424" i="6"/>
  <c r="K444" i="2"/>
  <c r="F404" i="6"/>
  <c r="K436" i="2"/>
  <c r="F396" i="6"/>
  <c r="K408" i="2"/>
  <c r="F368" i="6"/>
  <c r="K400" i="2"/>
  <c r="F360" i="6"/>
  <c r="K392" i="2"/>
  <c r="F352" i="6"/>
  <c r="K384" i="2"/>
  <c r="F344" i="6"/>
  <c r="K376" i="2"/>
  <c r="F336" i="6"/>
  <c r="K368" i="2"/>
  <c r="F328" i="6"/>
  <c r="K360" i="2"/>
  <c r="F320" i="6"/>
  <c r="K352" i="2"/>
  <c r="F312" i="6"/>
  <c r="K344" i="2"/>
  <c r="F304" i="6"/>
  <c r="K336" i="2"/>
  <c r="F296" i="6"/>
  <c r="K328" i="2"/>
  <c r="F288" i="6"/>
  <c r="K320" i="2"/>
  <c r="F280" i="6"/>
  <c r="K312" i="2"/>
  <c r="F272" i="6"/>
  <c r="K304" i="2"/>
  <c r="F264" i="6"/>
  <c r="K296" i="2"/>
  <c r="F256" i="6"/>
  <c r="K288" i="2"/>
  <c r="F248" i="6"/>
  <c r="K280" i="2"/>
  <c r="F240" i="6"/>
  <c r="K272" i="2"/>
  <c r="F232" i="6"/>
  <c r="K264" i="2"/>
  <c r="F224" i="6"/>
  <c r="K256" i="2"/>
  <c r="F216" i="6"/>
  <c r="K248" i="2"/>
  <c r="F208" i="6"/>
  <c r="K240" i="2"/>
  <c r="F200" i="6"/>
  <c r="K232" i="2"/>
  <c r="F192" i="6"/>
  <c r="K224" i="2"/>
  <c r="F184" i="6"/>
  <c r="K216" i="2"/>
  <c r="F176" i="6"/>
  <c r="K208" i="2"/>
  <c r="F168" i="6"/>
  <c r="K200" i="2"/>
  <c r="F160" i="6"/>
  <c r="K189" i="2"/>
  <c r="F149" i="6"/>
  <c r="K183" i="2"/>
  <c r="F143" i="6"/>
  <c r="K169" i="2"/>
  <c r="F129" i="6"/>
  <c r="K159" i="2"/>
  <c r="F119" i="6"/>
  <c r="K145" i="2"/>
  <c r="F105" i="6"/>
  <c r="K141" i="2"/>
  <c r="F101" i="6"/>
  <c r="K137" i="2"/>
  <c r="F97" i="6"/>
  <c r="K97" i="2"/>
  <c r="F57" i="6"/>
  <c r="K91" i="2"/>
  <c r="F51" i="6"/>
  <c r="K77" i="2"/>
  <c r="F37" i="6"/>
  <c r="K73" i="2"/>
  <c r="F33" i="6"/>
  <c r="K69" i="2"/>
  <c r="F29" i="6"/>
  <c r="K65" i="2"/>
  <c r="F25" i="6"/>
  <c r="K61" i="2"/>
  <c r="F21" i="6"/>
  <c r="K1911" i="2"/>
  <c r="K1907" i="2"/>
  <c r="K1903" i="2"/>
  <c r="K1899" i="2"/>
  <c r="K1895" i="2"/>
  <c r="K1891" i="2"/>
  <c r="K1879" i="2"/>
  <c r="K1875" i="2"/>
  <c r="K1871" i="2"/>
  <c r="K1867" i="2"/>
  <c r="K1863" i="2"/>
  <c r="K1859" i="2"/>
  <c r="K1819" i="2"/>
  <c r="K1815" i="2"/>
  <c r="K1811" i="2"/>
  <c r="K1806" i="2"/>
  <c r="K1796" i="2"/>
  <c r="K1788" i="2"/>
  <c r="K1784" i="2"/>
  <c r="K1780" i="2"/>
  <c r="K1772" i="2"/>
  <c r="K1768" i="2"/>
  <c r="K1764" i="2"/>
  <c r="K1756" i="2"/>
  <c r="K1752" i="2"/>
  <c r="K1748" i="2"/>
  <c r="K1740" i="2"/>
  <c r="K1736" i="2"/>
  <c r="K1732" i="2"/>
  <c r="K1724" i="2"/>
  <c r="K1720" i="2"/>
  <c r="K1715" i="2"/>
  <c r="K1707" i="2"/>
  <c r="K1703" i="2"/>
  <c r="K1699" i="2"/>
  <c r="K1691" i="2"/>
  <c r="K1687" i="2"/>
  <c r="K1683" i="2"/>
  <c r="K1675" i="2"/>
  <c r="K1671" i="2"/>
  <c r="K1667" i="2"/>
  <c r="K1658" i="2"/>
  <c r="K1654" i="2"/>
  <c r="K1650" i="2"/>
  <c r="K1642" i="2"/>
  <c r="K1638" i="2"/>
  <c r="K1634" i="2"/>
  <c r="K1626" i="2"/>
  <c r="K1622" i="2"/>
  <c r="K1618" i="2"/>
  <c r="K1610" i="2"/>
  <c r="K1606" i="2"/>
  <c r="K1602" i="2"/>
  <c r="K1594" i="2"/>
  <c r="K1590" i="2"/>
  <c r="K1586" i="2"/>
  <c r="K1578" i="2"/>
  <c r="K1574" i="2"/>
  <c r="K1570" i="2"/>
  <c r="K1562" i="2"/>
  <c r="K1558" i="2"/>
  <c r="K1554" i="2"/>
  <c r="K1546" i="2"/>
  <c r="K1542" i="2"/>
  <c r="K1538" i="2"/>
  <c r="K1530" i="2"/>
  <c r="K1526" i="2"/>
  <c r="K1522" i="2"/>
  <c r="K1514" i="2"/>
  <c r="K1510" i="2"/>
  <c r="K1506" i="2"/>
  <c r="K1498" i="2"/>
  <c r="K1494" i="2"/>
  <c r="K1490" i="2"/>
  <c r="K1482" i="2"/>
  <c r="K1478" i="2"/>
  <c r="K1365" i="2"/>
  <c r="F1325" i="6"/>
  <c r="K1357" i="2"/>
  <c r="F1317" i="6"/>
  <c r="K1353" i="2"/>
  <c r="F1313" i="6"/>
  <c r="K1349" i="2"/>
  <c r="F1309" i="6"/>
  <c r="K1341" i="2"/>
  <c r="F1301" i="6"/>
  <c r="K1337" i="2"/>
  <c r="F1297" i="6"/>
  <c r="K1333" i="2"/>
  <c r="F1293" i="6"/>
  <c r="K1325" i="2"/>
  <c r="F1285" i="6"/>
  <c r="K1321" i="2"/>
  <c r="F1281" i="6"/>
  <c r="K1317" i="2"/>
  <c r="F1277" i="6"/>
  <c r="K1309" i="2"/>
  <c r="F1269" i="6"/>
  <c r="K1305" i="2"/>
  <c r="F1265" i="6"/>
  <c r="K1301" i="2"/>
  <c r="F1261" i="6"/>
  <c r="K1293" i="2"/>
  <c r="F1253" i="6"/>
  <c r="K1289" i="2"/>
  <c r="F1249" i="6"/>
  <c r="K1285" i="2"/>
  <c r="F1245" i="6"/>
  <c r="K1277" i="2"/>
  <c r="F1237" i="6"/>
  <c r="K1273" i="2"/>
  <c r="F1233" i="6"/>
  <c r="K1269" i="2"/>
  <c r="F1229" i="6"/>
  <c r="K1261" i="2"/>
  <c r="F1221" i="6"/>
  <c r="K1257" i="2"/>
  <c r="F1217" i="6"/>
  <c r="K1253" i="2"/>
  <c r="F1213" i="6"/>
  <c r="K1245" i="2"/>
  <c r="F1205" i="6"/>
  <c r="K1241" i="2"/>
  <c r="F1201" i="6"/>
  <c r="K1237" i="2"/>
  <c r="F1197" i="6"/>
  <c r="K1229" i="2"/>
  <c r="F1189" i="6"/>
  <c r="K1225" i="2"/>
  <c r="F1185" i="6"/>
  <c r="K1221" i="2"/>
  <c r="F1181" i="6"/>
  <c r="K1213" i="2"/>
  <c r="F1173" i="6"/>
  <c r="K1209" i="2"/>
  <c r="F1169" i="6"/>
  <c r="K1203" i="2"/>
  <c r="F1163" i="6"/>
  <c r="K1199" i="2"/>
  <c r="F1159" i="6"/>
  <c r="K1195" i="2"/>
  <c r="F1155" i="6"/>
  <c r="K1191" i="2"/>
  <c r="F1151" i="6"/>
  <c r="K1187" i="2"/>
  <c r="F1147" i="6"/>
  <c r="K1183" i="2"/>
  <c r="F1143" i="6"/>
  <c r="K1179" i="2"/>
  <c r="F1139" i="6"/>
  <c r="K1175" i="2"/>
  <c r="F1135" i="6"/>
  <c r="K1171" i="2"/>
  <c r="F1131" i="6"/>
  <c r="K1167" i="2"/>
  <c r="F1127" i="6"/>
  <c r="K1163" i="2"/>
  <c r="F1123" i="6"/>
  <c r="K1159" i="2"/>
  <c r="F1119" i="6"/>
  <c r="K1155" i="2"/>
  <c r="F1115" i="6"/>
  <c r="K1151" i="2"/>
  <c r="F1111" i="6"/>
  <c r="K1147" i="2"/>
  <c r="F1107" i="6"/>
  <c r="K1143" i="2"/>
  <c r="F1103" i="6"/>
  <c r="K1139" i="2"/>
  <c r="F1099" i="6"/>
  <c r="K1135" i="2"/>
  <c r="F1095" i="6"/>
  <c r="K1025" i="2"/>
  <c r="F985" i="6"/>
  <c r="K1021" i="2"/>
  <c r="F981" i="6"/>
  <c r="K957" i="2"/>
  <c r="F917" i="6"/>
  <c r="K953" i="2"/>
  <c r="F913" i="6"/>
  <c r="K949" i="2"/>
  <c r="F909" i="6"/>
  <c r="K945" i="2"/>
  <c r="F905" i="6"/>
  <c r="K940" i="2"/>
  <c r="F900" i="6"/>
  <c r="K936" i="2"/>
  <c r="F896" i="6"/>
  <c r="K926" i="2"/>
  <c r="F886" i="6"/>
  <c r="K914" i="2"/>
  <c r="F874" i="6"/>
  <c r="K902" i="2"/>
  <c r="F862" i="6"/>
  <c r="K890" i="2"/>
  <c r="F850" i="6"/>
  <c r="K878" i="2"/>
  <c r="F838" i="6"/>
  <c r="K866" i="2"/>
  <c r="F826" i="6"/>
  <c r="K854" i="2"/>
  <c r="F814" i="6"/>
  <c r="K842" i="2"/>
  <c r="F802" i="6"/>
  <c r="K828" i="2"/>
  <c r="F788" i="6"/>
  <c r="K816" i="2"/>
  <c r="F776" i="6"/>
  <c r="K804" i="2"/>
  <c r="F764" i="6"/>
  <c r="K792" i="2"/>
  <c r="F752" i="6"/>
  <c r="K788" i="2"/>
  <c r="F748" i="6"/>
  <c r="K767" i="2"/>
  <c r="F727" i="6"/>
  <c r="K763" i="2"/>
  <c r="F723" i="6"/>
  <c r="K759" i="2"/>
  <c r="F719" i="6"/>
  <c r="K755" i="2"/>
  <c r="F715" i="6"/>
  <c r="K751" i="2"/>
  <c r="F711" i="6"/>
  <c r="K747" i="2"/>
  <c r="F707" i="6"/>
  <c r="K743" i="2"/>
  <c r="F703" i="6"/>
  <c r="K739" i="2"/>
  <c r="F699" i="6"/>
  <c r="K735" i="2"/>
  <c r="F695" i="6"/>
  <c r="K731" i="2"/>
  <c r="F691" i="6"/>
  <c r="K727" i="2"/>
  <c r="F687" i="6"/>
  <c r="K723" i="2"/>
  <c r="F683" i="6"/>
  <c r="K719" i="2"/>
  <c r="F679" i="6"/>
  <c r="K715" i="2"/>
  <c r="F675" i="6"/>
  <c r="K711" i="2"/>
  <c r="F671" i="6"/>
  <c r="K707" i="2"/>
  <c r="F667" i="6"/>
  <c r="K703" i="2"/>
  <c r="F663" i="6"/>
  <c r="K699" i="2"/>
  <c r="F659" i="6"/>
  <c r="K695" i="2"/>
  <c r="F655" i="6"/>
  <c r="K691" i="2"/>
  <c r="F651" i="6"/>
  <c r="K687" i="2"/>
  <c r="F647" i="6"/>
  <c r="K683" i="2"/>
  <c r="F643" i="6"/>
  <c r="K679" i="2"/>
  <c r="F639" i="6"/>
  <c r="K675" i="2"/>
  <c r="F635" i="6"/>
  <c r="K671" i="2"/>
  <c r="F631" i="6"/>
  <c r="K667" i="2"/>
  <c r="F627" i="6"/>
  <c r="K663" i="2"/>
  <c r="F623" i="6"/>
  <c r="K659" i="2"/>
  <c r="F619" i="6"/>
  <c r="K655" i="2"/>
  <c r="F615" i="6"/>
  <c r="K651" i="2"/>
  <c r="F611" i="6"/>
  <c r="K647" i="2"/>
  <c r="F607" i="6"/>
  <c r="K643" i="2"/>
  <c r="F603" i="6"/>
  <c r="K639" i="2"/>
  <c r="F599" i="6"/>
  <c r="K635" i="2"/>
  <c r="F595" i="6"/>
  <c r="K631" i="2"/>
  <c r="F591" i="6"/>
  <c r="K627" i="2"/>
  <c r="F587" i="6"/>
  <c r="K623" i="2"/>
  <c r="F583" i="6"/>
  <c r="K619" i="2"/>
  <c r="F579" i="6"/>
  <c r="K615" i="2"/>
  <c r="F575" i="6"/>
  <c r="K611" i="2"/>
  <c r="F571" i="6"/>
  <c r="K607" i="2"/>
  <c r="F567" i="6"/>
  <c r="K603" i="2"/>
  <c r="F563" i="6"/>
  <c r="K599" i="2"/>
  <c r="F559" i="6"/>
  <c r="K595" i="2"/>
  <c r="F555" i="6"/>
  <c r="K591" i="2"/>
  <c r="F551" i="6"/>
  <c r="K587" i="2"/>
  <c r="F547" i="6"/>
  <c r="K583" i="2"/>
  <c r="F543" i="6"/>
  <c r="K579" i="2"/>
  <c r="F539" i="6"/>
  <c r="K575" i="2"/>
  <c r="F535" i="6"/>
  <c r="K571" i="2"/>
  <c r="F531" i="6"/>
  <c r="K567" i="2"/>
  <c r="F527" i="6"/>
  <c r="K563" i="2"/>
  <c r="F523" i="6"/>
  <c r="K559" i="2"/>
  <c r="F519" i="6"/>
  <c r="K555" i="2"/>
  <c r="F515" i="6"/>
  <c r="K551" i="2"/>
  <c r="F511" i="6"/>
  <c r="K547" i="2"/>
  <c r="F507" i="6"/>
  <c r="K543" i="2"/>
  <c r="F503" i="6"/>
  <c r="K539" i="2"/>
  <c r="F499" i="6"/>
  <c r="K535" i="2"/>
  <c r="F495" i="6"/>
  <c r="K531" i="2"/>
  <c r="F491" i="6"/>
  <c r="K527" i="2"/>
  <c r="F487" i="6"/>
  <c r="K523" i="2"/>
  <c r="F483" i="6"/>
  <c r="K519" i="2"/>
  <c r="F479" i="6"/>
  <c r="K515" i="2"/>
  <c r="F475" i="6"/>
  <c r="K511" i="2"/>
  <c r="F471" i="6"/>
  <c r="K507" i="2"/>
  <c r="F467" i="6"/>
  <c r="K503" i="2"/>
  <c r="F463" i="6"/>
  <c r="K499" i="2"/>
  <c r="F459" i="6"/>
  <c r="K495" i="2"/>
  <c r="F455" i="6"/>
  <c r="K491" i="2"/>
  <c r="F451" i="6"/>
  <c r="K487" i="2"/>
  <c r="F447" i="6"/>
  <c r="K483" i="2"/>
  <c r="F443" i="6"/>
  <c r="K479" i="2"/>
  <c r="F439" i="6"/>
  <c r="K475" i="2"/>
  <c r="F435" i="6"/>
  <c r="K471" i="2"/>
  <c r="F431" i="6"/>
  <c r="K467" i="2"/>
  <c r="F427" i="6"/>
  <c r="K463" i="2"/>
  <c r="F423" i="6"/>
  <c r="K459" i="2"/>
  <c r="F419" i="6"/>
  <c r="K455" i="2"/>
  <c r="F415" i="6"/>
  <c r="K451" i="2"/>
  <c r="F411" i="6"/>
  <c r="K447" i="2"/>
  <c r="F407" i="6"/>
  <c r="K443" i="2"/>
  <c r="F403" i="6"/>
  <c r="K439" i="2"/>
  <c r="F399" i="6"/>
  <c r="K435" i="2"/>
  <c r="F395" i="6"/>
  <c r="K431" i="2"/>
  <c r="F391" i="6"/>
  <c r="K427" i="2"/>
  <c r="F387" i="6"/>
  <c r="K423" i="2"/>
  <c r="F383" i="6"/>
  <c r="K419" i="2"/>
  <c r="F379" i="6"/>
  <c r="K415" i="2"/>
  <c r="F375" i="6"/>
  <c r="K411" i="2"/>
  <c r="F371" i="6"/>
  <c r="K407" i="2"/>
  <c r="F367" i="6"/>
  <c r="K403" i="2"/>
  <c r="F363" i="6"/>
  <c r="K399" i="2"/>
  <c r="F359" i="6"/>
  <c r="K395" i="2"/>
  <c r="F355" i="6"/>
  <c r="K391" i="2"/>
  <c r="F351" i="6"/>
  <c r="K387" i="2"/>
  <c r="F347" i="6"/>
  <c r="K383" i="2"/>
  <c r="F343" i="6"/>
  <c r="K379" i="2"/>
  <c r="F339" i="6"/>
  <c r="K375" i="2"/>
  <c r="F335" i="6"/>
  <c r="K371" i="2"/>
  <c r="F331" i="6"/>
  <c r="K367" i="2"/>
  <c r="F327" i="6"/>
  <c r="K363" i="2"/>
  <c r="F323" i="6"/>
  <c r="K359" i="2"/>
  <c r="F319" i="6"/>
  <c r="K355" i="2"/>
  <c r="F315" i="6"/>
  <c r="K351" i="2"/>
  <c r="F311" i="6"/>
  <c r="K347" i="2"/>
  <c r="F307" i="6"/>
  <c r="K343" i="2"/>
  <c r="F303" i="6"/>
  <c r="K339" i="2"/>
  <c r="F299" i="6"/>
  <c r="K335" i="2"/>
  <c r="F295" i="6"/>
  <c r="K331" i="2"/>
  <c r="F291" i="6"/>
  <c r="K327" i="2"/>
  <c r="F287" i="6"/>
  <c r="K323" i="2"/>
  <c r="F283" i="6"/>
  <c r="K319" i="2"/>
  <c r="F279" i="6"/>
  <c r="K315" i="2"/>
  <c r="F275" i="6"/>
  <c r="K311" i="2"/>
  <c r="F271" i="6"/>
  <c r="K303" i="2"/>
  <c r="F263" i="6"/>
  <c r="K299" i="2"/>
  <c r="F259" i="6"/>
  <c r="K295" i="2"/>
  <c r="F255" i="6"/>
  <c r="K291" i="2"/>
  <c r="F251" i="6"/>
  <c r="K287" i="2"/>
  <c r="F247" i="6"/>
  <c r="K283" i="2"/>
  <c r="F243" i="6"/>
  <c r="K279" i="2"/>
  <c r="F239" i="6"/>
  <c r="K275" i="2"/>
  <c r="F235" i="6"/>
  <c r="K271" i="2"/>
  <c r="F231" i="6"/>
  <c r="K267" i="2"/>
  <c r="F227" i="6"/>
  <c r="K263" i="2"/>
  <c r="F223" i="6"/>
  <c r="K259" i="2"/>
  <c r="F219" i="6"/>
  <c r="K255" i="2"/>
  <c r="F215" i="6"/>
  <c r="K251" i="2"/>
  <c r="F211" i="6"/>
  <c r="K247" i="2"/>
  <c r="F207" i="6"/>
  <c r="K243" i="2"/>
  <c r="F203" i="6"/>
  <c r="K239" i="2"/>
  <c r="F199" i="6"/>
  <c r="K235" i="2"/>
  <c r="F195" i="6"/>
  <c r="K231" i="2"/>
  <c r="F191" i="6"/>
  <c r="K227" i="2"/>
  <c r="F187" i="6"/>
  <c r="K223" i="2"/>
  <c r="F183" i="6"/>
  <c r="K219" i="2"/>
  <c r="F179" i="6"/>
  <c r="K215" i="2"/>
  <c r="F175" i="6"/>
  <c r="K211" i="2"/>
  <c r="F171" i="6"/>
  <c r="K207" i="2"/>
  <c r="F167" i="6"/>
  <c r="K203" i="2"/>
  <c r="F163" i="6"/>
  <c r="K199" i="2"/>
  <c r="F159" i="6"/>
  <c r="K195" i="2"/>
  <c r="F155" i="6"/>
  <c r="K188" i="2"/>
  <c r="F148" i="6"/>
  <c r="K182" i="2"/>
  <c r="F142" i="6"/>
  <c r="K178" i="2"/>
  <c r="F138" i="6"/>
  <c r="K174" i="2"/>
  <c r="F134" i="6"/>
  <c r="K168" i="2"/>
  <c r="F128" i="6"/>
  <c r="K158" i="2"/>
  <c r="F118" i="6"/>
  <c r="K151" i="2"/>
  <c r="F111" i="6"/>
  <c r="K144" i="2"/>
  <c r="F104" i="6"/>
  <c r="K140" i="2"/>
  <c r="F100" i="6"/>
  <c r="K136" i="2"/>
  <c r="F96" i="6"/>
  <c r="K130" i="2"/>
  <c r="F90" i="6"/>
  <c r="K126" i="2"/>
  <c r="F86" i="6"/>
  <c r="K119" i="2"/>
  <c r="F79" i="6"/>
  <c r="K115" i="2"/>
  <c r="F75" i="6"/>
  <c r="K109" i="2"/>
  <c r="F69" i="6"/>
  <c r="K102" i="2"/>
  <c r="F62" i="6"/>
  <c r="K96" i="2"/>
  <c r="F56" i="6"/>
  <c r="K90" i="2"/>
  <c r="F50" i="6"/>
  <c r="K80" i="2"/>
  <c r="F40" i="6"/>
  <c r="K76" i="2"/>
  <c r="F36" i="6"/>
  <c r="K72" i="2"/>
  <c r="F32" i="6"/>
  <c r="K68" i="2"/>
  <c r="F28" i="6"/>
  <c r="K64" i="2"/>
  <c r="F24" i="6"/>
  <c r="Q1820" i="2"/>
  <c r="R1820" i="2" s="1"/>
  <c r="Q280" i="2"/>
  <c r="R280" i="2" s="1"/>
  <c r="Q1916" i="2"/>
  <c r="R1916" i="2" s="1"/>
  <c r="Q642" i="2"/>
  <c r="R642" i="2" s="1"/>
  <c r="Q748" i="2"/>
  <c r="R748" i="2" s="1"/>
  <c r="Q152" i="2"/>
  <c r="R152" i="2" s="1"/>
  <c r="Q684" i="2"/>
  <c r="R684" i="2" s="1"/>
  <c r="Q2232" i="2"/>
  <c r="R2232" i="2" s="1"/>
  <c r="Q2216" i="2"/>
  <c r="R2216" i="2" s="1"/>
  <c r="Q2200" i="2"/>
  <c r="R2200" i="2" s="1"/>
  <c r="Q2184" i="2"/>
  <c r="R2184" i="2" s="1"/>
  <c r="Q2167" i="2"/>
  <c r="R2167" i="2" s="1"/>
  <c r="Q2151" i="2"/>
  <c r="R2151" i="2" s="1"/>
  <c r="Q2135" i="2"/>
  <c r="R2135" i="2" s="1"/>
  <c r="Q2119" i="2"/>
  <c r="R2119" i="2" s="1"/>
  <c r="Q2111" i="2"/>
  <c r="R2111" i="2" s="1"/>
  <c r="Q2095" i="2"/>
  <c r="R2095" i="2" s="1"/>
  <c r="Q2079" i="2"/>
  <c r="R2079" i="2" s="1"/>
  <c r="Q2063" i="2"/>
  <c r="R2063" i="2" s="1"/>
  <c r="Q2047" i="2"/>
  <c r="R2047" i="2" s="1"/>
  <c r="Q2031" i="2"/>
  <c r="R2031" i="2" s="1"/>
  <c r="Q2015" i="2"/>
  <c r="R2015" i="2" s="1"/>
  <c r="Q1999" i="2"/>
  <c r="R1999" i="2" s="1"/>
  <c r="Q1983" i="2"/>
  <c r="R1983" i="2" s="1"/>
  <c r="Q1967" i="2"/>
  <c r="R1967" i="2" s="1"/>
  <c r="Q1951" i="2"/>
  <c r="R1951" i="2" s="1"/>
  <c r="Q1935" i="2"/>
  <c r="R1935" i="2" s="1"/>
  <c r="Q1865" i="2"/>
  <c r="R1865" i="2" s="1"/>
  <c r="Q663" i="2"/>
  <c r="R663" i="2" s="1"/>
  <c r="Q451" i="2"/>
  <c r="R451" i="2" s="1"/>
  <c r="Q323" i="2"/>
  <c r="R323" i="2" s="1"/>
  <c r="Q195" i="2"/>
  <c r="R195" i="2" s="1"/>
  <c r="Q2243" i="2"/>
  <c r="R2243" i="2" s="1"/>
  <c r="Q2231" i="2"/>
  <c r="R2231" i="2" s="1"/>
  <c r="Q2223" i="2"/>
  <c r="R2223" i="2" s="1"/>
  <c r="Q2211" i="2"/>
  <c r="R2211" i="2" s="1"/>
  <c r="Q2199" i="2"/>
  <c r="R2199" i="2" s="1"/>
  <c r="Q2183" i="2"/>
  <c r="R2183" i="2" s="1"/>
  <c r="Q2170" i="2"/>
  <c r="R2170" i="2" s="1"/>
  <c r="Q2158" i="2"/>
  <c r="R2158" i="2" s="1"/>
  <c r="Q2150" i="2"/>
  <c r="R2150" i="2" s="1"/>
  <c r="Q2138" i="2"/>
  <c r="R2138" i="2" s="1"/>
  <c r="Q2126" i="2"/>
  <c r="R2126" i="2" s="1"/>
  <c r="Q2122" i="2"/>
  <c r="R2122" i="2" s="1"/>
  <c r="Q2246" i="2"/>
  <c r="R2246" i="2" s="1"/>
  <c r="Q2102" i="2"/>
  <c r="R2102" i="2" s="1"/>
  <c r="Q2094" i="2"/>
  <c r="R2094" i="2" s="1"/>
  <c r="Q2082" i="2"/>
  <c r="R2082" i="2" s="1"/>
  <c r="Q2070" i="2"/>
  <c r="R2070" i="2" s="1"/>
  <c r="Q2058" i="2"/>
  <c r="R2058" i="2" s="1"/>
  <c r="Q2050" i="2"/>
  <c r="R2050" i="2" s="1"/>
  <c r="Q2038" i="2"/>
  <c r="R2038" i="2" s="1"/>
  <c r="Q2030" i="2"/>
  <c r="R2030" i="2" s="1"/>
  <c r="Q2018" i="2"/>
  <c r="R2018" i="2" s="1"/>
  <c r="Q2006" i="2"/>
  <c r="R2006" i="2" s="1"/>
  <c r="Q1998" i="2"/>
  <c r="R1998" i="2" s="1"/>
  <c r="Q1986" i="2"/>
  <c r="R1986" i="2" s="1"/>
  <c r="Q1974" i="2"/>
  <c r="R1974" i="2" s="1"/>
  <c r="Q1966" i="2"/>
  <c r="R1966" i="2" s="1"/>
  <c r="Q1954" i="2"/>
  <c r="R1954" i="2" s="1"/>
  <c r="Q1942" i="2"/>
  <c r="R1942" i="2" s="1"/>
  <c r="Q1878" i="2"/>
  <c r="R1878" i="2" s="1"/>
  <c r="Q1866" i="2"/>
  <c r="R1866" i="2" s="1"/>
  <c r="Q1804" i="2"/>
  <c r="R1804" i="2" s="1"/>
  <c r="Q1790" i="2"/>
  <c r="R1790" i="2" s="1"/>
  <c r="Q1746" i="2"/>
  <c r="R1746" i="2" s="1"/>
  <c r="Q1734" i="2"/>
  <c r="R1734" i="2" s="1"/>
  <c r="Q1714" i="2"/>
  <c r="R1714" i="2" s="1"/>
  <c r="Q1702" i="2"/>
  <c r="R1702" i="2" s="1"/>
  <c r="Q1694" i="2"/>
  <c r="R1694" i="2" s="1"/>
  <c r="Q1686" i="2"/>
  <c r="R1686" i="2" s="1"/>
  <c r="Q1682" i="2"/>
  <c r="R1682" i="2" s="1"/>
  <c r="Q1670" i="2"/>
  <c r="R1670" i="2" s="1"/>
  <c r="Q1662" i="2"/>
  <c r="R1662" i="2" s="1"/>
  <c r="Q1653" i="2"/>
  <c r="R1653" i="2" s="1"/>
  <c r="Q1645" i="2"/>
  <c r="R1645" i="2" s="1"/>
  <c r="Q1637" i="2"/>
  <c r="R1637" i="2" s="1"/>
  <c r="Q1629" i="2"/>
  <c r="R1629" i="2" s="1"/>
  <c r="Q1621" i="2"/>
  <c r="R1621" i="2" s="1"/>
  <c r="Q1613" i="2"/>
  <c r="R1613" i="2" s="1"/>
  <c r="Q1601" i="2"/>
  <c r="R1601" i="2" s="1"/>
  <c r="Q1589" i="2"/>
  <c r="R1589" i="2" s="1"/>
  <c r="Q1581" i="2"/>
  <c r="R1581" i="2" s="1"/>
  <c r="Q1573" i="2"/>
  <c r="R1573" i="2" s="1"/>
  <c r="Q1565" i="2"/>
  <c r="R1565" i="2" s="1"/>
  <c r="Q1525" i="2"/>
  <c r="R1525" i="2" s="1"/>
  <c r="Q1517" i="2"/>
  <c r="R1517" i="2" s="1"/>
  <c r="Q1505" i="2"/>
  <c r="R1505" i="2" s="1"/>
  <c r="Q1501" i="2"/>
  <c r="R1501" i="2" s="1"/>
  <c r="Q1493" i="2"/>
  <c r="R1493" i="2" s="1"/>
  <c r="Q1485" i="2"/>
  <c r="R1485" i="2" s="1"/>
  <c r="Q1477" i="2"/>
  <c r="R1477" i="2" s="1"/>
  <c r="Q1360" i="2"/>
  <c r="R1360" i="2" s="1"/>
  <c r="Q1316" i="2"/>
  <c r="R1316" i="2" s="1"/>
  <c r="Q1304" i="2"/>
  <c r="R1304" i="2" s="1"/>
  <c r="Q1296" i="2"/>
  <c r="R1296" i="2" s="1"/>
  <c r="Q1264" i="2"/>
  <c r="R1264" i="2" s="1"/>
  <c r="Q1256" i="2"/>
  <c r="R1256" i="2" s="1"/>
  <c r="Q1200" i="2"/>
  <c r="R1200" i="2" s="1"/>
  <c r="Q1192" i="2"/>
  <c r="R1192" i="2" s="1"/>
  <c r="Q1184" i="2"/>
  <c r="R1184" i="2" s="1"/>
  <c r="Q1172" i="2"/>
  <c r="R1172" i="2" s="1"/>
  <c r="Q1168" i="2"/>
  <c r="R1168" i="2" s="1"/>
  <c r="Q1160" i="2"/>
  <c r="R1160" i="2" s="1"/>
  <c r="Q1152" i="2"/>
  <c r="R1152" i="2" s="1"/>
  <c r="Q1140" i="2"/>
  <c r="R1140" i="2" s="1"/>
  <c r="Q920" i="2"/>
  <c r="R920" i="2" s="1"/>
  <c r="Q872" i="2"/>
  <c r="R872" i="2" s="1"/>
  <c r="Q765" i="2"/>
  <c r="R765" i="2" s="1"/>
  <c r="Q753" i="2"/>
  <c r="R753" i="2" s="1"/>
  <c r="Q745" i="2"/>
  <c r="R745" i="2" s="1"/>
  <c r="Q741" i="2"/>
  <c r="R741" i="2" s="1"/>
  <c r="Q729" i="2"/>
  <c r="R729" i="2" s="1"/>
  <c r="Q717" i="2"/>
  <c r="R717" i="2" s="1"/>
  <c r="Q705" i="2"/>
  <c r="R705" i="2" s="1"/>
  <c r="Q701" i="2"/>
  <c r="R701" i="2" s="1"/>
  <c r="Q689" i="2"/>
  <c r="R689" i="2" s="1"/>
  <c r="Q677" i="2"/>
  <c r="R677" i="2" s="1"/>
  <c r="Q669" i="2"/>
  <c r="R669" i="2" s="1"/>
  <c r="Q657" i="2"/>
  <c r="R657" i="2" s="1"/>
  <c r="Q649" i="2"/>
  <c r="R649" i="2" s="1"/>
  <c r="Q633" i="2"/>
  <c r="R633" i="2" s="1"/>
  <c r="Q625" i="2"/>
  <c r="R625" i="2" s="1"/>
  <c r="Q613" i="2"/>
  <c r="R613" i="2" s="1"/>
  <c r="Q577" i="2"/>
  <c r="R577" i="2" s="1"/>
  <c r="Q549" i="2"/>
  <c r="R549" i="2" s="1"/>
  <c r="Q541" i="2"/>
  <c r="R541" i="2" s="1"/>
  <c r="Q533" i="2"/>
  <c r="R533" i="2" s="1"/>
  <c r="Q521" i="2"/>
  <c r="R521" i="2" s="1"/>
  <c r="Q509" i="2"/>
  <c r="R509" i="2" s="1"/>
  <c r="Q501" i="2"/>
  <c r="R501" i="2" s="1"/>
  <c r="Q489" i="2"/>
  <c r="R489" i="2" s="1"/>
  <c r="Q485" i="2"/>
  <c r="R485" i="2" s="1"/>
  <c r="Q473" i="2"/>
  <c r="R473" i="2" s="1"/>
  <c r="Q457" i="2"/>
  <c r="R457" i="2" s="1"/>
  <c r="Q445" i="2"/>
  <c r="R445" i="2" s="1"/>
  <c r="Q433" i="2"/>
  <c r="R433" i="2" s="1"/>
  <c r="Q425" i="2"/>
  <c r="R425" i="2" s="1"/>
  <c r="Q409" i="2"/>
  <c r="R409" i="2" s="1"/>
  <c r="Q401" i="2"/>
  <c r="R401" i="2" s="1"/>
  <c r="Q393" i="2"/>
  <c r="R393" i="2" s="1"/>
  <c r="Q381" i="2"/>
  <c r="R381" i="2" s="1"/>
  <c r="Q353" i="2"/>
  <c r="R353" i="2" s="1"/>
  <c r="Q341" i="2"/>
  <c r="R341" i="2" s="1"/>
  <c r="Q333" i="2"/>
  <c r="R333" i="2" s="1"/>
  <c r="Q317" i="2"/>
  <c r="R317" i="2" s="1"/>
  <c r="Q309" i="2"/>
  <c r="R309" i="2" s="1"/>
  <c r="Q297" i="2"/>
  <c r="R297" i="2" s="1"/>
  <c r="Q285" i="2"/>
  <c r="R285" i="2" s="1"/>
  <c r="Q273" i="2"/>
  <c r="R273" i="2" s="1"/>
  <c r="Q257" i="2"/>
  <c r="R257" i="2" s="1"/>
  <c r="Q229" i="2"/>
  <c r="R229" i="2" s="1"/>
  <c r="Q217" i="2"/>
  <c r="R217" i="2" s="1"/>
  <c r="Q209" i="2"/>
  <c r="R209" i="2" s="1"/>
  <c r="Q197" i="2"/>
  <c r="R197" i="2" s="1"/>
  <c r="Q93" i="2"/>
  <c r="R93" i="2" s="1"/>
  <c r="Q1818" i="2"/>
  <c r="R1818" i="2" s="1"/>
  <c r="Q1690" i="2"/>
  <c r="R1690" i="2" s="1"/>
  <c r="Q1561" i="2"/>
  <c r="R1561" i="2" s="1"/>
  <c r="Q1324" i="2"/>
  <c r="R1324" i="2" s="1"/>
  <c r="Q1196" i="2"/>
  <c r="R1196" i="2" s="1"/>
  <c r="Q940" i="2"/>
  <c r="R940" i="2" s="1"/>
  <c r="Q2252" i="2"/>
  <c r="R2252" i="2" s="1"/>
  <c r="Q2242" i="2"/>
  <c r="R2242" i="2" s="1"/>
  <c r="Q2238" i="2"/>
  <c r="R2238" i="2" s="1"/>
  <c r="Q2234" i="2"/>
  <c r="R2234" i="2" s="1"/>
  <c r="Q2230" i="2"/>
  <c r="R2230" i="2" s="1"/>
  <c r="Q2226" i="2"/>
  <c r="R2226" i="2" s="1"/>
  <c r="Q2222" i="2"/>
  <c r="R2222" i="2" s="1"/>
  <c r="Q2218" i="2"/>
  <c r="R2218" i="2" s="1"/>
  <c r="Q2214" i="2"/>
  <c r="R2214" i="2" s="1"/>
  <c r="Q2210" i="2"/>
  <c r="R2210" i="2" s="1"/>
  <c r="Q2206" i="2"/>
  <c r="R2206" i="2" s="1"/>
  <c r="Q2202" i="2"/>
  <c r="R2202" i="2" s="1"/>
  <c r="Q2198" i="2"/>
  <c r="R2198" i="2" s="1"/>
  <c r="Q2194" i="2"/>
  <c r="R2194" i="2" s="1"/>
  <c r="Q2190" i="2"/>
  <c r="R2190" i="2" s="1"/>
  <c r="Q2186" i="2"/>
  <c r="R2186" i="2" s="1"/>
  <c r="Q2182" i="2"/>
  <c r="R2182" i="2" s="1"/>
  <c r="Q2178" i="2"/>
  <c r="R2178" i="2" s="1"/>
  <c r="Q2173" i="2"/>
  <c r="R2173" i="2" s="1"/>
  <c r="Q2169" i="2"/>
  <c r="R2169" i="2" s="1"/>
  <c r="Q2165" i="2"/>
  <c r="R2165" i="2" s="1"/>
  <c r="Q2161" i="2"/>
  <c r="R2161" i="2" s="1"/>
  <c r="Q2157" i="2"/>
  <c r="R2157" i="2" s="1"/>
  <c r="Q2153" i="2"/>
  <c r="R2153" i="2" s="1"/>
  <c r="Q2149" i="2"/>
  <c r="R2149" i="2" s="1"/>
  <c r="Q2145" i="2"/>
  <c r="R2145" i="2" s="1"/>
  <c r="Q2141" i="2"/>
  <c r="R2141" i="2" s="1"/>
  <c r="Q2137" i="2"/>
  <c r="R2137" i="2" s="1"/>
  <c r="Q2133" i="2"/>
  <c r="R2133" i="2" s="1"/>
  <c r="Q2129" i="2"/>
  <c r="R2129" i="2" s="1"/>
  <c r="Q2125" i="2"/>
  <c r="R2125" i="2" s="1"/>
  <c r="Q2121" i="2"/>
  <c r="R2121" i="2" s="1"/>
  <c r="Q2117" i="2"/>
  <c r="R2117" i="2" s="1"/>
  <c r="Q2245" i="2"/>
  <c r="R2245" i="2" s="1"/>
  <c r="Q2113" i="2"/>
  <c r="R2113" i="2" s="1"/>
  <c r="Q2109" i="2"/>
  <c r="R2109" i="2" s="1"/>
  <c r="Q2105" i="2"/>
  <c r="R2105" i="2" s="1"/>
  <c r="Q2101" i="2"/>
  <c r="R2101" i="2" s="1"/>
  <c r="Q2097" i="2"/>
  <c r="R2097" i="2" s="1"/>
  <c r="Q2093" i="2"/>
  <c r="R2093" i="2" s="1"/>
  <c r="Q2089" i="2"/>
  <c r="R2089" i="2" s="1"/>
  <c r="Q2085" i="2"/>
  <c r="R2085" i="2" s="1"/>
  <c r="Q2081" i="2"/>
  <c r="R2081" i="2" s="1"/>
  <c r="Q2077" i="2"/>
  <c r="R2077" i="2" s="1"/>
  <c r="Q2073" i="2"/>
  <c r="R2073" i="2" s="1"/>
  <c r="Q2069" i="2"/>
  <c r="R2069" i="2" s="1"/>
  <c r="Q2065" i="2"/>
  <c r="R2065" i="2" s="1"/>
  <c r="Q2061" i="2"/>
  <c r="R2061" i="2" s="1"/>
  <c r="Q2057" i="2"/>
  <c r="R2057" i="2" s="1"/>
  <c r="Q2053" i="2"/>
  <c r="R2053" i="2" s="1"/>
  <c r="Q2049" i="2"/>
  <c r="R2049" i="2" s="1"/>
  <c r="Q2045" i="2"/>
  <c r="R2045" i="2" s="1"/>
  <c r="Q2041" i="2"/>
  <c r="R2041" i="2" s="1"/>
  <c r="Q2037" i="2"/>
  <c r="R2037" i="2" s="1"/>
  <c r="Q2033" i="2"/>
  <c r="R2033" i="2" s="1"/>
  <c r="Q2029" i="2"/>
  <c r="R2029" i="2" s="1"/>
  <c r="Q2025" i="2"/>
  <c r="R2025" i="2" s="1"/>
  <c r="Q2021" i="2"/>
  <c r="R2021" i="2" s="1"/>
  <c r="Q2017" i="2"/>
  <c r="R2017" i="2" s="1"/>
  <c r="Q2013" i="2"/>
  <c r="R2013" i="2" s="1"/>
  <c r="Q2009" i="2"/>
  <c r="R2009" i="2" s="1"/>
  <c r="Q2005" i="2"/>
  <c r="R2005" i="2" s="1"/>
  <c r="Q2001" i="2"/>
  <c r="R2001" i="2" s="1"/>
  <c r="Q1997" i="2"/>
  <c r="R1997" i="2" s="1"/>
  <c r="Q1993" i="2"/>
  <c r="R1993" i="2" s="1"/>
  <c r="Q1989" i="2"/>
  <c r="R1989" i="2" s="1"/>
  <c r="Q1985" i="2"/>
  <c r="R1985" i="2" s="1"/>
  <c r="Q1981" i="2"/>
  <c r="R1981" i="2" s="1"/>
  <c r="Q1977" i="2"/>
  <c r="R1977" i="2" s="1"/>
  <c r="Q1973" i="2"/>
  <c r="R1973" i="2" s="1"/>
  <c r="Q1969" i="2"/>
  <c r="R1969" i="2" s="1"/>
  <c r="Q1965" i="2"/>
  <c r="R1965" i="2" s="1"/>
  <c r="Q1961" i="2"/>
  <c r="R1961" i="2" s="1"/>
  <c r="Q1957" i="2"/>
  <c r="R1957" i="2" s="1"/>
  <c r="Q1953" i="2"/>
  <c r="R1953" i="2" s="1"/>
  <c r="Q1949" i="2"/>
  <c r="R1949" i="2" s="1"/>
  <c r="Q1945" i="2"/>
  <c r="R1945" i="2" s="1"/>
  <c r="Q1941" i="2"/>
  <c r="R1941" i="2" s="1"/>
  <c r="Q1937" i="2"/>
  <c r="R1937" i="2" s="1"/>
  <c r="Q1933" i="2"/>
  <c r="R1933" i="2" s="1"/>
  <c r="Q1929" i="2"/>
  <c r="R1929" i="2" s="1"/>
  <c r="Q1925" i="2"/>
  <c r="R1925" i="2" s="1"/>
  <c r="Q1917" i="2"/>
  <c r="R1917" i="2" s="1"/>
  <c r="Q1913" i="2"/>
  <c r="R1913" i="2" s="1"/>
  <c r="Q1909" i="2"/>
  <c r="R1909" i="2" s="1"/>
  <c r="Q1901" i="2"/>
  <c r="R1901" i="2" s="1"/>
  <c r="Q1897" i="2"/>
  <c r="R1897" i="2" s="1"/>
  <c r="Q1893" i="2"/>
  <c r="R1893" i="2" s="1"/>
  <c r="Q1877" i="2"/>
  <c r="R1877" i="2" s="1"/>
  <c r="Q1873" i="2"/>
  <c r="R1873" i="2" s="1"/>
  <c r="Q1869" i="2"/>
  <c r="R1869" i="2" s="1"/>
  <c r="Q1861" i="2"/>
  <c r="R1861" i="2" s="1"/>
  <c r="Q1821" i="2"/>
  <c r="R1821" i="2" s="1"/>
  <c r="Q1817" i="2"/>
  <c r="R1817" i="2" s="1"/>
  <c r="Q1813" i="2"/>
  <c r="R1813" i="2" s="1"/>
  <c r="Q1809" i="2"/>
  <c r="R1809" i="2" s="1"/>
  <c r="Q1803" i="2"/>
  <c r="R1803" i="2" s="1"/>
  <c r="Q1793" i="2"/>
  <c r="R1793" i="2" s="1"/>
  <c r="Q1789" i="2"/>
  <c r="R1789" i="2" s="1"/>
  <c r="Q1785" i="2"/>
  <c r="R1785" i="2" s="1"/>
  <c r="Q1781" i="2"/>
  <c r="R1781" i="2" s="1"/>
  <c r="Q1777" i="2"/>
  <c r="R1777" i="2" s="1"/>
  <c r="Q1773" i="2"/>
  <c r="R1773" i="2" s="1"/>
  <c r="Q1769" i="2"/>
  <c r="R1769" i="2" s="1"/>
  <c r="Q1765" i="2"/>
  <c r="R1765" i="2" s="1"/>
  <c r="Q1761" i="2"/>
  <c r="R1761" i="2" s="1"/>
  <c r="Q1757" i="2"/>
  <c r="R1757" i="2" s="1"/>
  <c r="Q1753" i="2"/>
  <c r="R1753" i="2" s="1"/>
  <c r="Q1749" i="2"/>
  <c r="R1749" i="2" s="1"/>
  <c r="Q1745" i="2"/>
  <c r="R1745" i="2" s="1"/>
  <c r="Q1741" i="2"/>
  <c r="R1741" i="2" s="1"/>
  <c r="Q1737" i="2"/>
  <c r="R1737" i="2" s="1"/>
  <c r="Q1733" i="2"/>
  <c r="R1733" i="2" s="1"/>
  <c r="Q1729" i="2"/>
  <c r="R1729" i="2" s="1"/>
  <c r="Q1725" i="2"/>
  <c r="R1725" i="2" s="1"/>
  <c r="Q1721" i="2"/>
  <c r="R1721" i="2" s="1"/>
  <c r="Q1717" i="2"/>
  <c r="R1717" i="2" s="1"/>
  <c r="Q1713" i="2"/>
  <c r="R1713" i="2" s="1"/>
  <c r="Q1709" i="2"/>
  <c r="R1709" i="2" s="1"/>
  <c r="Q1705" i="2"/>
  <c r="R1705" i="2" s="1"/>
  <c r="Q1701" i="2"/>
  <c r="R1701" i="2" s="1"/>
  <c r="Q1697" i="2"/>
  <c r="R1697" i="2" s="1"/>
  <c r="Q1693" i="2"/>
  <c r="R1693" i="2" s="1"/>
  <c r="Q1689" i="2"/>
  <c r="R1689" i="2" s="1"/>
  <c r="Q1685" i="2"/>
  <c r="R1685" i="2" s="1"/>
  <c r="Q1681" i="2"/>
  <c r="R1681" i="2" s="1"/>
  <c r="Q1677" i="2"/>
  <c r="R1677" i="2" s="1"/>
  <c r="Q1673" i="2"/>
  <c r="R1673" i="2" s="1"/>
  <c r="Q1669" i="2"/>
  <c r="R1669" i="2" s="1"/>
  <c r="Q1665" i="2"/>
  <c r="R1665" i="2" s="1"/>
  <c r="Q1661" i="2"/>
  <c r="R1661" i="2" s="1"/>
  <c r="Q1656" i="2"/>
  <c r="R1656" i="2" s="1"/>
  <c r="Q1652" i="2"/>
  <c r="R1652" i="2" s="1"/>
  <c r="Q1648" i="2"/>
  <c r="R1648" i="2" s="1"/>
  <c r="Q1644" i="2"/>
  <c r="R1644" i="2" s="1"/>
  <c r="Q1640" i="2"/>
  <c r="R1640" i="2" s="1"/>
  <c r="Q1636" i="2"/>
  <c r="R1636" i="2" s="1"/>
  <c r="Q1632" i="2"/>
  <c r="R1632" i="2" s="1"/>
  <c r="Q1628" i="2"/>
  <c r="R1628" i="2" s="1"/>
  <c r="Q1624" i="2"/>
  <c r="R1624" i="2" s="1"/>
  <c r="Q1620" i="2"/>
  <c r="R1620" i="2" s="1"/>
  <c r="Q1616" i="2"/>
  <c r="R1616" i="2" s="1"/>
  <c r="Q1612" i="2"/>
  <c r="R1612" i="2" s="1"/>
  <c r="Q1608" i="2"/>
  <c r="R1608" i="2" s="1"/>
  <c r="Q1604" i="2"/>
  <c r="R1604" i="2" s="1"/>
  <c r="Q1600" i="2"/>
  <c r="R1600" i="2" s="1"/>
  <c r="Q1596" i="2"/>
  <c r="R1596" i="2" s="1"/>
  <c r="Q1592" i="2"/>
  <c r="R1592" i="2" s="1"/>
  <c r="Q1588" i="2"/>
  <c r="R1588" i="2" s="1"/>
  <c r="Q1584" i="2"/>
  <c r="R1584" i="2" s="1"/>
  <c r="Q1580" i="2"/>
  <c r="R1580" i="2" s="1"/>
  <c r="Q1576" i="2"/>
  <c r="R1576" i="2" s="1"/>
  <c r="Q1572" i="2"/>
  <c r="R1572" i="2" s="1"/>
  <c r="Q1568" i="2"/>
  <c r="R1568" i="2" s="1"/>
  <c r="Q1564" i="2"/>
  <c r="R1564" i="2" s="1"/>
  <c r="Q1560" i="2"/>
  <c r="R1560" i="2" s="1"/>
  <c r="Q1556" i="2"/>
  <c r="R1556" i="2" s="1"/>
  <c r="Q1552" i="2"/>
  <c r="R1552" i="2" s="1"/>
  <c r="Q1548" i="2"/>
  <c r="R1548" i="2" s="1"/>
  <c r="Q1544" i="2"/>
  <c r="R1544" i="2" s="1"/>
  <c r="Q1540" i="2"/>
  <c r="R1540" i="2" s="1"/>
  <c r="Q1536" i="2"/>
  <c r="R1536" i="2" s="1"/>
  <c r="Q1532" i="2"/>
  <c r="R1532" i="2" s="1"/>
  <c r="Q1528" i="2"/>
  <c r="R1528" i="2" s="1"/>
  <c r="Q1524" i="2"/>
  <c r="R1524" i="2" s="1"/>
  <c r="Q1520" i="2"/>
  <c r="R1520" i="2" s="1"/>
  <c r="Q1516" i="2"/>
  <c r="R1516" i="2" s="1"/>
  <c r="Q1512" i="2"/>
  <c r="R1512" i="2" s="1"/>
  <c r="Q1508" i="2"/>
  <c r="R1508" i="2" s="1"/>
  <c r="Q1504" i="2"/>
  <c r="R1504" i="2" s="1"/>
  <c r="Q1500" i="2"/>
  <c r="R1500" i="2" s="1"/>
  <c r="Q1496" i="2"/>
  <c r="R1496" i="2" s="1"/>
  <c r="Q1492" i="2"/>
  <c r="R1492" i="2" s="1"/>
  <c r="Q1488" i="2"/>
  <c r="R1488" i="2" s="1"/>
  <c r="Q1484" i="2"/>
  <c r="R1484" i="2" s="1"/>
  <c r="Q1480" i="2"/>
  <c r="R1480" i="2" s="1"/>
  <c r="Q1476" i="2"/>
  <c r="R1476" i="2" s="1"/>
  <c r="Q1363" i="2"/>
  <c r="R1363" i="2" s="1"/>
  <c r="Q1359" i="2"/>
  <c r="R1359" i="2" s="1"/>
  <c r="Q1355" i="2"/>
  <c r="R1355" i="2" s="1"/>
  <c r="Q929" i="2"/>
  <c r="R929" i="2" s="1"/>
  <c r="Q917" i="2"/>
  <c r="R917" i="2" s="1"/>
  <c r="Q905" i="2"/>
  <c r="R905" i="2" s="1"/>
  <c r="Q893" i="2"/>
  <c r="R893" i="2" s="1"/>
  <c r="Q881" i="2"/>
  <c r="R881" i="2" s="1"/>
  <c r="Q869" i="2"/>
  <c r="R869" i="2" s="1"/>
  <c r="Q857" i="2"/>
  <c r="R857" i="2" s="1"/>
  <c r="Q845" i="2"/>
  <c r="R845" i="2" s="1"/>
  <c r="Q789" i="2"/>
  <c r="R789" i="2" s="1"/>
  <c r="Q768" i="2"/>
  <c r="R768" i="2" s="1"/>
  <c r="Q760" i="2"/>
  <c r="R760" i="2" s="1"/>
  <c r="Q756" i="2"/>
  <c r="R756" i="2" s="1"/>
  <c r="Q752" i="2"/>
  <c r="R752" i="2" s="1"/>
  <c r="Q744" i="2"/>
  <c r="R744" i="2" s="1"/>
  <c r="Q740" i="2"/>
  <c r="R740" i="2" s="1"/>
  <c r="Q736" i="2"/>
  <c r="R736" i="2" s="1"/>
  <c r="Q728" i="2"/>
  <c r="R728" i="2" s="1"/>
  <c r="Q724" i="2"/>
  <c r="R724" i="2" s="1"/>
  <c r="Q720" i="2"/>
  <c r="R720" i="2" s="1"/>
  <c r="Q712" i="2"/>
  <c r="R712" i="2" s="1"/>
  <c r="Q708" i="2"/>
  <c r="R708" i="2" s="1"/>
  <c r="Q704" i="2"/>
  <c r="R704" i="2" s="1"/>
  <c r="Q696" i="2"/>
  <c r="R696" i="2" s="1"/>
  <c r="Q692" i="2"/>
  <c r="R692" i="2" s="1"/>
  <c r="Q688" i="2"/>
  <c r="R688" i="2" s="1"/>
  <c r="Q680" i="2"/>
  <c r="R680" i="2" s="1"/>
  <c r="Q676" i="2"/>
  <c r="R676" i="2" s="1"/>
  <c r="Q672" i="2"/>
  <c r="R672" i="2" s="1"/>
  <c r="Q668" i="2"/>
  <c r="R668" i="2" s="1"/>
  <c r="Q664" i="2"/>
  <c r="R664" i="2" s="1"/>
  <c r="Q660" i="2"/>
  <c r="R660" i="2" s="1"/>
  <c r="Q656" i="2"/>
  <c r="R656" i="2" s="1"/>
  <c r="Q652" i="2"/>
  <c r="R652" i="2" s="1"/>
  <c r="Q648" i="2"/>
  <c r="R648" i="2" s="1"/>
  <c r="Q644" i="2"/>
  <c r="R644" i="2" s="1"/>
  <c r="Q640" i="2"/>
  <c r="R640" i="2" s="1"/>
  <c r="Q636" i="2"/>
  <c r="R636" i="2" s="1"/>
  <c r="Q632" i="2"/>
  <c r="R632" i="2" s="1"/>
  <c r="Q628" i="2"/>
  <c r="R628" i="2" s="1"/>
  <c r="Q624" i="2"/>
  <c r="R624" i="2" s="1"/>
  <c r="Q620" i="2"/>
  <c r="R620" i="2" s="1"/>
  <c r="Q616" i="2"/>
  <c r="R616" i="2" s="1"/>
  <c r="Q612" i="2"/>
  <c r="R612" i="2" s="1"/>
  <c r="Q608" i="2"/>
  <c r="R608" i="2" s="1"/>
  <c r="Q604" i="2"/>
  <c r="R604" i="2" s="1"/>
  <c r="Q600" i="2"/>
  <c r="R600" i="2" s="1"/>
  <c r="Q596" i="2"/>
  <c r="R596" i="2" s="1"/>
  <c r="Q592" i="2"/>
  <c r="R592" i="2" s="1"/>
  <c r="Q588" i="2"/>
  <c r="R588" i="2" s="1"/>
  <c r="Q584" i="2"/>
  <c r="R584" i="2" s="1"/>
  <c r="Q580" i="2"/>
  <c r="R580" i="2" s="1"/>
  <c r="Q576" i="2"/>
  <c r="R576" i="2" s="1"/>
  <c r="Q572" i="2"/>
  <c r="R572" i="2" s="1"/>
  <c r="Q568" i="2"/>
  <c r="R568" i="2" s="1"/>
  <c r="Q564" i="2"/>
  <c r="R564" i="2" s="1"/>
  <c r="Q560" i="2"/>
  <c r="R560" i="2" s="1"/>
  <c r="Q556" i="2"/>
  <c r="R556" i="2" s="1"/>
  <c r="Q552" i="2"/>
  <c r="R552" i="2" s="1"/>
  <c r="Q548" i="2"/>
  <c r="R548" i="2" s="1"/>
  <c r="Q544" i="2"/>
  <c r="R544" i="2" s="1"/>
  <c r="Q540" i="2"/>
  <c r="R540" i="2" s="1"/>
  <c r="Q536" i="2"/>
  <c r="R536" i="2" s="1"/>
  <c r="Q532" i="2"/>
  <c r="R532" i="2" s="1"/>
  <c r="Q528" i="2"/>
  <c r="R528" i="2" s="1"/>
  <c r="Q524" i="2"/>
  <c r="R524" i="2" s="1"/>
  <c r="Q520" i="2"/>
  <c r="R520" i="2" s="1"/>
  <c r="Q516" i="2"/>
  <c r="R516" i="2" s="1"/>
  <c r="Q512" i="2"/>
  <c r="R512" i="2" s="1"/>
  <c r="Q508" i="2"/>
  <c r="R508" i="2" s="1"/>
  <c r="Q504" i="2"/>
  <c r="R504" i="2" s="1"/>
  <c r="Q500" i="2"/>
  <c r="R500" i="2" s="1"/>
  <c r="Q496" i="2"/>
  <c r="R496" i="2" s="1"/>
  <c r="Q492" i="2"/>
  <c r="R492" i="2" s="1"/>
  <c r="Q488" i="2"/>
  <c r="R488" i="2" s="1"/>
  <c r="Q484" i="2"/>
  <c r="R484" i="2" s="1"/>
  <c r="Q480" i="2"/>
  <c r="R480" i="2" s="1"/>
  <c r="Q476" i="2"/>
  <c r="R476" i="2" s="1"/>
  <c r="Q472" i="2"/>
  <c r="R472" i="2" s="1"/>
  <c r="Q468" i="2"/>
  <c r="R468" i="2" s="1"/>
  <c r="Q464" i="2"/>
  <c r="R464" i="2" s="1"/>
  <c r="Q460" i="2"/>
  <c r="R460" i="2" s="1"/>
  <c r="Q456" i="2"/>
  <c r="R456" i="2" s="1"/>
  <c r="Q452" i="2"/>
  <c r="R452" i="2" s="1"/>
  <c r="Q448" i="2"/>
  <c r="R448" i="2" s="1"/>
  <c r="Q444" i="2"/>
  <c r="R444" i="2" s="1"/>
  <c r="Q440" i="2"/>
  <c r="R440" i="2" s="1"/>
  <c r="Q436" i="2"/>
  <c r="R436" i="2" s="1"/>
  <c r="Q432" i="2"/>
  <c r="R432" i="2" s="1"/>
  <c r="Q428" i="2"/>
  <c r="R428" i="2" s="1"/>
  <c r="Q424" i="2"/>
  <c r="R424" i="2" s="1"/>
  <c r="Q420" i="2"/>
  <c r="R420" i="2" s="1"/>
  <c r="Q416" i="2"/>
  <c r="R416" i="2" s="1"/>
  <c r="Q412" i="2"/>
  <c r="R412" i="2" s="1"/>
  <c r="Q404" i="2"/>
  <c r="R404" i="2" s="1"/>
  <c r="Q400" i="2"/>
  <c r="R400" i="2" s="1"/>
  <c r="Q396" i="2"/>
  <c r="R396" i="2" s="1"/>
  <c r="Q392" i="2"/>
  <c r="R392" i="2" s="1"/>
  <c r="Q388" i="2"/>
  <c r="R388" i="2" s="1"/>
  <c r="Q384" i="2"/>
  <c r="R384" i="2" s="1"/>
  <c r="Q380" i="2"/>
  <c r="R380" i="2" s="1"/>
  <c r="Q376" i="2"/>
  <c r="R376" i="2" s="1"/>
  <c r="Q372" i="2"/>
  <c r="R372" i="2" s="1"/>
  <c r="Q368" i="2"/>
  <c r="R368" i="2" s="1"/>
  <c r="Q364" i="2"/>
  <c r="R364" i="2" s="1"/>
  <c r="Q360" i="2"/>
  <c r="R360" i="2" s="1"/>
  <c r="Q356" i="2"/>
  <c r="R356" i="2" s="1"/>
  <c r="Q352" i="2"/>
  <c r="R352" i="2" s="1"/>
  <c r="Q348" i="2"/>
  <c r="R348" i="2" s="1"/>
  <c r="Q344" i="2"/>
  <c r="R344" i="2" s="1"/>
  <c r="Q340" i="2"/>
  <c r="R340" i="2" s="1"/>
  <c r="Q336" i="2"/>
  <c r="R336" i="2" s="1"/>
  <c r="Q332" i="2"/>
  <c r="R332" i="2" s="1"/>
  <c r="Q328" i="2"/>
  <c r="R328" i="2" s="1"/>
  <c r="Q324" i="2"/>
  <c r="R324" i="2" s="1"/>
  <c r="Q320" i="2"/>
  <c r="R320" i="2" s="1"/>
  <c r="Q316" i="2"/>
  <c r="R316" i="2" s="1"/>
  <c r="Q312" i="2"/>
  <c r="R312" i="2" s="1"/>
  <c r="Q308" i="2"/>
  <c r="R308" i="2" s="1"/>
  <c r="Q304" i="2"/>
  <c r="R304" i="2" s="1"/>
  <c r="Q300" i="2"/>
  <c r="R300" i="2" s="1"/>
  <c r="Q296" i="2"/>
  <c r="R296" i="2" s="1"/>
  <c r="Q292" i="2"/>
  <c r="R292" i="2" s="1"/>
  <c r="Q288" i="2"/>
  <c r="R288" i="2" s="1"/>
  <c r="Q284" i="2"/>
  <c r="R284" i="2" s="1"/>
  <c r="Q276" i="2"/>
  <c r="R276" i="2" s="1"/>
  <c r="Q272" i="2"/>
  <c r="R272" i="2" s="1"/>
  <c r="Q268" i="2"/>
  <c r="R268" i="2" s="1"/>
  <c r="Q189" i="2"/>
  <c r="R189" i="2" s="1"/>
  <c r="Q145" i="2"/>
  <c r="R145" i="2" s="1"/>
  <c r="Q141" i="2"/>
  <c r="R141" i="2" s="1"/>
  <c r="Q137" i="2"/>
  <c r="R137" i="2" s="1"/>
  <c r="Q117" i="2"/>
  <c r="R117" i="2" s="1"/>
  <c r="Q113" i="2"/>
  <c r="R113" i="2" s="1"/>
  <c r="Q85" i="2"/>
  <c r="R85" i="2" s="1"/>
  <c r="Q2244" i="2"/>
  <c r="R2244" i="2" s="1"/>
  <c r="Q2228" i="2"/>
  <c r="R2228" i="2" s="1"/>
  <c r="Q2212" i="2"/>
  <c r="R2212" i="2" s="1"/>
  <c r="Q2196" i="2"/>
  <c r="R2196" i="2" s="1"/>
  <c r="Q2180" i="2"/>
  <c r="R2180" i="2" s="1"/>
  <c r="Q2163" i="2"/>
  <c r="R2163" i="2" s="1"/>
  <c r="Q2147" i="2"/>
  <c r="R2147" i="2" s="1"/>
  <c r="Q2131" i="2"/>
  <c r="R2131" i="2" s="1"/>
  <c r="Q2107" i="2"/>
  <c r="R2107" i="2" s="1"/>
  <c r="Q2091" i="2"/>
  <c r="R2091" i="2" s="1"/>
  <c r="Q2075" i="2"/>
  <c r="R2075" i="2" s="1"/>
  <c r="Q2059" i="2"/>
  <c r="R2059" i="2" s="1"/>
  <c r="Q2043" i="2"/>
  <c r="R2043" i="2" s="1"/>
  <c r="Q2027" i="2"/>
  <c r="R2027" i="2" s="1"/>
  <c r="Q2011" i="2"/>
  <c r="R2011" i="2" s="1"/>
  <c r="Q1995" i="2"/>
  <c r="R1995" i="2" s="1"/>
  <c r="Q1979" i="2"/>
  <c r="R1979" i="2" s="1"/>
  <c r="Q1963" i="2"/>
  <c r="R1963" i="2" s="1"/>
  <c r="Q1947" i="2"/>
  <c r="R1947" i="2" s="1"/>
  <c r="Q1931" i="2"/>
  <c r="R1931" i="2" s="1"/>
  <c r="Q1910" i="2"/>
  <c r="R1910" i="2" s="1"/>
  <c r="Q1881" i="2"/>
  <c r="R1881" i="2" s="1"/>
  <c r="Q1860" i="2"/>
  <c r="R1860" i="2" s="1"/>
  <c r="Q1738" i="2"/>
  <c r="R1738" i="2" s="1"/>
  <c r="Q1674" i="2"/>
  <c r="R1674" i="2" s="1"/>
  <c r="Q1609" i="2"/>
  <c r="R1609" i="2" s="1"/>
  <c r="Q1545" i="2"/>
  <c r="R1545" i="2" s="1"/>
  <c r="Q1481" i="2"/>
  <c r="R1481" i="2" s="1"/>
  <c r="Q1308" i="2"/>
  <c r="R1308" i="2" s="1"/>
  <c r="Q1244" i="2"/>
  <c r="R1244" i="2" s="1"/>
  <c r="Q1180" i="2"/>
  <c r="R1180" i="2" s="1"/>
  <c r="Q860" i="2"/>
  <c r="R860" i="2" s="1"/>
  <c r="Q732" i="2"/>
  <c r="R732" i="2" s="1"/>
  <c r="Q561" i="2"/>
  <c r="R561" i="2" s="1"/>
  <c r="Q408" i="2"/>
  <c r="R408" i="2" s="1"/>
  <c r="Q237" i="2"/>
  <c r="R237" i="2" s="1"/>
  <c r="Q2239" i="2"/>
  <c r="R2239" i="2" s="1"/>
  <c r="Q2227" i="2"/>
  <c r="R2227" i="2" s="1"/>
  <c r="Q2215" i="2"/>
  <c r="R2215" i="2" s="1"/>
  <c r="Q2207" i="2"/>
  <c r="R2207" i="2" s="1"/>
  <c r="Q2195" i="2"/>
  <c r="R2195" i="2" s="1"/>
  <c r="Q2187" i="2"/>
  <c r="R2187" i="2" s="1"/>
  <c r="Q2174" i="2"/>
  <c r="R2174" i="2" s="1"/>
  <c r="Q2166" i="2"/>
  <c r="R2166" i="2" s="1"/>
  <c r="Q2154" i="2"/>
  <c r="R2154" i="2" s="1"/>
  <c r="Q2146" i="2"/>
  <c r="R2146" i="2" s="1"/>
  <c r="Q2134" i="2"/>
  <c r="R2134" i="2" s="1"/>
  <c r="Q2130" i="2"/>
  <c r="R2130" i="2" s="1"/>
  <c r="Q2118" i="2"/>
  <c r="R2118" i="2" s="1"/>
  <c r="Q2114" i="2"/>
  <c r="R2114" i="2" s="1"/>
  <c r="Q2106" i="2"/>
  <c r="R2106" i="2" s="1"/>
  <c r="Q2098" i="2"/>
  <c r="R2098" i="2" s="1"/>
  <c r="Q2086" i="2"/>
  <c r="R2086" i="2" s="1"/>
  <c r="Q2074" i="2"/>
  <c r="R2074" i="2" s="1"/>
  <c r="Q2062" i="2"/>
  <c r="R2062" i="2" s="1"/>
  <c r="Q2054" i="2"/>
  <c r="R2054" i="2" s="1"/>
  <c r="Q2042" i="2"/>
  <c r="R2042" i="2" s="1"/>
  <c r="Q2034" i="2"/>
  <c r="R2034" i="2" s="1"/>
  <c r="Q2022" i="2"/>
  <c r="R2022" i="2" s="1"/>
  <c r="Q2010" i="2"/>
  <c r="R2010" i="2" s="1"/>
  <c r="Q2002" i="2"/>
  <c r="R2002" i="2" s="1"/>
  <c r="Q1994" i="2"/>
  <c r="R1994" i="2" s="1"/>
  <c r="Q1982" i="2"/>
  <c r="R1982" i="2" s="1"/>
  <c r="Q1970" i="2"/>
  <c r="R1970" i="2" s="1"/>
  <c r="Q1962" i="2"/>
  <c r="R1962" i="2" s="1"/>
  <c r="Q1950" i="2"/>
  <c r="R1950" i="2" s="1"/>
  <c r="Q1938" i="2"/>
  <c r="R1938" i="2" s="1"/>
  <c r="Q1930" i="2"/>
  <c r="R1930" i="2" s="1"/>
  <c r="Q1922" i="2"/>
  <c r="R1922" i="2" s="1"/>
  <c r="Q1914" i="2"/>
  <c r="R1914" i="2" s="1"/>
  <c r="Q1906" i="2"/>
  <c r="R1906" i="2" s="1"/>
  <c r="Q1898" i="2"/>
  <c r="R1898" i="2" s="1"/>
  <c r="Q1882" i="2"/>
  <c r="R1882" i="2" s="1"/>
  <c r="Q1874" i="2"/>
  <c r="R1874" i="2" s="1"/>
  <c r="Q1862" i="2"/>
  <c r="R1862" i="2" s="1"/>
  <c r="Q1778" i="2"/>
  <c r="R1778" i="2" s="1"/>
  <c r="Q1774" i="2"/>
  <c r="R1774" i="2" s="1"/>
  <c r="Q1762" i="2"/>
  <c r="R1762" i="2" s="1"/>
  <c r="Q1750" i="2"/>
  <c r="R1750" i="2" s="1"/>
  <c r="Q1730" i="2"/>
  <c r="R1730" i="2" s="1"/>
  <c r="Q1666" i="2"/>
  <c r="R1666" i="2" s="1"/>
  <c r="Q1553" i="2"/>
  <c r="R1553" i="2" s="1"/>
  <c r="Q1541" i="2"/>
  <c r="R1541" i="2" s="1"/>
  <c r="Q1533" i="2"/>
  <c r="R1533" i="2" s="1"/>
  <c r="Q1348" i="2"/>
  <c r="R1348" i="2" s="1"/>
  <c r="Q1336" i="2"/>
  <c r="R1336" i="2" s="1"/>
  <c r="Q1328" i="2"/>
  <c r="R1328" i="2" s="1"/>
  <c r="Q1284" i="2"/>
  <c r="R1284" i="2" s="1"/>
  <c r="Q1272" i="2"/>
  <c r="R1272" i="2" s="1"/>
  <c r="Q1248" i="2"/>
  <c r="R1248" i="2" s="1"/>
  <c r="Q1240" i="2"/>
  <c r="R1240" i="2" s="1"/>
  <c r="Q1232" i="2"/>
  <c r="R1232" i="2" s="1"/>
  <c r="Q1220" i="2"/>
  <c r="R1220" i="2" s="1"/>
  <c r="Q1208" i="2"/>
  <c r="R1208" i="2" s="1"/>
  <c r="Q1156" i="2"/>
  <c r="R1156" i="2" s="1"/>
  <c r="Q1144" i="2"/>
  <c r="R1144" i="2" s="1"/>
  <c r="Q952" i="2"/>
  <c r="R952" i="2" s="1"/>
  <c r="Q948" i="2"/>
  <c r="R948" i="2" s="1"/>
  <c r="Q936" i="2"/>
  <c r="R936" i="2" s="1"/>
  <c r="Q896" i="2"/>
  <c r="R896" i="2" s="1"/>
  <c r="Q884" i="2"/>
  <c r="R884" i="2" s="1"/>
  <c r="Q848" i="2"/>
  <c r="R848" i="2" s="1"/>
  <c r="Q769" i="2"/>
  <c r="R769" i="2" s="1"/>
  <c r="Q761" i="2"/>
  <c r="R761" i="2" s="1"/>
  <c r="Q749" i="2"/>
  <c r="R749" i="2" s="1"/>
  <c r="Q737" i="2"/>
  <c r="R737" i="2" s="1"/>
  <c r="Q725" i="2"/>
  <c r="R725" i="2" s="1"/>
  <c r="Q713" i="2"/>
  <c r="R713" i="2" s="1"/>
  <c r="Q697" i="2"/>
  <c r="R697" i="2" s="1"/>
  <c r="Q685" i="2"/>
  <c r="R685" i="2" s="1"/>
  <c r="Q673" i="2"/>
  <c r="R673" i="2" s="1"/>
  <c r="Q661" i="2"/>
  <c r="R661" i="2" s="1"/>
  <c r="Q653" i="2"/>
  <c r="R653" i="2" s="1"/>
  <c r="Q645" i="2"/>
  <c r="R645" i="2" s="1"/>
  <c r="Q637" i="2"/>
  <c r="R637" i="2" s="1"/>
  <c r="Q629" i="2"/>
  <c r="R629" i="2" s="1"/>
  <c r="Q617" i="2"/>
  <c r="R617" i="2" s="1"/>
  <c r="Q605" i="2"/>
  <c r="R605" i="2" s="1"/>
  <c r="Q597" i="2"/>
  <c r="R597" i="2" s="1"/>
  <c r="Q585" i="2"/>
  <c r="R585" i="2" s="1"/>
  <c r="Q581" i="2"/>
  <c r="R581" i="2" s="1"/>
  <c r="Q569" i="2"/>
  <c r="R569" i="2" s="1"/>
  <c r="Q565" i="2"/>
  <c r="R565" i="2" s="1"/>
  <c r="Q553" i="2"/>
  <c r="R553" i="2" s="1"/>
  <c r="Q545" i="2"/>
  <c r="R545" i="2" s="1"/>
  <c r="Q537" i="2"/>
  <c r="R537" i="2" s="1"/>
  <c r="Q525" i="2"/>
  <c r="R525" i="2" s="1"/>
  <c r="Q513" i="2"/>
  <c r="R513" i="2" s="1"/>
  <c r="Q481" i="2"/>
  <c r="R481" i="2" s="1"/>
  <c r="Q469" i="2"/>
  <c r="R469" i="2" s="1"/>
  <c r="Q461" i="2"/>
  <c r="R461" i="2" s="1"/>
  <c r="Q449" i="2"/>
  <c r="R449" i="2" s="1"/>
  <c r="Q441" i="2"/>
  <c r="R441" i="2" s="1"/>
  <c r="Q429" i="2"/>
  <c r="R429" i="2" s="1"/>
  <c r="Q421" i="2"/>
  <c r="R421" i="2" s="1"/>
  <c r="Q413" i="2"/>
  <c r="R413" i="2" s="1"/>
  <c r="Q397" i="2"/>
  <c r="R397" i="2" s="1"/>
  <c r="Q389" i="2"/>
  <c r="R389" i="2" s="1"/>
  <c r="Q377" i="2"/>
  <c r="R377" i="2" s="1"/>
  <c r="Q369" i="2"/>
  <c r="R369" i="2" s="1"/>
  <c r="Q357" i="2"/>
  <c r="R357" i="2" s="1"/>
  <c r="Q349" i="2"/>
  <c r="R349" i="2" s="1"/>
  <c r="Q337" i="2"/>
  <c r="R337" i="2" s="1"/>
  <c r="Q325" i="2"/>
  <c r="R325" i="2" s="1"/>
  <c r="Q313" i="2"/>
  <c r="R313" i="2" s="1"/>
  <c r="Q301" i="2"/>
  <c r="R301" i="2" s="1"/>
  <c r="Q293" i="2"/>
  <c r="R293" i="2" s="1"/>
  <c r="Q281" i="2"/>
  <c r="R281" i="2" s="1"/>
  <c r="Q269" i="2"/>
  <c r="R269" i="2" s="1"/>
  <c r="Q261" i="2"/>
  <c r="R261" i="2" s="1"/>
  <c r="Q249" i="2"/>
  <c r="R249" i="2" s="1"/>
  <c r="Q245" i="2"/>
  <c r="R245" i="2" s="1"/>
  <c r="Q233" i="2"/>
  <c r="R233" i="2" s="1"/>
  <c r="Q221" i="2"/>
  <c r="R221" i="2" s="1"/>
  <c r="Q213" i="2"/>
  <c r="R213" i="2" s="1"/>
  <c r="Q201" i="2"/>
  <c r="R201" i="2" s="1"/>
  <c r="Q181" i="2"/>
  <c r="R181" i="2" s="1"/>
  <c r="Q173" i="2"/>
  <c r="R173" i="2" s="1"/>
  <c r="Q105" i="2"/>
  <c r="R105" i="2" s="1"/>
  <c r="Q89" i="2"/>
  <c r="R89" i="2" s="1"/>
  <c r="Q1894" i="2"/>
  <c r="R1894" i="2" s="1"/>
  <c r="Q1754" i="2"/>
  <c r="R1754" i="2" s="1"/>
  <c r="Q1625" i="2"/>
  <c r="R1625" i="2" s="1"/>
  <c r="Q1497" i="2"/>
  <c r="R1497" i="2" s="1"/>
  <c r="Q1260" i="2"/>
  <c r="R1260" i="2" s="1"/>
  <c r="Q593" i="2"/>
  <c r="R593" i="2" s="1"/>
  <c r="Q2241" i="2"/>
  <c r="R2241" i="2" s="1"/>
  <c r="Q2237" i="2"/>
  <c r="R2237" i="2" s="1"/>
  <c r="Q2233" i="2"/>
  <c r="R2233" i="2" s="1"/>
  <c r="Q2229" i="2"/>
  <c r="R2229" i="2" s="1"/>
  <c r="Q2225" i="2"/>
  <c r="R2225" i="2" s="1"/>
  <c r="Q2221" i="2"/>
  <c r="R2221" i="2" s="1"/>
  <c r="Q2217" i="2"/>
  <c r="R2217" i="2" s="1"/>
  <c r="Q2213" i="2"/>
  <c r="R2213" i="2" s="1"/>
  <c r="Q2209" i="2"/>
  <c r="R2209" i="2" s="1"/>
  <c r="Q2205" i="2"/>
  <c r="R2205" i="2" s="1"/>
  <c r="Q2201" i="2"/>
  <c r="R2201" i="2" s="1"/>
  <c r="Q2197" i="2"/>
  <c r="R2197" i="2" s="1"/>
  <c r="Q2193" i="2"/>
  <c r="R2193" i="2" s="1"/>
  <c r="Q2189" i="2"/>
  <c r="R2189" i="2" s="1"/>
  <c r="Q2185" i="2"/>
  <c r="R2185" i="2" s="1"/>
  <c r="Q2181" i="2"/>
  <c r="R2181" i="2" s="1"/>
  <c r="Q2177" i="2"/>
  <c r="R2177" i="2" s="1"/>
  <c r="Q2172" i="2"/>
  <c r="R2172" i="2" s="1"/>
  <c r="Q2168" i="2"/>
  <c r="R2168" i="2" s="1"/>
  <c r="Q2164" i="2"/>
  <c r="R2164" i="2" s="1"/>
  <c r="Q2160" i="2"/>
  <c r="R2160" i="2" s="1"/>
  <c r="Q2156" i="2"/>
  <c r="R2156" i="2" s="1"/>
  <c r="Q2152" i="2"/>
  <c r="R2152" i="2" s="1"/>
  <c r="Q2148" i="2"/>
  <c r="R2148" i="2" s="1"/>
  <c r="Q2144" i="2"/>
  <c r="R2144" i="2" s="1"/>
  <c r="Q2140" i="2"/>
  <c r="R2140" i="2" s="1"/>
  <c r="Q2136" i="2"/>
  <c r="R2136" i="2" s="1"/>
  <c r="Q2132" i="2"/>
  <c r="R2132" i="2" s="1"/>
  <c r="Q2128" i="2"/>
  <c r="R2128" i="2" s="1"/>
  <c r="Q2124" i="2"/>
  <c r="R2124" i="2" s="1"/>
  <c r="Q2120" i="2"/>
  <c r="R2120" i="2" s="1"/>
  <c r="Q2116" i="2"/>
  <c r="R2116" i="2" s="1"/>
  <c r="Q2112" i="2"/>
  <c r="R2112" i="2" s="1"/>
  <c r="Q2108" i="2"/>
  <c r="R2108" i="2" s="1"/>
  <c r="Q2104" i="2"/>
  <c r="R2104" i="2" s="1"/>
  <c r="Q2100" i="2"/>
  <c r="R2100" i="2" s="1"/>
  <c r="Q2096" i="2"/>
  <c r="R2096" i="2" s="1"/>
  <c r="Q2092" i="2"/>
  <c r="R2092" i="2" s="1"/>
  <c r="Q2088" i="2"/>
  <c r="R2088" i="2" s="1"/>
  <c r="Q2084" i="2"/>
  <c r="R2084" i="2" s="1"/>
  <c r="Q2080" i="2"/>
  <c r="R2080" i="2" s="1"/>
  <c r="Q2076" i="2"/>
  <c r="R2076" i="2" s="1"/>
  <c r="Q2072" i="2"/>
  <c r="R2072" i="2" s="1"/>
  <c r="Q2068" i="2"/>
  <c r="R2068" i="2" s="1"/>
  <c r="Q2064" i="2"/>
  <c r="R2064" i="2" s="1"/>
  <c r="Q2060" i="2"/>
  <c r="R2060" i="2" s="1"/>
  <c r="Q2056" i="2"/>
  <c r="R2056" i="2" s="1"/>
  <c r="Q2052" i="2"/>
  <c r="R2052" i="2" s="1"/>
  <c r="Q2048" i="2"/>
  <c r="R2048" i="2" s="1"/>
  <c r="Q2044" i="2"/>
  <c r="R2044" i="2" s="1"/>
  <c r="Q2040" i="2"/>
  <c r="R2040" i="2" s="1"/>
  <c r="Q2036" i="2"/>
  <c r="R2036" i="2" s="1"/>
  <c r="Q2032" i="2"/>
  <c r="R2032" i="2" s="1"/>
  <c r="Q2028" i="2"/>
  <c r="R2028" i="2" s="1"/>
  <c r="Q2024" i="2"/>
  <c r="R2024" i="2" s="1"/>
  <c r="Q2020" i="2"/>
  <c r="R2020" i="2" s="1"/>
  <c r="Q2016" i="2"/>
  <c r="R2016" i="2" s="1"/>
  <c r="Q2012" i="2"/>
  <c r="R2012" i="2" s="1"/>
  <c r="Q2008" i="2"/>
  <c r="R2008" i="2" s="1"/>
  <c r="Q2004" i="2"/>
  <c r="R2004" i="2" s="1"/>
  <c r="Q2000" i="2"/>
  <c r="R2000" i="2" s="1"/>
  <c r="Q1996" i="2"/>
  <c r="R1996" i="2" s="1"/>
  <c r="Q1992" i="2"/>
  <c r="R1992" i="2" s="1"/>
  <c r="Q1988" i="2"/>
  <c r="R1988" i="2" s="1"/>
  <c r="Q1984" i="2"/>
  <c r="R1984" i="2" s="1"/>
  <c r="Q1980" i="2"/>
  <c r="R1980" i="2" s="1"/>
  <c r="Q1976" i="2"/>
  <c r="R1976" i="2" s="1"/>
  <c r="Q1972" i="2"/>
  <c r="R1972" i="2" s="1"/>
  <c r="Q1968" i="2"/>
  <c r="R1968" i="2" s="1"/>
  <c r="Q1964" i="2"/>
  <c r="R1964" i="2" s="1"/>
  <c r="Q1960" i="2"/>
  <c r="R1960" i="2" s="1"/>
  <c r="Q1956" i="2"/>
  <c r="R1956" i="2" s="1"/>
  <c r="Q1952" i="2"/>
  <c r="R1952" i="2" s="1"/>
  <c r="Q1948" i="2"/>
  <c r="R1948" i="2" s="1"/>
  <c r="Q1944" i="2"/>
  <c r="R1944" i="2" s="1"/>
  <c r="Q1940" i="2"/>
  <c r="R1940" i="2" s="1"/>
  <c r="Q1936" i="2"/>
  <c r="R1936" i="2" s="1"/>
  <c r="Q1932" i="2"/>
  <c r="R1932" i="2" s="1"/>
  <c r="Q1928" i="2"/>
  <c r="R1928" i="2" s="1"/>
  <c r="Q1924" i="2"/>
  <c r="R1924" i="2" s="1"/>
  <c r="Q1920" i="2"/>
  <c r="R1920" i="2" s="1"/>
  <c r="Q1912" i="2"/>
  <c r="R1912" i="2" s="1"/>
  <c r="Q1908" i="2"/>
  <c r="R1908" i="2" s="1"/>
  <c r="Q1904" i="2"/>
  <c r="R1904" i="2" s="1"/>
  <c r="Q1896" i="2"/>
  <c r="R1896" i="2" s="1"/>
  <c r="Q1892" i="2"/>
  <c r="R1892" i="2" s="1"/>
  <c r="Q1880" i="2"/>
  <c r="R1880" i="2" s="1"/>
  <c r="Q1872" i="2"/>
  <c r="R1872" i="2" s="1"/>
  <c r="Q1868" i="2"/>
  <c r="R1868" i="2" s="1"/>
  <c r="Q1864" i="2"/>
  <c r="R1864" i="2" s="1"/>
  <c r="Q1816" i="2"/>
  <c r="R1816" i="2" s="1"/>
  <c r="Q1812" i="2"/>
  <c r="R1812" i="2" s="1"/>
  <c r="Q1808" i="2"/>
  <c r="R1808" i="2" s="1"/>
  <c r="Q1806" i="2"/>
  <c r="R1806" i="2" s="1"/>
  <c r="Q1796" i="2"/>
  <c r="R1796" i="2" s="1"/>
  <c r="Q1792" i="2"/>
  <c r="R1792" i="2" s="1"/>
  <c r="Q1788" i="2"/>
  <c r="R1788" i="2" s="1"/>
  <c r="Q1784" i="2"/>
  <c r="R1784" i="2" s="1"/>
  <c r="Q1780" i="2"/>
  <c r="R1780" i="2" s="1"/>
  <c r="Q1776" i="2"/>
  <c r="R1776" i="2" s="1"/>
  <c r="Q1772" i="2"/>
  <c r="R1772" i="2" s="1"/>
  <c r="Q1768" i="2"/>
  <c r="R1768" i="2" s="1"/>
  <c r="Q1764" i="2"/>
  <c r="R1764" i="2" s="1"/>
  <c r="Q1760" i="2"/>
  <c r="R1760" i="2" s="1"/>
  <c r="Q1756" i="2"/>
  <c r="R1756" i="2" s="1"/>
  <c r="Q1752" i="2"/>
  <c r="R1752" i="2" s="1"/>
  <c r="Q1748" i="2"/>
  <c r="R1748" i="2" s="1"/>
  <c r="Q1744" i="2"/>
  <c r="R1744" i="2" s="1"/>
  <c r="Q1740" i="2"/>
  <c r="R1740" i="2" s="1"/>
  <c r="Q1736" i="2"/>
  <c r="R1736" i="2" s="1"/>
  <c r="Q1732" i="2"/>
  <c r="R1732" i="2" s="1"/>
  <c r="Q1728" i="2"/>
  <c r="R1728" i="2" s="1"/>
  <c r="Q1724" i="2"/>
  <c r="R1724" i="2" s="1"/>
  <c r="Q1720" i="2"/>
  <c r="R1720" i="2" s="1"/>
  <c r="Q1712" i="2"/>
  <c r="R1712" i="2" s="1"/>
  <c r="Q1708" i="2"/>
  <c r="R1708" i="2" s="1"/>
  <c r="Q1704" i="2"/>
  <c r="R1704" i="2" s="1"/>
  <c r="Q1700" i="2"/>
  <c r="R1700" i="2" s="1"/>
  <c r="Q1696" i="2"/>
  <c r="R1696" i="2" s="1"/>
  <c r="Q1692" i="2"/>
  <c r="R1692" i="2" s="1"/>
  <c r="Q1688" i="2"/>
  <c r="R1688" i="2" s="1"/>
  <c r="Q1684" i="2"/>
  <c r="R1684" i="2" s="1"/>
  <c r="Q1680" i="2"/>
  <c r="R1680" i="2" s="1"/>
  <c r="Q1676" i="2"/>
  <c r="R1676" i="2" s="1"/>
  <c r="Q1672" i="2"/>
  <c r="R1672" i="2" s="1"/>
  <c r="Q1668" i="2"/>
  <c r="R1668" i="2" s="1"/>
  <c r="Q1664" i="2"/>
  <c r="R1664" i="2" s="1"/>
  <c r="Q1660" i="2"/>
  <c r="R1660" i="2" s="1"/>
  <c r="Q1655" i="2"/>
  <c r="R1655" i="2" s="1"/>
  <c r="Q1651" i="2"/>
  <c r="R1651" i="2" s="1"/>
  <c r="Q1647" i="2"/>
  <c r="R1647" i="2" s="1"/>
  <c r="Q1643" i="2"/>
  <c r="R1643" i="2" s="1"/>
  <c r="Q1639" i="2"/>
  <c r="R1639" i="2" s="1"/>
  <c r="Q1635" i="2"/>
  <c r="R1635" i="2" s="1"/>
  <c r="Q1631" i="2"/>
  <c r="R1631" i="2" s="1"/>
  <c r="Q1627" i="2"/>
  <c r="R1627" i="2" s="1"/>
  <c r="Q1623" i="2"/>
  <c r="R1623" i="2" s="1"/>
  <c r="Q1619" i="2"/>
  <c r="R1619" i="2" s="1"/>
  <c r="Q1615" i="2"/>
  <c r="R1615" i="2" s="1"/>
  <c r="Q1611" i="2"/>
  <c r="R1611" i="2" s="1"/>
  <c r="Q1607" i="2"/>
  <c r="R1607" i="2" s="1"/>
  <c r="Q1603" i="2"/>
  <c r="R1603" i="2" s="1"/>
  <c r="Q1599" i="2"/>
  <c r="R1599" i="2" s="1"/>
  <c r="Q1595" i="2"/>
  <c r="R1595" i="2" s="1"/>
  <c r="Q1591" i="2"/>
  <c r="R1591" i="2" s="1"/>
  <c r="Q1587" i="2"/>
  <c r="R1587" i="2" s="1"/>
  <c r="Q1583" i="2"/>
  <c r="R1583" i="2" s="1"/>
  <c r="Q1579" i="2"/>
  <c r="R1579" i="2" s="1"/>
  <c r="Q1575" i="2"/>
  <c r="R1575" i="2" s="1"/>
  <c r="Q1571" i="2"/>
  <c r="R1571" i="2" s="1"/>
  <c r="Q1567" i="2"/>
  <c r="R1567" i="2" s="1"/>
  <c r="Q1563" i="2"/>
  <c r="R1563" i="2" s="1"/>
  <c r="Q1559" i="2"/>
  <c r="R1559" i="2" s="1"/>
  <c r="Q1555" i="2"/>
  <c r="R1555" i="2" s="1"/>
  <c r="Q1551" i="2"/>
  <c r="R1551" i="2" s="1"/>
  <c r="Q1547" i="2"/>
  <c r="R1547" i="2" s="1"/>
  <c r="Q1543" i="2"/>
  <c r="R1543" i="2" s="1"/>
  <c r="Q1539" i="2"/>
  <c r="R1539" i="2" s="1"/>
  <c r="Q1535" i="2"/>
  <c r="R1535" i="2" s="1"/>
  <c r="Q1531" i="2"/>
  <c r="R1531" i="2" s="1"/>
  <c r="Q1527" i="2"/>
  <c r="R1527" i="2" s="1"/>
  <c r="Q1523" i="2"/>
  <c r="R1523" i="2" s="1"/>
  <c r="Q1519" i="2"/>
  <c r="R1519" i="2" s="1"/>
  <c r="Q1515" i="2"/>
  <c r="R1515" i="2" s="1"/>
  <c r="Q1511" i="2"/>
  <c r="R1511" i="2" s="1"/>
  <c r="Q1507" i="2"/>
  <c r="R1507" i="2" s="1"/>
  <c r="Q1503" i="2"/>
  <c r="R1503" i="2" s="1"/>
  <c r="Q1499" i="2"/>
  <c r="R1499" i="2" s="1"/>
  <c r="Q1495" i="2"/>
  <c r="R1495" i="2" s="1"/>
  <c r="Q1491" i="2"/>
  <c r="R1491" i="2" s="1"/>
  <c r="Q1487" i="2"/>
  <c r="R1487" i="2" s="1"/>
  <c r="Q1483" i="2"/>
  <c r="R1483" i="2" s="1"/>
  <c r="Q1025" i="2"/>
  <c r="R1025" i="2" s="1"/>
  <c r="Q1021" i="2"/>
  <c r="R1021" i="2" s="1"/>
  <c r="Q965" i="2"/>
  <c r="R965" i="2" s="1"/>
  <c r="Q816" i="2"/>
  <c r="R816" i="2" s="1"/>
  <c r="Q804" i="2"/>
  <c r="R804" i="2" s="1"/>
  <c r="Q792" i="2"/>
  <c r="R792" i="2" s="1"/>
  <c r="Q788" i="2"/>
  <c r="R788" i="2" s="1"/>
  <c r="Q169" i="2"/>
  <c r="R169" i="2" s="1"/>
  <c r="Q157" i="2"/>
  <c r="R157" i="2" s="1"/>
  <c r="Q97" i="2"/>
  <c r="R97" i="2" s="1"/>
  <c r="Q2240" i="2"/>
  <c r="R2240" i="2" s="1"/>
  <c r="Q2224" i="2"/>
  <c r="R2224" i="2" s="1"/>
  <c r="Q2208" i="2"/>
  <c r="R2208" i="2" s="1"/>
  <c r="Q2192" i="2"/>
  <c r="R2192" i="2" s="1"/>
  <c r="Q2176" i="2"/>
  <c r="R2176" i="2" s="1"/>
  <c r="Q2159" i="2"/>
  <c r="R2159" i="2" s="1"/>
  <c r="Q2143" i="2"/>
  <c r="R2143" i="2" s="1"/>
  <c r="Q2127" i="2"/>
  <c r="R2127" i="2" s="1"/>
  <c r="Q2103" i="2"/>
  <c r="R2103" i="2" s="1"/>
  <c r="Q2087" i="2"/>
  <c r="R2087" i="2" s="1"/>
  <c r="Q2071" i="2"/>
  <c r="R2071" i="2" s="1"/>
  <c r="Q2055" i="2"/>
  <c r="R2055" i="2" s="1"/>
  <c r="Q2039" i="2"/>
  <c r="R2039" i="2" s="1"/>
  <c r="Q2023" i="2"/>
  <c r="R2023" i="2" s="1"/>
  <c r="Q2007" i="2"/>
  <c r="R2007" i="2" s="1"/>
  <c r="Q1991" i="2"/>
  <c r="R1991" i="2" s="1"/>
  <c r="Q1975" i="2"/>
  <c r="R1975" i="2" s="1"/>
  <c r="Q1959" i="2"/>
  <c r="R1959" i="2" s="1"/>
  <c r="Q1943" i="2"/>
  <c r="R1943" i="2" s="1"/>
  <c r="Q1926" i="2"/>
  <c r="R1926" i="2" s="1"/>
  <c r="Q1905" i="2"/>
  <c r="R1905" i="2" s="1"/>
  <c r="Q1876" i="2"/>
  <c r="R1876" i="2" s="1"/>
  <c r="Q1786" i="2"/>
  <c r="R1786" i="2" s="1"/>
  <c r="Q1722" i="2"/>
  <c r="R1722" i="2" s="1"/>
  <c r="Q1657" i="2"/>
  <c r="R1657" i="2" s="1"/>
  <c r="Q1593" i="2"/>
  <c r="R1593" i="2" s="1"/>
  <c r="Q1529" i="2"/>
  <c r="R1529" i="2" s="1"/>
  <c r="Q1356" i="2"/>
  <c r="R1356" i="2" s="1"/>
  <c r="Q1292" i="2"/>
  <c r="R1292" i="2" s="1"/>
  <c r="Q1228" i="2"/>
  <c r="R1228" i="2" s="1"/>
  <c r="Q1164" i="2"/>
  <c r="R1164" i="2" s="1"/>
  <c r="Q1100" i="2"/>
  <c r="R1100" i="2" s="1"/>
  <c r="Q908" i="2"/>
  <c r="R908" i="2" s="1"/>
  <c r="Q716" i="2"/>
  <c r="R716" i="2" s="1"/>
  <c r="Q529" i="2"/>
  <c r="R529" i="2" s="1"/>
  <c r="Q365" i="2"/>
  <c r="R365" i="2" s="1"/>
  <c r="Q2235" i="2"/>
  <c r="R2235" i="2" s="1"/>
  <c r="Q2219" i="2"/>
  <c r="R2219" i="2" s="1"/>
  <c r="Q2203" i="2"/>
  <c r="R2203" i="2" s="1"/>
  <c r="Q2191" i="2"/>
  <c r="R2191" i="2" s="1"/>
  <c r="Q2179" i="2"/>
  <c r="R2179" i="2" s="1"/>
  <c r="Q2162" i="2"/>
  <c r="R2162" i="2" s="1"/>
  <c r="Q2142" i="2"/>
  <c r="R2142" i="2" s="1"/>
  <c r="Q2110" i="2"/>
  <c r="R2110" i="2" s="1"/>
  <c r="Q2090" i="2"/>
  <c r="R2090" i="2" s="1"/>
  <c r="Q2078" i="2"/>
  <c r="R2078" i="2" s="1"/>
  <c r="Q2066" i="2"/>
  <c r="R2066" i="2" s="1"/>
  <c r="Q2046" i="2"/>
  <c r="R2046" i="2" s="1"/>
  <c r="Q2026" i="2"/>
  <c r="R2026" i="2" s="1"/>
  <c r="Q2014" i="2"/>
  <c r="R2014" i="2" s="1"/>
  <c r="Q1990" i="2"/>
  <c r="R1990" i="2" s="1"/>
  <c r="Q1978" i="2"/>
  <c r="R1978" i="2" s="1"/>
  <c r="Q1958" i="2"/>
  <c r="R1958" i="2" s="1"/>
  <c r="Q1946" i="2"/>
  <c r="R1946" i="2" s="1"/>
  <c r="Q1934" i="2"/>
  <c r="R1934" i="2" s="1"/>
  <c r="Q1918" i="2"/>
  <c r="R1918" i="2" s="1"/>
  <c r="Q1902" i="2"/>
  <c r="R1902" i="2" s="1"/>
  <c r="Q1858" i="2"/>
  <c r="R1858" i="2" s="1"/>
  <c r="Q1814" i="2"/>
  <c r="R1814" i="2" s="1"/>
  <c r="Q1794" i="2"/>
  <c r="R1794" i="2" s="1"/>
  <c r="Q1782" i="2"/>
  <c r="R1782" i="2" s="1"/>
  <c r="Q1766" i="2"/>
  <c r="R1766" i="2" s="1"/>
  <c r="Q1758" i="2"/>
  <c r="R1758" i="2" s="1"/>
  <c r="Q1742" i="2"/>
  <c r="R1742" i="2" s="1"/>
  <c r="Q1726" i="2"/>
  <c r="R1726" i="2" s="1"/>
  <c r="Q1718" i="2"/>
  <c r="R1718" i="2" s="1"/>
  <c r="Q1710" i="2"/>
  <c r="R1710" i="2" s="1"/>
  <c r="Q1698" i="2"/>
  <c r="R1698" i="2" s="1"/>
  <c r="Q1678" i="2"/>
  <c r="R1678" i="2" s="1"/>
  <c r="Q1649" i="2"/>
  <c r="R1649" i="2" s="1"/>
  <c r="Q1633" i="2"/>
  <c r="R1633" i="2" s="1"/>
  <c r="Q1617" i="2"/>
  <c r="R1617" i="2" s="1"/>
  <c r="Q1605" i="2"/>
  <c r="R1605" i="2" s="1"/>
  <c r="Q1597" i="2"/>
  <c r="R1597" i="2" s="1"/>
  <c r="Q1585" i="2"/>
  <c r="R1585" i="2" s="1"/>
  <c r="Q1569" i="2"/>
  <c r="R1569" i="2" s="1"/>
  <c r="Q1557" i="2"/>
  <c r="R1557" i="2" s="1"/>
  <c r="Q1549" i="2"/>
  <c r="R1549" i="2" s="1"/>
  <c r="Q1537" i="2"/>
  <c r="R1537" i="2" s="1"/>
  <c r="Q1521" i="2"/>
  <c r="R1521" i="2" s="1"/>
  <c r="Q1509" i="2"/>
  <c r="R1509" i="2" s="1"/>
  <c r="Q1489" i="2"/>
  <c r="R1489" i="2" s="1"/>
  <c r="Q1364" i="2"/>
  <c r="R1364" i="2" s="1"/>
  <c r="Q1352" i="2"/>
  <c r="R1352" i="2" s="1"/>
  <c r="Q1344" i="2"/>
  <c r="R1344" i="2" s="1"/>
  <c r="Q1332" i="2"/>
  <c r="R1332" i="2" s="1"/>
  <c r="Q1320" i="2"/>
  <c r="R1320" i="2" s="1"/>
  <c r="Q1312" i="2"/>
  <c r="R1312" i="2" s="1"/>
  <c r="Q1300" i="2"/>
  <c r="R1300" i="2" s="1"/>
  <c r="Q1288" i="2"/>
  <c r="R1288" i="2" s="1"/>
  <c r="Q1280" i="2"/>
  <c r="R1280" i="2" s="1"/>
  <c r="Q1268" i="2"/>
  <c r="R1268" i="2" s="1"/>
  <c r="Q1252" i="2"/>
  <c r="R1252" i="2" s="1"/>
  <c r="Q1236" i="2"/>
  <c r="R1236" i="2" s="1"/>
  <c r="Q1224" i="2"/>
  <c r="R1224" i="2" s="1"/>
  <c r="Q1216" i="2"/>
  <c r="R1216" i="2" s="1"/>
  <c r="Q1188" i="2"/>
  <c r="R1188" i="2" s="1"/>
  <c r="Q1176" i="2"/>
  <c r="R1176" i="2" s="1"/>
  <c r="Q1136" i="2"/>
  <c r="R1136" i="2" s="1"/>
  <c r="Q757" i="2"/>
  <c r="R757" i="2" s="1"/>
  <c r="Q733" i="2"/>
  <c r="R733" i="2" s="1"/>
  <c r="Q721" i="2"/>
  <c r="R721" i="2" s="1"/>
  <c r="Q709" i="2"/>
  <c r="R709" i="2" s="1"/>
  <c r="Q693" i="2"/>
  <c r="R693" i="2" s="1"/>
  <c r="Q681" i="2"/>
  <c r="R681" i="2" s="1"/>
  <c r="Q665" i="2"/>
  <c r="R665" i="2" s="1"/>
  <c r="Q641" i="2"/>
  <c r="R641" i="2" s="1"/>
  <c r="Q609" i="2"/>
  <c r="R609" i="2" s="1"/>
  <c r="Q601" i="2"/>
  <c r="R601" i="2" s="1"/>
  <c r="Q589" i="2"/>
  <c r="R589" i="2" s="1"/>
  <c r="Q573" i="2"/>
  <c r="R573" i="2" s="1"/>
  <c r="Q557" i="2"/>
  <c r="R557" i="2" s="1"/>
  <c r="Q517" i="2"/>
  <c r="R517" i="2" s="1"/>
  <c r="Q505" i="2"/>
  <c r="R505" i="2" s="1"/>
  <c r="Q497" i="2"/>
  <c r="R497" i="2" s="1"/>
  <c r="Q477" i="2"/>
  <c r="R477" i="2" s="1"/>
  <c r="Q465" i="2"/>
  <c r="R465" i="2" s="1"/>
  <c r="Q453" i="2"/>
  <c r="R453" i="2" s="1"/>
  <c r="Q437" i="2"/>
  <c r="R437" i="2" s="1"/>
  <c r="Q417" i="2"/>
  <c r="R417" i="2" s="1"/>
  <c r="Q405" i="2"/>
  <c r="R405" i="2" s="1"/>
  <c r="Q385" i="2"/>
  <c r="R385" i="2" s="1"/>
  <c r="Q373" i="2"/>
  <c r="R373" i="2" s="1"/>
  <c r="Q361" i="2"/>
  <c r="R361" i="2" s="1"/>
  <c r="Q345" i="2"/>
  <c r="R345" i="2" s="1"/>
  <c r="Q329" i="2"/>
  <c r="R329" i="2" s="1"/>
  <c r="Q321" i="2"/>
  <c r="R321" i="2" s="1"/>
  <c r="Q305" i="2"/>
  <c r="R305" i="2" s="1"/>
  <c r="Q289" i="2"/>
  <c r="R289" i="2" s="1"/>
  <c r="Q277" i="2"/>
  <c r="R277" i="2" s="1"/>
  <c r="Q265" i="2"/>
  <c r="R265" i="2" s="1"/>
  <c r="Q253" i="2"/>
  <c r="R253" i="2" s="1"/>
  <c r="Q241" i="2"/>
  <c r="R241" i="2" s="1"/>
  <c r="Q225" i="2"/>
  <c r="R225" i="2" s="1"/>
  <c r="Q205" i="2"/>
  <c r="R205" i="2" s="1"/>
  <c r="Q177" i="2"/>
  <c r="R177" i="2" s="1"/>
  <c r="Q101" i="2"/>
  <c r="R101" i="2" s="1"/>
  <c r="Q1927" i="2"/>
  <c r="R1927" i="2" s="1"/>
  <c r="Q1923" i="2"/>
  <c r="R1923" i="2" s="1"/>
  <c r="Q1919" i="2"/>
  <c r="R1919" i="2" s="1"/>
  <c r="Q1915" i="2"/>
  <c r="R1915" i="2" s="1"/>
  <c r="Q1911" i="2"/>
  <c r="R1911" i="2" s="1"/>
  <c r="Q1907" i="2"/>
  <c r="R1907" i="2" s="1"/>
  <c r="Q1903" i="2"/>
  <c r="R1903" i="2" s="1"/>
  <c r="Q1899" i="2"/>
  <c r="R1899" i="2" s="1"/>
  <c r="Q1895" i="2"/>
  <c r="R1895" i="2" s="1"/>
  <c r="Q1891" i="2"/>
  <c r="R1891" i="2" s="1"/>
  <c r="Q1879" i="2"/>
  <c r="R1879" i="2" s="1"/>
  <c r="Q1875" i="2"/>
  <c r="R1875" i="2" s="1"/>
  <c r="Q1871" i="2"/>
  <c r="R1871" i="2" s="1"/>
  <c r="Q1867" i="2"/>
  <c r="R1867" i="2" s="1"/>
  <c r="Q1863" i="2"/>
  <c r="R1863" i="2" s="1"/>
  <c r="Q1859" i="2"/>
  <c r="R1859" i="2" s="1"/>
  <c r="Q1819" i="2"/>
  <c r="R1819" i="2" s="1"/>
  <c r="Q1815" i="2"/>
  <c r="R1815" i="2" s="1"/>
  <c r="Q1811" i="2"/>
  <c r="R1811" i="2" s="1"/>
  <c r="Q1807" i="2"/>
  <c r="R1807" i="2" s="1"/>
  <c r="Q1805" i="2"/>
  <c r="R1805" i="2" s="1"/>
  <c r="Q1795" i="2"/>
  <c r="R1795" i="2" s="1"/>
  <c r="Q1791" i="2"/>
  <c r="R1791" i="2" s="1"/>
  <c r="Q1787" i="2"/>
  <c r="R1787" i="2" s="1"/>
  <c r="Q1783" i="2"/>
  <c r="R1783" i="2" s="1"/>
  <c r="Q1779" i="2"/>
  <c r="R1779" i="2" s="1"/>
  <c r="Q1775" i="2"/>
  <c r="R1775" i="2" s="1"/>
  <c r="Q1771" i="2"/>
  <c r="R1771" i="2" s="1"/>
  <c r="Q1767" i="2"/>
  <c r="R1767" i="2" s="1"/>
  <c r="Q1763" i="2"/>
  <c r="R1763" i="2" s="1"/>
  <c r="Q1759" i="2"/>
  <c r="R1759" i="2" s="1"/>
  <c r="Q1755" i="2"/>
  <c r="R1755" i="2" s="1"/>
  <c r="Q1751" i="2"/>
  <c r="R1751" i="2" s="1"/>
  <c r="Q1747" i="2"/>
  <c r="R1747" i="2" s="1"/>
  <c r="Q1743" i="2"/>
  <c r="R1743" i="2" s="1"/>
  <c r="Q1739" i="2"/>
  <c r="R1739" i="2" s="1"/>
  <c r="Q1735" i="2"/>
  <c r="R1735" i="2" s="1"/>
  <c r="Q1731" i="2"/>
  <c r="R1731" i="2" s="1"/>
  <c r="Q1727" i="2"/>
  <c r="R1727" i="2" s="1"/>
  <c r="Q1723" i="2"/>
  <c r="R1723" i="2" s="1"/>
  <c r="Q1719" i="2"/>
  <c r="R1719" i="2" s="1"/>
  <c r="Q1715" i="2"/>
  <c r="R1715" i="2" s="1"/>
  <c r="Q1711" i="2"/>
  <c r="R1711" i="2" s="1"/>
  <c r="Q1707" i="2"/>
  <c r="R1707" i="2" s="1"/>
  <c r="Q1703" i="2"/>
  <c r="R1703" i="2" s="1"/>
  <c r="Q1699" i="2"/>
  <c r="R1699" i="2" s="1"/>
  <c r="Q1695" i="2"/>
  <c r="R1695" i="2" s="1"/>
  <c r="Q1691" i="2"/>
  <c r="R1691" i="2" s="1"/>
  <c r="Q1687" i="2"/>
  <c r="R1687" i="2" s="1"/>
  <c r="Q1683" i="2"/>
  <c r="R1683" i="2" s="1"/>
  <c r="Q1679" i="2"/>
  <c r="R1679" i="2" s="1"/>
  <c r="Q1675" i="2"/>
  <c r="R1675" i="2" s="1"/>
  <c r="Q1671" i="2"/>
  <c r="R1671" i="2" s="1"/>
  <c r="Q1667" i="2"/>
  <c r="R1667" i="2" s="1"/>
  <c r="Q1663" i="2"/>
  <c r="R1663" i="2" s="1"/>
  <c r="Q1658" i="2"/>
  <c r="R1658" i="2" s="1"/>
  <c r="Q1654" i="2"/>
  <c r="R1654" i="2" s="1"/>
  <c r="Q1650" i="2"/>
  <c r="R1650" i="2" s="1"/>
  <c r="Q1646" i="2"/>
  <c r="R1646" i="2" s="1"/>
  <c r="Q1642" i="2"/>
  <c r="R1642" i="2" s="1"/>
  <c r="Q1638" i="2"/>
  <c r="R1638" i="2" s="1"/>
  <c r="Q1634" i="2"/>
  <c r="R1634" i="2" s="1"/>
  <c r="Q1630" i="2"/>
  <c r="R1630" i="2" s="1"/>
  <c r="Q1626" i="2"/>
  <c r="R1626" i="2" s="1"/>
  <c r="Q1622" i="2"/>
  <c r="R1622" i="2" s="1"/>
  <c r="Q1618" i="2"/>
  <c r="R1618" i="2" s="1"/>
  <c r="Q1614" i="2"/>
  <c r="R1614" i="2" s="1"/>
  <c r="Q1610" i="2"/>
  <c r="R1610" i="2" s="1"/>
  <c r="Q1606" i="2"/>
  <c r="R1606" i="2" s="1"/>
  <c r="Q1602" i="2"/>
  <c r="R1602" i="2" s="1"/>
  <c r="Q1598" i="2"/>
  <c r="R1598" i="2" s="1"/>
  <c r="Q1594" i="2"/>
  <c r="R1594" i="2" s="1"/>
  <c r="Q1590" i="2"/>
  <c r="R1590" i="2" s="1"/>
  <c r="Q1586" i="2"/>
  <c r="R1586" i="2" s="1"/>
  <c r="Q1582" i="2"/>
  <c r="R1582" i="2" s="1"/>
  <c r="Q1578" i="2"/>
  <c r="R1578" i="2" s="1"/>
  <c r="Q1574" i="2"/>
  <c r="R1574" i="2" s="1"/>
  <c r="Q1570" i="2"/>
  <c r="R1570" i="2" s="1"/>
  <c r="Q1566" i="2"/>
  <c r="R1566" i="2" s="1"/>
  <c r="Q1562" i="2"/>
  <c r="R1562" i="2" s="1"/>
  <c r="Q1558" i="2"/>
  <c r="R1558" i="2" s="1"/>
  <c r="Q1554" i="2"/>
  <c r="R1554" i="2" s="1"/>
  <c r="Q1550" i="2"/>
  <c r="R1550" i="2" s="1"/>
  <c r="Q1546" i="2"/>
  <c r="R1546" i="2" s="1"/>
  <c r="Q1542" i="2"/>
  <c r="R1542" i="2" s="1"/>
  <c r="Q1538" i="2"/>
  <c r="R1538" i="2" s="1"/>
  <c r="Q1534" i="2"/>
  <c r="R1534" i="2" s="1"/>
  <c r="Q1530" i="2"/>
  <c r="R1530" i="2" s="1"/>
  <c r="Q1526" i="2"/>
  <c r="R1526" i="2" s="1"/>
  <c r="Q1522" i="2"/>
  <c r="R1522" i="2" s="1"/>
  <c r="Q1518" i="2"/>
  <c r="R1518" i="2" s="1"/>
  <c r="Q1514" i="2"/>
  <c r="R1514" i="2" s="1"/>
  <c r="Q1510" i="2"/>
  <c r="R1510" i="2" s="1"/>
  <c r="Q1506" i="2"/>
  <c r="R1506" i="2" s="1"/>
  <c r="Q1502" i="2"/>
  <c r="R1502" i="2" s="1"/>
  <c r="Q1498" i="2"/>
  <c r="R1498" i="2" s="1"/>
  <c r="Q1494" i="2"/>
  <c r="R1494" i="2" s="1"/>
  <c r="Q1490" i="2"/>
  <c r="R1490" i="2" s="1"/>
  <c r="Q1486" i="2"/>
  <c r="R1486" i="2" s="1"/>
  <c r="Q1482" i="2"/>
  <c r="R1482" i="2" s="1"/>
  <c r="Q1478" i="2"/>
  <c r="R1478" i="2" s="1"/>
  <c r="Q1365" i="2"/>
  <c r="R1365" i="2" s="1"/>
  <c r="Q1361" i="2"/>
  <c r="R1361" i="2" s="1"/>
  <c r="Q1357" i="2"/>
  <c r="R1357" i="2" s="1"/>
  <c r="Q1353" i="2"/>
  <c r="R1353" i="2" s="1"/>
  <c r="Q1349" i="2"/>
  <c r="R1349" i="2" s="1"/>
  <c r="Q1345" i="2"/>
  <c r="R1345" i="2" s="1"/>
  <c r="Q1341" i="2"/>
  <c r="R1341" i="2" s="1"/>
  <c r="Q1337" i="2"/>
  <c r="R1337" i="2" s="1"/>
  <c r="Q1333" i="2"/>
  <c r="R1333" i="2" s="1"/>
  <c r="Q1329" i="2"/>
  <c r="R1329" i="2" s="1"/>
  <c r="Q1325" i="2"/>
  <c r="R1325" i="2" s="1"/>
  <c r="Q1321" i="2"/>
  <c r="R1321" i="2" s="1"/>
  <c r="Q1317" i="2"/>
  <c r="R1317" i="2" s="1"/>
  <c r="Q1313" i="2"/>
  <c r="R1313" i="2" s="1"/>
  <c r="Q1309" i="2"/>
  <c r="R1309" i="2" s="1"/>
  <c r="Q1305" i="2"/>
  <c r="R1305" i="2" s="1"/>
  <c r="Q1301" i="2"/>
  <c r="R1301" i="2" s="1"/>
  <c r="Q1297" i="2"/>
  <c r="R1297" i="2" s="1"/>
  <c r="Q1293" i="2"/>
  <c r="R1293" i="2" s="1"/>
  <c r="Q1289" i="2"/>
  <c r="R1289" i="2" s="1"/>
  <c r="Q1285" i="2"/>
  <c r="R1285" i="2" s="1"/>
  <c r="Q1281" i="2"/>
  <c r="R1281" i="2" s="1"/>
  <c r="Q1277" i="2"/>
  <c r="R1277" i="2" s="1"/>
  <c r="Q1273" i="2"/>
  <c r="R1273" i="2" s="1"/>
  <c r="Q1269" i="2"/>
  <c r="R1269" i="2" s="1"/>
  <c r="Q1265" i="2"/>
  <c r="R1265" i="2" s="1"/>
  <c r="Q1261" i="2"/>
  <c r="R1261" i="2" s="1"/>
  <c r="Q1257" i="2"/>
  <c r="R1257" i="2" s="1"/>
  <c r="Q1253" i="2"/>
  <c r="R1253" i="2" s="1"/>
  <c r="Q1249" i="2"/>
  <c r="R1249" i="2" s="1"/>
  <c r="Q1245" i="2"/>
  <c r="R1245" i="2" s="1"/>
  <c r="Q1241" i="2"/>
  <c r="R1241" i="2" s="1"/>
  <c r="Q1237" i="2"/>
  <c r="R1237" i="2" s="1"/>
  <c r="Q1233" i="2"/>
  <c r="R1233" i="2" s="1"/>
  <c r="Q1229" i="2"/>
  <c r="R1229" i="2" s="1"/>
  <c r="Q1225" i="2"/>
  <c r="R1225" i="2" s="1"/>
  <c r="Q1221" i="2"/>
  <c r="R1221" i="2" s="1"/>
  <c r="Q1217" i="2"/>
  <c r="R1217" i="2" s="1"/>
  <c r="Q1213" i="2"/>
  <c r="R1213" i="2" s="1"/>
  <c r="Q1209" i="2"/>
  <c r="R1209" i="2" s="1"/>
  <c r="Q1201" i="2"/>
  <c r="R1201" i="2" s="1"/>
  <c r="Q1197" i="2"/>
  <c r="R1197" i="2" s="1"/>
  <c r="Q1193" i="2"/>
  <c r="R1193" i="2" s="1"/>
  <c r="Q1189" i="2"/>
  <c r="R1189" i="2" s="1"/>
  <c r="Q1185" i="2"/>
  <c r="R1185" i="2" s="1"/>
  <c r="Q1181" i="2"/>
  <c r="R1181" i="2" s="1"/>
  <c r="Q1177" i="2"/>
  <c r="R1177" i="2" s="1"/>
  <c r="Q1173" i="2"/>
  <c r="R1173" i="2" s="1"/>
  <c r="Q1169" i="2"/>
  <c r="R1169" i="2" s="1"/>
  <c r="Q1165" i="2"/>
  <c r="R1165" i="2" s="1"/>
  <c r="Q1161" i="2"/>
  <c r="R1161" i="2" s="1"/>
  <c r="Q1157" i="2"/>
  <c r="R1157" i="2" s="1"/>
  <c r="Q1153" i="2"/>
  <c r="R1153" i="2" s="1"/>
  <c r="Q1149" i="2"/>
  <c r="R1149" i="2" s="1"/>
  <c r="Q1145" i="2"/>
  <c r="R1145" i="2" s="1"/>
  <c r="Q1141" i="2"/>
  <c r="R1141" i="2" s="1"/>
  <c r="Q1137" i="2"/>
  <c r="R1137" i="2" s="1"/>
  <c r="Q1024" i="2"/>
  <c r="R1024" i="2" s="1"/>
  <c r="Q957" i="2"/>
  <c r="R957" i="2" s="1"/>
  <c r="Q953" i="2"/>
  <c r="R953" i="2" s="1"/>
  <c r="Q949" i="2"/>
  <c r="R949" i="2" s="1"/>
  <c r="Q945" i="2"/>
  <c r="R945" i="2" s="1"/>
  <c r="Q941" i="2"/>
  <c r="R941" i="2" s="1"/>
  <c r="Q937" i="2"/>
  <c r="R937" i="2" s="1"/>
  <c r="Q825" i="2"/>
  <c r="R825" i="2" s="1"/>
  <c r="Q813" i="2"/>
  <c r="R813" i="2" s="1"/>
  <c r="Q801" i="2"/>
  <c r="R801" i="2" s="1"/>
  <c r="Q193" i="2"/>
  <c r="R193" i="2" s="1"/>
  <c r="Q153" i="2"/>
  <c r="R153" i="2" s="1"/>
  <c r="Q133" i="2"/>
  <c r="R133" i="2" s="1"/>
  <c r="Q129" i="2"/>
  <c r="R129" i="2" s="1"/>
  <c r="Q125" i="2"/>
  <c r="R125" i="2" s="1"/>
  <c r="Q109" i="2"/>
  <c r="R109" i="2" s="1"/>
  <c r="Q77" i="2"/>
  <c r="R77" i="2" s="1"/>
  <c r="Q73" i="2"/>
  <c r="R73" i="2" s="1"/>
  <c r="Q69" i="2"/>
  <c r="R69" i="2" s="1"/>
  <c r="Q65" i="2"/>
  <c r="R65" i="2" s="1"/>
  <c r="Q61" i="2"/>
  <c r="R61" i="2" s="1"/>
  <c r="Q2236" i="2"/>
  <c r="R2236" i="2" s="1"/>
  <c r="Q2220" i="2"/>
  <c r="R2220" i="2" s="1"/>
  <c r="Q2204" i="2"/>
  <c r="R2204" i="2" s="1"/>
  <c r="Q2188" i="2"/>
  <c r="R2188" i="2" s="1"/>
  <c r="Q2171" i="2"/>
  <c r="R2171" i="2" s="1"/>
  <c r="Q2155" i="2"/>
  <c r="R2155" i="2" s="1"/>
  <c r="Q2139" i="2"/>
  <c r="R2139" i="2" s="1"/>
  <c r="Q2123" i="2"/>
  <c r="R2123" i="2" s="1"/>
  <c r="Q2115" i="2"/>
  <c r="R2115" i="2" s="1"/>
  <c r="Q2099" i="2"/>
  <c r="R2099" i="2" s="1"/>
  <c r="Q2083" i="2"/>
  <c r="R2083" i="2" s="1"/>
  <c r="Q2067" i="2"/>
  <c r="R2067" i="2" s="1"/>
  <c r="Q2051" i="2"/>
  <c r="R2051" i="2" s="1"/>
  <c r="Q2035" i="2"/>
  <c r="R2035" i="2" s="1"/>
  <c r="Q2019" i="2"/>
  <c r="R2019" i="2" s="1"/>
  <c r="Q2003" i="2"/>
  <c r="R2003" i="2" s="1"/>
  <c r="Q1987" i="2"/>
  <c r="R1987" i="2" s="1"/>
  <c r="Q1971" i="2"/>
  <c r="R1971" i="2" s="1"/>
  <c r="Q1955" i="2"/>
  <c r="R1955" i="2" s="1"/>
  <c r="Q1939" i="2"/>
  <c r="R1939" i="2" s="1"/>
  <c r="Q1921" i="2"/>
  <c r="R1921" i="2" s="1"/>
  <c r="Q1900" i="2"/>
  <c r="R1900" i="2" s="1"/>
  <c r="Q1870" i="2"/>
  <c r="R1870" i="2" s="1"/>
  <c r="Q1770" i="2"/>
  <c r="R1770" i="2" s="1"/>
  <c r="Q1706" i="2"/>
  <c r="R1706" i="2" s="1"/>
  <c r="Q1641" i="2"/>
  <c r="R1641" i="2" s="1"/>
  <c r="Q1577" i="2"/>
  <c r="R1577" i="2" s="1"/>
  <c r="Q1513" i="2"/>
  <c r="R1513" i="2" s="1"/>
  <c r="Q1340" i="2"/>
  <c r="R1340" i="2" s="1"/>
  <c r="Q1276" i="2"/>
  <c r="R1276" i="2" s="1"/>
  <c r="Q1212" i="2"/>
  <c r="R1212" i="2" s="1"/>
  <c r="Q1148" i="2"/>
  <c r="R1148" i="2" s="1"/>
  <c r="Q1020" i="2"/>
  <c r="R1020" i="2" s="1"/>
  <c r="Q956" i="2"/>
  <c r="R956" i="2" s="1"/>
  <c r="Q828" i="2"/>
  <c r="R828" i="2" s="1"/>
  <c r="Q764" i="2"/>
  <c r="R764" i="2" s="1"/>
  <c r="Q700" i="2"/>
  <c r="R700" i="2" s="1"/>
  <c r="Q621" i="2"/>
  <c r="R621" i="2" s="1"/>
  <c r="Q493" i="2"/>
  <c r="R493" i="2" s="1"/>
  <c r="Q264" i="2"/>
  <c r="R264" i="2" s="1"/>
  <c r="Q260" i="2"/>
  <c r="R260" i="2" s="1"/>
  <c r="Q256" i="2"/>
  <c r="R256" i="2" s="1"/>
  <c r="Q252" i="2"/>
  <c r="R252" i="2" s="1"/>
  <c r="Q244" i="2"/>
  <c r="R244" i="2" s="1"/>
  <c r="Q240" i="2"/>
  <c r="R240" i="2" s="1"/>
  <c r="Q236" i="2"/>
  <c r="R236" i="2" s="1"/>
  <c r="Q232" i="2"/>
  <c r="R232" i="2" s="1"/>
  <c r="Q228" i="2"/>
  <c r="R228" i="2" s="1"/>
  <c r="Q224" i="2"/>
  <c r="R224" i="2" s="1"/>
  <c r="Q220" i="2"/>
  <c r="R220" i="2" s="1"/>
  <c r="Q212" i="2"/>
  <c r="R212" i="2" s="1"/>
  <c r="Q208" i="2"/>
  <c r="R208" i="2" s="1"/>
  <c r="Q204" i="2"/>
  <c r="R204" i="2" s="1"/>
  <c r="Q200" i="2"/>
  <c r="R200" i="2" s="1"/>
  <c r="Q196" i="2"/>
  <c r="R196" i="2" s="1"/>
  <c r="Q188" i="2"/>
  <c r="R188" i="2" s="1"/>
  <c r="Q180" i="2"/>
  <c r="R180" i="2" s="1"/>
  <c r="Q176" i="2"/>
  <c r="R176" i="2" s="1"/>
  <c r="Q172" i="2"/>
  <c r="R172" i="2" s="1"/>
  <c r="Q168" i="2"/>
  <c r="R168" i="2" s="1"/>
  <c r="Q164" i="2"/>
  <c r="R164" i="2" s="1"/>
  <c r="Q144" i="2"/>
  <c r="R144" i="2" s="1"/>
  <c r="Q140" i="2"/>
  <c r="R140" i="2" s="1"/>
  <c r="Q136" i="2"/>
  <c r="R136" i="2" s="1"/>
  <c r="Q132" i="2"/>
  <c r="R132" i="2" s="1"/>
  <c r="Q128" i="2"/>
  <c r="R128" i="2" s="1"/>
  <c r="Q124" i="2"/>
  <c r="R124" i="2" s="1"/>
  <c r="Q116" i="2"/>
  <c r="R116" i="2" s="1"/>
  <c r="Q104" i="2"/>
  <c r="R104" i="2" s="1"/>
  <c r="Q100" i="2"/>
  <c r="R100" i="2" s="1"/>
  <c r="Q96" i="2"/>
  <c r="R96" i="2" s="1"/>
  <c r="Q92" i="2"/>
  <c r="R92" i="2" s="1"/>
  <c r="Q84" i="2"/>
  <c r="R84" i="2" s="1"/>
  <c r="Q76" i="2"/>
  <c r="R76" i="2" s="1"/>
  <c r="Q72" i="2"/>
  <c r="R72" i="2" s="1"/>
  <c r="Q68" i="2"/>
  <c r="R68" i="2" s="1"/>
  <c r="Q64" i="2"/>
  <c r="R64" i="2" s="1"/>
  <c r="Q679" i="2"/>
  <c r="R679" i="2" s="1"/>
  <c r="Q658" i="2"/>
  <c r="R658" i="2" s="1"/>
  <c r="Q615" i="2"/>
  <c r="R615" i="2" s="1"/>
  <c r="Q483" i="2"/>
  <c r="R483" i="2" s="1"/>
  <c r="Q355" i="2"/>
  <c r="R355" i="2" s="1"/>
  <c r="Q227" i="2"/>
  <c r="R227" i="2" s="1"/>
  <c r="Q1351" i="2"/>
  <c r="R1351" i="2" s="1"/>
  <c r="Q1347" i="2"/>
  <c r="R1347" i="2" s="1"/>
  <c r="Q1343" i="2"/>
  <c r="R1343" i="2" s="1"/>
  <c r="Q1339" i="2"/>
  <c r="R1339" i="2" s="1"/>
  <c r="Q1335" i="2"/>
  <c r="R1335" i="2" s="1"/>
  <c r="Q1331" i="2"/>
  <c r="R1331" i="2" s="1"/>
  <c r="Q1327" i="2"/>
  <c r="R1327" i="2" s="1"/>
  <c r="Q1323" i="2"/>
  <c r="R1323" i="2" s="1"/>
  <c r="Q1319" i="2"/>
  <c r="R1319" i="2" s="1"/>
  <c r="Q1315" i="2"/>
  <c r="R1315" i="2" s="1"/>
  <c r="Q1311" i="2"/>
  <c r="R1311" i="2" s="1"/>
  <c r="Q1307" i="2"/>
  <c r="R1307" i="2" s="1"/>
  <c r="Q1303" i="2"/>
  <c r="R1303" i="2" s="1"/>
  <c r="Q1299" i="2"/>
  <c r="R1299" i="2" s="1"/>
  <c r="Q1295" i="2"/>
  <c r="R1295" i="2" s="1"/>
  <c r="Q1291" i="2"/>
  <c r="R1291" i="2" s="1"/>
  <c r="Q1287" i="2"/>
  <c r="R1287" i="2" s="1"/>
  <c r="Q1283" i="2"/>
  <c r="R1283" i="2" s="1"/>
  <c r="Q1279" i="2"/>
  <c r="R1279" i="2" s="1"/>
  <c r="Q1275" i="2"/>
  <c r="R1275" i="2" s="1"/>
  <c r="Q1271" i="2"/>
  <c r="R1271" i="2" s="1"/>
  <c r="Q1267" i="2"/>
  <c r="R1267" i="2" s="1"/>
  <c r="Q1263" i="2"/>
  <c r="R1263" i="2" s="1"/>
  <c r="Q1259" i="2"/>
  <c r="R1259" i="2" s="1"/>
  <c r="Q1255" i="2"/>
  <c r="R1255" i="2" s="1"/>
  <c r="Q1251" i="2"/>
  <c r="R1251" i="2" s="1"/>
  <c r="Q1247" i="2"/>
  <c r="R1247" i="2" s="1"/>
  <c r="Q1243" i="2"/>
  <c r="R1243" i="2" s="1"/>
  <c r="Q1239" i="2"/>
  <c r="R1239" i="2" s="1"/>
  <c r="Q1235" i="2"/>
  <c r="R1235" i="2" s="1"/>
  <c r="Q1231" i="2"/>
  <c r="R1231" i="2" s="1"/>
  <c r="Q1227" i="2"/>
  <c r="R1227" i="2" s="1"/>
  <c r="Q1223" i="2"/>
  <c r="R1223" i="2" s="1"/>
  <c r="Q1219" i="2"/>
  <c r="R1219" i="2" s="1"/>
  <c r="Q1215" i="2"/>
  <c r="R1215" i="2" s="1"/>
  <c r="Q1211" i="2"/>
  <c r="R1211" i="2" s="1"/>
  <c r="Q1207" i="2"/>
  <c r="R1207" i="2" s="1"/>
  <c r="Q1203" i="2"/>
  <c r="R1203" i="2" s="1"/>
  <c r="Q1199" i="2"/>
  <c r="R1199" i="2" s="1"/>
  <c r="Q1195" i="2"/>
  <c r="R1195" i="2" s="1"/>
  <c r="Q1191" i="2"/>
  <c r="R1191" i="2" s="1"/>
  <c r="Q1187" i="2"/>
  <c r="R1187" i="2" s="1"/>
  <c r="Q1183" i="2"/>
  <c r="R1183" i="2" s="1"/>
  <c r="Q1179" i="2"/>
  <c r="R1179" i="2" s="1"/>
  <c r="Q1175" i="2"/>
  <c r="R1175" i="2" s="1"/>
  <c r="Q1171" i="2"/>
  <c r="R1171" i="2" s="1"/>
  <c r="Q1167" i="2"/>
  <c r="R1167" i="2" s="1"/>
  <c r="Q1163" i="2"/>
  <c r="R1163" i="2" s="1"/>
  <c r="Q1159" i="2"/>
  <c r="R1159" i="2" s="1"/>
  <c r="Q1155" i="2"/>
  <c r="R1155" i="2" s="1"/>
  <c r="Q1151" i="2"/>
  <c r="R1151" i="2" s="1"/>
  <c r="Q1147" i="2"/>
  <c r="R1147" i="2" s="1"/>
  <c r="Q1143" i="2"/>
  <c r="R1143" i="2" s="1"/>
  <c r="Q1139" i="2"/>
  <c r="R1139" i="2" s="1"/>
  <c r="Q1135" i="2"/>
  <c r="R1135" i="2" s="1"/>
  <c r="Q1115" i="2"/>
  <c r="R1115" i="2" s="1"/>
  <c r="Q1023" i="2"/>
  <c r="R1023" i="2" s="1"/>
  <c r="Q955" i="2"/>
  <c r="R955" i="2" s="1"/>
  <c r="Q951" i="2"/>
  <c r="R951" i="2" s="1"/>
  <c r="Q947" i="2"/>
  <c r="R947" i="2" s="1"/>
  <c r="Q943" i="2"/>
  <c r="R943" i="2" s="1"/>
  <c r="Q939" i="2"/>
  <c r="R939" i="2" s="1"/>
  <c r="Q935" i="2"/>
  <c r="R935" i="2" s="1"/>
  <c r="Q923" i="2"/>
  <c r="R923" i="2" s="1"/>
  <c r="Q911" i="2"/>
  <c r="R911" i="2" s="1"/>
  <c r="Q899" i="2"/>
  <c r="R899" i="2" s="1"/>
  <c r="Q887" i="2"/>
  <c r="R887" i="2" s="1"/>
  <c r="Q875" i="2"/>
  <c r="R875" i="2" s="1"/>
  <c r="Q863" i="2"/>
  <c r="R863" i="2" s="1"/>
  <c r="Q851" i="2"/>
  <c r="R851" i="2" s="1"/>
  <c r="Q839" i="2"/>
  <c r="R839" i="2" s="1"/>
  <c r="Q831" i="2"/>
  <c r="R831" i="2" s="1"/>
  <c r="Q819" i="2"/>
  <c r="R819" i="2" s="1"/>
  <c r="Q807" i="2"/>
  <c r="R807" i="2" s="1"/>
  <c r="Q795" i="2"/>
  <c r="R795" i="2" s="1"/>
  <c r="Q791" i="2"/>
  <c r="R791" i="2" s="1"/>
  <c r="Q767" i="2"/>
  <c r="R767" i="2" s="1"/>
  <c r="Q763" i="2"/>
  <c r="R763" i="2" s="1"/>
  <c r="Q759" i="2"/>
  <c r="R759" i="2" s="1"/>
  <c r="Q755" i="2"/>
  <c r="R755" i="2" s="1"/>
  <c r="Q751" i="2"/>
  <c r="R751" i="2" s="1"/>
  <c r="Q747" i="2"/>
  <c r="R747" i="2" s="1"/>
  <c r="Q743" i="2"/>
  <c r="R743" i="2" s="1"/>
  <c r="Q739" i="2"/>
  <c r="R739" i="2" s="1"/>
  <c r="Q735" i="2"/>
  <c r="R735" i="2" s="1"/>
  <c r="Q731" i="2"/>
  <c r="R731" i="2" s="1"/>
  <c r="Q727" i="2"/>
  <c r="R727" i="2" s="1"/>
  <c r="Q723" i="2"/>
  <c r="R723" i="2" s="1"/>
  <c r="Q719" i="2"/>
  <c r="R719" i="2" s="1"/>
  <c r="Q715" i="2"/>
  <c r="R715" i="2" s="1"/>
  <c r="Q711" i="2"/>
  <c r="R711" i="2" s="1"/>
  <c r="Q707" i="2"/>
  <c r="R707" i="2" s="1"/>
  <c r="Q703" i="2"/>
  <c r="R703" i="2" s="1"/>
  <c r="Q699" i="2"/>
  <c r="R699" i="2" s="1"/>
  <c r="Q695" i="2"/>
  <c r="R695" i="2" s="1"/>
  <c r="Q691" i="2"/>
  <c r="R691" i="2" s="1"/>
  <c r="Q687" i="2"/>
  <c r="R687" i="2" s="1"/>
  <c r="Q683" i="2"/>
  <c r="R683" i="2" s="1"/>
  <c r="Q675" i="2"/>
  <c r="R675" i="2" s="1"/>
  <c r="Q671" i="2"/>
  <c r="R671" i="2" s="1"/>
  <c r="Q667" i="2"/>
  <c r="R667" i="2" s="1"/>
  <c r="Q659" i="2"/>
  <c r="R659" i="2" s="1"/>
  <c r="Q655" i="2"/>
  <c r="R655" i="2" s="1"/>
  <c r="Q651" i="2"/>
  <c r="R651" i="2" s="1"/>
  <c r="Q643" i="2"/>
  <c r="R643" i="2" s="1"/>
  <c r="Q639" i="2"/>
  <c r="R639" i="2" s="1"/>
  <c r="Q635" i="2"/>
  <c r="R635" i="2" s="1"/>
  <c r="Q627" i="2"/>
  <c r="R627" i="2" s="1"/>
  <c r="Q623" i="2"/>
  <c r="R623" i="2" s="1"/>
  <c r="Q619" i="2"/>
  <c r="R619" i="2" s="1"/>
  <c r="Q611" i="2"/>
  <c r="R611" i="2" s="1"/>
  <c r="Q607" i="2"/>
  <c r="R607" i="2" s="1"/>
  <c r="Q603" i="2"/>
  <c r="R603" i="2" s="1"/>
  <c r="Q599" i="2"/>
  <c r="R599" i="2" s="1"/>
  <c r="Q595" i="2"/>
  <c r="R595" i="2" s="1"/>
  <c r="Q591" i="2"/>
  <c r="R591" i="2" s="1"/>
  <c r="Q587" i="2"/>
  <c r="R587" i="2" s="1"/>
  <c r="Q583" i="2"/>
  <c r="R583" i="2" s="1"/>
  <c r="Q579" i="2"/>
  <c r="R579" i="2" s="1"/>
  <c r="Q575" i="2"/>
  <c r="R575" i="2" s="1"/>
  <c r="Q571" i="2"/>
  <c r="R571" i="2" s="1"/>
  <c r="Q567" i="2"/>
  <c r="R567" i="2" s="1"/>
  <c r="Q563" i="2"/>
  <c r="R563" i="2" s="1"/>
  <c r="Q559" i="2"/>
  <c r="R559" i="2" s="1"/>
  <c r="Q555" i="2"/>
  <c r="R555" i="2" s="1"/>
  <c r="Q551" i="2"/>
  <c r="R551" i="2" s="1"/>
  <c r="Q547" i="2"/>
  <c r="R547" i="2" s="1"/>
  <c r="Q543" i="2"/>
  <c r="R543" i="2" s="1"/>
  <c r="Q539" i="2"/>
  <c r="R539" i="2" s="1"/>
  <c r="Q535" i="2"/>
  <c r="R535" i="2" s="1"/>
  <c r="Q531" i="2"/>
  <c r="R531" i="2" s="1"/>
  <c r="Q527" i="2"/>
  <c r="R527" i="2" s="1"/>
  <c r="Q523" i="2"/>
  <c r="R523" i="2" s="1"/>
  <c r="Q519" i="2"/>
  <c r="R519" i="2" s="1"/>
  <c r="Q515" i="2"/>
  <c r="R515" i="2" s="1"/>
  <c r="Q511" i="2"/>
  <c r="R511" i="2" s="1"/>
  <c r="Q507" i="2"/>
  <c r="R507" i="2" s="1"/>
  <c r="Q503" i="2"/>
  <c r="R503" i="2" s="1"/>
  <c r="Q499" i="2"/>
  <c r="R499" i="2" s="1"/>
  <c r="Q495" i="2"/>
  <c r="R495" i="2" s="1"/>
  <c r="Q491" i="2"/>
  <c r="R491" i="2" s="1"/>
  <c r="Q487" i="2"/>
  <c r="R487" i="2" s="1"/>
  <c r="Q479" i="2"/>
  <c r="R479" i="2" s="1"/>
  <c r="Q475" i="2"/>
  <c r="R475" i="2" s="1"/>
  <c r="Q471" i="2"/>
  <c r="R471" i="2" s="1"/>
  <c r="Q467" i="2"/>
  <c r="R467" i="2" s="1"/>
  <c r="Q463" i="2"/>
  <c r="R463" i="2" s="1"/>
  <c r="Q459" i="2"/>
  <c r="R459" i="2" s="1"/>
  <c r="Q455" i="2"/>
  <c r="R455" i="2" s="1"/>
  <c r="Q447" i="2"/>
  <c r="R447" i="2" s="1"/>
  <c r="Q443" i="2"/>
  <c r="R443" i="2" s="1"/>
  <c r="Q439" i="2"/>
  <c r="R439" i="2" s="1"/>
  <c r="Q435" i="2"/>
  <c r="R435" i="2" s="1"/>
  <c r="Q431" i="2"/>
  <c r="R431" i="2" s="1"/>
  <c r="Q427" i="2"/>
  <c r="R427" i="2" s="1"/>
  <c r="Q423" i="2"/>
  <c r="R423" i="2" s="1"/>
  <c r="Q415" i="2"/>
  <c r="R415" i="2" s="1"/>
  <c r="Q411" i="2"/>
  <c r="R411" i="2" s="1"/>
  <c r="Q407" i="2"/>
  <c r="R407" i="2" s="1"/>
  <c r="Q403" i="2"/>
  <c r="R403" i="2" s="1"/>
  <c r="Q399" i="2"/>
  <c r="R399" i="2" s="1"/>
  <c r="Q395" i="2"/>
  <c r="R395" i="2" s="1"/>
  <c r="Q391" i="2"/>
  <c r="R391" i="2" s="1"/>
  <c r="Q383" i="2"/>
  <c r="R383" i="2" s="1"/>
  <c r="Q379" i="2"/>
  <c r="R379" i="2" s="1"/>
  <c r="Q375" i="2"/>
  <c r="R375" i="2" s="1"/>
  <c r="Q371" i="2"/>
  <c r="R371" i="2" s="1"/>
  <c r="Q367" i="2"/>
  <c r="R367" i="2" s="1"/>
  <c r="Q363" i="2"/>
  <c r="R363" i="2" s="1"/>
  <c r="Q359" i="2"/>
  <c r="R359" i="2" s="1"/>
  <c r="Q351" i="2"/>
  <c r="R351" i="2" s="1"/>
  <c r="Q347" i="2"/>
  <c r="R347" i="2" s="1"/>
  <c r="Q343" i="2"/>
  <c r="R343" i="2" s="1"/>
  <c r="Q339" i="2"/>
  <c r="R339" i="2" s="1"/>
  <c r="Q335" i="2"/>
  <c r="R335" i="2" s="1"/>
  <c r="Q331" i="2"/>
  <c r="R331" i="2" s="1"/>
  <c r="Q327" i="2"/>
  <c r="R327" i="2" s="1"/>
  <c r="Q319" i="2"/>
  <c r="R319" i="2" s="1"/>
  <c r="Q315" i="2"/>
  <c r="R315" i="2" s="1"/>
  <c r="Q311" i="2"/>
  <c r="R311" i="2" s="1"/>
  <c r="Q307" i="2"/>
  <c r="R307" i="2" s="1"/>
  <c r="Q303" i="2"/>
  <c r="R303" i="2" s="1"/>
  <c r="Q299" i="2"/>
  <c r="R299" i="2" s="1"/>
  <c r="Q295" i="2"/>
  <c r="R295" i="2" s="1"/>
  <c r="Q287" i="2"/>
  <c r="R287" i="2" s="1"/>
  <c r="Q283" i="2"/>
  <c r="R283" i="2" s="1"/>
  <c r="Q279" i="2"/>
  <c r="R279" i="2" s="1"/>
  <c r="Q275" i="2"/>
  <c r="R275" i="2" s="1"/>
  <c r="Q271" i="2"/>
  <c r="R271" i="2" s="1"/>
  <c r="Q267" i="2"/>
  <c r="R267" i="2" s="1"/>
  <c r="Q263" i="2"/>
  <c r="R263" i="2" s="1"/>
  <c r="Q255" i="2"/>
  <c r="R255" i="2" s="1"/>
  <c r="Q251" i="2"/>
  <c r="R251" i="2" s="1"/>
  <c r="Q247" i="2"/>
  <c r="R247" i="2" s="1"/>
  <c r="Q243" i="2"/>
  <c r="R243" i="2" s="1"/>
  <c r="Q239" i="2"/>
  <c r="R239" i="2" s="1"/>
  <c r="Q235" i="2"/>
  <c r="R235" i="2" s="1"/>
  <c r="Q231" i="2"/>
  <c r="R231" i="2" s="1"/>
  <c r="Q223" i="2"/>
  <c r="R223" i="2" s="1"/>
  <c r="Q219" i="2"/>
  <c r="R219" i="2" s="1"/>
  <c r="Q215" i="2"/>
  <c r="R215" i="2" s="1"/>
  <c r="Q211" i="2"/>
  <c r="R211" i="2" s="1"/>
  <c r="Q207" i="2"/>
  <c r="R207" i="2" s="1"/>
  <c r="Q203" i="2"/>
  <c r="R203" i="2" s="1"/>
  <c r="Q199" i="2"/>
  <c r="R199" i="2" s="1"/>
  <c r="Q187" i="2"/>
  <c r="R187" i="2" s="1"/>
  <c r="Q183" i="2"/>
  <c r="R183" i="2" s="1"/>
  <c r="Q179" i="2"/>
  <c r="R179" i="2" s="1"/>
  <c r="Q175" i="2"/>
  <c r="R175" i="2" s="1"/>
  <c r="Q159" i="2"/>
  <c r="R159" i="2" s="1"/>
  <c r="Q151" i="2"/>
  <c r="R151" i="2" s="1"/>
  <c r="Q147" i="2"/>
  <c r="R147" i="2" s="1"/>
  <c r="Q143" i="2"/>
  <c r="R143" i="2" s="1"/>
  <c r="Q139" i="2"/>
  <c r="R139" i="2" s="1"/>
  <c r="Q127" i="2"/>
  <c r="R127" i="2" s="1"/>
  <c r="Q123" i="2"/>
  <c r="R123" i="2" s="1"/>
  <c r="Q119" i="2"/>
  <c r="R119" i="2" s="1"/>
  <c r="Q115" i="2"/>
  <c r="R115" i="2" s="1"/>
  <c r="Q103" i="2"/>
  <c r="R103" i="2" s="1"/>
  <c r="Q91" i="2"/>
  <c r="R91" i="2" s="1"/>
  <c r="Q79" i="2"/>
  <c r="R79" i="2" s="1"/>
  <c r="Q75" i="2"/>
  <c r="R75" i="2" s="1"/>
  <c r="Q71" i="2"/>
  <c r="R71" i="2" s="1"/>
  <c r="Q67" i="2"/>
  <c r="R67" i="2" s="1"/>
  <c r="Q63" i="2"/>
  <c r="R63" i="2" s="1"/>
  <c r="Q674" i="2"/>
  <c r="R674" i="2" s="1"/>
  <c r="Q631" i="2"/>
  <c r="R631" i="2" s="1"/>
  <c r="Q387" i="2"/>
  <c r="R387" i="2" s="1"/>
  <c r="Q259" i="2"/>
  <c r="R259" i="2" s="1"/>
  <c r="Q216" i="2"/>
  <c r="R216" i="2" s="1"/>
  <c r="Q131" i="2"/>
  <c r="R131" i="2" s="1"/>
  <c r="Q80" i="2"/>
  <c r="R80" i="2" s="1"/>
  <c r="Q1479" i="2"/>
  <c r="R1479" i="2" s="1"/>
  <c r="Q1366" i="2"/>
  <c r="R1366" i="2" s="1"/>
  <c r="Q1362" i="2"/>
  <c r="R1362" i="2" s="1"/>
  <c r="Q1358" i="2"/>
  <c r="R1358" i="2" s="1"/>
  <c r="Q1354" i="2"/>
  <c r="R1354" i="2" s="1"/>
  <c r="Q1350" i="2"/>
  <c r="R1350" i="2" s="1"/>
  <c r="Q1346" i="2"/>
  <c r="R1346" i="2" s="1"/>
  <c r="Q1342" i="2"/>
  <c r="R1342" i="2" s="1"/>
  <c r="Q1338" i="2"/>
  <c r="R1338" i="2" s="1"/>
  <c r="Q1334" i="2"/>
  <c r="R1334" i="2" s="1"/>
  <c r="Q1330" i="2"/>
  <c r="R1330" i="2" s="1"/>
  <c r="Q1326" i="2"/>
  <c r="R1326" i="2" s="1"/>
  <c r="Q1322" i="2"/>
  <c r="R1322" i="2" s="1"/>
  <c r="Q1318" i="2"/>
  <c r="R1318" i="2" s="1"/>
  <c r="Q1314" i="2"/>
  <c r="R1314" i="2" s="1"/>
  <c r="Q1310" i="2"/>
  <c r="R1310" i="2" s="1"/>
  <c r="Q1306" i="2"/>
  <c r="R1306" i="2" s="1"/>
  <c r="Q1302" i="2"/>
  <c r="R1302" i="2" s="1"/>
  <c r="Q1298" i="2"/>
  <c r="R1298" i="2" s="1"/>
  <c r="Q1294" i="2"/>
  <c r="R1294" i="2" s="1"/>
  <c r="Q1290" i="2"/>
  <c r="R1290" i="2" s="1"/>
  <c r="Q1286" i="2"/>
  <c r="R1286" i="2" s="1"/>
  <c r="Q1282" i="2"/>
  <c r="R1282" i="2" s="1"/>
  <c r="Q1278" i="2"/>
  <c r="R1278" i="2" s="1"/>
  <c r="Q1274" i="2"/>
  <c r="R1274" i="2" s="1"/>
  <c r="Q1270" i="2"/>
  <c r="R1270" i="2" s="1"/>
  <c r="Q1266" i="2"/>
  <c r="R1266" i="2" s="1"/>
  <c r="Q1262" i="2"/>
  <c r="R1262" i="2" s="1"/>
  <c r="Q1258" i="2"/>
  <c r="R1258" i="2" s="1"/>
  <c r="Q1254" i="2"/>
  <c r="R1254" i="2" s="1"/>
  <c r="Q1250" i="2"/>
  <c r="R1250" i="2" s="1"/>
  <c r="Q1246" i="2"/>
  <c r="R1246" i="2" s="1"/>
  <c r="Q1242" i="2"/>
  <c r="R1242" i="2" s="1"/>
  <c r="Q1238" i="2"/>
  <c r="R1238" i="2" s="1"/>
  <c r="Q1234" i="2"/>
  <c r="R1234" i="2" s="1"/>
  <c r="Q1230" i="2"/>
  <c r="R1230" i="2" s="1"/>
  <c r="Q1226" i="2"/>
  <c r="R1226" i="2" s="1"/>
  <c r="Q1222" i="2"/>
  <c r="R1222" i="2" s="1"/>
  <c r="Q1218" i="2"/>
  <c r="R1218" i="2" s="1"/>
  <c r="Q1214" i="2"/>
  <c r="R1214" i="2" s="1"/>
  <c r="Q1210" i="2"/>
  <c r="R1210" i="2" s="1"/>
  <c r="Q1206" i="2"/>
  <c r="R1206" i="2" s="1"/>
  <c r="Q1202" i="2"/>
  <c r="R1202" i="2" s="1"/>
  <c r="Q1198" i="2"/>
  <c r="R1198" i="2" s="1"/>
  <c r="Q1194" i="2"/>
  <c r="R1194" i="2" s="1"/>
  <c r="Q1190" i="2"/>
  <c r="R1190" i="2" s="1"/>
  <c r="Q1186" i="2"/>
  <c r="R1186" i="2" s="1"/>
  <c r="Q1182" i="2"/>
  <c r="R1182" i="2" s="1"/>
  <c r="Q1178" i="2"/>
  <c r="R1178" i="2" s="1"/>
  <c r="Q1174" i="2"/>
  <c r="R1174" i="2" s="1"/>
  <c r="Q1170" i="2"/>
  <c r="R1170" i="2" s="1"/>
  <c r="Q1166" i="2"/>
  <c r="R1166" i="2" s="1"/>
  <c r="Q1162" i="2"/>
  <c r="R1162" i="2" s="1"/>
  <c r="Q1158" i="2"/>
  <c r="R1158" i="2" s="1"/>
  <c r="Q1154" i="2"/>
  <c r="R1154" i="2" s="1"/>
  <c r="Q1150" i="2"/>
  <c r="R1150" i="2" s="1"/>
  <c r="Q1146" i="2"/>
  <c r="R1146" i="2" s="1"/>
  <c r="Q1142" i="2"/>
  <c r="R1142" i="2" s="1"/>
  <c r="Q1138" i="2"/>
  <c r="R1138" i="2" s="1"/>
  <c r="Q1026" i="2"/>
  <c r="R1026" i="2" s="1"/>
  <c r="Q1022" i="2"/>
  <c r="R1022" i="2" s="1"/>
  <c r="Q962" i="2"/>
  <c r="R962" i="2" s="1"/>
  <c r="Q954" i="2"/>
  <c r="R954" i="2" s="1"/>
  <c r="Q950" i="2"/>
  <c r="R950" i="2" s="1"/>
  <c r="Q946" i="2"/>
  <c r="R946" i="2" s="1"/>
  <c r="Q942" i="2"/>
  <c r="R942" i="2" s="1"/>
  <c r="Q938" i="2"/>
  <c r="R938" i="2" s="1"/>
  <c r="Q934" i="2"/>
  <c r="R934" i="2" s="1"/>
  <c r="Q926" i="2"/>
  <c r="R926" i="2" s="1"/>
  <c r="Q914" i="2"/>
  <c r="R914" i="2" s="1"/>
  <c r="Q902" i="2"/>
  <c r="R902" i="2" s="1"/>
  <c r="Q890" i="2"/>
  <c r="R890" i="2" s="1"/>
  <c r="Q878" i="2"/>
  <c r="R878" i="2" s="1"/>
  <c r="Q866" i="2"/>
  <c r="R866" i="2" s="1"/>
  <c r="Q854" i="2"/>
  <c r="R854" i="2" s="1"/>
  <c r="Q842" i="2"/>
  <c r="R842" i="2" s="1"/>
  <c r="Q834" i="2"/>
  <c r="R834" i="2" s="1"/>
  <c r="Q822" i="2"/>
  <c r="R822" i="2" s="1"/>
  <c r="Q810" i="2"/>
  <c r="R810" i="2" s="1"/>
  <c r="Q798" i="2"/>
  <c r="R798" i="2" s="1"/>
  <c r="Q790" i="2"/>
  <c r="R790" i="2" s="1"/>
  <c r="Q770" i="2"/>
  <c r="R770" i="2" s="1"/>
  <c r="Q766" i="2"/>
  <c r="R766" i="2" s="1"/>
  <c r="Q762" i="2"/>
  <c r="R762" i="2" s="1"/>
  <c r="Q758" i="2"/>
  <c r="R758" i="2" s="1"/>
  <c r="Q754" i="2"/>
  <c r="R754" i="2" s="1"/>
  <c r="Q750" i="2"/>
  <c r="R750" i="2" s="1"/>
  <c r="Q746" i="2"/>
  <c r="R746" i="2" s="1"/>
  <c r="Q742" i="2"/>
  <c r="R742" i="2" s="1"/>
  <c r="Q738" i="2"/>
  <c r="R738" i="2" s="1"/>
  <c r="Q734" i="2"/>
  <c r="R734" i="2" s="1"/>
  <c r="Q730" i="2"/>
  <c r="R730" i="2" s="1"/>
  <c r="Q726" i="2"/>
  <c r="R726" i="2" s="1"/>
  <c r="Q722" i="2"/>
  <c r="R722" i="2" s="1"/>
  <c r="Q718" i="2"/>
  <c r="R718" i="2" s="1"/>
  <c r="Q714" i="2"/>
  <c r="R714" i="2" s="1"/>
  <c r="Q710" i="2"/>
  <c r="R710" i="2" s="1"/>
  <c r="Q706" i="2"/>
  <c r="R706" i="2" s="1"/>
  <c r="Q702" i="2"/>
  <c r="R702" i="2" s="1"/>
  <c r="Q698" i="2"/>
  <c r="R698" i="2" s="1"/>
  <c r="Q694" i="2"/>
  <c r="R694" i="2" s="1"/>
  <c r="Q690" i="2"/>
  <c r="R690" i="2" s="1"/>
  <c r="Q686" i="2"/>
  <c r="R686" i="2" s="1"/>
  <c r="Q682" i="2"/>
  <c r="R682" i="2" s="1"/>
  <c r="Q678" i="2"/>
  <c r="R678" i="2" s="1"/>
  <c r="Q670" i="2"/>
  <c r="R670" i="2" s="1"/>
  <c r="Q666" i="2"/>
  <c r="R666" i="2" s="1"/>
  <c r="Q662" i="2"/>
  <c r="R662" i="2" s="1"/>
  <c r="Q654" i="2"/>
  <c r="R654" i="2" s="1"/>
  <c r="Q650" i="2"/>
  <c r="R650" i="2" s="1"/>
  <c r="Q646" i="2"/>
  <c r="R646" i="2" s="1"/>
  <c r="Q638" i="2"/>
  <c r="R638" i="2" s="1"/>
  <c r="Q634" i="2"/>
  <c r="R634" i="2" s="1"/>
  <c r="Q630" i="2"/>
  <c r="R630" i="2" s="1"/>
  <c r="Q622" i="2"/>
  <c r="R622" i="2" s="1"/>
  <c r="Q618" i="2"/>
  <c r="R618" i="2" s="1"/>
  <c r="Q614" i="2"/>
  <c r="R614" i="2" s="1"/>
  <c r="Q610" i="2"/>
  <c r="R610" i="2" s="1"/>
  <c r="Q606" i="2"/>
  <c r="R606" i="2" s="1"/>
  <c r="Q602" i="2"/>
  <c r="R602" i="2" s="1"/>
  <c r="Q598" i="2"/>
  <c r="R598" i="2" s="1"/>
  <c r="Q594" i="2"/>
  <c r="R594" i="2" s="1"/>
  <c r="Q590" i="2"/>
  <c r="R590" i="2" s="1"/>
  <c r="Q586" i="2"/>
  <c r="R586" i="2" s="1"/>
  <c r="Q582" i="2"/>
  <c r="R582" i="2" s="1"/>
  <c r="Q578" i="2"/>
  <c r="R578" i="2" s="1"/>
  <c r="Q574" i="2"/>
  <c r="R574" i="2" s="1"/>
  <c r="Q570" i="2"/>
  <c r="R570" i="2" s="1"/>
  <c r="Q566" i="2"/>
  <c r="R566" i="2" s="1"/>
  <c r="Q562" i="2"/>
  <c r="R562" i="2" s="1"/>
  <c r="Q558" i="2"/>
  <c r="R558" i="2" s="1"/>
  <c r="Q554" i="2"/>
  <c r="R554" i="2" s="1"/>
  <c r="Q550" i="2"/>
  <c r="R550" i="2" s="1"/>
  <c r="Q546" i="2"/>
  <c r="R546" i="2" s="1"/>
  <c r="Q542" i="2"/>
  <c r="R542" i="2" s="1"/>
  <c r="Q538" i="2"/>
  <c r="R538" i="2" s="1"/>
  <c r="Q534" i="2"/>
  <c r="R534" i="2" s="1"/>
  <c r="Q530" i="2"/>
  <c r="R530" i="2" s="1"/>
  <c r="Q526" i="2"/>
  <c r="R526" i="2" s="1"/>
  <c r="Q522" i="2"/>
  <c r="R522" i="2" s="1"/>
  <c r="Q518" i="2"/>
  <c r="R518" i="2" s="1"/>
  <c r="Q514" i="2"/>
  <c r="R514" i="2" s="1"/>
  <c r="Q510" i="2"/>
  <c r="R510" i="2" s="1"/>
  <c r="Q506" i="2"/>
  <c r="R506" i="2" s="1"/>
  <c r="Q502" i="2"/>
  <c r="R502" i="2" s="1"/>
  <c r="Q498" i="2"/>
  <c r="R498" i="2" s="1"/>
  <c r="Q494" i="2"/>
  <c r="R494" i="2" s="1"/>
  <c r="Q490" i="2"/>
  <c r="R490" i="2" s="1"/>
  <c r="Q486" i="2"/>
  <c r="R486" i="2" s="1"/>
  <c r="Q482" i="2"/>
  <c r="R482" i="2" s="1"/>
  <c r="Q478" i="2"/>
  <c r="R478" i="2" s="1"/>
  <c r="Q474" i="2"/>
  <c r="R474" i="2" s="1"/>
  <c r="Q470" i="2"/>
  <c r="R470" i="2" s="1"/>
  <c r="Q466" i="2"/>
  <c r="R466" i="2" s="1"/>
  <c r="Q462" i="2"/>
  <c r="R462" i="2" s="1"/>
  <c r="Q458" i="2"/>
  <c r="R458" i="2" s="1"/>
  <c r="Q454" i="2"/>
  <c r="R454" i="2" s="1"/>
  <c r="Q450" i="2"/>
  <c r="R450" i="2" s="1"/>
  <c r="Q446" i="2"/>
  <c r="R446" i="2" s="1"/>
  <c r="Q442" i="2"/>
  <c r="R442" i="2" s="1"/>
  <c r="Q438" i="2"/>
  <c r="R438" i="2" s="1"/>
  <c r="Q434" i="2"/>
  <c r="R434" i="2" s="1"/>
  <c r="Q430" i="2"/>
  <c r="R430" i="2" s="1"/>
  <c r="Q426" i="2"/>
  <c r="R426" i="2" s="1"/>
  <c r="Q422" i="2"/>
  <c r="R422" i="2" s="1"/>
  <c r="Q418" i="2"/>
  <c r="R418" i="2" s="1"/>
  <c r="Q414" i="2"/>
  <c r="R414" i="2" s="1"/>
  <c r="Q410" i="2"/>
  <c r="R410" i="2" s="1"/>
  <c r="Q406" i="2"/>
  <c r="R406" i="2" s="1"/>
  <c r="Q402" i="2"/>
  <c r="R402" i="2" s="1"/>
  <c r="Q398" i="2"/>
  <c r="R398" i="2" s="1"/>
  <c r="Q394" i="2"/>
  <c r="R394" i="2" s="1"/>
  <c r="Q390" i="2"/>
  <c r="R390" i="2" s="1"/>
  <c r="Q386" i="2"/>
  <c r="R386" i="2" s="1"/>
  <c r="Q382" i="2"/>
  <c r="R382" i="2" s="1"/>
  <c r="Q378" i="2"/>
  <c r="R378" i="2" s="1"/>
  <c r="Q374" i="2"/>
  <c r="R374" i="2" s="1"/>
  <c r="Q370" i="2"/>
  <c r="R370" i="2" s="1"/>
  <c r="Q366" i="2"/>
  <c r="R366" i="2" s="1"/>
  <c r="Q362" i="2"/>
  <c r="R362" i="2" s="1"/>
  <c r="Q358" i="2"/>
  <c r="R358" i="2" s="1"/>
  <c r="Q354" i="2"/>
  <c r="R354" i="2" s="1"/>
  <c r="Q350" i="2"/>
  <c r="R350" i="2" s="1"/>
  <c r="Q346" i="2"/>
  <c r="R346" i="2" s="1"/>
  <c r="Q342" i="2"/>
  <c r="R342" i="2" s="1"/>
  <c r="Q338" i="2"/>
  <c r="R338" i="2" s="1"/>
  <c r="Q334" i="2"/>
  <c r="R334" i="2" s="1"/>
  <c r="Q330" i="2"/>
  <c r="R330" i="2" s="1"/>
  <c r="Q326" i="2"/>
  <c r="R326" i="2" s="1"/>
  <c r="Q322" i="2"/>
  <c r="R322" i="2" s="1"/>
  <c r="Q318" i="2"/>
  <c r="R318" i="2" s="1"/>
  <c r="Q314" i="2"/>
  <c r="R314" i="2" s="1"/>
  <c r="Q310" i="2"/>
  <c r="R310" i="2" s="1"/>
  <c r="Q306" i="2"/>
  <c r="R306" i="2" s="1"/>
  <c r="Q302" i="2"/>
  <c r="R302" i="2" s="1"/>
  <c r="Q298" i="2"/>
  <c r="R298" i="2" s="1"/>
  <c r="Q294" i="2"/>
  <c r="R294" i="2" s="1"/>
  <c r="Q290" i="2"/>
  <c r="R290" i="2" s="1"/>
  <c r="Q286" i="2"/>
  <c r="R286" i="2" s="1"/>
  <c r="Q282" i="2"/>
  <c r="R282" i="2" s="1"/>
  <c r="Q278" i="2"/>
  <c r="R278" i="2" s="1"/>
  <c r="Q274" i="2"/>
  <c r="R274" i="2" s="1"/>
  <c r="Q270" i="2"/>
  <c r="R270" i="2" s="1"/>
  <c r="Q266" i="2"/>
  <c r="R266" i="2" s="1"/>
  <c r="Q262" i="2"/>
  <c r="R262" i="2" s="1"/>
  <c r="Q258" i="2"/>
  <c r="R258" i="2" s="1"/>
  <c r="Q254" i="2"/>
  <c r="R254" i="2" s="1"/>
  <c r="Q250" i="2"/>
  <c r="R250" i="2" s="1"/>
  <c r="Q246" i="2"/>
  <c r="R246" i="2" s="1"/>
  <c r="Q242" i="2"/>
  <c r="R242" i="2" s="1"/>
  <c r="Q238" i="2"/>
  <c r="R238" i="2" s="1"/>
  <c r="Q234" i="2"/>
  <c r="R234" i="2" s="1"/>
  <c r="Q230" i="2"/>
  <c r="R230" i="2" s="1"/>
  <c r="Q226" i="2"/>
  <c r="R226" i="2" s="1"/>
  <c r="Q222" i="2"/>
  <c r="R222" i="2" s="1"/>
  <c r="Q218" i="2"/>
  <c r="R218" i="2" s="1"/>
  <c r="Q214" i="2"/>
  <c r="R214" i="2" s="1"/>
  <c r="Q210" i="2"/>
  <c r="R210" i="2" s="1"/>
  <c r="Q206" i="2"/>
  <c r="R206" i="2" s="1"/>
  <c r="Q202" i="2"/>
  <c r="R202" i="2" s="1"/>
  <c r="Q198" i="2"/>
  <c r="R198" i="2" s="1"/>
  <c r="Q190" i="2"/>
  <c r="R190" i="2" s="1"/>
  <c r="Q186" i="2"/>
  <c r="R186" i="2" s="1"/>
  <c r="Q182" i="2"/>
  <c r="R182" i="2" s="1"/>
  <c r="Q178" i="2"/>
  <c r="R178" i="2" s="1"/>
  <c r="Q174" i="2"/>
  <c r="R174" i="2" s="1"/>
  <c r="Q158" i="2"/>
  <c r="R158" i="2" s="1"/>
  <c r="Q146" i="2"/>
  <c r="R146" i="2" s="1"/>
  <c r="Q142" i="2"/>
  <c r="R142" i="2" s="1"/>
  <c r="Q138" i="2"/>
  <c r="R138" i="2" s="1"/>
  <c r="Q130" i="2"/>
  <c r="R130" i="2" s="1"/>
  <c r="Q126" i="2"/>
  <c r="R126" i="2" s="1"/>
  <c r="Q118" i="2"/>
  <c r="R118" i="2" s="1"/>
  <c r="Q114" i="2"/>
  <c r="R114" i="2" s="1"/>
  <c r="Q110" i="2"/>
  <c r="R110" i="2" s="1"/>
  <c r="Q102" i="2"/>
  <c r="R102" i="2" s="1"/>
  <c r="Q90" i="2"/>
  <c r="R90" i="2" s="1"/>
  <c r="Q78" i="2"/>
  <c r="R78" i="2" s="1"/>
  <c r="Q74" i="2"/>
  <c r="R74" i="2" s="1"/>
  <c r="Q70" i="2"/>
  <c r="R70" i="2" s="1"/>
  <c r="Q62" i="2"/>
  <c r="R62" i="2" s="1"/>
  <c r="Q647" i="2"/>
  <c r="R647" i="2" s="1"/>
  <c r="Q626" i="2"/>
  <c r="R626" i="2" s="1"/>
  <c r="Q419" i="2"/>
  <c r="R419" i="2" s="1"/>
  <c r="Q291" i="2"/>
  <c r="R291" i="2" s="1"/>
  <c r="Q248" i="2"/>
  <c r="R248" i="2" s="1"/>
  <c r="Q163" i="2"/>
  <c r="R163" i="2" s="1"/>
  <c r="Q66" i="2"/>
  <c r="R66" i="2" s="1"/>
  <c r="K56" i="6" l="1"/>
  <c r="L56" i="6" s="1"/>
  <c r="G56" i="6"/>
  <c r="K111" i="6"/>
  <c r="L111" i="6" s="1"/>
  <c r="G111" i="6"/>
  <c r="K167" i="6"/>
  <c r="L167" i="6" s="1"/>
  <c r="G167" i="6"/>
  <c r="K199" i="6"/>
  <c r="L199" i="6" s="1"/>
  <c r="G199" i="6"/>
  <c r="K239" i="6"/>
  <c r="L239" i="6" s="1"/>
  <c r="G239" i="6"/>
  <c r="K263" i="6"/>
  <c r="L263" i="6" s="1"/>
  <c r="G263" i="6"/>
  <c r="K299" i="6"/>
  <c r="L299" i="6" s="1"/>
  <c r="G299" i="6"/>
  <c r="K323" i="6"/>
  <c r="L323" i="6" s="1"/>
  <c r="G323" i="6"/>
  <c r="K347" i="6"/>
  <c r="L347" i="6" s="1"/>
  <c r="G347" i="6"/>
  <c r="K387" i="6"/>
  <c r="L387" i="6" s="1"/>
  <c r="G387" i="6"/>
  <c r="K427" i="6"/>
  <c r="L427" i="6" s="1"/>
  <c r="G427" i="6"/>
  <c r="K467" i="6"/>
  <c r="L467" i="6" s="1"/>
  <c r="G467" i="6"/>
  <c r="K507" i="6"/>
  <c r="L507" i="6" s="1"/>
  <c r="G507" i="6"/>
  <c r="K539" i="6"/>
  <c r="L539" i="6" s="1"/>
  <c r="G539" i="6"/>
  <c r="K579" i="6"/>
  <c r="L579" i="6" s="1"/>
  <c r="G579" i="6"/>
  <c r="K611" i="6"/>
  <c r="L611" i="6" s="1"/>
  <c r="G611" i="6"/>
  <c r="K627" i="6"/>
  <c r="L627" i="6" s="1"/>
  <c r="G627" i="6"/>
  <c r="K651" i="6"/>
  <c r="L651" i="6" s="1"/>
  <c r="G651" i="6"/>
  <c r="K675" i="6"/>
  <c r="L675" i="6" s="1"/>
  <c r="G675" i="6"/>
  <c r="K683" i="6"/>
  <c r="L683" i="6" s="1"/>
  <c r="G683" i="6"/>
  <c r="K699" i="6"/>
  <c r="L699" i="6" s="1"/>
  <c r="G699" i="6"/>
  <c r="K715" i="6"/>
  <c r="L715" i="6" s="1"/>
  <c r="G715" i="6"/>
  <c r="K748" i="6"/>
  <c r="L748" i="6" s="1"/>
  <c r="G748" i="6"/>
  <c r="K814" i="6"/>
  <c r="L814" i="6" s="1"/>
  <c r="G814" i="6"/>
  <c r="K886" i="6"/>
  <c r="L886" i="6" s="1"/>
  <c r="G886" i="6"/>
  <c r="K909" i="6"/>
  <c r="L909" i="6" s="1"/>
  <c r="G909" i="6"/>
  <c r="K1099" i="6"/>
  <c r="L1099" i="6" s="1"/>
  <c r="G1099" i="6"/>
  <c r="K1115" i="6"/>
  <c r="L1115" i="6" s="1"/>
  <c r="G1115" i="6"/>
  <c r="K1139" i="6"/>
  <c r="L1139" i="6" s="1"/>
  <c r="G1139" i="6"/>
  <c r="K1155" i="6"/>
  <c r="L1155" i="6" s="1"/>
  <c r="G1155" i="6"/>
  <c r="K1173" i="6"/>
  <c r="L1173" i="6" s="1"/>
  <c r="G1173" i="6"/>
  <c r="K1205" i="6"/>
  <c r="L1205" i="6" s="1"/>
  <c r="G1205" i="6"/>
  <c r="K1217" i="6"/>
  <c r="L1217" i="6" s="1"/>
  <c r="G1217" i="6"/>
  <c r="K1237" i="6"/>
  <c r="L1237" i="6" s="1"/>
  <c r="G1237" i="6"/>
  <c r="K1269" i="6"/>
  <c r="L1269" i="6" s="1"/>
  <c r="G1269" i="6"/>
  <c r="K1293" i="6"/>
  <c r="L1293" i="6" s="1"/>
  <c r="G1293" i="6"/>
  <c r="K1313" i="6"/>
  <c r="L1313" i="6" s="1"/>
  <c r="G1313" i="6"/>
  <c r="K25" i="6"/>
  <c r="L25" i="6" s="1"/>
  <c r="G25" i="6"/>
  <c r="K51" i="6"/>
  <c r="L51" i="6" s="1"/>
  <c r="G51" i="6"/>
  <c r="K105" i="6"/>
  <c r="L105" i="6" s="1"/>
  <c r="G105" i="6"/>
  <c r="K129" i="6"/>
  <c r="L129" i="6" s="1"/>
  <c r="G129" i="6"/>
  <c r="K168" i="6"/>
  <c r="L168" i="6" s="1"/>
  <c r="G168" i="6"/>
  <c r="K200" i="6"/>
  <c r="L200" i="6" s="1"/>
  <c r="G200" i="6"/>
  <c r="K232" i="6"/>
  <c r="L232" i="6" s="1"/>
  <c r="G232" i="6"/>
  <c r="K248" i="6"/>
  <c r="L248" i="6" s="1"/>
  <c r="G248" i="6"/>
  <c r="K280" i="6"/>
  <c r="L280" i="6" s="1"/>
  <c r="G280" i="6"/>
  <c r="K312" i="6"/>
  <c r="L312" i="6" s="1"/>
  <c r="G312" i="6"/>
  <c r="K344" i="6"/>
  <c r="L344" i="6" s="1"/>
  <c r="G344" i="6"/>
  <c r="K396" i="6"/>
  <c r="L396" i="6" s="1"/>
  <c r="G396" i="6"/>
  <c r="K460" i="6"/>
  <c r="L460" i="6" s="1"/>
  <c r="G460" i="6"/>
  <c r="K749" i="6"/>
  <c r="L749" i="6" s="1"/>
  <c r="G749" i="6"/>
  <c r="K805" i="6"/>
  <c r="L805" i="6" s="1"/>
  <c r="G805" i="6"/>
  <c r="K906" i="6"/>
  <c r="L906" i="6" s="1"/>
  <c r="G906" i="6"/>
  <c r="K1136" i="6"/>
  <c r="L1136" i="6" s="1"/>
  <c r="G1136" i="6"/>
  <c r="K1194" i="6"/>
  <c r="L1194" i="6" s="1"/>
  <c r="G1194" i="6"/>
  <c r="K1258" i="6"/>
  <c r="L1258" i="6" s="1"/>
  <c r="G1258" i="6"/>
  <c r="K1322" i="6"/>
  <c r="L1322" i="6" s="1"/>
  <c r="G1322" i="6"/>
  <c r="K34" i="6"/>
  <c r="L34" i="6" s="1"/>
  <c r="G34" i="6"/>
  <c r="K64" i="6"/>
  <c r="L64" i="6" s="1"/>
  <c r="G64" i="6"/>
  <c r="K98" i="6"/>
  <c r="L98" i="6" s="1"/>
  <c r="G98" i="6"/>
  <c r="K123" i="6"/>
  <c r="L123" i="6" s="1"/>
  <c r="G123" i="6"/>
  <c r="K146" i="6"/>
  <c r="L146" i="6" s="1"/>
  <c r="G146" i="6"/>
  <c r="K165" i="6"/>
  <c r="L165" i="6" s="1"/>
  <c r="G165" i="6"/>
  <c r="K173" i="6"/>
  <c r="L173" i="6" s="1"/>
  <c r="G173" i="6"/>
  <c r="K189" i="6"/>
  <c r="L189" i="6" s="1"/>
  <c r="G189" i="6"/>
  <c r="K205" i="6"/>
  <c r="L205" i="6" s="1"/>
  <c r="G205" i="6"/>
  <c r="K221" i="6"/>
  <c r="L221" i="6" s="1"/>
  <c r="G221" i="6"/>
  <c r="K237" i="6"/>
  <c r="L237" i="6" s="1"/>
  <c r="G237" i="6"/>
  <c r="K253" i="6"/>
  <c r="L253" i="6" s="1"/>
  <c r="G253" i="6"/>
  <c r="K261" i="6"/>
  <c r="L261" i="6" s="1"/>
  <c r="G261" i="6"/>
  <c r="K277" i="6"/>
  <c r="L277" i="6" s="1"/>
  <c r="G277" i="6"/>
  <c r="K293" i="6"/>
  <c r="L293" i="6" s="1"/>
  <c r="G293" i="6"/>
  <c r="K309" i="6"/>
  <c r="L309" i="6" s="1"/>
  <c r="G309" i="6"/>
  <c r="K325" i="6"/>
  <c r="L325" i="6" s="1"/>
  <c r="G325" i="6"/>
  <c r="K341" i="6"/>
  <c r="L341" i="6" s="1"/>
  <c r="G341" i="6"/>
  <c r="K349" i="6"/>
  <c r="L349" i="6" s="1"/>
  <c r="G349" i="6"/>
  <c r="K365" i="6"/>
  <c r="L365" i="6" s="1"/>
  <c r="G365" i="6"/>
  <c r="K385" i="6"/>
  <c r="L385" i="6" s="1"/>
  <c r="G385" i="6"/>
  <c r="K401" i="6"/>
  <c r="L401" i="6" s="1"/>
  <c r="G401" i="6"/>
  <c r="K421" i="6"/>
  <c r="L421" i="6" s="1"/>
  <c r="G421" i="6"/>
  <c r="K441" i="6"/>
  <c r="L441" i="6" s="1"/>
  <c r="G441" i="6"/>
  <c r="K457" i="6"/>
  <c r="L457" i="6" s="1"/>
  <c r="G457" i="6"/>
  <c r="K477" i="6"/>
  <c r="L477" i="6" s="1"/>
  <c r="G477" i="6"/>
  <c r="K493" i="6"/>
  <c r="L493" i="6" s="1"/>
  <c r="G493" i="6"/>
  <c r="K521" i="6"/>
  <c r="L521" i="6" s="1"/>
  <c r="G521" i="6"/>
  <c r="K529" i="6"/>
  <c r="L529" i="6" s="1"/>
  <c r="G529" i="6"/>
  <c r="K553" i="6"/>
  <c r="L553" i="6" s="1"/>
  <c r="G553" i="6"/>
  <c r="K569" i="6"/>
  <c r="L569" i="6" s="1"/>
  <c r="G569" i="6"/>
  <c r="K593" i="6"/>
  <c r="L593" i="6" s="1"/>
  <c r="G593" i="6"/>
  <c r="K609" i="6"/>
  <c r="L609" i="6" s="1"/>
  <c r="G609" i="6"/>
  <c r="K625" i="6"/>
  <c r="L625" i="6" s="1"/>
  <c r="G625" i="6"/>
  <c r="K641" i="6"/>
  <c r="L641" i="6" s="1"/>
  <c r="G641" i="6"/>
  <c r="K657" i="6"/>
  <c r="L657" i="6" s="1"/>
  <c r="G657" i="6"/>
  <c r="K681" i="6"/>
  <c r="L681" i="6" s="1"/>
  <c r="G681" i="6"/>
  <c r="K697" i="6"/>
  <c r="L697" i="6" s="1"/>
  <c r="G697" i="6"/>
  <c r="K713" i="6"/>
  <c r="L713" i="6" s="1"/>
  <c r="G713" i="6"/>
  <c r="K721" i="6"/>
  <c r="L721" i="6" s="1"/>
  <c r="G721" i="6"/>
  <c r="K770" i="6"/>
  <c r="L770" i="6" s="1"/>
  <c r="G770" i="6"/>
  <c r="K794" i="6"/>
  <c r="L794" i="6" s="1"/>
  <c r="G794" i="6"/>
  <c r="K844" i="6"/>
  <c r="L844" i="6" s="1"/>
  <c r="G844" i="6"/>
  <c r="K894" i="6"/>
  <c r="L894" i="6" s="1"/>
  <c r="G894" i="6"/>
  <c r="K915" i="6"/>
  <c r="L915" i="6" s="1"/>
  <c r="G915" i="6"/>
  <c r="K1101" i="6"/>
  <c r="L1101" i="6" s="1"/>
  <c r="G1101" i="6"/>
  <c r="K1117" i="6"/>
  <c r="L1117" i="6" s="1"/>
  <c r="G1117" i="6"/>
  <c r="K1125" i="6"/>
  <c r="L1125" i="6" s="1"/>
  <c r="G1125" i="6"/>
  <c r="K1145" i="6"/>
  <c r="L1145" i="6" s="1"/>
  <c r="G1145" i="6"/>
  <c r="K1167" i="6"/>
  <c r="L1167" i="6" s="1"/>
  <c r="G1167" i="6"/>
  <c r="K1183" i="6"/>
  <c r="L1183" i="6" s="1"/>
  <c r="G1183" i="6"/>
  <c r="K1199" i="6"/>
  <c r="L1199" i="6" s="1"/>
  <c r="G1199" i="6"/>
  <c r="K1215" i="6"/>
  <c r="L1215" i="6" s="1"/>
  <c r="G1215" i="6"/>
  <c r="K1231" i="6"/>
  <c r="L1231" i="6" s="1"/>
  <c r="G1231" i="6"/>
  <c r="K1247" i="6"/>
  <c r="L1247" i="6" s="1"/>
  <c r="G1247" i="6"/>
  <c r="K1255" i="6"/>
  <c r="L1255" i="6" s="1"/>
  <c r="G1255" i="6"/>
  <c r="K1271" i="6"/>
  <c r="L1271" i="6" s="1"/>
  <c r="G1271" i="6"/>
  <c r="K1287" i="6"/>
  <c r="L1287" i="6" s="1"/>
  <c r="G1287" i="6"/>
  <c r="K1295" i="6"/>
  <c r="L1295" i="6" s="1"/>
  <c r="G1295" i="6"/>
  <c r="K1311" i="6"/>
  <c r="L1311" i="6" s="1"/>
  <c r="G1311" i="6"/>
  <c r="K31" i="6"/>
  <c r="L31" i="6" s="1"/>
  <c r="G31" i="6"/>
  <c r="K53" i="6"/>
  <c r="L53" i="6" s="1"/>
  <c r="G53" i="6"/>
  <c r="K78" i="6"/>
  <c r="L78" i="6" s="1"/>
  <c r="G78" i="6"/>
  <c r="K99" i="6"/>
  <c r="L99" i="6" s="1"/>
  <c r="G99" i="6"/>
  <c r="K133" i="6"/>
  <c r="L133" i="6" s="1"/>
  <c r="G133" i="6"/>
  <c r="K158" i="6"/>
  <c r="L158" i="6" s="1"/>
  <c r="G158" i="6"/>
  <c r="K174" i="6"/>
  <c r="L174" i="6" s="1"/>
  <c r="G174" i="6"/>
  <c r="K194" i="6"/>
  <c r="L194" i="6" s="1"/>
  <c r="G194" i="6"/>
  <c r="K210" i="6"/>
  <c r="L210" i="6" s="1"/>
  <c r="G210" i="6"/>
  <c r="K230" i="6"/>
  <c r="L230" i="6" s="1"/>
  <c r="G230" i="6"/>
  <c r="K246" i="6"/>
  <c r="L246" i="6" s="1"/>
  <c r="G246" i="6"/>
  <c r="K266" i="6"/>
  <c r="L266" i="6" s="1"/>
  <c r="G266" i="6"/>
  <c r="K286" i="6"/>
  <c r="L286" i="6" s="1"/>
  <c r="G286" i="6"/>
  <c r="K302" i="6"/>
  <c r="L302" i="6" s="1"/>
  <c r="G302" i="6"/>
  <c r="K330" i="6"/>
  <c r="L330" i="6" s="1"/>
  <c r="G330" i="6"/>
  <c r="K350" i="6"/>
  <c r="L350" i="6" s="1"/>
  <c r="G350" i="6"/>
  <c r="K366" i="6"/>
  <c r="L366" i="6" s="1"/>
  <c r="G366" i="6"/>
  <c r="K390" i="6"/>
  <c r="L390" i="6" s="1"/>
  <c r="G390" i="6"/>
  <c r="K422" i="6"/>
  <c r="L422" i="6" s="1"/>
  <c r="G422" i="6"/>
  <c r="K438" i="6"/>
  <c r="L438" i="6" s="1"/>
  <c r="G438" i="6"/>
  <c r="K454" i="6"/>
  <c r="L454" i="6" s="1"/>
  <c r="G454" i="6"/>
  <c r="K462" i="6"/>
  <c r="L462" i="6" s="1"/>
  <c r="G462" i="6"/>
  <c r="K482" i="6"/>
  <c r="L482" i="6" s="1"/>
  <c r="G482" i="6"/>
  <c r="K498" i="6"/>
  <c r="L498" i="6" s="1"/>
  <c r="G498" i="6"/>
  <c r="K526" i="6"/>
  <c r="L526" i="6" s="1"/>
  <c r="G526" i="6"/>
  <c r="K558" i="6"/>
  <c r="L558" i="6" s="1"/>
  <c r="G558" i="6"/>
  <c r="K590" i="6"/>
  <c r="L590" i="6" s="1"/>
  <c r="G590" i="6"/>
  <c r="K622" i="6"/>
  <c r="L622" i="6" s="1"/>
  <c r="G622" i="6"/>
  <c r="K654" i="6"/>
  <c r="L654" i="6" s="1"/>
  <c r="G654" i="6"/>
  <c r="K686" i="6"/>
  <c r="L686" i="6" s="1"/>
  <c r="G686" i="6"/>
  <c r="K718" i="6"/>
  <c r="L718" i="6" s="1"/>
  <c r="G718" i="6"/>
  <c r="K773" i="6"/>
  <c r="L773" i="6" s="1"/>
  <c r="G773" i="6"/>
  <c r="K823" i="6"/>
  <c r="L823" i="6" s="1"/>
  <c r="G823" i="6"/>
  <c r="K903" i="6"/>
  <c r="L903" i="6" s="1"/>
  <c r="G903" i="6"/>
  <c r="K984" i="6"/>
  <c r="L984" i="6" s="1"/>
  <c r="G984" i="6"/>
  <c r="K1118" i="6"/>
  <c r="L1118" i="6" s="1"/>
  <c r="G1118" i="6"/>
  <c r="K1134" i="6"/>
  <c r="L1134" i="6" s="1"/>
  <c r="G1134" i="6"/>
  <c r="K1154" i="6"/>
  <c r="L1154" i="6" s="1"/>
  <c r="G1154" i="6"/>
  <c r="K1176" i="6"/>
  <c r="L1176" i="6" s="1"/>
  <c r="G1176" i="6"/>
  <c r="K1196" i="6"/>
  <c r="L1196" i="6" s="1"/>
  <c r="G1196" i="6"/>
  <c r="K1216" i="6"/>
  <c r="L1216" i="6" s="1"/>
  <c r="G1216" i="6"/>
  <c r="K1248" i="6"/>
  <c r="L1248" i="6" s="1"/>
  <c r="G1248" i="6"/>
  <c r="K1312" i="6"/>
  <c r="L1312" i="6" s="1"/>
  <c r="G1312" i="6"/>
  <c r="K63" i="6"/>
  <c r="L63" i="6" s="1"/>
  <c r="G63" i="6"/>
  <c r="K76" i="6"/>
  <c r="L76" i="6" s="1"/>
  <c r="G76" i="6"/>
  <c r="K91" i="6"/>
  <c r="L91" i="6" s="1"/>
  <c r="G91" i="6"/>
  <c r="K135" i="6"/>
  <c r="L135" i="6" s="1"/>
  <c r="G135" i="6"/>
  <c r="K164" i="6"/>
  <c r="L164" i="6" s="1"/>
  <c r="G164" i="6"/>
  <c r="K180" i="6"/>
  <c r="L180" i="6" s="1"/>
  <c r="G180" i="6"/>
  <c r="K204" i="6"/>
  <c r="L204" i="6" s="1"/>
  <c r="G204" i="6"/>
  <c r="K228" i="6"/>
  <c r="L228" i="6" s="1"/>
  <c r="G228" i="6"/>
  <c r="K260" i="6"/>
  <c r="L260" i="6" s="1"/>
  <c r="G260" i="6"/>
  <c r="K292" i="6"/>
  <c r="L292" i="6" s="1"/>
  <c r="G292" i="6"/>
  <c r="K324" i="6"/>
  <c r="L324" i="6" s="1"/>
  <c r="G324" i="6"/>
  <c r="K356" i="6"/>
  <c r="L356" i="6" s="1"/>
  <c r="G356" i="6"/>
  <c r="K376" i="6"/>
  <c r="L376" i="6" s="1"/>
  <c r="G376" i="6"/>
  <c r="K388" i="6"/>
  <c r="L388" i="6" s="1"/>
  <c r="G388" i="6"/>
  <c r="K408" i="6"/>
  <c r="L408" i="6" s="1"/>
  <c r="G408" i="6"/>
  <c r="K428" i="6"/>
  <c r="L428" i="6" s="1"/>
  <c r="G428" i="6"/>
  <c r="K452" i="6"/>
  <c r="L452" i="6" s="1"/>
  <c r="G452" i="6"/>
  <c r="K472" i="6"/>
  <c r="L472" i="6" s="1"/>
  <c r="G472" i="6"/>
  <c r="K492" i="6"/>
  <c r="L492" i="6" s="1"/>
  <c r="G492" i="6"/>
  <c r="K520" i="6"/>
  <c r="L520" i="6" s="1"/>
  <c r="G520" i="6"/>
  <c r="K536" i="6"/>
  <c r="L536" i="6" s="1"/>
  <c r="G536" i="6"/>
  <c r="K548" i="6"/>
  <c r="L548" i="6" s="1"/>
  <c r="G548" i="6"/>
  <c r="K564" i="6"/>
  <c r="L564" i="6" s="1"/>
  <c r="G564" i="6"/>
  <c r="K584" i="6"/>
  <c r="L584" i="6" s="1"/>
  <c r="G584" i="6"/>
  <c r="K600" i="6"/>
  <c r="L600" i="6" s="1"/>
  <c r="G600" i="6"/>
  <c r="K612" i="6"/>
  <c r="L612" i="6" s="1"/>
  <c r="G612" i="6"/>
  <c r="K628" i="6"/>
  <c r="L628" i="6" s="1"/>
  <c r="G628" i="6"/>
  <c r="K648" i="6"/>
  <c r="L648" i="6" s="1"/>
  <c r="G648" i="6"/>
  <c r="K664" i="6"/>
  <c r="L664" i="6" s="1"/>
  <c r="G664" i="6"/>
  <c r="K676" i="6"/>
  <c r="L676" i="6" s="1"/>
  <c r="G676" i="6"/>
  <c r="K692" i="6"/>
  <c r="L692" i="6" s="1"/>
  <c r="G692" i="6"/>
  <c r="K712" i="6"/>
  <c r="L712" i="6" s="1"/>
  <c r="G712" i="6"/>
  <c r="K728" i="6"/>
  <c r="L728" i="6" s="1"/>
  <c r="G728" i="6"/>
  <c r="K779" i="6"/>
  <c r="L779" i="6" s="1"/>
  <c r="G779" i="6"/>
  <c r="K889" i="6"/>
  <c r="L889" i="6" s="1"/>
  <c r="G889" i="6"/>
  <c r="K922" i="6"/>
  <c r="L922" i="6" s="1"/>
  <c r="G922" i="6"/>
  <c r="K1112" i="6"/>
  <c r="L1112" i="6" s="1"/>
  <c r="G1112" i="6"/>
  <c r="K1128" i="6"/>
  <c r="L1128" i="6" s="1"/>
  <c r="G1128" i="6"/>
  <c r="K1148" i="6"/>
  <c r="L1148" i="6" s="1"/>
  <c r="G1148" i="6"/>
  <c r="K1182" i="6"/>
  <c r="L1182" i="6" s="1"/>
  <c r="G1182" i="6"/>
  <c r="K1206" i="6"/>
  <c r="L1206" i="6" s="1"/>
  <c r="G1206" i="6"/>
  <c r="K1218" i="6"/>
  <c r="L1218" i="6" s="1"/>
  <c r="G1218" i="6"/>
  <c r="K1242" i="6"/>
  <c r="L1242" i="6" s="1"/>
  <c r="G1242" i="6"/>
  <c r="K1270" i="6"/>
  <c r="L1270" i="6" s="1"/>
  <c r="G1270" i="6"/>
  <c r="K1282" i="6"/>
  <c r="L1282" i="6" s="1"/>
  <c r="G1282" i="6"/>
  <c r="K1306" i="6"/>
  <c r="L1306" i="6" s="1"/>
  <c r="G1306" i="6"/>
  <c r="K1443" i="6"/>
  <c r="L1443" i="6" s="1"/>
  <c r="G1443" i="6"/>
  <c r="K1455" i="6"/>
  <c r="L1455" i="6" s="1"/>
  <c r="G1455" i="6"/>
  <c r="K1479" i="6"/>
  <c r="L1479" i="6" s="1"/>
  <c r="G1479" i="6"/>
  <c r="K1507" i="6"/>
  <c r="L1507" i="6" s="1"/>
  <c r="G1507" i="6"/>
  <c r="K1523" i="6"/>
  <c r="L1523" i="6" s="1"/>
  <c r="G1523" i="6"/>
  <c r="K1551" i="6"/>
  <c r="L1551" i="6" s="1"/>
  <c r="G1551" i="6"/>
  <c r="K1575" i="6"/>
  <c r="L1575" i="6" s="1"/>
  <c r="G1575" i="6"/>
  <c r="K1587" i="6"/>
  <c r="L1587" i="6" s="1"/>
  <c r="G1587" i="6"/>
  <c r="K1599" i="6"/>
  <c r="L1599" i="6" s="1"/>
  <c r="G1599" i="6"/>
  <c r="K1615" i="6"/>
  <c r="L1615" i="6" s="1"/>
  <c r="G1615" i="6"/>
  <c r="K40" i="6"/>
  <c r="L40" i="6" s="1"/>
  <c r="G40" i="6"/>
  <c r="K79" i="6"/>
  <c r="L79" i="6" s="1"/>
  <c r="G79" i="6"/>
  <c r="K100" i="6"/>
  <c r="L100" i="6" s="1"/>
  <c r="G100" i="6"/>
  <c r="K138" i="6"/>
  <c r="L138" i="6" s="1"/>
  <c r="G138" i="6"/>
  <c r="K159" i="6"/>
  <c r="L159" i="6" s="1"/>
  <c r="G159" i="6"/>
  <c r="K175" i="6"/>
  <c r="L175" i="6" s="1"/>
  <c r="G175" i="6"/>
  <c r="K191" i="6"/>
  <c r="L191" i="6" s="1"/>
  <c r="G191" i="6"/>
  <c r="K215" i="6"/>
  <c r="L215" i="6" s="1"/>
  <c r="G215" i="6"/>
  <c r="K223" i="6"/>
  <c r="L223" i="6" s="1"/>
  <c r="G223" i="6"/>
  <c r="K247" i="6"/>
  <c r="L247" i="6" s="1"/>
  <c r="G247" i="6"/>
  <c r="K275" i="6"/>
  <c r="L275" i="6" s="1"/>
  <c r="G275" i="6"/>
  <c r="K291" i="6"/>
  <c r="L291" i="6" s="1"/>
  <c r="G291" i="6"/>
  <c r="K315" i="6"/>
  <c r="L315" i="6" s="1"/>
  <c r="G315" i="6"/>
  <c r="K331" i="6"/>
  <c r="L331" i="6" s="1"/>
  <c r="G331" i="6"/>
  <c r="K363" i="6"/>
  <c r="L363" i="6" s="1"/>
  <c r="G363" i="6"/>
  <c r="K379" i="6"/>
  <c r="L379" i="6" s="1"/>
  <c r="G379" i="6"/>
  <c r="K403" i="6"/>
  <c r="L403" i="6" s="1"/>
  <c r="G403" i="6"/>
  <c r="K419" i="6"/>
  <c r="L419" i="6" s="1"/>
  <c r="G419" i="6"/>
  <c r="K443" i="6"/>
  <c r="L443" i="6" s="1"/>
  <c r="G443" i="6"/>
  <c r="K459" i="6"/>
  <c r="L459" i="6" s="1"/>
  <c r="G459" i="6"/>
  <c r="K483" i="6"/>
  <c r="L483" i="6" s="1"/>
  <c r="G483" i="6"/>
  <c r="K491" i="6"/>
  <c r="L491" i="6" s="1"/>
  <c r="G491" i="6"/>
  <c r="K515" i="6"/>
  <c r="L515" i="6" s="1"/>
  <c r="G515" i="6"/>
  <c r="K547" i="6"/>
  <c r="L547" i="6" s="1"/>
  <c r="G547" i="6"/>
  <c r="K563" i="6"/>
  <c r="L563" i="6" s="1"/>
  <c r="G563" i="6"/>
  <c r="K587" i="6"/>
  <c r="L587" i="6" s="1"/>
  <c r="G587" i="6"/>
  <c r="K603" i="6"/>
  <c r="L603" i="6" s="1"/>
  <c r="G603" i="6"/>
  <c r="K635" i="6"/>
  <c r="L635" i="6" s="1"/>
  <c r="G635" i="6"/>
  <c r="K643" i="6"/>
  <c r="L643" i="6" s="1"/>
  <c r="G643" i="6"/>
  <c r="K667" i="6"/>
  <c r="L667" i="6" s="1"/>
  <c r="G667" i="6"/>
  <c r="K691" i="6"/>
  <c r="L691" i="6" s="1"/>
  <c r="G691" i="6"/>
  <c r="K707" i="6"/>
  <c r="L707" i="6" s="1"/>
  <c r="G707" i="6"/>
  <c r="K723" i="6"/>
  <c r="L723" i="6" s="1"/>
  <c r="G723" i="6"/>
  <c r="K764" i="6"/>
  <c r="L764" i="6" s="1"/>
  <c r="G764" i="6"/>
  <c r="K788" i="6"/>
  <c r="L788" i="6" s="1"/>
  <c r="G788" i="6"/>
  <c r="K838" i="6"/>
  <c r="L838" i="6" s="1"/>
  <c r="G838" i="6"/>
  <c r="K862" i="6"/>
  <c r="L862" i="6" s="1"/>
  <c r="G862" i="6"/>
  <c r="K900" i="6"/>
  <c r="L900" i="6" s="1"/>
  <c r="G900" i="6"/>
  <c r="K917" i="6"/>
  <c r="L917" i="6" s="1"/>
  <c r="G917" i="6"/>
  <c r="K1107" i="6"/>
  <c r="L1107" i="6" s="1"/>
  <c r="G1107" i="6"/>
  <c r="K1123" i="6"/>
  <c r="L1123" i="6" s="1"/>
  <c r="G1123" i="6"/>
  <c r="K1131" i="6"/>
  <c r="L1131" i="6" s="1"/>
  <c r="G1131" i="6"/>
  <c r="K1147" i="6"/>
  <c r="L1147" i="6" s="1"/>
  <c r="G1147" i="6"/>
  <c r="K1163" i="6"/>
  <c r="L1163" i="6" s="1"/>
  <c r="G1163" i="6"/>
  <c r="K1185" i="6"/>
  <c r="L1185" i="6" s="1"/>
  <c r="G1185" i="6"/>
  <c r="K1197" i="6"/>
  <c r="L1197" i="6" s="1"/>
  <c r="G1197" i="6"/>
  <c r="K1229" i="6"/>
  <c r="L1229" i="6" s="1"/>
  <c r="G1229" i="6"/>
  <c r="K1249" i="6"/>
  <c r="L1249" i="6" s="1"/>
  <c r="G1249" i="6"/>
  <c r="K1261" i="6"/>
  <c r="L1261" i="6" s="1"/>
  <c r="G1261" i="6"/>
  <c r="K1281" i="6"/>
  <c r="L1281" i="6" s="1"/>
  <c r="G1281" i="6"/>
  <c r="K1301" i="6"/>
  <c r="L1301" i="6" s="1"/>
  <c r="G1301" i="6"/>
  <c r="K1325" i="6"/>
  <c r="L1325" i="6" s="1"/>
  <c r="G1325" i="6"/>
  <c r="K33" i="6"/>
  <c r="L33" i="6" s="1"/>
  <c r="G33" i="6"/>
  <c r="K97" i="6"/>
  <c r="L97" i="6" s="1"/>
  <c r="G97" i="6"/>
  <c r="K149" i="6"/>
  <c r="L149" i="6" s="1"/>
  <c r="G149" i="6"/>
  <c r="K184" i="6"/>
  <c r="L184" i="6" s="1"/>
  <c r="G184" i="6"/>
  <c r="K216" i="6"/>
  <c r="L216" i="6" s="1"/>
  <c r="G216" i="6"/>
  <c r="K264" i="6"/>
  <c r="L264" i="6" s="1"/>
  <c r="G264" i="6"/>
  <c r="K296" i="6"/>
  <c r="L296" i="6" s="1"/>
  <c r="G296" i="6"/>
  <c r="K328" i="6"/>
  <c r="L328" i="6" s="1"/>
  <c r="G328" i="6"/>
  <c r="K360" i="6"/>
  <c r="L360" i="6" s="1"/>
  <c r="G360" i="6"/>
  <c r="K424" i="6"/>
  <c r="L424" i="6" s="1"/>
  <c r="G424" i="6"/>
  <c r="K488" i="6"/>
  <c r="L488" i="6" s="1"/>
  <c r="G488" i="6"/>
  <c r="K829" i="6"/>
  <c r="L829" i="6" s="1"/>
  <c r="G829" i="6"/>
  <c r="K1100" i="6"/>
  <c r="L1100" i="6" s="1"/>
  <c r="G1100" i="6"/>
  <c r="K1166" i="6"/>
  <c r="L1166" i="6" s="1"/>
  <c r="G1166" i="6"/>
  <c r="K1230" i="6"/>
  <c r="L1230" i="6" s="1"/>
  <c r="G1230" i="6"/>
  <c r="K1294" i="6"/>
  <c r="L1294" i="6" s="1"/>
  <c r="G1294" i="6"/>
  <c r="K26" i="6"/>
  <c r="L26" i="6" s="1"/>
  <c r="G26" i="6"/>
  <c r="K45" i="6"/>
  <c r="L45" i="6" s="1"/>
  <c r="G45" i="6"/>
  <c r="K77" i="6"/>
  <c r="L77" i="6" s="1"/>
  <c r="G77" i="6"/>
  <c r="K106" i="6"/>
  <c r="L106" i="6" s="1"/>
  <c r="G106" i="6"/>
  <c r="K136" i="6"/>
  <c r="L136" i="6" s="1"/>
  <c r="G136" i="6"/>
  <c r="K157" i="6"/>
  <c r="L157" i="6" s="1"/>
  <c r="G157" i="6"/>
  <c r="K181" i="6"/>
  <c r="L181" i="6" s="1"/>
  <c r="G181" i="6"/>
  <c r="K197" i="6"/>
  <c r="L197" i="6" s="1"/>
  <c r="G197" i="6"/>
  <c r="K213" i="6"/>
  <c r="L213" i="6" s="1"/>
  <c r="G213" i="6"/>
  <c r="K229" i="6"/>
  <c r="L229" i="6" s="1"/>
  <c r="G229" i="6"/>
  <c r="K245" i="6"/>
  <c r="L245" i="6" s="1"/>
  <c r="G245" i="6"/>
  <c r="K269" i="6"/>
  <c r="L269" i="6" s="1"/>
  <c r="G269" i="6"/>
  <c r="K285" i="6"/>
  <c r="L285" i="6" s="1"/>
  <c r="G285" i="6"/>
  <c r="K301" i="6"/>
  <c r="L301" i="6" s="1"/>
  <c r="G301" i="6"/>
  <c r="K317" i="6"/>
  <c r="L317" i="6" s="1"/>
  <c r="G317" i="6"/>
  <c r="K333" i="6"/>
  <c r="L333" i="6" s="1"/>
  <c r="G333" i="6"/>
  <c r="K357" i="6"/>
  <c r="L357" i="6" s="1"/>
  <c r="G357" i="6"/>
  <c r="K377" i="6"/>
  <c r="L377" i="6" s="1"/>
  <c r="G377" i="6"/>
  <c r="K393" i="6"/>
  <c r="L393" i="6" s="1"/>
  <c r="G393" i="6"/>
  <c r="K413" i="6"/>
  <c r="L413" i="6" s="1"/>
  <c r="G413" i="6"/>
  <c r="K429" i="6"/>
  <c r="L429" i="6" s="1"/>
  <c r="G429" i="6"/>
  <c r="K449" i="6"/>
  <c r="L449" i="6" s="1"/>
  <c r="G449" i="6"/>
  <c r="K465" i="6"/>
  <c r="L465" i="6" s="1"/>
  <c r="G465" i="6"/>
  <c r="K485" i="6"/>
  <c r="L485" i="6" s="1"/>
  <c r="G485" i="6"/>
  <c r="K505" i="6"/>
  <c r="L505" i="6" s="1"/>
  <c r="G505" i="6"/>
  <c r="K513" i="6"/>
  <c r="L513" i="6" s="1"/>
  <c r="G513" i="6"/>
  <c r="K537" i="6"/>
  <c r="L537" i="6" s="1"/>
  <c r="G537" i="6"/>
  <c r="K545" i="6"/>
  <c r="L545" i="6" s="1"/>
  <c r="G545" i="6"/>
  <c r="K561" i="6"/>
  <c r="L561" i="6" s="1"/>
  <c r="G561" i="6"/>
  <c r="K585" i="6"/>
  <c r="L585" i="6" s="1"/>
  <c r="G585" i="6"/>
  <c r="K601" i="6"/>
  <c r="L601" i="6" s="1"/>
  <c r="G601" i="6"/>
  <c r="K617" i="6"/>
  <c r="L617" i="6" s="1"/>
  <c r="G617" i="6"/>
  <c r="K633" i="6"/>
  <c r="L633" i="6" s="1"/>
  <c r="G633" i="6"/>
  <c r="K649" i="6"/>
  <c r="L649" i="6" s="1"/>
  <c r="G649" i="6"/>
  <c r="K665" i="6"/>
  <c r="L665" i="6" s="1"/>
  <c r="G665" i="6"/>
  <c r="K673" i="6"/>
  <c r="L673" i="6" s="1"/>
  <c r="G673" i="6"/>
  <c r="K689" i="6"/>
  <c r="L689" i="6" s="1"/>
  <c r="G689" i="6"/>
  <c r="K705" i="6"/>
  <c r="L705" i="6" s="1"/>
  <c r="G705" i="6"/>
  <c r="K729" i="6"/>
  <c r="L729" i="6" s="1"/>
  <c r="G729" i="6"/>
  <c r="K820" i="6"/>
  <c r="L820" i="6" s="1"/>
  <c r="G820" i="6"/>
  <c r="K868" i="6"/>
  <c r="L868" i="6" s="1"/>
  <c r="G868" i="6"/>
  <c r="K907" i="6"/>
  <c r="L907" i="6" s="1"/>
  <c r="G907" i="6"/>
  <c r="K983" i="6"/>
  <c r="L983" i="6" s="1"/>
  <c r="G983" i="6"/>
  <c r="K1109" i="6"/>
  <c r="L1109" i="6" s="1"/>
  <c r="G1109" i="6"/>
  <c r="K1137" i="6"/>
  <c r="L1137" i="6" s="1"/>
  <c r="G1137" i="6"/>
  <c r="K1153" i="6"/>
  <c r="L1153" i="6" s="1"/>
  <c r="G1153" i="6"/>
  <c r="K1175" i="6"/>
  <c r="L1175" i="6" s="1"/>
  <c r="G1175" i="6"/>
  <c r="K1191" i="6"/>
  <c r="L1191" i="6" s="1"/>
  <c r="G1191" i="6"/>
  <c r="K1207" i="6"/>
  <c r="L1207" i="6" s="1"/>
  <c r="G1207" i="6"/>
  <c r="K1223" i="6"/>
  <c r="L1223" i="6" s="1"/>
  <c r="G1223" i="6"/>
  <c r="K1239" i="6"/>
  <c r="L1239" i="6" s="1"/>
  <c r="G1239" i="6"/>
  <c r="K1263" i="6"/>
  <c r="L1263" i="6" s="1"/>
  <c r="G1263" i="6"/>
  <c r="K1279" i="6"/>
  <c r="L1279" i="6" s="1"/>
  <c r="G1279" i="6"/>
  <c r="K1303" i="6"/>
  <c r="L1303" i="6" s="1"/>
  <c r="G1303" i="6"/>
  <c r="K1319" i="6"/>
  <c r="L1319" i="6" s="1"/>
  <c r="G1319" i="6"/>
  <c r="K39" i="6"/>
  <c r="L39" i="6" s="1"/>
  <c r="G39" i="6"/>
  <c r="K65" i="6"/>
  <c r="L65" i="6" s="1"/>
  <c r="G65" i="6"/>
  <c r="K89" i="6"/>
  <c r="L89" i="6" s="1"/>
  <c r="G89" i="6"/>
  <c r="K117" i="6"/>
  <c r="L117" i="6" s="1"/>
  <c r="G117" i="6"/>
  <c r="K141" i="6"/>
  <c r="L141" i="6" s="1"/>
  <c r="G141" i="6"/>
  <c r="K166" i="6"/>
  <c r="L166" i="6" s="1"/>
  <c r="G166" i="6"/>
  <c r="K182" i="6"/>
  <c r="L182" i="6" s="1"/>
  <c r="G182" i="6"/>
  <c r="K202" i="6"/>
  <c r="L202" i="6" s="1"/>
  <c r="G202" i="6"/>
  <c r="K222" i="6"/>
  <c r="L222" i="6" s="1"/>
  <c r="G222" i="6"/>
  <c r="K238" i="6"/>
  <c r="L238" i="6" s="1"/>
  <c r="G238" i="6"/>
  <c r="K258" i="6"/>
  <c r="L258" i="6" s="1"/>
  <c r="G258" i="6"/>
  <c r="K274" i="6"/>
  <c r="L274" i="6" s="1"/>
  <c r="G274" i="6"/>
  <c r="K294" i="6"/>
  <c r="L294" i="6" s="1"/>
  <c r="G294" i="6"/>
  <c r="K310" i="6"/>
  <c r="L310" i="6" s="1"/>
  <c r="G310" i="6"/>
  <c r="K322" i="6"/>
  <c r="L322" i="6" s="1"/>
  <c r="G322" i="6"/>
  <c r="K338" i="6"/>
  <c r="L338" i="6" s="1"/>
  <c r="G338" i="6"/>
  <c r="K358" i="6"/>
  <c r="L358" i="6" s="1"/>
  <c r="G358" i="6"/>
  <c r="K374" i="6"/>
  <c r="L374" i="6" s="1"/>
  <c r="G374" i="6"/>
  <c r="K402" i="6"/>
  <c r="L402" i="6" s="1"/>
  <c r="G402" i="6"/>
  <c r="K414" i="6"/>
  <c r="L414" i="6" s="1"/>
  <c r="G414" i="6"/>
  <c r="K430" i="6"/>
  <c r="L430" i="6" s="1"/>
  <c r="G430" i="6"/>
  <c r="K446" i="6"/>
  <c r="L446" i="6" s="1"/>
  <c r="G446" i="6"/>
  <c r="K470" i="6"/>
  <c r="L470" i="6" s="1"/>
  <c r="G470" i="6"/>
  <c r="K490" i="6"/>
  <c r="L490" i="6" s="1"/>
  <c r="G490" i="6"/>
  <c r="K510" i="6"/>
  <c r="L510" i="6" s="1"/>
  <c r="G510" i="6"/>
  <c r="K542" i="6"/>
  <c r="L542" i="6" s="1"/>
  <c r="G542" i="6"/>
  <c r="K574" i="6"/>
  <c r="L574" i="6" s="1"/>
  <c r="G574" i="6"/>
  <c r="K606" i="6"/>
  <c r="L606" i="6" s="1"/>
  <c r="G606" i="6"/>
  <c r="K638" i="6"/>
  <c r="L638" i="6" s="1"/>
  <c r="G638" i="6"/>
  <c r="K670" i="6"/>
  <c r="L670" i="6" s="1"/>
  <c r="G670" i="6"/>
  <c r="K702" i="6"/>
  <c r="L702" i="6" s="1"/>
  <c r="G702" i="6"/>
  <c r="K751" i="6"/>
  <c r="L751" i="6" s="1"/>
  <c r="G751" i="6"/>
  <c r="K799" i="6"/>
  <c r="L799" i="6" s="1"/>
  <c r="G799" i="6"/>
  <c r="K859" i="6"/>
  <c r="L859" i="6" s="1"/>
  <c r="G859" i="6"/>
  <c r="K883" i="6"/>
  <c r="L883" i="6" s="1"/>
  <c r="G883" i="6"/>
  <c r="K916" i="6"/>
  <c r="L916" i="6" s="1"/>
  <c r="G916" i="6"/>
  <c r="K1102" i="6"/>
  <c r="L1102" i="6" s="1"/>
  <c r="G1102" i="6"/>
  <c r="K1110" i="6"/>
  <c r="L1110" i="6" s="1"/>
  <c r="G1110" i="6"/>
  <c r="K1126" i="6"/>
  <c r="L1126" i="6" s="1"/>
  <c r="G1126" i="6"/>
  <c r="K1146" i="6"/>
  <c r="L1146" i="6" s="1"/>
  <c r="G1146" i="6"/>
  <c r="K1162" i="6"/>
  <c r="L1162" i="6" s="1"/>
  <c r="G1162" i="6"/>
  <c r="K1188" i="6"/>
  <c r="L1188" i="6" s="1"/>
  <c r="G1188" i="6"/>
  <c r="K1208" i="6"/>
  <c r="L1208" i="6" s="1"/>
  <c r="G1208" i="6"/>
  <c r="K1232" i="6"/>
  <c r="L1232" i="6" s="1"/>
  <c r="G1232" i="6"/>
  <c r="K1240" i="6"/>
  <c r="L1240" i="6" s="1"/>
  <c r="G1240" i="6"/>
  <c r="K1256" i="6"/>
  <c r="L1256" i="6" s="1"/>
  <c r="G1256" i="6"/>
  <c r="K1268" i="6"/>
  <c r="L1268" i="6" s="1"/>
  <c r="G1268" i="6"/>
  <c r="K1280" i="6"/>
  <c r="L1280" i="6" s="1"/>
  <c r="G1280" i="6"/>
  <c r="K1288" i="6"/>
  <c r="L1288" i="6" s="1"/>
  <c r="G1288" i="6"/>
  <c r="K1296" i="6"/>
  <c r="L1296" i="6" s="1"/>
  <c r="G1296" i="6"/>
  <c r="K1320" i="6"/>
  <c r="L1320" i="6" s="1"/>
  <c r="G1320" i="6"/>
  <c r="K1190" i="6"/>
  <c r="L1190" i="6" s="1"/>
  <c r="G1190" i="6"/>
  <c r="K28" i="6"/>
  <c r="L28" i="6" s="1"/>
  <c r="G28" i="6"/>
  <c r="K36" i="6"/>
  <c r="L36" i="6" s="1"/>
  <c r="G36" i="6"/>
  <c r="K50" i="6"/>
  <c r="L50" i="6" s="1"/>
  <c r="G50" i="6"/>
  <c r="K62" i="6"/>
  <c r="L62" i="6" s="1"/>
  <c r="G62" i="6"/>
  <c r="K75" i="6"/>
  <c r="L75" i="6" s="1"/>
  <c r="G75" i="6"/>
  <c r="K86" i="6"/>
  <c r="L86" i="6" s="1"/>
  <c r="G86" i="6"/>
  <c r="K96" i="6"/>
  <c r="L96" i="6" s="1"/>
  <c r="G96" i="6"/>
  <c r="K104" i="6"/>
  <c r="L104" i="6" s="1"/>
  <c r="G104" i="6"/>
  <c r="K118" i="6"/>
  <c r="L118" i="6" s="1"/>
  <c r="G118" i="6"/>
  <c r="K134" i="6"/>
  <c r="L134" i="6" s="1"/>
  <c r="G134" i="6"/>
  <c r="K142" i="6"/>
  <c r="L142" i="6" s="1"/>
  <c r="G142" i="6"/>
  <c r="K155" i="6"/>
  <c r="L155" i="6" s="1"/>
  <c r="G155" i="6"/>
  <c r="K163" i="6"/>
  <c r="L163" i="6" s="1"/>
  <c r="G163" i="6"/>
  <c r="K171" i="6"/>
  <c r="L171" i="6" s="1"/>
  <c r="G171" i="6"/>
  <c r="K179" i="6"/>
  <c r="L179" i="6" s="1"/>
  <c r="G179" i="6"/>
  <c r="K187" i="6"/>
  <c r="L187" i="6" s="1"/>
  <c r="G187" i="6"/>
  <c r="K195" i="6"/>
  <c r="L195" i="6" s="1"/>
  <c r="G195" i="6"/>
  <c r="K203" i="6"/>
  <c r="L203" i="6" s="1"/>
  <c r="G203" i="6"/>
  <c r="K211" i="6"/>
  <c r="L211" i="6" s="1"/>
  <c r="G211" i="6"/>
  <c r="K219" i="6"/>
  <c r="L219" i="6" s="1"/>
  <c r="G219" i="6"/>
  <c r="K227" i="6"/>
  <c r="L227" i="6" s="1"/>
  <c r="G227" i="6"/>
  <c r="K235" i="6"/>
  <c r="L235" i="6" s="1"/>
  <c r="G235" i="6"/>
  <c r="K243" i="6"/>
  <c r="L243" i="6" s="1"/>
  <c r="G243" i="6"/>
  <c r="K251" i="6"/>
  <c r="L251" i="6" s="1"/>
  <c r="G251" i="6"/>
  <c r="K259" i="6"/>
  <c r="L259" i="6" s="1"/>
  <c r="G259" i="6"/>
  <c r="K271" i="6"/>
  <c r="L271" i="6" s="1"/>
  <c r="G271" i="6"/>
  <c r="K279" i="6"/>
  <c r="L279" i="6" s="1"/>
  <c r="G279" i="6"/>
  <c r="K287" i="6"/>
  <c r="L287" i="6" s="1"/>
  <c r="G287" i="6"/>
  <c r="K295" i="6"/>
  <c r="L295" i="6" s="1"/>
  <c r="G295" i="6"/>
  <c r="K303" i="6"/>
  <c r="L303" i="6" s="1"/>
  <c r="G303" i="6"/>
  <c r="K311" i="6"/>
  <c r="L311" i="6" s="1"/>
  <c r="G311" i="6"/>
  <c r="K319" i="6"/>
  <c r="L319" i="6" s="1"/>
  <c r="G319" i="6"/>
  <c r="K327" i="6"/>
  <c r="L327" i="6" s="1"/>
  <c r="G327" i="6"/>
  <c r="K335" i="6"/>
  <c r="L335" i="6" s="1"/>
  <c r="G335" i="6"/>
  <c r="K343" i="6"/>
  <c r="L343" i="6" s="1"/>
  <c r="G343" i="6"/>
  <c r="K351" i="6"/>
  <c r="L351" i="6" s="1"/>
  <c r="G351" i="6"/>
  <c r="K359" i="6"/>
  <c r="L359" i="6" s="1"/>
  <c r="G359" i="6"/>
  <c r="K367" i="6"/>
  <c r="L367" i="6" s="1"/>
  <c r="G367" i="6"/>
  <c r="K375" i="6"/>
  <c r="L375" i="6" s="1"/>
  <c r="G375" i="6"/>
  <c r="K383" i="6"/>
  <c r="L383" i="6" s="1"/>
  <c r="G383" i="6"/>
  <c r="K391" i="6"/>
  <c r="L391" i="6" s="1"/>
  <c r="G391" i="6"/>
  <c r="K399" i="6"/>
  <c r="L399" i="6" s="1"/>
  <c r="G399" i="6"/>
  <c r="K407" i="6"/>
  <c r="L407" i="6" s="1"/>
  <c r="G407" i="6"/>
  <c r="K415" i="6"/>
  <c r="L415" i="6" s="1"/>
  <c r="G415" i="6"/>
  <c r="K423" i="6"/>
  <c r="L423" i="6" s="1"/>
  <c r="G423" i="6"/>
  <c r="K431" i="6"/>
  <c r="L431" i="6" s="1"/>
  <c r="G431" i="6"/>
  <c r="K439" i="6"/>
  <c r="L439" i="6" s="1"/>
  <c r="G439" i="6"/>
  <c r="K447" i="6"/>
  <c r="L447" i="6" s="1"/>
  <c r="G447" i="6"/>
  <c r="K455" i="6"/>
  <c r="L455" i="6" s="1"/>
  <c r="G455" i="6"/>
  <c r="K463" i="6"/>
  <c r="L463" i="6" s="1"/>
  <c r="G463" i="6"/>
  <c r="K471" i="6"/>
  <c r="L471" i="6" s="1"/>
  <c r="G471" i="6"/>
  <c r="K479" i="6"/>
  <c r="L479" i="6" s="1"/>
  <c r="G479" i="6"/>
  <c r="K487" i="6"/>
  <c r="L487" i="6" s="1"/>
  <c r="G487" i="6"/>
  <c r="K495" i="6"/>
  <c r="L495" i="6" s="1"/>
  <c r="G495" i="6"/>
  <c r="K503" i="6"/>
  <c r="L503" i="6" s="1"/>
  <c r="G503" i="6"/>
  <c r="K511" i="6"/>
  <c r="L511" i="6" s="1"/>
  <c r="G511" i="6"/>
  <c r="K519" i="6"/>
  <c r="L519" i="6" s="1"/>
  <c r="G519" i="6"/>
  <c r="K527" i="6"/>
  <c r="L527" i="6" s="1"/>
  <c r="G527" i="6"/>
  <c r="K535" i="6"/>
  <c r="L535" i="6" s="1"/>
  <c r="G535" i="6"/>
  <c r="K543" i="6"/>
  <c r="L543" i="6" s="1"/>
  <c r="G543" i="6"/>
  <c r="K551" i="6"/>
  <c r="L551" i="6" s="1"/>
  <c r="G551" i="6"/>
  <c r="K559" i="6"/>
  <c r="L559" i="6" s="1"/>
  <c r="G559" i="6"/>
  <c r="K567" i="6"/>
  <c r="L567" i="6" s="1"/>
  <c r="G567" i="6"/>
  <c r="K575" i="6"/>
  <c r="L575" i="6" s="1"/>
  <c r="G575" i="6"/>
  <c r="K583" i="6"/>
  <c r="L583" i="6" s="1"/>
  <c r="G583" i="6"/>
  <c r="K591" i="6"/>
  <c r="L591" i="6" s="1"/>
  <c r="G591" i="6"/>
  <c r="K599" i="6"/>
  <c r="L599" i="6" s="1"/>
  <c r="G599" i="6"/>
  <c r="K607" i="6"/>
  <c r="L607" i="6" s="1"/>
  <c r="G607" i="6"/>
  <c r="K615" i="6"/>
  <c r="L615" i="6" s="1"/>
  <c r="G615" i="6"/>
  <c r="K623" i="6"/>
  <c r="L623" i="6" s="1"/>
  <c r="G623" i="6"/>
  <c r="K631" i="6"/>
  <c r="L631" i="6" s="1"/>
  <c r="G631" i="6"/>
  <c r="K639" i="6"/>
  <c r="L639" i="6" s="1"/>
  <c r="G639" i="6"/>
  <c r="K647" i="6"/>
  <c r="L647" i="6" s="1"/>
  <c r="G647" i="6"/>
  <c r="K655" i="6"/>
  <c r="L655" i="6" s="1"/>
  <c r="G655" i="6"/>
  <c r="K663" i="6"/>
  <c r="L663" i="6" s="1"/>
  <c r="G663" i="6"/>
  <c r="K671" i="6"/>
  <c r="L671" i="6" s="1"/>
  <c r="G671" i="6"/>
  <c r="K679" i="6"/>
  <c r="L679" i="6" s="1"/>
  <c r="G679" i="6"/>
  <c r="K687" i="6"/>
  <c r="L687" i="6" s="1"/>
  <c r="G687" i="6"/>
  <c r="K695" i="6"/>
  <c r="L695" i="6" s="1"/>
  <c r="G695" i="6"/>
  <c r="K703" i="6"/>
  <c r="L703" i="6" s="1"/>
  <c r="G703" i="6"/>
  <c r="K711" i="6"/>
  <c r="L711" i="6" s="1"/>
  <c r="G711" i="6"/>
  <c r="K719" i="6"/>
  <c r="L719" i="6" s="1"/>
  <c r="G719" i="6"/>
  <c r="K727" i="6"/>
  <c r="L727" i="6" s="1"/>
  <c r="G727" i="6"/>
  <c r="K752" i="6"/>
  <c r="L752" i="6" s="1"/>
  <c r="G752" i="6"/>
  <c r="K776" i="6"/>
  <c r="L776" i="6" s="1"/>
  <c r="G776" i="6"/>
  <c r="K802" i="6"/>
  <c r="L802" i="6" s="1"/>
  <c r="G802" i="6"/>
  <c r="K826" i="6"/>
  <c r="L826" i="6" s="1"/>
  <c r="G826" i="6"/>
  <c r="K850" i="6"/>
  <c r="L850" i="6" s="1"/>
  <c r="G850" i="6"/>
  <c r="K874" i="6"/>
  <c r="L874" i="6" s="1"/>
  <c r="G874" i="6"/>
  <c r="K896" i="6"/>
  <c r="L896" i="6" s="1"/>
  <c r="G896" i="6"/>
  <c r="K905" i="6"/>
  <c r="L905" i="6" s="1"/>
  <c r="G905" i="6"/>
  <c r="K913" i="6"/>
  <c r="L913" i="6" s="1"/>
  <c r="G913" i="6"/>
  <c r="K981" i="6"/>
  <c r="L981" i="6" s="1"/>
  <c r="G981" i="6"/>
  <c r="K1095" i="6"/>
  <c r="L1095" i="6" s="1"/>
  <c r="G1095" i="6"/>
  <c r="K1103" i="6"/>
  <c r="L1103" i="6" s="1"/>
  <c r="G1103" i="6"/>
  <c r="K1111" i="6"/>
  <c r="L1111" i="6" s="1"/>
  <c r="G1111" i="6"/>
  <c r="K1119" i="6"/>
  <c r="L1119" i="6" s="1"/>
  <c r="G1119" i="6"/>
  <c r="K1127" i="6"/>
  <c r="L1127" i="6" s="1"/>
  <c r="G1127" i="6"/>
  <c r="K1135" i="6"/>
  <c r="L1135" i="6" s="1"/>
  <c r="G1135" i="6"/>
  <c r="K1143" i="6"/>
  <c r="L1143" i="6" s="1"/>
  <c r="G1143" i="6"/>
  <c r="K1151" i="6"/>
  <c r="L1151" i="6" s="1"/>
  <c r="G1151" i="6"/>
  <c r="K1159" i="6"/>
  <c r="L1159" i="6" s="1"/>
  <c r="G1159" i="6"/>
  <c r="K1169" i="6"/>
  <c r="L1169" i="6" s="1"/>
  <c r="G1169" i="6"/>
  <c r="K1181" i="6"/>
  <c r="L1181" i="6" s="1"/>
  <c r="G1181" i="6"/>
  <c r="K1189" i="6"/>
  <c r="L1189" i="6" s="1"/>
  <c r="G1189" i="6"/>
  <c r="K1201" i="6"/>
  <c r="L1201" i="6" s="1"/>
  <c r="G1201" i="6"/>
  <c r="K1213" i="6"/>
  <c r="L1213" i="6" s="1"/>
  <c r="G1213" i="6"/>
  <c r="K1221" i="6"/>
  <c r="L1221" i="6" s="1"/>
  <c r="G1221" i="6"/>
  <c r="K1233" i="6"/>
  <c r="L1233" i="6" s="1"/>
  <c r="G1233" i="6"/>
  <c r="K1245" i="6"/>
  <c r="L1245" i="6" s="1"/>
  <c r="G1245" i="6"/>
  <c r="K1253" i="6"/>
  <c r="L1253" i="6" s="1"/>
  <c r="G1253" i="6"/>
  <c r="K1265" i="6"/>
  <c r="L1265" i="6" s="1"/>
  <c r="G1265" i="6"/>
  <c r="K1277" i="6"/>
  <c r="L1277" i="6" s="1"/>
  <c r="G1277" i="6"/>
  <c r="K1285" i="6"/>
  <c r="L1285" i="6" s="1"/>
  <c r="G1285" i="6"/>
  <c r="K1297" i="6"/>
  <c r="L1297" i="6" s="1"/>
  <c r="G1297" i="6"/>
  <c r="K1309" i="6"/>
  <c r="L1309" i="6" s="1"/>
  <c r="G1309" i="6"/>
  <c r="K1317" i="6"/>
  <c r="L1317" i="6" s="1"/>
  <c r="G1317" i="6"/>
  <c r="K21" i="6"/>
  <c r="L21" i="6" s="1"/>
  <c r="G21" i="6"/>
  <c r="K29" i="6"/>
  <c r="L29" i="6" s="1"/>
  <c r="G29" i="6"/>
  <c r="K37" i="6"/>
  <c r="L37" i="6" s="1"/>
  <c r="G37" i="6"/>
  <c r="K57" i="6"/>
  <c r="L57" i="6" s="1"/>
  <c r="G57" i="6"/>
  <c r="K101" i="6"/>
  <c r="L101" i="6" s="1"/>
  <c r="G101" i="6"/>
  <c r="K119" i="6"/>
  <c r="L119" i="6" s="1"/>
  <c r="G119" i="6"/>
  <c r="K143" i="6"/>
  <c r="L143" i="6" s="1"/>
  <c r="G143" i="6"/>
  <c r="K160" i="6"/>
  <c r="L160" i="6" s="1"/>
  <c r="G160" i="6"/>
  <c r="K176" i="6"/>
  <c r="L176" i="6" s="1"/>
  <c r="G176" i="6"/>
  <c r="K192" i="6"/>
  <c r="L192" i="6" s="1"/>
  <c r="G192" i="6"/>
  <c r="K208" i="6"/>
  <c r="L208" i="6" s="1"/>
  <c r="G208" i="6"/>
  <c r="K224" i="6"/>
  <c r="L224" i="6" s="1"/>
  <c r="G224" i="6"/>
  <c r="K240" i="6"/>
  <c r="L240" i="6" s="1"/>
  <c r="G240" i="6"/>
  <c r="K256" i="6"/>
  <c r="L256" i="6" s="1"/>
  <c r="G256" i="6"/>
  <c r="K272" i="6"/>
  <c r="L272" i="6" s="1"/>
  <c r="G272" i="6"/>
  <c r="K288" i="6"/>
  <c r="L288" i="6" s="1"/>
  <c r="G288" i="6"/>
  <c r="K304" i="6"/>
  <c r="L304" i="6" s="1"/>
  <c r="G304" i="6"/>
  <c r="K320" i="6"/>
  <c r="L320" i="6" s="1"/>
  <c r="G320" i="6"/>
  <c r="K336" i="6"/>
  <c r="L336" i="6" s="1"/>
  <c r="G336" i="6"/>
  <c r="K352" i="6"/>
  <c r="L352" i="6" s="1"/>
  <c r="G352" i="6"/>
  <c r="K368" i="6"/>
  <c r="L368" i="6" s="1"/>
  <c r="G368" i="6"/>
  <c r="K404" i="6"/>
  <c r="L404" i="6" s="1"/>
  <c r="G404" i="6"/>
  <c r="K432" i="6"/>
  <c r="L432" i="6" s="1"/>
  <c r="G432" i="6"/>
  <c r="K468" i="6"/>
  <c r="L468" i="6" s="1"/>
  <c r="G468" i="6"/>
  <c r="K496" i="6"/>
  <c r="L496" i="6" s="1"/>
  <c r="G496" i="6"/>
  <c r="K791" i="6"/>
  <c r="L791" i="6" s="1"/>
  <c r="G791" i="6"/>
  <c r="K817" i="6"/>
  <c r="L817" i="6" s="1"/>
  <c r="G817" i="6"/>
  <c r="K841" i="6"/>
  <c r="L841" i="6" s="1"/>
  <c r="G841" i="6"/>
  <c r="K914" i="6"/>
  <c r="L914" i="6" s="1"/>
  <c r="G914" i="6"/>
  <c r="K1108" i="6"/>
  <c r="L1108" i="6" s="1"/>
  <c r="G1108" i="6"/>
  <c r="K1144" i="6"/>
  <c r="L1144" i="6" s="1"/>
  <c r="G1144" i="6"/>
  <c r="K1174" i="6"/>
  <c r="L1174" i="6" s="1"/>
  <c r="G1174" i="6"/>
  <c r="K1202" i="6"/>
  <c r="L1202" i="6" s="1"/>
  <c r="G1202" i="6"/>
  <c r="K1238" i="6"/>
  <c r="L1238" i="6" s="1"/>
  <c r="G1238" i="6"/>
  <c r="K1266" i="6"/>
  <c r="L1266" i="6" s="1"/>
  <c r="G1266" i="6"/>
  <c r="K1302" i="6"/>
  <c r="L1302" i="6" s="1"/>
  <c r="G1302" i="6"/>
  <c r="K22" i="6"/>
  <c r="L22" i="6" s="1"/>
  <c r="G22" i="6"/>
  <c r="K30" i="6"/>
  <c r="L30" i="6" s="1"/>
  <c r="G30" i="6"/>
  <c r="K38" i="6"/>
  <c r="L38" i="6" s="1"/>
  <c r="G38" i="6"/>
  <c r="K52" i="6"/>
  <c r="L52" i="6" s="1"/>
  <c r="G52" i="6"/>
  <c r="K73" i="6"/>
  <c r="L73" i="6" s="1"/>
  <c r="G73" i="6"/>
  <c r="K88" i="6"/>
  <c r="L88" i="6" s="1"/>
  <c r="G88" i="6"/>
  <c r="K102" i="6"/>
  <c r="L102" i="6" s="1"/>
  <c r="G102" i="6"/>
  <c r="K113" i="6"/>
  <c r="L113" i="6" s="1"/>
  <c r="G113" i="6"/>
  <c r="K132" i="6"/>
  <c r="L132" i="6" s="1"/>
  <c r="G132" i="6"/>
  <c r="K140" i="6"/>
  <c r="L140" i="6" s="1"/>
  <c r="G140" i="6"/>
  <c r="K150" i="6"/>
  <c r="L150" i="6" s="1"/>
  <c r="G150" i="6"/>
  <c r="K161" i="6"/>
  <c r="L161" i="6" s="1"/>
  <c r="G161" i="6"/>
  <c r="K169" i="6"/>
  <c r="L169" i="6" s="1"/>
  <c r="G169" i="6"/>
  <c r="K177" i="6"/>
  <c r="L177" i="6" s="1"/>
  <c r="G177" i="6"/>
  <c r="K185" i="6"/>
  <c r="L185" i="6" s="1"/>
  <c r="G185" i="6"/>
  <c r="K193" i="6"/>
  <c r="L193" i="6" s="1"/>
  <c r="G193" i="6"/>
  <c r="K201" i="6"/>
  <c r="L201" i="6" s="1"/>
  <c r="G201" i="6"/>
  <c r="K209" i="6"/>
  <c r="L209" i="6" s="1"/>
  <c r="G209" i="6"/>
  <c r="K217" i="6"/>
  <c r="L217" i="6" s="1"/>
  <c r="G217" i="6"/>
  <c r="K225" i="6"/>
  <c r="L225" i="6" s="1"/>
  <c r="G225" i="6"/>
  <c r="K233" i="6"/>
  <c r="L233" i="6" s="1"/>
  <c r="G233" i="6"/>
  <c r="K241" i="6"/>
  <c r="L241" i="6" s="1"/>
  <c r="G241" i="6"/>
  <c r="K249" i="6"/>
  <c r="L249" i="6" s="1"/>
  <c r="G249" i="6"/>
  <c r="K257" i="6"/>
  <c r="L257" i="6" s="1"/>
  <c r="G257" i="6"/>
  <c r="K265" i="6"/>
  <c r="L265" i="6" s="1"/>
  <c r="G265" i="6"/>
  <c r="K273" i="6"/>
  <c r="L273" i="6" s="1"/>
  <c r="G273" i="6"/>
  <c r="K281" i="6"/>
  <c r="L281" i="6" s="1"/>
  <c r="G281" i="6"/>
  <c r="K289" i="6"/>
  <c r="L289" i="6" s="1"/>
  <c r="G289" i="6"/>
  <c r="K297" i="6"/>
  <c r="L297" i="6" s="1"/>
  <c r="G297" i="6"/>
  <c r="K305" i="6"/>
  <c r="L305" i="6" s="1"/>
  <c r="G305" i="6"/>
  <c r="K313" i="6"/>
  <c r="L313" i="6" s="1"/>
  <c r="G313" i="6"/>
  <c r="K321" i="6"/>
  <c r="L321" i="6" s="1"/>
  <c r="G321" i="6"/>
  <c r="K329" i="6"/>
  <c r="L329" i="6" s="1"/>
  <c r="G329" i="6"/>
  <c r="K337" i="6"/>
  <c r="L337" i="6" s="1"/>
  <c r="G337" i="6"/>
  <c r="K345" i="6"/>
  <c r="L345" i="6" s="1"/>
  <c r="G345" i="6"/>
  <c r="K353" i="6"/>
  <c r="L353" i="6" s="1"/>
  <c r="G353" i="6"/>
  <c r="K361" i="6"/>
  <c r="L361" i="6" s="1"/>
  <c r="G361" i="6"/>
  <c r="K369" i="6"/>
  <c r="L369" i="6" s="1"/>
  <c r="G369" i="6"/>
  <c r="K381" i="6"/>
  <c r="L381" i="6" s="1"/>
  <c r="G381" i="6"/>
  <c r="K389" i="6"/>
  <c r="L389" i="6" s="1"/>
  <c r="G389" i="6"/>
  <c r="K397" i="6"/>
  <c r="L397" i="6" s="1"/>
  <c r="G397" i="6"/>
  <c r="K409" i="6"/>
  <c r="L409" i="6" s="1"/>
  <c r="G409" i="6"/>
  <c r="K417" i="6"/>
  <c r="L417" i="6" s="1"/>
  <c r="G417" i="6"/>
  <c r="K425" i="6"/>
  <c r="L425" i="6" s="1"/>
  <c r="G425" i="6"/>
  <c r="K433" i="6"/>
  <c r="L433" i="6" s="1"/>
  <c r="G433" i="6"/>
  <c r="K445" i="6"/>
  <c r="L445" i="6" s="1"/>
  <c r="G445" i="6"/>
  <c r="K453" i="6"/>
  <c r="L453" i="6" s="1"/>
  <c r="G453" i="6"/>
  <c r="K461" i="6"/>
  <c r="L461" i="6" s="1"/>
  <c r="G461" i="6"/>
  <c r="K473" i="6"/>
  <c r="L473" i="6" s="1"/>
  <c r="G473" i="6"/>
  <c r="K481" i="6"/>
  <c r="L481" i="6" s="1"/>
  <c r="G481" i="6"/>
  <c r="K489" i="6"/>
  <c r="L489" i="6" s="1"/>
  <c r="G489" i="6"/>
  <c r="K497" i="6"/>
  <c r="L497" i="6" s="1"/>
  <c r="G497" i="6"/>
  <c r="K509" i="6"/>
  <c r="L509" i="6" s="1"/>
  <c r="G509" i="6"/>
  <c r="K517" i="6"/>
  <c r="L517" i="6" s="1"/>
  <c r="G517" i="6"/>
  <c r="K525" i="6"/>
  <c r="L525" i="6" s="1"/>
  <c r="G525" i="6"/>
  <c r="K533" i="6"/>
  <c r="L533" i="6" s="1"/>
  <c r="G533" i="6"/>
  <c r="K541" i="6"/>
  <c r="L541" i="6" s="1"/>
  <c r="G541" i="6"/>
  <c r="K549" i="6"/>
  <c r="L549" i="6" s="1"/>
  <c r="G549" i="6"/>
  <c r="K557" i="6"/>
  <c r="L557" i="6" s="1"/>
  <c r="G557" i="6"/>
  <c r="K565" i="6"/>
  <c r="L565" i="6" s="1"/>
  <c r="G565" i="6"/>
  <c r="K573" i="6"/>
  <c r="L573" i="6" s="1"/>
  <c r="G573" i="6"/>
  <c r="K581" i="6"/>
  <c r="L581" i="6" s="1"/>
  <c r="G581" i="6"/>
  <c r="K589" i="6"/>
  <c r="L589" i="6" s="1"/>
  <c r="G589" i="6"/>
  <c r="K597" i="6"/>
  <c r="L597" i="6" s="1"/>
  <c r="G597" i="6"/>
  <c r="K605" i="6"/>
  <c r="L605" i="6" s="1"/>
  <c r="G605" i="6"/>
  <c r="K613" i="6"/>
  <c r="L613" i="6" s="1"/>
  <c r="G613" i="6"/>
  <c r="K621" i="6"/>
  <c r="L621" i="6" s="1"/>
  <c r="G621" i="6"/>
  <c r="K629" i="6"/>
  <c r="L629" i="6" s="1"/>
  <c r="G629" i="6"/>
  <c r="K637" i="6"/>
  <c r="L637" i="6" s="1"/>
  <c r="G637" i="6"/>
  <c r="K645" i="6"/>
  <c r="L645" i="6" s="1"/>
  <c r="G645" i="6"/>
  <c r="K653" i="6"/>
  <c r="L653" i="6" s="1"/>
  <c r="G653" i="6"/>
  <c r="K661" i="6"/>
  <c r="L661" i="6" s="1"/>
  <c r="G661" i="6"/>
  <c r="K669" i="6"/>
  <c r="L669" i="6" s="1"/>
  <c r="G669" i="6"/>
  <c r="K677" i="6"/>
  <c r="L677" i="6" s="1"/>
  <c r="G677" i="6"/>
  <c r="K685" i="6"/>
  <c r="L685" i="6" s="1"/>
  <c r="G685" i="6"/>
  <c r="K693" i="6"/>
  <c r="L693" i="6" s="1"/>
  <c r="G693" i="6"/>
  <c r="K701" i="6"/>
  <c r="L701" i="6" s="1"/>
  <c r="G701" i="6"/>
  <c r="K709" i="6"/>
  <c r="L709" i="6" s="1"/>
  <c r="G709" i="6"/>
  <c r="K717" i="6"/>
  <c r="L717" i="6" s="1"/>
  <c r="G717" i="6"/>
  <c r="K725" i="6"/>
  <c r="L725" i="6" s="1"/>
  <c r="G725" i="6"/>
  <c r="K758" i="6"/>
  <c r="L758" i="6" s="1"/>
  <c r="G758" i="6"/>
  <c r="K782" i="6"/>
  <c r="L782" i="6" s="1"/>
  <c r="G782" i="6"/>
  <c r="K808" i="6"/>
  <c r="L808" i="6" s="1"/>
  <c r="G808" i="6"/>
  <c r="K832" i="6"/>
  <c r="L832" i="6" s="1"/>
  <c r="G832" i="6"/>
  <c r="K856" i="6"/>
  <c r="L856" i="6" s="1"/>
  <c r="G856" i="6"/>
  <c r="K880" i="6"/>
  <c r="L880" i="6" s="1"/>
  <c r="G880" i="6"/>
  <c r="K902" i="6"/>
  <c r="L902" i="6" s="1"/>
  <c r="G902" i="6"/>
  <c r="K911" i="6"/>
  <c r="L911" i="6" s="1"/>
  <c r="G911" i="6"/>
  <c r="K925" i="6"/>
  <c r="L925" i="6" s="1"/>
  <c r="G925" i="6"/>
  <c r="K1060" i="6"/>
  <c r="L1060" i="6" s="1"/>
  <c r="G1060" i="6"/>
  <c r="K1105" i="6"/>
  <c r="L1105" i="6" s="1"/>
  <c r="G1105" i="6"/>
  <c r="K1113" i="6"/>
  <c r="L1113" i="6" s="1"/>
  <c r="G1113" i="6"/>
  <c r="K1121" i="6"/>
  <c r="L1121" i="6" s="1"/>
  <c r="G1121" i="6"/>
  <c r="K1133" i="6"/>
  <c r="L1133" i="6" s="1"/>
  <c r="G1133" i="6"/>
  <c r="K1141" i="6"/>
  <c r="L1141" i="6" s="1"/>
  <c r="G1141" i="6"/>
  <c r="K1149" i="6"/>
  <c r="L1149" i="6" s="1"/>
  <c r="G1149" i="6"/>
  <c r="K1157" i="6"/>
  <c r="L1157" i="6" s="1"/>
  <c r="G1157" i="6"/>
  <c r="K1171" i="6"/>
  <c r="L1171" i="6" s="1"/>
  <c r="G1171" i="6"/>
  <c r="K1179" i="6"/>
  <c r="L1179" i="6" s="1"/>
  <c r="G1179" i="6"/>
  <c r="K1187" i="6"/>
  <c r="L1187" i="6" s="1"/>
  <c r="G1187" i="6"/>
  <c r="K1195" i="6"/>
  <c r="L1195" i="6" s="1"/>
  <c r="G1195" i="6"/>
  <c r="K1203" i="6"/>
  <c r="L1203" i="6" s="1"/>
  <c r="G1203" i="6"/>
  <c r="K1211" i="6"/>
  <c r="L1211" i="6" s="1"/>
  <c r="G1211" i="6"/>
  <c r="K1219" i="6"/>
  <c r="L1219" i="6" s="1"/>
  <c r="G1219" i="6"/>
  <c r="K1227" i="6"/>
  <c r="L1227" i="6" s="1"/>
  <c r="G1227" i="6"/>
  <c r="K1235" i="6"/>
  <c r="L1235" i="6" s="1"/>
  <c r="G1235" i="6"/>
  <c r="K1243" i="6"/>
  <c r="L1243" i="6" s="1"/>
  <c r="G1243" i="6"/>
  <c r="K1251" i="6"/>
  <c r="L1251" i="6" s="1"/>
  <c r="G1251" i="6"/>
  <c r="K1259" i="6"/>
  <c r="L1259" i="6" s="1"/>
  <c r="G1259" i="6"/>
  <c r="K1267" i="6"/>
  <c r="L1267" i="6" s="1"/>
  <c r="G1267" i="6"/>
  <c r="K1275" i="6"/>
  <c r="L1275" i="6" s="1"/>
  <c r="G1275" i="6"/>
  <c r="K1283" i="6"/>
  <c r="L1283" i="6" s="1"/>
  <c r="G1283" i="6"/>
  <c r="K1291" i="6"/>
  <c r="L1291" i="6" s="1"/>
  <c r="G1291" i="6"/>
  <c r="K1299" i="6"/>
  <c r="L1299" i="6" s="1"/>
  <c r="G1299" i="6"/>
  <c r="K1307" i="6"/>
  <c r="L1307" i="6" s="1"/>
  <c r="G1307" i="6"/>
  <c r="K1315" i="6"/>
  <c r="L1315" i="6" s="1"/>
  <c r="G1315" i="6"/>
  <c r="K1323" i="6"/>
  <c r="L1323" i="6" s="1"/>
  <c r="G1323" i="6"/>
  <c r="K27" i="6"/>
  <c r="L27" i="6" s="1"/>
  <c r="G27" i="6"/>
  <c r="K35" i="6"/>
  <c r="L35" i="6" s="1"/>
  <c r="G35" i="6"/>
  <c r="K49" i="6"/>
  <c r="L49" i="6" s="1"/>
  <c r="G49" i="6"/>
  <c r="K61" i="6"/>
  <c r="L61" i="6" s="1"/>
  <c r="G61" i="6"/>
  <c r="K74" i="6"/>
  <c r="L74" i="6" s="1"/>
  <c r="G74" i="6"/>
  <c r="K85" i="6"/>
  <c r="L85" i="6" s="1"/>
  <c r="G85" i="6"/>
  <c r="K93" i="6"/>
  <c r="L93" i="6" s="1"/>
  <c r="G93" i="6"/>
  <c r="K103" i="6"/>
  <c r="L103" i="6" s="1"/>
  <c r="G103" i="6"/>
  <c r="K124" i="6"/>
  <c r="L124" i="6" s="1"/>
  <c r="G124" i="6"/>
  <c r="K137" i="6"/>
  <c r="L137" i="6" s="1"/>
  <c r="G137" i="6"/>
  <c r="K153" i="6"/>
  <c r="L153" i="6" s="1"/>
  <c r="G153" i="6"/>
  <c r="K162" i="6"/>
  <c r="L162" i="6" s="1"/>
  <c r="G162" i="6"/>
  <c r="K170" i="6"/>
  <c r="L170" i="6" s="1"/>
  <c r="G170" i="6"/>
  <c r="K178" i="6"/>
  <c r="L178" i="6" s="1"/>
  <c r="G178" i="6"/>
  <c r="K186" i="6"/>
  <c r="L186" i="6" s="1"/>
  <c r="G186" i="6"/>
  <c r="K198" i="6"/>
  <c r="L198" i="6" s="1"/>
  <c r="G198" i="6"/>
  <c r="K206" i="6"/>
  <c r="L206" i="6" s="1"/>
  <c r="G206" i="6"/>
  <c r="K214" i="6"/>
  <c r="L214" i="6" s="1"/>
  <c r="G214" i="6"/>
  <c r="K226" i="6"/>
  <c r="L226" i="6" s="1"/>
  <c r="G226" i="6"/>
  <c r="K234" i="6"/>
  <c r="L234" i="6" s="1"/>
  <c r="G234" i="6"/>
  <c r="K242" i="6"/>
  <c r="L242" i="6" s="1"/>
  <c r="G242" i="6"/>
  <c r="K250" i="6"/>
  <c r="L250" i="6" s="1"/>
  <c r="G250" i="6"/>
  <c r="K262" i="6"/>
  <c r="L262" i="6" s="1"/>
  <c r="G262" i="6"/>
  <c r="K270" i="6"/>
  <c r="L270" i="6" s="1"/>
  <c r="G270" i="6"/>
  <c r="K278" i="6"/>
  <c r="L278" i="6" s="1"/>
  <c r="G278" i="6"/>
  <c r="K290" i="6"/>
  <c r="L290" i="6" s="1"/>
  <c r="G290" i="6"/>
  <c r="K298" i="6"/>
  <c r="L298" i="6" s="1"/>
  <c r="G298" i="6"/>
  <c r="K306" i="6"/>
  <c r="L306" i="6" s="1"/>
  <c r="G306" i="6"/>
  <c r="K314" i="6"/>
  <c r="L314" i="6" s="1"/>
  <c r="G314" i="6"/>
  <c r="K326" i="6"/>
  <c r="L326" i="6" s="1"/>
  <c r="G326" i="6"/>
  <c r="K334" i="6"/>
  <c r="L334" i="6" s="1"/>
  <c r="G334" i="6"/>
  <c r="K342" i="6"/>
  <c r="L342" i="6" s="1"/>
  <c r="G342" i="6"/>
  <c r="K354" i="6"/>
  <c r="L354" i="6" s="1"/>
  <c r="G354" i="6"/>
  <c r="K362" i="6"/>
  <c r="L362" i="6" s="1"/>
  <c r="G362" i="6"/>
  <c r="K370" i="6"/>
  <c r="L370" i="6" s="1"/>
  <c r="G370" i="6"/>
  <c r="K382" i="6"/>
  <c r="L382" i="6" s="1"/>
  <c r="G382" i="6"/>
  <c r="K398" i="6"/>
  <c r="L398" i="6" s="1"/>
  <c r="G398" i="6"/>
  <c r="K410" i="6"/>
  <c r="L410" i="6" s="1"/>
  <c r="G410" i="6"/>
  <c r="K418" i="6"/>
  <c r="L418" i="6" s="1"/>
  <c r="G418" i="6"/>
  <c r="K426" i="6"/>
  <c r="L426" i="6" s="1"/>
  <c r="G426" i="6"/>
  <c r="K434" i="6"/>
  <c r="L434" i="6" s="1"/>
  <c r="G434" i="6"/>
  <c r="K442" i="6"/>
  <c r="L442" i="6" s="1"/>
  <c r="G442" i="6"/>
  <c r="K450" i="6"/>
  <c r="L450" i="6" s="1"/>
  <c r="G450" i="6"/>
  <c r="K458" i="6"/>
  <c r="L458" i="6" s="1"/>
  <c r="G458" i="6"/>
  <c r="K466" i="6"/>
  <c r="L466" i="6" s="1"/>
  <c r="G466" i="6"/>
  <c r="K478" i="6"/>
  <c r="L478" i="6" s="1"/>
  <c r="G478" i="6"/>
  <c r="K486" i="6"/>
  <c r="L486" i="6" s="1"/>
  <c r="G486" i="6"/>
  <c r="K494" i="6"/>
  <c r="L494" i="6" s="1"/>
  <c r="G494" i="6"/>
  <c r="K502" i="6"/>
  <c r="L502" i="6" s="1"/>
  <c r="G502" i="6"/>
  <c r="K518" i="6"/>
  <c r="L518" i="6" s="1"/>
  <c r="G518" i="6"/>
  <c r="K534" i="6"/>
  <c r="L534" i="6" s="1"/>
  <c r="G534" i="6"/>
  <c r="K550" i="6"/>
  <c r="L550" i="6" s="1"/>
  <c r="G550" i="6"/>
  <c r="K566" i="6"/>
  <c r="L566" i="6" s="1"/>
  <c r="G566" i="6"/>
  <c r="K582" i="6"/>
  <c r="L582" i="6" s="1"/>
  <c r="G582" i="6"/>
  <c r="K598" i="6"/>
  <c r="L598" i="6" s="1"/>
  <c r="G598" i="6"/>
  <c r="K614" i="6"/>
  <c r="L614" i="6" s="1"/>
  <c r="G614" i="6"/>
  <c r="K630" i="6"/>
  <c r="L630" i="6" s="1"/>
  <c r="G630" i="6"/>
  <c r="K646" i="6"/>
  <c r="L646" i="6" s="1"/>
  <c r="G646" i="6"/>
  <c r="K662" i="6"/>
  <c r="L662" i="6" s="1"/>
  <c r="G662" i="6"/>
  <c r="K678" i="6"/>
  <c r="L678" i="6" s="1"/>
  <c r="G678" i="6"/>
  <c r="K694" i="6"/>
  <c r="L694" i="6" s="1"/>
  <c r="G694" i="6"/>
  <c r="K710" i="6"/>
  <c r="L710" i="6" s="1"/>
  <c r="G710" i="6"/>
  <c r="K726" i="6"/>
  <c r="L726" i="6" s="1"/>
  <c r="G726" i="6"/>
  <c r="K761" i="6"/>
  <c r="L761" i="6" s="1"/>
  <c r="G761" i="6"/>
  <c r="K785" i="6"/>
  <c r="L785" i="6" s="1"/>
  <c r="G785" i="6"/>
  <c r="K811" i="6"/>
  <c r="L811" i="6" s="1"/>
  <c r="G811" i="6"/>
  <c r="K847" i="6"/>
  <c r="L847" i="6" s="1"/>
  <c r="G847" i="6"/>
  <c r="K871" i="6"/>
  <c r="L871" i="6" s="1"/>
  <c r="G871" i="6"/>
  <c r="K895" i="6"/>
  <c r="L895" i="6" s="1"/>
  <c r="G895" i="6"/>
  <c r="K908" i="6"/>
  <c r="L908" i="6" s="1"/>
  <c r="G908" i="6"/>
  <c r="K980" i="6"/>
  <c r="L980" i="6" s="1"/>
  <c r="G980" i="6"/>
  <c r="K1075" i="6"/>
  <c r="L1075" i="6" s="1"/>
  <c r="G1075" i="6"/>
  <c r="K1106" i="6"/>
  <c r="L1106" i="6" s="1"/>
  <c r="G1106" i="6"/>
  <c r="K1114" i="6"/>
  <c r="L1114" i="6" s="1"/>
  <c r="G1114" i="6"/>
  <c r="K1122" i="6"/>
  <c r="L1122" i="6" s="1"/>
  <c r="G1122" i="6"/>
  <c r="K1130" i="6"/>
  <c r="L1130" i="6" s="1"/>
  <c r="G1130" i="6"/>
  <c r="K1142" i="6"/>
  <c r="L1142" i="6" s="1"/>
  <c r="G1142" i="6"/>
  <c r="K1150" i="6"/>
  <c r="L1150" i="6" s="1"/>
  <c r="G1150" i="6"/>
  <c r="K1158" i="6"/>
  <c r="L1158" i="6" s="1"/>
  <c r="G1158" i="6"/>
  <c r="K1168" i="6"/>
  <c r="L1168" i="6" s="1"/>
  <c r="G1168" i="6"/>
  <c r="K1184" i="6"/>
  <c r="L1184" i="6" s="1"/>
  <c r="G1184" i="6"/>
  <c r="K1192" i="6"/>
  <c r="L1192" i="6" s="1"/>
  <c r="G1192" i="6"/>
  <c r="K1200" i="6"/>
  <c r="L1200" i="6" s="1"/>
  <c r="G1200" i="6"/>
  <c r="K1212" i="6"/>
  <c r="L1212" i="6" s="1"/>
  <c r="G1212" i="6"/>
  <c r="K1224" i="6"/>
  <c r="L1224" i="6" s="1"/>
  <c r="G1224" i="6"/>
  <c r="K1236" i="6"/>
  <c r="L1236" i="6" s="1"/>
  <c r="G1236" i="6"/>
  <c r="K1244" i="6"/>
  <c r="L1244" i="6" s="1"/>
  <c r="G1244" i="6"/>
  <c r="K1252" i="6"/>
  <c r="L1252" i="6" s="1"/>
  <c r="G1252" i="6"/>
  <c r="K1264" i="6"/>
  <c r="L1264" i="6" s="1"/>
  <c r="G1264" i="6"/>
  <c r="K1276" i="6"/>
  <c r="L1276" i="6" s="1"/>
  <c r="G1276" i="6"/>
  <c r="K1284" i="6"/>
  <c r="L1284" i="6" s="1"/>
  <c r="G1284" i="6"/>
  <c r="K1292" i="6"/>
  <c r="L1292" i="6" s="1"/>
  <c r="G1292" i="6"/>
  <c r="K1304" i="6"/>
  <c r="L1304" i="6" s="1"/>
  <c r="G1304" i="6"/>
  <c r="K1316" i="6"/>
  <c r="L1316" i="6" s="1"/>
  <c r="G1316" i="6"/>
  <c r="K1324" i="6"/>
  <c r="L1324" i="6" s="1"/>
  <c r="G1324" i="6"/>
  <c r="K24" i="6"/>
  <c r="L24" i="6" s="1"/>
  <c r="G24" i="6"/>
  <c r="K32" i="6"/>
  <c r="L32" i="6" s="1"/>
  <c r="G32" i="6"/>
  <c r="K69" i="6"/>
  <c r="L69" i="6" s="1"/>
  <c r="G69" i="6"/>
  <c r="K90" i="6"/>
  <c r="L90" i="6" s="1"/>
  <c r="G90" i="6"/>
  <c r="K128" i="6"/>
  <c r="L128" i="6" s="1"/>
  <c r="G128" i="6"/>
  <c r="K148" i="6"/>
  <c r="L148" i="6" s="1"/>
  <c r="G148" i="6"/>
  <c r="K183" i="6"/>
  <c r="L183" i="6" s="1"/>
  <c r="G183" i="6"/>
  <c r="K207" i="6"/>
  <c r="L207" i="6" s="1"/>
  <c r="G207" i="6"/>
  <c r="K231" i="6"/>
  <c r="L231" i="6" s="1"/>
  <c r="G231" i="6"/>
  <c r="K255" i="6"/>
  <c r="L255" i="6" s="1"/>
  <c r="G255" i="6"/>
  <c r="K283" i="6"/>
  <c r="L283" i="6" s="1"/>
  <c r="G283" i="6"/>
  <c r="K307" i="6"/>
  <c r="L307" i="6" s="1"/>
  <c r="G307" i="6"/>
  <c r="K339" i="6"/>
  <c r="L339" i="6" s="1"/>
  <c r="G339" i="6"/>
  <c r="K355" i="6"/>
  <c r="L355" i="6" s="1"/>
  <c r="G355" i="6"/>
  <c r="K371" i="6"/>
  <c r="L371" i="6" s="1"/>
  <c r="G371" i="6"/>
  <c r="K395" i="6"/>
  <c r="L395" i="6" s="1"/>
  <c r="G395" i="6"/>
  <c r="K411" i="6"/>
  <c r="L411" i="6" s="1"/>
  <c r="G411" i="6"/>
  <c r="K435" i="6"/>
  <c r="L435" i="6" s="1"/>
  <c r="G435" i="6"/>
  <c r="K451" i="6"/>
  <c r="L451" i="6" s="1"/>
  <c r="G451" i="6"/>
  <c r="K475" i="6"/>
  <c r="L475" i="6" s="1"/>
  <c r="G475" i="6"/>
  <c r="K499" i="6"/>
  <c r="L499" i="6" s="1"/>
  <c r="G499" i="6"/>
  <c r="K523" i="6"/>
  <c r="L523" i="6" s="1"/>
  <c r="G523" i="6"/>
  <c r="K531" i="6"/>
  <c r="L531" i="6" s="1"/>
  <c r="G531" i="6"/>
  <c r="K555" i="6"/>
  <c r="L555" i="6" s="1"/>
  <c r="G555" i="6"/>
  <c r="K571" i="6"/>
  <c r="L571" i="6" s="1"/>
  <c r="G571" i="6"/>
  <c r="K595" i="6"/>
  <c r="L595" i="6" s="1"/>
  <c r="G595" i="6"/>
  <c r="K619" i="6"/>
  <c r="L619" i="6" s="1"/>
  <c r="G619" i="6"/>
  <c r="K659" i="6"/>
  <c r="L659" i="6" s="1"/>
  <c r="G659" i="6"/>
  <c r="K985" i="6"/>
  <c r="L985" i="6" s="1"/>
  <c r="G985" i="6"/>
  <c r="K577" i="6"/>
  <c r="L577" i="6" s="1"/>
  <c r="G577" i="6"/>
  <c r="K44" i="6"/>
  <c r="L44" i="6" s="1"/>
  <c r="G44" i="6"/>
  <c r="K70" i="6"/>
  <c r="L70" i="6" s="1"/>
  <c r="G70" i="6"/>
  <c r="K87" i="6"/>
  <c r="L87" i="6" s="1"/>
  <c r="G87" i="6"/>
  <c r="K112" i="6"/>
  <c r="L112" i="6" s="1"/>
  <c r="G112" i="6"/>
  <c r="K139" i="6"/>
  <c r="L139" i="6" s="1"/>
  <c r="G139" i="6"/>
  <c r="K172" i="6"/>
  <c r="L172" i="6" s="1"/>
  <c r="G172" i="6"/>
  <c r="K196" i="6"/>
  <c r="L196" i="6" s="1"/>
  <c r="G196" i="6"/>
  <c r="K212" i="6"/>
  <c r="L212" i="6" s="1"/>
  <c r="G212" i="6"/>
  <c r="K244" i="6"/>
  <c r="L244" i="6" s="1"/>
  <c r="G244" i="6"/>
  <c r="K276" i="6"/>
  <c r="L276" i="6" s="1"/>
  <c r="G276" i="6"/>
  <c r="K308" i="6"/>
  <c r="L308" i="6" s="1"/>
  <c r="G308" i="6"/>
  <c r="K340" i="6"/>
  <c r="L340" i="6" s="1"/>
  <c r="G340" i="6"/>
  <c r="K372" i="6"/>
  <c r="L372" i="6" s="1"/>
  <c r="G372" i="6"/>
  <c r="K380" i="6"/>
  <c r="L380" i="6" s="1"/>
  <c r="G380" i="6"/>
  <c r="K400" i="6"/>
  <c r="L400" i="6" s="1"/>
  <c r="G400" i="6"/>
  <c r="K416" i="6"/>
  <c r="L416" i="6" s="1"/>
  <c r="G416" i="6"/>
  <c r="K444" i="6"/>
  <c r="L444" i="6" s="1"/>
  <c r="G444" i="6"/>
  <c r="K464" i="6"/>
  <c r="L464" i="6" s="1"/>
  <c r="G464" i="6"/>
  <c r="K480" i="6"/>
  <c r="L480" i="6" s="1"/>
  <c r="G480" i="6"/>
  <c r="K508" i="6"/>
  <c r="L508" i="6" s="1"/>
  <c r="G508" i="6"/>
  <c r="K528" i="6"/>
  <c r="L528" i="6" s="1"/>
  <c r="G528" i="6"/>
  <c r="K544" i="6"/>
  <c r="L544" i="6" s="1"/>
  <c r="G544" i="6"/>
  <c r="K556" i="6"/>
  <c r="L556" i="6" s="1"/>
  <c r="G556" i="6"/>
  <c r="K572" i="6"/>
  <c r="L572" i="6" s="1"/>
  <c r="G572" i="6"/>
  <c r="K592" i="6"/>
  <c r="L592" i="6" s="1"/>
  <c r="G592" i="6"/>
  <c r="K608" i="6"/>
  <c r="L608" i="6" s="1"/>
  <c r="G608" i="6"/>
  <c r="K620" i="6"/>
  <c r="L620" i="6" s="1"/>
  <c r="G620" i="6"/>
  <c r="K636" i="6"/>
  <c r="L636" i="6" s="1"/>
  <c r="G636" i="6"/>
  <c r="K656" i="6"/>
  <c r="L656" i="6" s="1"/>
  <c r="G656" i="6"/>
  <c r="K672" i="6"/>
  <c r="L672" i="6" s="1"/>
  <c r="G672" i="6"/>
  <c r="K684" i="6"/>
  <c r="L684" i="6" s="1"/>
  <c r="G684" i="6"/>
  <c r="K700" i="6"/>
  <c r="L700" i="6" s="1"/>
  <c r="G700" i="6"/>
  <c r="K720" i="6"/>
  <c r="L720" i="6" s="1"/>
  <c r="G720" i="6"/>
  <c r="K755" i="6"/>
  <c r="L755" i="6" s="1"/>
  <c r="G755" i="6"/>
  <c r="K865" i="6"/>
  <c r="L865" i="6" s="1"/>
  <c r="G865" i="6"/>
  <c r="K910" i="6"/>
  <c r="L910" i="6" s="1"/>
  <c r="G910" i="6"/>
  <c r="K986" i="6"/>
  <c r="L986" i="6" s="1"/>
  <c r="G986" i="6"/>
  <c r="K1120" i="6"/>
  <c r="L1120" i="6" s="1"/>
  <c r="G1120" i="6"/>
  <c r="K1132" i="6"/>
  <c r="L1132" i="6" s="1"/>
  <c r="G1132" i="6"/>
  <c r="K1156" i="6"/>
  <c r="L1156" i="6" s="1"/>
  <c r="G1156" i="6"/>
  <c r="K1198" i="6"/>
  <c r="L1198" i="6" s="1"/>
  <c r="G1198" i="6"/>
  <c r="K1210" i="6"/>
  <c r="L1210" i="6" s="1"/>
  <c r="G1210" i="6"/>
  <c r="K1234" i="6"/>
  <c r="L1234" i="6" s="1"/>
  <c r="G1234" i="6"/>
  <c r="K1250" i="6"/>
  <c r="L1250" i="6" s="1"/>
  <c r="G1250" i="6"/>
  <c r="K1274" i="6"/>
  <c r="L1274" i="6" s="1"/>
  <c r="G1274" i="6"/>
  <c r="K1298" i="6"/>
  <c r="L1298" i="6" s="1"/>
  <c r="G1298" i="6"/>
  <c r="K1314" i="6"/>
  <c r="L1314" i="6" s="1"/>
  <c r="G1314" i="6"/>
  <c r="K1447" i="6"/>
  <c r="L1447" i="6" s="1"/>
  <c r="G1447" i="6"/>
  <c r="K1471" i="6"/>
  <c r="L1471" i="6" s="1"/>
  <c r="G1471" i="6"/>
  <c r="K1487" i="6"/>
  <c r="L1487" i="6" s="1"/>
  <c r="G1487" i="6"/>
  <c r="K1515" i="6"/>
  <c r="L1515" i="6" s="1"/>
  <c r="G1515" i="6"/>
  <c r="K1527" i="6"/>
  <c r="L1527" i="6" s="1"/>
  <c r="G1527" i="6"/>
  <c r="K1571" i="6"/>
  <c r="L1571" i="6" s="1"/>
  <c r="G1571" i="6"/>
  <c r="K1583" i="6"/>
  <c r="L1583" i="6" s="1"/>
  <c r="G1583" i="6"/>
  <c r="K1591" i="6"/>
  <c r="L1591" i="6" s="1"/>
  <c r="G1591" i="6"/>
  <c r="K1607" i="6"/>
  <c r="L1607" i="6" s="1"/>
  <c r="G1607" i="6"/>
  <c r="F972" i="2"/>
  <c r="F967" i="2"/>
  <c r="F960" i="2"/>
  <c r="F160" i="2"/>
  <c r="J160" i="2" l="1"/>
  <c r="M160" i="2"/>
  <c r="J967" i="2"/>
  <c r="M967" i="2"/>
  <c r="J972" i="2"/>
  <c r="M972" i="2"/>
  <c r="J960" i="2"/>
  <c r="M960" i="2"/>
  <c r="F958" i="2"/>
  <c r="F194" i="2"/>
  <c r="F192" i="2"/>
  <c r="F191" i="2"/>
  <c r="F185" i="2"/>
  <c r="F184" i="2"/>
  <c r="F171" i="2"/>
  <c r="F170" i="2"/>
  <c r="F167" i="2"/>
  <c r="F166" i="2"/>
  <c r="F165" i="2"/>
  <c r="F161" i="2"/>
  <c r="F162" i="2"/>
  <c r="K960" i="2" l="1"/>
  <c r="F920" i="6"/>
  <c r="K967" i="2"/>
  <c r="F927" i="6"/>
  <c r="K972" i="2"/>
  <c r="F932" i="6"/>
  <c r="K160" i="2"/>
  <c r="F120" i="6"/>
  <c r="J191" i="2"/>
  <c r="M191" i="2"/>
  <c r="Q967" i="2"/>
  <c r="R967" i="2" s="1"/>
  <c r="J171" i="2"/>
  <c r="M171" i="2"/>
  <c r="J170" i="2"/>
  <c r="M170" i="2"/>
  <c r="Q960" i="2"/>
  <c r="R960" i="2" s="1"/>
  <c r="J165" i="2"/>
  <c r="M165" i="2"/>
  <c r="J192" i="2"/>
  <c r="M192" i="2"/>
  <c r="J166" i="2"/>
  <c r="M166" i="2"/>
  <c r="J184" i="2"/>
  <c r="M184" i="2"/>
  <c r="J194" i="2"/>
  <c r="M194" i="2"/>
  <c r="Q972" i="2"/>
  <c r="R972" i="2" s="1"/>
  <c r="Q160" i="2"/>
  <c r="R160" i="2" s="1"/>
  <c r="J161" i="2"/>
  <c r="M161" i="2"/>
  <c r="J162" i="2"/>
  <c r="M162" i="2"/>
  <c r="J167" i="2"/>
  <c r="M167" i="2"/>
  <c r="J185" i="2"/>
  <c r="M185" i="2"/>
  <c r="J958" i="2"/>
  <c r="M958" i="2"/>
  <c r="F2248" i="2"/>
  <c r="F2249" i="2"/>
  <c r="F2250" i="2"/>
  <c r="F944" i="2"/>
  <c r="K932" i="6" l="1"/>
  <c r="L932" i="6" s="1"/>
  <c r="G932" i="6"/>
  <c r="K920" i="6"/>
  <c r="L920" i="6" s="1"/>
  <c r="G920" i="6"/>
  <c r="K927" i="6"/>
  <c r="L927" i="6" s="1"/>
  <c r="G927" i="6"/>
  <c r="G120" i="6"/>
  <c r="K120" i="6"/>
  <c r="K167" i="2"/>
  <c r="F127" i="6"/>
  <c r="K194" i="2"/>
  <c r="F154" i="6"/>
  <c r="K191" i="2"/>
  <c r="F151" i="6"/>
  <c r="K171" i="2"/>
  <c r="F131" i="6"/>
  <c r="K958" i="2"/>
  <c r="F918" i="6"/>
  <c r="K161" i="2"/>
  <c r="F121" i="6"/>
  <c r="K165" i="2"/>
  <c r="F125" i="6"/>
  <c r="K185" i="2"/>
  <c r="F145" i="6"/>
  <c r="K162" i="2"/>
  <c r="F122" i="6"/>
  <c r="K184" i="2"/>
  <c r="F144" i="6"/>
  <c r="K192" i="2"/>
  <c r="F152" i="6"/>
  <c r="K170" i="2"/>
  <c r="F130" i="6"/>
  <c r="K166" i="2"/>
  <c r="F126" i="6"/>
  <c r="J1857" i="2"/>
  <c r="F1817" i="6" s="1"/>
  <c r="M1857" i="2"/>
  <c r="Q170" i="2"/>
  <c r="R170" i="2" s="1"/>
  <c r="J2250" i="2"/>
  <c r="F2210" i="6" s="1"/>
  <c r="M2250" i="2"/>
  <c r="J944" i="2"/>
  <c r="M944" i="2"/>
  <c r="Q185" i="2"/>
  <c r="R185" i="2" s="1"/>
  <c r="Q162" i="2"/>
  <c r="R162" i="2" s="1"/>
  <c r="Q194" i="2"/>
  <c r="R194" i="2" s="1"/>
  <c r="Q166" i="2"/>
  <c r="R166" i="2" s="1"/>
  <c r="Q165" i="2"/>
  <c r="R165" i="2" s="1"/>
  <c r="J1856" i="2"/>
  <c r="F1816" i="6" s="1"/>
  <c r="M1856" i="2"/>
  <c r="J2249" i="2"/>
  <c r="F2209" i="6" s="1"/>
  <c r="M2249" i="2"/>
  <c r="Q958" i="2"/>
  <c r="R958" i="2" s="1"/>
  <c r="Q167" i="2"/>
  <c r="R167" i="2" s="1"/>
  <c r="Q161" i="2"/>
  <c r="R161" i="2" s="1"/>
  <c r="Q184" i="2"/>
  <c r="R184" i="2" s="1"/>
  <c r="Q192" i="2"/>
  <c r="R192" i="2" s="1"/>
  <c r="Q171" i="2"/>
  <c r="R171" i="2" s="1"/>
  <c r="Q191" i="2"/>
  <c r="R191" i="2" s="1"/>
  <c r="J2248" i="2"/>
  <c r="F2208" i="6" s="1"/>
  <c r="M2248" i="2"/>
  <c r="F966" i="2"/>
  <c r="F837" i="2"/>
  <c r="F838" i="2"/>
  <c r="F802" i="2"/>
  <c r="F803" i="2"/>
  <c r="F805" i="2"/>
  <c r="F134" i="2"/>
  <c r="F121" i="2"/>
  <c r="F120" i="2"/>
  <c r="F122" i="2"/>
  <c r="K1816" i="6" l="1"/>
  <c r="L1816" i="6" s="1"/>
  <c r="G1816" i="6"/>
  <c r="K1817" i="6"/>
  <c r="L1817" i="6" s="1"/>
  <c r="G1817" i="6"/>
  <c r="K2208" i="6"/>
  <c r="L2208" i="6" s="1"/>
  <c r="G2208" i="6"/>
  <c r="K2210" i="6"/>
  <c r="L2210" i="6" s="1"/>
  <c r="G2210" i="6"/>
  <c r="K918" i="6"/>
  <c r="L918" i="6" s="1"/>
  <c r="G918" i="6"/>
  <c r="K2209" i="6"/>
  <c r="L2209" i="6" s="1"/>
  <c r="G2209" i="6"/>
  <c r="K126" i="6"/>
  <c r="L126" i="6" s="1"/>
  <c r="G126" i="6"/>
  <c r="G152" i="6"/>
  <c r="K152" i="6"/>
  <c r="L152" i="6" s="1"/>
  <c r="K122" i="6"/>
  <c r="L122" i="6" s="1"/>
  <c r="G122" i="6"/>
  <c r="G125" i="6"/>
  <c r="K125" i="6"/>
  <c r="L125" i="6" s="1"/>
  <c r="G151" i="6"/>
  <c r="K151" i="6"/>
  <c r="L151" i="6" s="1"/>
  <c r="G127" i="6"/>
  <c r="K127" i="6"/>
  <c r="L127" i="6" s="1"/>
  <c r="K130" i="6"/>
  <c r="L130" i="6" s="1"/>
  <c r="G130" i="6"/>
  <c r="G144" i="6"/>
  <c r="K144" i="6"/>
  <c r="L144" i="6" s="1"/>
  <c r="K145" i="6"/>
  <c r="L145" i="6" s="1"/>
  <c r="G145" i="6"/>
  <c r="K121" i="6"/>
  <c r="L121" i="6" s="1"/>
  <c r="G121" i="6"/>
  <c r="G131" i="6"/>
  <c r="K131" i="6"/>
  <c r="L131" i="6" s="1"/>
  <c r="K154" i="6"/>
  <c r="L154" i="6" s="1"/>
  <c r="G154" i="6"/>
  <c r="L120" i="6"/>
  <c r="K2248" i="2"/>
  <c r="K2250" i="2"/>
  <c r="K2249" i="2"/>
  <c r="K944" i="2"/>
  <c r="F904" i="6"/>
  <c r="K1856" i="2"/>
  <c r="K1857" i="2"/>
  <c r="J837" i="2"/>
  <c r="M837" i="2"/>
  <c r="J120" i="2"/>
  <c r="M120" i="2"/>
  <c r="J803" i="2"/>
  <c r="M803" i="2"/>
  <c r="J122" i="2"/>
  <c r="M122" i="2"/>
  <c r="J805" i="2"/>
  <c r="M805" i="2"/>
  <c r="Q1856" i="2"/>
  <c r="R1856" i="2" s="1"/>
  <c r="Q944" i="2"/>
  <c r="R944" i="2" s="1"/>
  <c r="J966" i="2"/>
  <c r="M966" i="2"/>
  <c r="J121" i="2"/>
  <c r="M121" i="2"/>
  <c r="J802" i="2"/>
  <c r="M802" i="2"/>
  <c r="Q2248" i="2"/>
  <c r="R2248" i="2" s="1"/>
  <c r="Q2249" i="2"/>
  <c r="R2249" i="2" s="1"/>
  <c r="Q2250" i="2"/>
  <c r="R2250" i="2" s="1"/>
  <c r="Q1857" i="2"/>
  <c r="R1857" i="2" s="1"/>
  <c r="J134" i="2"/>
  <c r="M134" i="2"/>
  <c r="J838" i="2"/>
  <c r="M838" i="2"/>
  <c r="F59" i="2"/>
  <c r="F57" i="2"/>
  <c r="F1716" i="2"/>
  <c r="F959" i="2"/>
  <c r="F961" i="2"/>
  <c r="F963" i="2"/>
  <c r="F964" i="2"/>
  <c r="F771" i="2"/>
  <c r="F81" i="2"/>
  <c r="K904" i="6" l="1"/>
  <c r="L904" i="6" s="1"/>
  <c r="G904" i="6"/>
  <c r="K121" i="2"/>
  <c r="F81" i="6"/>
  <c r="K120" i="2"/>
  <c r="F80" i="6"/>
  <c r="K134" i="2"/>
  <c r="F94" i="6"/>
  <c r="K838" i="2"/>
  <c r="F798" i="6"/>
  <c r="K802" i="2"/>
  <c r="F762" i="6"/>
  <c r="K966" i="2"/>
  <c r="F926" i="6"/>
  <c r="K805" i="2"/>
  <c r="F765" i="6"/>
  <c r="K803" i="2"/>
  <c r="F763" i="6"/>
  <c r="K837" i="2"/>
  <c r="F797" i="6"/>
  <c r="K122" i="2"/>
  <c r="F82" i="6"/>
  <c r="J959" i="2"/>
  <c r="M959" i="2"/>
  <c r="Q802" i="2"/>
  <c r="R802" i="2" s="1"/>
  <c r="Q966" i="2"/>
  <c r="R966" i="2" s="1"/>
  <c r="Q122" i="2"/>
  <c r="R122" i="2" s="1"/>
  <c r="Q120" i="2"/>
  <c r="R120" i="2" s="1"/>
  <c r="J1716" i="2"/>
  <c r="F1676" i="6" s="1"/>
  <c r="M1716" i="2"/>
  <c r="J963" i="2"/>
  <c r="M963" i="2"/>
  <c r="J57" i="2"/>
  <c r="F17" i="6" s="1"/>
  <c r="M57" i="2"/>
  <c r="Q134" i="2"/>
  <c r="R134" i="2" s="1"/>
  <c r="Q121" i="2"/>
  <c r="R121" i="2" s="1"/>
  <c r="Q805" i="2"/>
  <c r="R805" i="2" s="1"/>
  <c r="Q803" i="2"/>
  <c r="R803" i="2" s="1"/>
  <c r="Q837" i="2"/>
  <c r="R837" i="2" s="1"/>
  <c r="J771" i="2"/>
  <c r="M771" i="2"/>
  <c r="Q838" i="2"/>
  <c r="R838" i="2" s="1"/>
  <c r="J964" i="2"/>
  <c r="M964" i="2"/>
  <c r="J81" i="2"/>
  <c r="M81" i="2"/>
  <c r="J961" i="2"/>
  <c r="M961" i="2"/>
  <c r="J59" i="2"/>
  <c r="M59" i="2"/>
  <c r="F1810" i="2"/>
  <c r="F973" i="2"/>
  <c r="K82" i="6" l="1"/>
  <c r="L82" i="6" s="1"/>
  <c r="G82" i="6"/>
  <c r="K926" i="6"/>
  <c r="L926" i="6" s="1"/>
  <c r="G926" i="6"/>
  <c r="K17" i="6"/>
  <c r="G17" i="6"/>
  <c r="K1676" i="6"/>
  <c r="L1676" i="6" s="1"/>
  <c r="G1676" i="6"/>
  <c r="K797" i="6"/>
  <c r="L797" i="6" s="1"/>
  <c r="G797" i="6"/>
  <c r="K765" i="6"/>
  <c r="L765" i="6" s="1"/>
  <c r="G765" i="6"/>
  <c r="K762" i="6"/>
  <c r="L762" i="6" s="1"/>
  <c r="G762" i="6"/>
  <c r="K94" i="6"/>
  <c r="L94" i="6" s="1"/>
  <c r="G94" i="6"/>
  <c r="K81" i="6"/>
  <c r="L81" i="6" s="1"/>
  <c r="G81" i="6"/>
  <c r="K763" i="6"/>
  <c r="L763" i="6" s="1"/>
  <c r="G763" i="6"/>
  <c r="K798" i="6"/>
  <c r="L798" i="6" s="1"/>
  <c r="G798" i="6"/>
  <c r="K80" i="6"/>
  <c r="L80" i="6" s="1"/>
  <c r="G80" i="6"/>
  <c r="K771" i="2"/>
  <c r="F731" i="6"/>
  <c r="K961" i="2"/>
  <c r="F921" i="6"/>
  <c r="K959" i="2"/>
  <c r="F919" i="6"/>
  <c r="K963" i="2"/>
  <c r="F923" i="6"/>
  <c r="K59" i="2"/>
  <c r="F19" i="6"/>
  <c r="K81" i="2"/>
  <c r="F41" i="6"/>
  <c r="K1716" i="2"/>
  <c r="K964" i="2"/>
  <c r="F924" i="6"/>
  <c r="Q961" i="2"/>
  <c r="R961" i="2" s="1"/>
  <c r="Q771" i="2"/>
  <c r="R771" i="2" s="1"/>
  <c r="Q1716" i="2"/>
  <c r="R1716" i="2" s="1"/>
  <c r="J1810" i="2"/>
  <c r="F1770" i="6" s="1"/>
  <c r="M1810" i="2"/>
  <c r="Q59" i="2"/>
  <c r="R59" i="2" s="1"/>
  <c r="Q81" i="2"/>
  <c r="R81" i="2" s="1"/>
  <c r="Q963" i="2"/>
  <c r="R963" i="2" s="1"/>
  <c r="Q959" i="2"/>
  <c r="R959" i="2" s="1"/>
  <c r="J973" i="2"/>
  <c r="M973" i="2"/>
  <c r="Q964" i="2"/>
  <c r="R964" i="2" s="1"/>
  <c r="Q57" i="2"/>
  <c r="R57" i="2" s="1"/>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22" i="2"/>
  <c r="F60" i="2"/>
  <c r="K19" i="6" l="1"/>
  <c r="L19" i="6" s="1"/>
  <c r="G19" i="6"/>
  <c r="K731" i="6"/>
  <c r="L731" i="6" s="1"/>
  <c r="G731" i="6"/>
  <c r="K919" i="6"/>
  <c r="L919" i="6" s="1"/>
  <c r="G919" i="6"/>
  <c r="K41" i="6"/>
  <c r="L41" i="6" s="1"/>
  <c r="G41" i="6"/>
  <c r="K923" i="6"/>
  <c r="L923" i="6" s="1"/>
  <c r="G923" i="6"/>
  <c r="K921" i="6"/>
  <c r="L921" i="6" s="1"/>
  <c r="G921" i="6"/>
  <c r="K1770" i="6"/>
  <c r="L1770" i="6" s="1"/>
  <c r="G1770" i="6"/>
  <c r="K924" i="6"/>
  <c r="L924" i="6" s="1"/>
  <c r="G924" i="6"/>
  <c r="L17" i="6"/>
  <c r="K1810" i="2"/>
  <c r="K973" i="2"/>
  <c r="F933" i="6"/>
  <c r="J1822" i="2"/>
  <c r="F1782" i="6" s="1"/>
  <c r="M1822" i="2"/>
  <c r="J1848" i="2"/>
  <c r="F1808" i="6" s="1"/>
  <c r="M1848" i="2"/>
  <c r="J1840" i="2"/>
  <c r="F1800" i="6" s="1"/>
  <c r="M1840" i="2"/>
  <c r="J1836" i="2"/>
  <c r="F1796" i="6" s="1"/>
  <c r="M1836" i="2"/>
  <c r="J1832" i="2"/>
  <c r="F1792" i="6" s="1"/>
  <c r="M1832" i="2"/>
  <c r="J1828" i="2"/>
  <c r="F1788" i="6" s="1"/>
  <c r="M1828" i="2"/>
  <c r="J1824" i="2"/>
  <c r="F1784" i="6" s="1"/>
  <c r="M1824" i="2"/>
  <c r="Q1810" i="2"/>
  <c r="R1810" i="2" s="1"/>
  <c r="J1855" i="2"/>
  <c r="F1815" i="6" s="1"/>
  <c r="M1855" i="2"/>
  <c r="J1851" i="2"/>
  <c r="F1811" i="6" s="1"/>
  <c r="M1851" i="2"/>
  <c r="J1847" i="2"/>
  <c r="F1807" i="6" s="1"/>
  <c r="M1847" i="2"/>
  <c r="J1843" i="2"/>
  <c r="F1803" i="6" s="1"/>
  <c r="M1843" i="2"/>
  <c r="J1839" i="2"/>
  <c r="F1799" i="6" s="1"/>
  <c r="M1839" i="2"/>
  <c r="J1835" i="2"/>
  <c r="F1795" i="6" s="1"/>
  <c r="M1835" i="2"/>
  <c r="J1831" i="2"/>
  <c r="F1791" i="6" s="1"/>
  <c r="M1831" i="2"/>
  <c r="J1827" i="2"/>
  <c r="F1787" i="6" s="1"/>
  <c r="M1827" i="2"/>
  <c r="J1823" i="2"/>
  <c r="F1783" i="6" s="1"/>
  <c r="M1823" i="2"/>
  <c r="J1852" i="2"/>
  <c r="F1812" i="6" s="1"/>
  <c r="M1852" i="2"/>
  <c r="J1844" i="2"/>
  <c r="F1804" i="6" s="1"/>
  <c r="M1844" i="2"/>
  <c r="J1854" i="2"/>
  <c r="F1814" i="6" s="1"/>
  <c r="M1854" i="2"/>
  <c r="J1850" i="2"/>
  <c r="F1810" i="6" s="1"/>
  <c r="M1850" i="2"/>
  <c r="J1846" i="2"/>
  <c r="F1806" i="6" s="1"/>
  <c r="M1846" i="2"/>
  <c r="J1842" i="2"/>
  <c r="F1802" i="6" s="1"/>
  <c r="M1842" i="2"/>
  <c r="J1838" i="2"/>
  <c r="F1798" i="6" s="1"/>
  <c r="M1838" i="2"/>
  <c r="J1834" i="2"/>
  <c r="F1794" i="6" s="1"/>
  <c r="M1834" i="2"/>
  <c r="J1830" i="2"/>
  <c r="F1790" i="6" s="1"/>
  <c r="M1830" i="2"/>
  <c r="J1826" i="2"/>
  <c r="F1786" i="6" s="1"/>
  <c r="M1826" i="2"/>
  <c r="Q973" i="2"/>
  <c r="R973" i="2" s="1"/>
  <c r="J60" i="2"/>
  <c r="M60" i="2"/>
  <c r="J1853" i="2"/>
  <c r="F1813" i="6" s="1"/>
  <c r="M1853" i="2"/>
  <c r="J1849" i="2"/>
  <c r="F1809" i="6" s="1"/>
  <c r="M1849" i="2"/>
  <c r="J1845" i="2"/>
  <c r="F1805" i="6" s="1"/>
  <c r="M1845" i="2"/>
  <c r="J1841" i="2"/>
  <c r="F1801" i="6" s="1"/>
  <c r="M1841" i="2"/>
  <c r="J1837" i="2"/>
  <c r="F1797" i="6" s="1"/>
  <c r="M1837" i="2"/>
  <c r="J1833" i="2"/>
  <c r="F1793" i="6" s="1"/>
  <c r="M1833" i="2"/>
  <c r="J1829" i="2"/>
  <c r="F1789" i="6" s="1"/>
  <c r="M1829" i="2"/>
  <c r="J1825" i="2"/>
  <c r="F1785" i="6" s="1"/>
  <c r="M1825" i="2"/>
  <c r="F2247" i="2"/>
  <c r="F1121" i="2"/>
  <c r="F1122" i="2"/>
  <c r="F1123" i="2"/>
  <c r="F1124" i="2"/>
  <c r="F1125" i="2"/>
  <c r="F1126" i="2"/>
  <c r="F1127" i="2"/>
  <c r="F1128" i="2"/>
  <c r="F1129" i="2"/>
  <c r="F1130" i="2"/>
  <c r="F1131" i="2"/>
  <c r="F1132" i="2"/>
  <c r="F1133" i="2"/>
  <c r="F1134" i="2"/>
  <c r="F1120" i="2"/>
  <c r="F1106" i="2"/>
  <c r="F1107" i="2"/>
  <c r="F1108" i="2"/>
  <c r="F1109" i="2"/>
  <c r="F1110" i="2"/>
  <c r="F1111" i="2"/>
  <c r="F1112" i="2"/>
  <c r="F1113" i="2"/>
  <c r="F1114" i="2"/>
  <c r="F1105" i="2"/>
  <c r="F1089" i="2"/>
  <c r="F1090" i="2"/>
  <c r="F1091" i="2"/>
  <c r="F1092" i="2"/>
  <c r="F1093" i="2"/>
  <c r="F1094" i="2"/>
  <c r="F1095" i="2"/>
  <c r="F1096" i="2"/>
  <c r="F1097" i="2"/>
  <c r="F1098" i="2"/>
  <c r="F1099" i="2"/>
  <c r="F1088"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37"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994" i="2"/>
  <c r="F975" i="2"/>
  <c r="F976" i="2"/>
  <c r="F977" i="2"/>
  <c r="F978" i="2"/>
  <c r="F979" i="2"/>
  <c r="F980" i="2"/>
  <c r="F981" i="2"/>
  <c r="F982" i="2"/>
  <c r="F983" i="2"/>
  <c r="F984" i="2"/>
  <c r="F985" i="2"/>
  <c r="F986" i="2"/>
  <c r="F987" i="2"/>
  <c r="F988" i="2"/>
  <c r="F989" i="2"/>
  <c r="F974" i="2"/>
  <c r="F971" i="2"/>
  <c r="F1117" i="2"/>
  <c r="F1118" i="2"/>
  <c r="F1119" i="2"/>
  <c r="F1116" i="2"/>
  <c r="F1102" i="2"/>
  <c r="F1103" i="2"/>
  <c r="F1104" i="2"/>
  <c r="F1101" i="2"/>
  <c r="F1084" i="2"/>
  <c r="F1085" i="2"/>
  <c r="F1086" i="2"/>
  <c r="F1087" i="2"/>
  <c r="F1083" i="2"/>
  <c r="F1028" i="2"/>
  <c r="F1029" i="2"/>
  <c r="F1030" i="2"/>
  <c r="F1031" i="2"/>
  <c r="F1032" i="2"/>
  <c r="F1033" i="2"/>
  <c r="F1034" i="2"/>
  <c r="F1035" i="2"/>
  <c r="F1036" i="2"/>
  <c r="F1027" i="2"/>
  <c r="F991" i="2"/>
  <c r="F992" i="2"/>
  <c r="F993" i="2"/>
  <c r="F990" i="2"/>
  <c r="F968" i="2"/>
  <c r="F969" i="2"/>
  <c r="F970" i="2"/>
  <c r="F933" i="2"/>
  <c r="F932" i="2"/>
  <c r="F931" i="2"/>
  <c r="F930" i="2"/>
  <c r="F928" i="2"/>
  <c r="F927" i="2"/>
  <c r="F925" i="2"/>
  <c r="F924" i="2"/>
  <c r="F922" i="2"/>
  <c r="F921" i="2"/>
  <c r="F919" i="2"/>
  <c r="F918" i="2"/>
  <c r="F916" i="2"/>
  <c r="F915" i="2"/>
  <c r="F913" i="2"/>
  <c r="F912" i="2"/>
  <c r="F910" i="2"/>
  <c r="F909" i="2"/>
  <c r="F907" i="2"/>
  <c r="F906" i="2"/>
  <c r="F904" i="2"/>
  <c r="F903" i="2"/>
  <c r="F901" i="2"/>
  <c r="F900" i="2"/>
  <c r="F898" i="2"/>
  <c r="F897" i="2"/>
  <c r="F895" i="2"/>
  <c r="F894" i="2"/>
  <c r="F892" i="2"/>
  <c r="F891" i="2"/>
  <c r="F889" i="2"/>
  <c r="F888" i="2"/>
  <c r="F886" i="2"/>
  <c r="F885" i="2"/>
  <c r="F883" i="2"/>
  <c r="F882" i="2"/>
  <c r="F880" i="2"/>
  <c r="F879" i="2"/>
  <c r="F877" i="2"/>
  <c r="F876" i="2"/>
  <c r="F874" i="2"/>
  <c r="F873" i="2"/>
  <c r="F871" i="2"/>
  <c r="F870" i="2"/>
  <c r="F868" i="2"/>
  <c r="F867" i="2"/>
  <c r="F865" i="2"/>
  <c r="F864" i="2"/>
  <c r="F862" i="2"/>
  <c r="F861" i="2"/>
  <c r="F859" i="2"/>
  <c r="F858" i="2"/>
  <c r="F856" i="2"/>
  <c r="F855" i="2"/>
  <c r="F853" i="2"/>
  <c r="F852" i="2"/>
  <c r="F850" i="2"/>
  <c r="F849" i="2"/>
  <c r="F847" i="2"/>
  <c r="F846" i="2"/>
  <c r="F844" i="2"/>
  <c r="F843" i="2"/>
  <c r="F841" i="2"/>
  <c r="F840" i="2"/>
  <c r="F836" i="2"/>
  <c r="F835" i="2"/>
  <c r="F833" i="2"/>
  <c r="F832" i="2"/>
  <c r="F830" i="2"/>
  <c r="F829" i="2"/>
  <c r="F827" i="2"/>
  <c r="F826" i="2"/>
  <c r="F824" i="2"/>
  <c r="F823" i="2"/>
  <c r="F821" i="2"/>
  <c r="F820" i="2"/>
  <c r="F818" i="2"/>
  <c r="F817" i="2"/>
  <c r="F815" i="2"/>
  <c r="F814" i="2"/>
  <c r="F812" i="2"/>
  <c r="F811" i="2"/>
  <c r="F809" i="2"/>
  <c r="F808" i="2"/>
  <c r="F806" i="2"/>
  <c r="F800" i="2"/>
  <c r="F799" i="2"/>
  <c r="F797" i="2"/>
  <c r="F796" i="2"/>
  <c r="F794" i="2"/>
  <c r="F793" i="2"/>
  <c r="F772" i="2"/>
  <c r="F773" i="2"/>
  <c r="F774" i="2"/>
  <c r="F775" i="2"/>
  <c r="F776" i="2"/>
  <c r="F777" i="2"/>
  <c r="F778" i="2"/>
  <c r="F779" i="2"/>
  <c r="F780" i="2"/>
  <c r="F781" i="2"/>
  <c r="F782" i="2"/>
  <c r="F783" i="2"/>
  <c r="F784" i="2"/>
  <c r="F785" i="2"/>
  <c r="F786" i="2"/>
  <c r="F787" i="2"/>
  <c r="F155" i="2"/>
  <c r="F156" i="2"/>
  <c r="F154" i="2"/>
  <c r="F149" i="2"/>
  <c r="F150" i="2"/>
  <c r="F148" i="2"/>
  <c r="F135" i="2"/>
  <c r="F112" i="2"/>
  <c r="F111" i="2"/>
  <c r="F107" i="2"/>
  <c r="F108" i="2"/>
  <c r="F106" i="2"/>
  <c r="F99" i="2"/>
  <c r="F95" i="2"/>
  <c r="F98" i="2"/>
  <c r="F94" i="2"/>
  <c r="F87" i="2"/>
  <c r="F88" i="2"/>
  <c r="F86" i="2"/>
  <c r="F82" i="2"/>
  <c r="F83" i="2"/>
  <c r="F58" i="2"/>
  <c r="P1578" i="4"/>
  <c r="K1786" i="6" l="1"/>
  <c r="L1786" i="6" s="1"/>
  <c r="G1786" i="6"/>
  <c r="K1794" i="6"/>
  <c r="L1794" i="6" s="1"/>
  <c r="G1794" i="6"/>
  <c r="K1802" i="6"/>
  <c r="L1802" i="6" s="1"/>
  <c r="G1802" i="6"/>
  <c r="K1810" i="6"/>
  <c r="L1810" i="6" s="1"/>
  <c r="G1810" i="6"/>
  <c r="K1804" i="6"/>
  <c r="L1804" i="6" s="1"/>
  <c r="G1804" i="6"/>
  <c r="K1783" i="6"/>
  <c r="L1783" i="6" s="1"/>
  <c r="G1783" i="6"/>
  <c r="K1791" i="6"/>
  <c r="L1791" i="6" s="1"/>
  <c r="G1791" i="6"/>
  <c r="K1799" i="6"/>
  <c r="L1799" i="6" s="1"/>
  <c r="G1799" i="6"/>
  <c r="K1807" i="6"/>
  <c r="L1807" i="6" s="1"/>
  <c r="G1807" i="6"/>
  <c r="K1815" i="6"/>
  <c r="L1815" i="6" s="1"/>
  <c r="G1815" i="6"/>
  <c r="K933" i="6"/>
  <c r="L933" i="6" s="1"/>
  <c r="G933" i="6"/>
  <c r="K1785" i="6"/>
  <c r="L1785" i="6" s="1"/>
  <c r="G1785" i="6"/>
  <c r="K1793" i="6"/>
  <c r="L1793" i="6" s="1"/>
  <c r="G1793" i="6"/>
  <c r="K1801" i="6"/>
  <c r="L1801" i="6" s="1"/>
  <c r="G1801" i="6"/>
  <c r="K1809" i="6"/>
  <c r="L1809" i="6" s="1"/>
  <c r="G1809" i="6"/>
  <c r="K1788" i="6"/>
  <c r="L1788" i="6" s="1"/>
  <c r="G1788" i="6"/>
  <c r="K1796" i="6"/>
  <c r="L1796" i="6" s="1"/>
  <c r="G1796" i="6"/>
  <c r="K1808" i="6"/>
  <c r="L1808" i="6" s="1"/>
  <c r="G1808" i="6"/>
  <c r="K1790" i="6"/>
  <c r="L1790" i="6" s="1"/>
  <c r="G1790" i="6"/>
  <c r="K1798" i="6"/>
  <c r="L1798" i="6" s="1"/>
  <c r="G1798" i="6"/>
  <c r="K1806" i="6"/>
  <c r="L1806" i="6" s="1"/>
  <c r="G1806" i="6"/>
  <c r="K1814" i="6"/>
  <c r="L1814" i="6" s="1"/>
  <c r="G1814" i="6"/>
  <c r="K1812" i="6"/>
  <c r="L1812" i="6" s="1"/>
  <c r="G1812" i="6"/>
  <c r="K1787" i="6"/>
  <c r="L1787" i="6" s="1"/>
  <c r="G1787" i="6"/>
  <c r="K1795" i="6"/>
  <c r="L1795" i="6" s="1"/>
  <c r="G1795" i="6"/>
  <c r="K1803" i="6"/>
  <c r="L1803" i="6" s="1"/>
  <c r="G1803" i="6"/>
  <c r="K1811" i="6"/>
  <c r="L1811" i="6" s="1"/>
  <c r="G1811" i="6"/>
  <c r="K1789" i="6"/>
  <c r="L1789" i="6" s="1"/>
  <c r="G1789" i="6"/>
  <c r="K1797" i="6"/>
  <c r="L1797" i="6" s="1"/>
  <c r="G1797" i="6"/>
  <c r="K1805" i="6"/>
  <c r="L1805" i="6" s="1"/>
  <c r="G1805" i="6"/>
  <c r="K1813" i="6"/>
  <c r="L1813" i="6" s="1"/>
  <c r="G1813" i="6"/>
  <c r="K1784" i="6"/>
  <c r="L1784" i="6" s="1"/>
  <c r="G1784" i="6"/>
  <c r="K1792" i="6"/>
  <c r="L1792" i="6" s="1"/>
  <c r="G1792" i="6"/>
  <c r="K1800" i="6"/>
  <c r="L1800" i="6" s="1"/>
  <c r="G1800" i="6"/>
  <c r="K1782" i="6"/>
  <c r="L1782" i="6" s="1"/>
  <c r="G1782" i="6"/>
  <c r="K1826" i="2"/>
  <c r="K1834" i="2"/>
  <c r="K1842" i="2"/>
  <c r="K1850" i="2"/>
  <c r="K1844" i="2"/>
  <c r="K1823" i="2"/>
  <c r="K1831" i="2"/>
  <c r="K1839" i="2"/>
  <c r="K1847" i="2"/>
  <c r="K1855" i="2"/>
  <c r="K1825" i="2"/>
  <c r="K1833" i="2"/>
  <c r="K1841" i="2"/>
  <c r="K1849" i="2"/>
  <c r="K60" i="2"/>
  <c r="F20" i="6"/>
  <c r="K1828" i="2"/>
  <c r="K1836" i="2"/>
  <c r="K1848" i="2"/>
  <c r="K1830" i="2"/>
  <c r="K1838" i="2"/>
  <c r="K1846" i="2"/>
  <c r="K1854" i="2"/>
  <c r="K1852" i="2"/>
  <c r="K1827" i="2"/>
  <c r="K1835" i="2"/>
  <c r="K1843" i="2"/>
  <c r="K1851" i="2"/>
  <c r="K1829" i="2"/>
  <c r="K1837" i="2"/>
  <c r="K1845" i="2"/>
  <c r="K1853" i="2"/>
  <c r="K1824" i="2"/>
  <c r="K1832" i="2"/>
  <c r="K1840" i="2"/>
  <c r="K1822" i="2"/>
  <c r="J98" i="2"/>
  <c r="M98" i="2"/>
  <c r="J150" i="2"/>
  <c r="M150" i="2"/>
  <c r="J785" i="2"/>
  <c r="M785" i="2"/>
  <c r="J796" i="2"/>
  <c r="M796" i="2"/>
  <c r="J824" i="2"/>
  <c r="M824" i="2"/>
  <c r="J850" i="2"/>
  <c r="M850" i="2"/>
  <c r="J874" i="2"/>
  <c r="M874" i="2"/>
  <c r="J898" i="2"/>
  <c r="M898" i="2"/>
  <c r="J916" i="2"/>
  <c r="M916" i="2"/>
  <c r="J928" i="2"/>
  <c r="M928" i="2"/>
  <c r="J1027" i="2"/>
  <c r="M1027" i="2"/>
  <c r="J974" i="2"/>
  <c r="M974" i="2"/>
  <c r="J994" i="2"/>
  <c r="M994" i="2"/>
  <c r="J1008" i="2"/>
  <c r="M1008" i="2"/>
  <c r="J996" i="2"/>
  <c r="M996" i="2"/>
  <c r="J1069" i="2"/>
  <c r="M1069" i="2"/>
  <c r="J1053" i="2"/>
  <c r="M1053" i="2"/>
  <c r="J1105" i="2"/>
  <c r="M1105" i="2"/>
  <c r="Q1828" i="2"/>
  <c r="R1828" i="2" s="1"/>
  <c r="J88" i="2"/>
  <c r="M88" i="2"/>
  <c r="J95" i="2"/>
  <c r="M95" i="2"/>
  <c r="J107" i="2"/>
  <c r="M107" i="2"/>
  <c r="J149" i="2"/>
  <c r="M149" i="2"/>
  <c r="J784" i="2"/>
  <c r="M784" i="2"/>
  <c r="J780" i="2"/>
  <c r="M780" i="2"/>
  <c r="J776" i="2"/>
  <c r="M776" i="2"/>
  <c r="J772" i="2"/>
  <c r="M772" i="2"/>
  <c r="J797" i="2"/>
  <c r="M797" i="2"/>
  <c r="J808" i="2"/>
  <c r="M808" i="2"/>
  <c r="J814" i="2"/>
  <c r="M814" i="2"/>
  <c r="J820" i="2"/>
  <c r="M820" i="2"/>
  <c r="J826" i="2"/>
  <c r="M826" i="2"/>
  <c r="J832" i="2"/>
  <c r="M832" i="2"/>
  <c r="J840" i="2"/>
  <c r="M840" i="2"/>
  <c r="J846" i="2"/>
  <c r="M846" i="2"/>
  <c r="J852" i="2"/>
  <c r="M852" i="2"/>
  <c r="J858" i="2"/>
  <c r="M858" i="2"/>
  <c r="J864" i="2"/>
  <c r="M864" i="2"/>
  <c r="J870" i="2"/>
  <c r="M870" i="2"/>
  <c r="J876" i="2"/>
  <c r="M876" i="2"/>
  <c r="J882" i="2"/>
  <c r="M882" i="2"/>
  <c r="J888" i="2"/>
  <c r="M888" i="2"/>
  <c r="J894" i="2"/>
  <c r="M894" i="2"/>
  <c r="J900" i="2"/>
  <c r="M900" i="2"/>
  <c r="J906" i="2"/>
  <c r="M906" i="2"/>
  <c r="J912" i="2"/>
  <c r="M912" i="2"/>
  <c r="J918" i="2"/>
  <c r="M918" i="2"/>
  <c r="J924" i="2"/>
  <c r="M924" i="2"/>
  <c r="J930" i="2"/>
  <c r="M930" i="2"/>
  <c r="J970" i="2"/>
  <c r="M970" i="2"/>
  <c r="J993" i="2"/>
  <c r="M993" i="2"/>
  <c r="J1036" i="2"/>
  <c r="M1036" i="2"/>
  <c r="J1032" i="2"/>
  <c r="M1032" i="2"/>
  <c r="J1028" i="2"/>
  <c r="M1028" i="2"/>
  <c r="J1085" i="2"/>
  <c r="M1085" i="2"/>
  <c r="J1103" i="2"/>
  <c r="M1103" i="2"/>
  <c r="J1118" i="2"/>
  <c r="M1118" i="2"/>
  <c r="J989" i="2"/>
  <c r="M989" i="2"/>
  <c r="J985" i="2"/>
  <c r="M985" i="2"/>
  <c r="J981" i="2"/>
  <c r="M981" i="2"/>
  <c r="J977" i="2"/>
  <c r="M977" i="2"/>
  <c r="J1019" i="2"/>
  <c r="M1019" i="2"/>
  <c r="J1015" i="2"/>
  <c r="M1015" i="2"/>
  <c r="J1011" i="2"/>
  <c r="M1011" i="2"/>
  <c r="J1007" i="2"/>
  <c r="M1007" i="2"/>
  <c r="J1003" i="2"/>
  <c r="M1003" i="2"/>
  <c r="J999" i="2"/>
  <c r="M999" i="2"/>
  <c r="J995" i="2"/>
  <c r="M995" i="2"/>
  <c r="J1080" i="2"/>
  <c r="M1080" i="2"/>
  <c r="J1076" i="2"/>
  <c r="M1076" i="2"/>
  <c r="J1072" i="2"/>
  <c r="M1072" i="2"/>
  <c r="J1068" i="2"/>
  <c r="M1068" i="2"/>
  <c r="J1064" i="2"/>
  <c r="M1064" i="2"/>
  <c r="J1060" i="2"/>
  <c r="M1060" i="2"/>
  <c r="J1056" i="2"/>
  <c r="M1056" i="2"/>
  <c r="J1052" i="2"/>
  <c r="M1052" i="2"/>
  <c r="J1048" i="2"/>
  <c r="M1048" i="2"/>
  <c r="J1044" i="2"/>
  <c r="M1044" i="2"/>
  <c r="J1040" i="2"/>
  <c r="M1040" i="2"/>
  <c r="J1099" i="2"/>
  <c r="M1099" i="2"/>
  <c r="M1095" i="2"/>
  <c r="J1095" i="2"/>
  <c r="J1091" i="2"/>
  <c r="M1091" i="2"/>
  <c r="J1114" i="2"/>
  <c r="M1114" i="2"/>
  <c r="J1110" i="2"/>
  <c r="M1110" i="2"/>
  <c r="J1106" i="2"/>
  <c r="M1106" i="2"/>
  <c r="J1132" i="2"/>
  <c r="M1132" i="2"/>
  <c r="J1128" i="2"/>
  <c r="M1128" i="2"/>
  <c r="J1124" i="2"/>
  <c r="M1124" i="2"/>
  <c r="J2247" i="2"/>
  <c r="F2207" i="6" s="1"/>
  <c r="M2247" i="2"/>
  <c r="J108" i="2"/>
  <c r="M108" i="2"/>
  <c r="J155" i="2"/>
  <c r="M155" i="2"/>
  <c r="J781" i="2"/>
  <c r="M781" i="2"/>
  <c r="J773" i="2"/>
  <c r="M773" i="2"/>
  <c r="J812" i="2"/>
  <c r="M812" i="2"/>
  <c r="J836" i="2"/>
  <c r="M836" i="2"/>
  <c r="J856" i="2"/>
  <c r="M856" i="2"/>
  <c r="J868" i="2"/>
  <c r="M868" i="2"/>
  <c r="J886" i="2"/>
  <c r="M886" i="2"/>
  <c r="J904" i="2"/>
  <c r="M904" i="2"/>
  <c r="J1033" i="2"/>
  <c r="M1033" i="2"/>
  <c r="J1086" i="2"/>
  <c r="M1086" i="2"/>
  <c r="J1119" i="2"/>
  <c r="M1119" i="2"/>
  <c r="J982" i="2"/>
  <c r="M982" i="2"/>
  <c r="J1016" i="2"/>
  <c r="M1016" i="2"/>
  <c r="J1004" i="2"/>
  <c r="M1004" i="2"/>
  <c r="J1081" i="2"/>
  <c r="M1081" i="2"/>
  <c r="J1073" i="2"/>
  <c r="M1073" i="2"/>
  <c r="J1061" i="2"/>
  <c r="M1061" i="2"/>
  <c r="J1049" i="2"/>
  <c r="M1049" i="2"/>
  <c r="J1041" i="2"/>
  <c r="M1041" i="2"/>
  <c r="J1096" i="2"/>
  <c r="M1096" i="2"/>
  <c r="J1111" i="2"/>
  <c r="M1111" i="2"/>
  <c r="J1133" i="2"/>
  <c r="M1133" i="2"/>
  <c r="J1125" i="2"/>
  <c r="M1125" i="2"/>
  <c r="Q1837" i="2"/>
  <c r="R1837" i="2" s="1"/>
  <c r="Q1845" i="2"/>
  <c r="R1845" i="2" s="1"/>
  <c r="Q1853" i="2"/>
  <c r="R1853" i="2" s="1"/>
  <c r="Q1830" i="2"/>
  <c r="R1830" i="2" s="1"/>
  <c r="Q1846" i="2"/>
  <c r="R1846" i="2" s="1"/>
  <c r="Q1852" i="2"/>
  <c r="R1852" i="2" s="1"/>
  <c r="Q1835" i="2"/>
  <c r="R1835" i="2" s="1"/>
  <c r="Q1843" i="2"/>
  <c r="R1843" i="2" s="1"/>
  <c r="Q1851" i="2"/>
  <c r="R1851" i="2" s="1"/>
  <c r="Q1836" i="2"/>
  <c r="R1836" i="2" s="1"/>
  <c r="J83" i="2"/>
  <c r="M83" i="2"/>
  <c r="J87" i="2"/>
  <c r="M87" i="2"/>
  <c r="J99" i="2"/>
  <c r="M99" i="2"/>
  <c r="J111" i="2"/>
  <c r="M111" i="2"/>
  <c r="J135" i="2"/>
  <c r="M135" i="2"/>
  <c r="J154" i="2"/>
  <c r="M154" i="2"/>
  <c r="J787" i="2"/>
  <c r="M787" i="2"/>
  <c r="J783" i="2"/>
  <c r="M783" i="2"/>
  <c r="J779" i="2"/>
  <c r="M779" i="2"/>
  <c r="J775" i="2"/>
  <c r="M775" i="2"/>
  <c r="J793" i="2"/>
  <c r="M793" i="2"/>
  <c r="J799" i="2"/>
  <c r="M799" i="2"/>
  <c r="J809" i="2"/>
  <c r="M809" i="2"/>
  <c r="J815" i="2"/>
  <c r="M815" i="2"/>
  <c r="J821" i="2"/>
  <c r="M821" i="2"/>
  <c r="J827" i="2"/>
  <c r="M827" i="2"/>
  <c r="J833" i="2"/>
  <c r="M833" i="2"/>
  <c r="J841" i="2"/>
  <c r="M841" i="2"/>
  <c r="J847" i="2"/>
  <c r="M847" i="2"/>
  <c r="J853" i="2"/>
  <c r="M853" i="2"/>
  <c r="J859" i="2"/>
  <c r="M859" i="2"/>
  <c r="J865" i="2"/>
  <c r="M865" i="2"/>
  <c r="J871" i="2"/>
  <c r="M871" i="2"/>
  <c r="J877" i="2"/>
  <c r="M877" i="2"/>
  <c r="J883" i="2"/>
  <c r="M883" i="2"/>
  <c r="J889" i="2"/>
  <c r="M889" i="2"/>
  <c r="J895" i="2"/>
  <c r="M895" i="2"/>
  <c r="J901" i="2"/>
  <c r="M901" i="2"/>
  <c r="J907" i="2"/>
  <c r="M907" i="2"/>
  <c r="J913" i="2"/>
  <c r="M913" i="2"/>
  <c r="J919" i="2"/>
  <c r="M919" i="2"/>
  <c r="J925" i="2"/>
  <c r="M925" i="2"/>
  <c r="J931" i="2"/>
  <c r="M931" i="2"/>
  <c r="J969" i="2"/>
  <c r="M969" i="2"/>
  <c r="J992" i="2"/>
  <c r="M992" i="2"/>
  <c r="J1035" i="2"/>
  <c r="M1035" i="2"/>
  <c r="M1031" i="2"/>
  <c r="J1031" i="2"/>
  <c r="J1083" i="2"/>
  <c r="M1083" i="2"/>
  <c r="J1084" i="2"/>
  <c r="M1084" i="2"/>
  <c r="J1102" i="2"/>
  <c r="M1102" i="2"/>
  <c r="J1117" i="2"/>
  <c r="M1117" i="2"/>
  <c r="J988" i="2"/>
  <c r="M988" i="2"/>
  <c r="J984" i="2"/>
  <c r="M984" i="2"/>
  <c r="J980" i="2"/>
  <c r="M980" i="2"/>
  <c r="J976" i="2"/>
  <c r="M976" i="2"/>
  <c r="J1018" i="2"/>
  <c r="M1018" i="2"/>
  <c r="J1014" i="2"/>
  <c r="M1014" i="2"/>
  <c r="J1010" i="2"/>
  <c r="M1010" i="2"/>
  <c r="M1006" i="2"/>
  <c r="J1006" i="2"/>
  <c r="J1002" i="2"/>
  <c r="M1002" i="2"/>
  <c r="J998" i="2"/>
  <c r="M998" i="2"/>
  <c r="J1037" i="2"/>
  <c r="M1037" i="2"/>
  <c r="J1079" i="2"/>
  <c r="M1079" i="2"/>
  <c r="J1075" i="2"/>
  <c r="M1075" i="2"/>
  <c r="J1071" i="2"/>
  <c r="M1071" i="2"/>
  <c r="J1067" i="2"/>
  <c r="M1067" i="2"/>
  <c r="J1063" i="2"/>
  <c r="M1063" i="2"/>
  <c r="J1059" i="2"/>
  <c r="M1059" i="2"/>
  <c r="J1055" i="2"/>
  <c r="M1055" i="2"/>
  <c r="J1051" i="2"/>
  <c r="M1051" i="2"/>
  <c r="J1047" i="2"/>
  <c r="M1047" i="2"/>
  <c r="J1043" i="2"/>
  <c r="M1043" i="2"/>
  <c r="J1039" i="2"/>
  <c r="M1039" i="2"/>
  <c r="J1098" i="2"/>
  <c r="M1098" i="2"/>
  <c r="J1094" i="2"/>
  <c r="M1094" i="2"/>
  <c r="J1090" i="2"/>
  <c r="M1090" i="2"/>
  <c r="J1113" i="2"/>
  <c r="M1113" i="2"/>
  <c r="J1109" i="2"/>
  <c r="M1109" i="2"/>
  <c r="J1120" i="2"/>
  <c r="M1120" i="2"/>
  <c r="J1131" i="2"/>
  <c r="M1131" i="2"/>
  <c r="J1127" i="2"/>
  <c r="M1127" i="2"/>
  <c r="J1123" i="2"/>
  <c r="M1123" i="2"/>
  <c r="Q1825" i="2"/>
  <c r="R1825" i="2" s="1"/>
  <c r="Q1833" i="2"/>
  <c r="R1833" i="2" s="1"/>
  <c r="Q1841" i="2"/>
  <c r="R1841" i="2" s="1"/>
  <c r="Q1849" i="2"/>
  <c r="R1849" i="2" s="1"/>
  <c r="Q60" i="2"/>
  <c r="R60" i="2" s="1"/>
  <c r="Q1826" i="2"/>
  <c r="R1826" i="2" s="1"/>
  <c r="Q1834" i="2"/>
  <c r="R1834" i="2" s="1"/>
  <c r="Q1842" i="2"/>
  <c r="R1842" i="2" s="1"/>
  <c r="Q1850" i="2"/>
  <c r="R1850" i="2" s="1"/>
  <c r="Q1844" i="2"/>
  <c r="R1844" i="2" s="1"/>
  <c r="Q1823" i="2"/>
  <c r="R1823" i="2" s="1"/>
  <c r="Q1831" i="2"/>
  <c r="R1831" i="2" s="1"/>
  <c r="Q1839" i="2"/>
  <c r="R1839" i="2" s="1"/>
  <c r="Q1847" i="2"/>
  <c r="R1847" i="2" s="1"/>
  <c r="Q1855" i="2"/>
  <c r="R1855" i="2" s="1"/>
  <c r="Q1824" i="2"/>
  <c r="R1824" i="2" s="1"/>
  <c r="Q1832" i="2"/>
  <c r="R1832" i="2" s="1"/>
  <c r="Q1840" i="2"/>
  <c r="R1840" i="2" s="1"/>
  <c r="Q1822" i="2"/>
  <c r="R1822" i="2" s="1"/>
  <c r="J86" i="2"/>
  <c r="M86" i="2"/>
  <c r="J777" i="2"/>
  <c r="M777" i="2"/>
  <c r="J806" i="2"/>
  <c r="M806" i="2"/>
  <c r="J818" i="2"/>
  <c r="M818" i="2"/>
  <c r="J830" i="2"/>
  <c r="M830" i="2"/>
  <c r="J844" i="2"/>
  <c r="M844" i="2"/>
  <c r="J862" i="2"/>
  <c r="M862" i="2"/>
  <c r="J880" i="2"/>
  <c r="M880" i="2"/>
  <c r="J892" i="2"/>
  <c r="M892" i="2"/>
  <c r="J910" i="2"/>
  <c r="M910" i="2"/>
  <c r="J922" i="2"/>
  <c r="M922" i="2"/>
  <c r="J933" i="2"/>
  <c r="M933" i="2"/>
  <c r="J990" i="2"/>
  <c r="M990" i="2"/>
  <c r="J1029" i="2"/>
  <c r="M1029" i="2"/>
  <c r="J1104" i="2"/>
  <c r="M1104" i="2"/>
  <c r="J986" i="2"/>
  <c r="M986" i="2"/>
  <c r="J978" i="2"/>
  <c r="M978" i="2"/>
  <c r="J1012" i="2"/>
  <c r="M1012" i="2"/>
  <c r="J1000" i="2"/>
  <c r="M1000" i="2"/>
  <c r="J1077" i="2"/>
  <c r="M1077" i="2"/>
  <c r="J1065" i="2"/>
  <c r="M1065" i="2"/>
  <c r="J1057" i="2"/>
  <c r="M1057" i="2"/>
  <c r="J1045" i="2"/>
  <c r="M1045" i="2"/>
  <c r="J1088" i="2"/>
  <c r="M1088" i="2"/>
  <c r="J1092" i="2"/>
  <c r="M1092" i="2"/>
  <c r="J1107" i="2"/>
  <c r="M1107" i="2"/>
  <c r="J1129" i="2"/>
  <c r="M1129" i="2"/>
  <c r="J1121" i="2"/>
  <c r="M1121" i="2"/>
  <c r="Q1829" i="2"/>
  <c r="R1829" i="2" s="1"/>
  <c r="Q1838" i="2"/>
  <c r="R1838" i="2" s="1"/>
  <c r="Q1854" i="2"/>
  <c r="R1854" i="2" s="1"/>
  <c r="Q1827" i="2"/>
  <c r="R1827" i="2" s="1"/>
  <c r="Q1848" i="2"/>
  <c r="R1848" i="2" s="1"/>
  <c r="J58" i="2"/>
  <c r="M58" i="2"/>
  <c r="J82" i="2"/>
  <c r="M82" i="2"/>
  <c r="J94" i="2"/>
  <c r="M94" i="2"/>
  <c r="J106" i="2"/>
  <c r="M106" i="2"/>
  <c r="J112" i="2"/>
  <c r="M112" i="2"/>
  <c r="J148" i="2"/>
  <c r="M148" i="2"/>
  <c r="J156" i="2"/>
  <c r="M156" i="2"/>
  <c r="J786" i="2"/>
  <c r="M786" i="2"/>
  <c r="J782" i="2"/>
  <c r="M782" i="2"/>
  <c r="J778" i="2"/>
  <c r="M778" i="2"/>
  <c r="J774" i="2"/>
  <c r="M774" i="2"/>
  <c r="J794" i="2"/>
  <c r="M794" i="2"/>
  <c r="J800" i="2"/>
  <c r="M800" i="2"/>
  <c r="J811" i="2"/>
  <c r="M811" i="2"/>
  <c r="J817" i="2"/>
  <c r="M817" i="2"/>
  <c r="J823" i="2"/>
  <c r="M823" i="2"/>
  <c r="J829" i="2"/>
  <c r="M829" i="2"/>
  <c r="J835" i="2"/>
  <c r="M835" i="2"/>
  <c r="M843" i="2"/>
  <c r="J843" i="2"/>
  <c r="J849" i="2"/>
  <c r="M849" i="2"/>
  <c r="J855" i="2"/>
  <c r="M855" i="2"/>
  <c r="J861" i="2"/>
  <c r="M861" i="2"/>
  <c r="J867" i="2"/>
  <c r="M867" i="2"/>
  <c r="J873" i="2"/>
  <c r="M873" i="2"/>
  <c r="J879" i="2"/>
  <c r="M879" i="2"/>
  <c r="J885" i="2"/>
  <c r="M885" i="2"/>
  <c r="J891" i="2"/>
  <c r="M891" i="2"/>
  <c r="J897" i="2"/>
  <c r="M897" i="2"/>
  <c r="J903" i="2"/>
  <c r="M903" i="2"/>
  <c r="J909" i="2"/>
  <c r="M909" i="2"/>
  <c r="J915" i="2"/>
  <c r="M915" i="2"/>
  <c r="J921" i="2"/>
  <c r="M921" i="2"/>
  <c r="J927" i="2"/>
  <c r="M927" i="2"/>
  <c r="J932" i="2"/>
  <c r="M932" i="2"/>
  <c r="J968" i="2"/>
  <c r="M968" i="2"/>
  <c r="J991" i="2"/>
  <c r="M991" i="2"/>
  <c r="J1034" i="2"/>
  <c r="M1034" i="2"/>
  <c r="J1030" i="2"/>
  <c r="M1030" i="2"/>
  <c r="J1087" i="2"/>
  <c r="M1087" i="2"/>
  <c r="J1101" i="2"/>
  <c r="M1101" i="2"/>
  <c r="J1116" i="2"/>
  <c r="M1116" i="2"/>
  <c r="J971" i="2"/>
  <c r="M971" i="2"/>
  <c r="J987" i="2"/>
  <c r="M987" i="2"/>
  <c r="J983" i="2"/>
  <c r="M983" i="2"/>
  <c r="J979" i="2"/>
  <c r="M979" i="2"/>
  <c r="J975" i="2"/>
  <c r="M975" i="2"/>
  <c r="J1017" i="2"/>
  <c r="M1017" i="2"/>
  <c r="J1013" i="2"/>
  <c r="M1013" i="2"/>
  <c r="J1009" i="2"/>
  <c r="M1009" i="2"/>
  <c r="J1005" i="2"/>
  <c r="M1005" i="2"/>
  <c r="J1001" i="2"/>
  <c r="M1001" i="2"/>
  <c r="J997" i="2"/>
  <c r="M997" i="2"/>
  <c r="J1082" i="2"/>
  <c r="M1082" i="2"/>
  <c r="J1078" i="2"/>
  <c r="M1078" i="2"/>
  <c r="J1074" i="2"/>
  <c r="M1074" i="2"/>
  <c r="J1070" i="2"/>
  <c r="M1070" i="2"/>
  <c r="J1066" i="2"/>
  <c r="M1066" i="2"/>
  <c r="J1062" i="2"/>
  <c r="M1062" i="2"/>
  <c r="J1058" i="2"/>
  <c r="M1058" i="2"/>
  <c r="J1054" i="2"/>
  <c r="M1054" i="2"/>
  <c r="J1050" i="2"/>
  <c r="M1050" i="2"/>
  <c r="J1046" i="2"/>
  <c r="M1046" i="2"/>
  <c r="J1042" i="2"/>
  <c r="M1042" i="2"/>
  <c r="J1038" i="2"/>
  <c r="M1038" i="2"/>
  <c r="J1097" i="2"/>
  <c r="M1097" i="2"/>
  <c r="J1093" i="2"/>
  <c r="M1093" i="2"/>
  <c r="J1089" i="2"/>
  <c r="M1089" i="2"/>
  <c r="J1112" i="2"/>
  <c r="M1112" i="2"/>
  <c r="J1108" i="2"/>
  <c r="M1108" i="2"/>
  <c r="J1134" i="2"/>
  <c r="M1134" i="2"/>
  <c r="J1130" i="2"/>
  <c r="M1130" i="2"/>
  <c r="M1126" i="2"/>
  <c r="J1126" i="2"/>
  <c r="J1122" i="2"/>
  <c r="M1122" i="2"/>
  <c r="I1573" i="4"/>
  <c r="K1573" i="4" s="1"/>
  <c r="M1573" i="4" s="1"/>
  <c r="N1573" i="4" s="1"/>
  <c r="I1611" i="4"/>
  <c r="K1611" i="4" s="1"/>
  <c r="I1609" i="4"/>
  <c r="K1609" i="4" s="1"/>
  <c r="M1609" i="4" s="1"/>
  <c r="N1609" i="4" s="1"/>
  <c r="I1607" i="4"/>
  <c r="I1605" i="4"/>
  <c r="I1603" i="4"/>
  <c r="I1601" i="4"/>
  <c r="I1599" i="4"/>
  <c r="I1597" i="4"/>
  <c r="K1597" i="4" s="1"/>
  <c r="M1597" i="4" s="1"/>
  <c r="N1597" i="4" s="1"/>
  <c r="I1595" i="4"/>
  <c r="K1595" i="4" s="1"/>
  <c r="I1593" i="4"/>
  <c r="K1593" i="4" s="1"/>
  <c r="M1593" i="4" s="1"/>
  <c r="N1593" i="4" s="1"/>
  <c r="I1591" i="4"/>
  <c r="K1591" i="4" s="1"/>
  <c r="I1589" i="4"/>
  <c r="I1587" i="4"/>
  <c r="K1587" i="4" s="1"/>
  <c r="I1585" i="4"/>
  <c r="I1581" i="4"/>
  <c r="K1581" i="4" s="1"/>
  <c r="I1578" i="4"/>
  <c r="I1570" i="4"/>
  <c r="I1568" i="4"/>
  <c r="I1566" i="4"/>
  <c r="I1563" i="4"/>
  <c r="I1561" i="4"/>
  <c r="K1561" i="4" s="1"/>
  <c r="I1554" i="4"/>
  <c r="I1548" i="4"/>
  <c r="I1545" i="4"/>
  <c r="I1543" i="4"/>
  <c r="K1543" i="4" s="1"/>
  <c r="I1537" i="4"/>
  <c r="I1534" i="4"/>
  <c r="I1531" i="4"/>
  <c r="I1524" i="4"/>
  <c r="K1524" i="4" s="1"/>
  <c r="I1513" i="4"/>
  <c r="I1506" i="4"/>
  <c r="I1503" i="4"/>
  <c r="I1498" i="4"/>
  <c r="K1498" i="4" s="1"/>
  <c r="I1495" i="4"/>
  <c r="I1493" i="4"/>
  <c r="I1491" i="4"/>
  <c r="I1489" i="4"/>
  <c r="K1489" i="4" s="1"/>
  <c r="I1487" i="4"/>
  <c r="I1485" i="4"/>
  <c r="I1482" i="4"/>
  <c r="I1480" i="4"/>
  <c r="I1475" i="4"/>
  <c r="I1473" i="4"/>
  <c r="I1471" i="4"/>
  <c r="I1463" i="4"/>
  <c r="I1460" i="4"/>
  <c r="I1452" i="4"/>
  <c r="I1441" i="4"/>
  <c r="I1434" i="4"/>
  <c r="K1434" i="4" s="1"/>
  <c r="I1430" i="4"/>
  <c r="I1426" i="4"/>
  <c r="K1426" i="4" s="1"/>
  <c r="I1423" i="4"/>
  <c r="I1421" i="4"/>
  <c r="I1417" i="4"/>
  <c r="I1414" i="4"/>
  <c r="K1414" i="4" s="1"/>
  <c r="I1409" i="4"/>
  <c r="I1404" i="4"/>
  <c r="K1404" i="4" s="1"/>
  <c r="I1400" i="4"/>
  <c r="I1393" i="4"/>
  <c r="K1393" i="4" s="1"/>
  <c r="I1387" i="4"/>
  <c r="I1375" i="4"/>
  <c r="K1375" i="4" s="1"/>
  <c r="I1370" i="4"/>
  <c r="K1370" i="4" s="1"/>
  <c r="I1348" i="4"/>
  <c r="I1367" i="4" s="1"/>
  <c r="I1339" i="4"/>
  <c r="K1339" i="4" s="1"/>
  <c r="I1337" i="4"/>
  <c r="I1318" i="4"/>
  <c r="I1315" i="4"/>
  <c r="I1313" i="4"/>
  <c r="K1313" i="4" s="1"/>
  <c r="I1310" i="4"/>
  <c r="I1307" i="4"/>
  <c r="I1300" i="4"/>
  <c r="I1269" i="4"/>
  <c r="K1269" i="4" s="1"/>
  <c r="I1230" i="4"/>
  <c r="I1223" i="4"/>
  <c r="I1216" i="4"/>
  <c r="I1209" i="4"/>
  <c r="K1209" i="4" s="1"/>
  <c r="I1205" i="4"/>
  <c r="I1194" i="4"/>
  <c r="I1181" i="4"/>
  <c r="K1607" i="4"/>
  <c r="K1605" i="4"/>
  <c r="M1605" i="4" s="1"/>
  <c r="N1605" i="4" s="1"/>
  <c r="K1603" i="4"/>
  <c r="K1601" i="4"/>
  <c r="M1601" i="4" s="1"/>
  <c r="N1601" i="4" s="1"/>
  <c r="K1599" i="4"/>
  <c r="K1589" i="4"/>
  <c r="M1589" i="4" s="1"/>
  <c r="K1585" i="4"/>
  <c r="M1585" i="4" s="1"/>
  <c r="N1585" i="4" s="1"/>
  <c r="K1578" i="4"/>
  <c r="M1578" i="4" s="1"/>
  <c r="N1578" i="4" s="1"/>
  <c r="K1570" i="4"/>
  <c r="K1568" i="4"/>
  <c r="M1568" i="4" s="1"/>
  <c r="N1568" i="4" s="1"/>
  <c r="K1566" i="4"/>
  <c r="K1563" i="4"/>
  <c r="M1563" i="4" s="1"/>
  <c r="N1563" i="4" s="1"/>
  <c r="M1561" i="4"/>
  <c r="K1554" i="4"/>
  <c r="M1554" i="4" s="1"/>
  <c r="N1554" i="4" s="1"/>
  <c r="K1548" i="4"/>
  <c r="K1545" i="4"/>
  <c r="M1545" i="4" s="1"/>
  <c r="N1545" i="4" s="1"/>
  <c r="K1537" i="4"/>
  <c r="K1534" i="4"/>
  <c r="K1531" i="4"/>
  <c r="M1531" i="4" s="1"/>
  <c r="N1531" i="4" s="1"/>
  <c r="K1513" i="4"/>
  <c r="M1513" i="4" s="1"/>
  <c r="N1513" i="4" s="1"/>
  <c r="K1506" i="4"/>
  <c r="K1503" i="4"/>
  <c r="M1503" i="4" s="1"/>
  <c r="N1503" i="4" s="1"/>
  <c r="K1495" i="4"/>
  <c r="M1495" i="4" s="1"/>
  <c r="N1495" i="4" s="1"/>
  <c r="K1493" i="4"/>
  <c r="K1491" i="4"/>
  <c r="M1491" i="4" s="1"/>
  <c r="K1487" i="4"/>
  <c r="M1487" i="4" s="1"/>
  <c r="N1487" i="4" s="1"/>
  <c r="K1485" i="4"/>
  <c r="K1482" i="4"/>
  <c r="M1482" i="4" s="1"/>
  <c r="N1482" i="4" s="1"/>
  <c r="K1480" i="4"/>
  <c r="K1475" i="4"/>
  <c r="M1475" i="4" s="1"/>
  <c r="N1475" i="4" s="1"/>
  <c r="K1473" i="4"/>
  <c r="K1471" i="4"/>
  <c r="M1471" i="4" s="1"/>
  <c r="N1471" i="4" s="1"/>
  <c r="K1463" i="4"/>
  <c r="K1460" i="4"/>
  <c r="M1460" i="4" s="1"/>
  <c r="N1460" i="4" s="1"/>
  <c r="K1452" i="4"/>
  <c r="K1441" i="4"/>
  <c r="M1441" i="4" s="1"/>
  <c r="N1441" i="4" s="1"/>
  <c r="M1434" i="4"/>
  <c r="K1430" i="4"/>
  <c r="M1430" i="4" s="1"/>
  <c r="N1430" i="4" s="1"/>
  <c r="K1423" i="4"/>
  <c r="M1423" i="4" s="1"/>
  <c r="N1423" i="4" s="1"/>
  <c r="K1421" i="4"/>
  <c r="K1417" i="4"/>
  <c r="M1417" i="4" s="1"/>
  <c r="N1417" i="4" s="1"/>
  <c r="K1409" i="4"/>
  <c r="M1409" i="4" s="1"/>
  <c r="N1409" i="4" s="1"/>
  <c r="K1400" i="4"/>
  <c r="K1387" i="4"/>
  <c r="M1387" i="4" s="1"/>
  <c r="N1387" i="4" s="1"/>
  <c r="K1367" i="4"/>
  <c r="K1348" i="4"/>
  <c r="K1337" i="4"/>
  <c r="K1318" i="4"/>
  <c r="M1318" i="4" s="1"/>
  <c r="K1315" i="4"/>
  <c r="K1310" i="4"/>
  <c r="K1307" i="4"/>
  <c r="K1300" i="4"/>
  <c r="K1230" i="4"/>
  <c r="K1223" i="4"/>
  <c r="M1223" i="4" s="1"/>
  <c r="N1223" i="4" s="1"/>
  <c r="K1216" i="4"/>
  <c r="K1208" i="4"/>
  <c r="K1205" i="4"/>
  <c r="M1205" i="4" s="1"/>
  <c r="N1205" i="4" s="1"/>
  <c r="K1194" i="4"/>
  <c r="K1181" i="4"/>
  <c r="M1181" i="4" s="1"/>
  <c r="N1181" i="4" s="1"/>
  <c r="J1611" i="4"/>
  <c r="J1609" i="4"/>
  <c r="J1607" i="4"/>
  <c r="J1605" i="4"/>
  <c r="J1603" i="4"/>
  <c r="J1601" i="4"/>
  <c r="J1599" i="4"/>
  <c r="J1597" i="4"/>
  <c r="J1595" i="4"/>
  <c r="J1593" i="4"/>
  <c r="J1591" i="4"/>
  <c r="J1589" i="4"/>
  <c r="J1587" i="4"/>
  <c r="J1585" i="4"/>
  <c r="J1581" i="4"/>
  <c r="J1578" i="4"/>
  <c r="J1573" i="4"/>
  <c r="J1570" i="4"/>
  <c r="J1568" i="4"/>
  <c r="J1566" i="4"/>
  <c r="J1563" i="4"/>
  <c r="J1561" i="4"/>
  <c r="J1554" i="4"/>
  <c r="J1548" i="4"/>
  <c r="J1545" i="4"/>
  <c r="J1543" i="4"/>
  <c r="J1537" i="4"/>
  <c r="J1534" i="4"/>
  <c r="J1531" i="4"/>
  <c r="J1524" i="4"/>
  <c r="J1513" i="4"/>
  <c r="J1506" i="4"/>
  <c r="J1503" i="4"/>
  <c r="J1498" i="4"/>
  <c r="J1495" i="4"/>
  <c r="J1493" i="4"/>
  <c r="J1491" i="4"/>
  <c r="J1489" i="4"/>
  <c r="J1487" i="4"/>
  <c r="J1485" i="4"/>
  <c r="J1482" i="4"/>
  <c r="J1480" i="4"/>
  <c r="J1475" i="4"/>
  <c r="J1473" i="4"/>
  <c r="J1471" i="4"/>
  <c r="J1463" i="4"/>
  <c r="J1460" i="4"/>
  <c r="J1452" i="4"/>
  <c r="J1441" i="4"/>
  <c r="J1434" i="4"/>
  <c r="J1430" i="4"/>
  <c r="J1426" i="4"/>
  <c r="J1423" i="4"/>
  <c r="J1421" i="4"/>
  <c r="J1417" i="4"/>
  <c r="J1414" i="4"/>
  <c r="J1409" i="4"/>
  <c r="J1404" i="4"/>
  <c r="J1400" i="4"/>
  <c r="J1393" i="4"/>
  <c r="J1387" i="4"/>
  <c r="J1375" i="4"/>
  <c r="J1373" i="4"/>
  <c r="J1370" i="4"/>
  <c r="J1367" i="4"/>
  <c r="J1348" i="4"/>
  <c r="J1339" i="4"/>
  <c r="J1337" i="4"/>
  <c r="J1318" i="4"/>
  <c r="J1315" i="4"/>
  <c r="J1313" i="4"/>
  <c r="J1310" i="4"/>
  <c r="J1307" i="4"/>
  <c r="J1300" i="4"/>
  <c r="J1269" i="4"/>
  <c r="J1230" i="4"/>
  <c r="J1223" i="4"/>
  <c r="J1216" i="4"/>
  <c r="J1209" i="4"/>
  <c r="J1208" i="4"/>
  <c r="J1205" i="4"/>
  <c r="J1194" i="4"/>
  <c r="J1181" i="4"/>
  <c r="J1169" i="4"/>
  <c r="J1167" i="4"/>
  <c r="J1162" i="4"/>
  <c r="J1159" i="4"/>
  <c r="J1142" i="4"/>
  <c r="J1133" i="4"/>
  <c r="J1131" i="4"/>
  <c r="J1111" i="4"/>
  <c r="J1106" i="4"/>
  <c r="J1102" i="4"/>
  <c r="J1095" i="4"/>
  <c r="J1085" i="4"/>
  <c r="J1071" i="4"/>
  <c r="J1068" i="4"/>
  <c r="J1065" i="4"/>
  <c r="J1062" i="4"/>
  <c r="J1060" i="4"/>
  <c r="J1057" i="4"/>
  <c r="J1050" i="4"/>
  <c r="J1045" i="4"/>
  <c r="J1035" i="4"/>
  <c r="J1027" i="4"/>
  <c r="J1018" i="4"/>
  <c r="J1012" i="4"/>
  <c r="J949" i="4"/>
  <c r="J947" i="4"/>
  <c r="J940" i="4"/>
  <c r="J930" i="4"/>
  <c r="J919" i="4"/>
  <c r="J909" i="4"/>
  <c r="J899" i="4"/>
  <c r="J897" i="4"/>
  <c r="J895" i="4"/>
  <c r="J836" i="4"/>
  <c r="J772" i="4"/>
  <c r="J770" i="4"/>
  <c r="J768" i="4"/>
  <c r="J766" i="4"/>
  <c r="J720" i="4"/>
  <c r="J675" i="4"/>
  <c r="J667" i="4"/>
  <c r="J659" i="4"/>
  <c r="J637" i="4"/>
  <c r="J615" i="4"/>
  <c r="J613" i="4"/>
  <c r="J611" i="4"/>
  <c r="J590" i="4"/>
  <c r="J569" i="4"/>
  <c r="J567" i="4"/>
  <c r="J565" i="4"/>
  <c r="J562" i="4"/>
  <c r="J560" i="4"/>
  <c r="J555" i="4"/>
  <c r="J550" i="4"/>
  <c r="J475" i="4"/>
  <c r="J472" i="4"/>
  <c r="J469" i="4"/>
  <c r="J466" i="4"/>
  <c r="J440" i="4"/>
  <c r="J414" i="4"/>
  <c r="J412" i="4"/>
  <c r="J410" i="4"/>
  <c r="J408" i="4"/>
  <c r="J364" i="4"/>
  <c r="J338" i="4"/>
  <c r="J335" i="4"/>
  <c r="J333" i="4"/>
  <c r="J271" i="4"/>
  <c r="J159" i="4"/>
  <c r="J157" i="4"/>
  <c r="J154" i="4"/>
  <c r="J142" i="4"/>
  <c r="I230" i="4"/>
  <c r="I49" i="4"/>
  <c r="I50" i="4"/>
  <c r="I51" i="4"/>
  <c r="I52" i="4"/>
  <c r="I53" i="4"/>
  <c r="I54" i="4"/>
  <c r="I55" i="4"/>
  <c r="I56" i="4"/>
  <c r="I57" i="4"/>
  <c r="I58" i="4"/>
  <c r="I59" i="4"/>
  <c r="I60" i="4"/>
  <c r="I61" i="4"/>
  <c r="I62" i="4"/>
  <c r="I63" i="4"/>
  <c r="I64" i="4"/>
  <c r="I65" i="4"/>
  <c r="I66" i="4"/>
  <c r="I67" i="4"/>
  <c r="I68" i="4"/>
  <c r="I69" i="4"/>
  <c r="I70" i="4"/>
  <c r="I71" i="4"/>
  <c r="I73" i="4"/>
  <c r="I74" i="4"/>
  <c r="I75" i="4"/>
  <c r="I76" i="4"/>
  <c r="I77" i="4"/>
  <c r="I78" i="4"/>
  <c r="I79" i="4"/>
  <c r="I80" i="4"/>
  <c r="I81" i="4"/>
  <c r="I82" i="4"/>
  <c r="I83" i="4"/>
  <c r="I84" i="4"/>
  <c r="I85" i="4"/>
  <c r="I86" i="4"/>
  <c r="I87" i="4"/>
  <c r="I88" i="4"/>
  <c r="I89" i="4"/>
  <c r="I90" i="4"/>
  <c r="I91" i="4"/>
  <c r="I92" i="4"/>
  <c r="I93" i="4"/>
  <c r="I94" i="4"/>
  <c r="I95" i="4"/>
  <c r="I97" i="4"/>
  <c r="I98" i="4"/>
  <c r="I99" i="4"/>
  <c r="I100" i="4"/>
  <c r="I101" i="4"/>
  <c r="I102" i="4"/>
  <c r="I103" i="4"/>
  <c r="I104" i="4"/>
  <c r="I105" i="4"/>
  <c r="I106" i="4"/>
  <c r="I107" i="4"/>
  <c r="I108" i="4"/>
  <c r="I109" i="4"/>
  <c r="I110" i="4"/>
  <c r="I111" i="4"/>
  <c r="I112" i="4"/>
  <c r="I113" i="4"/>
  <c r="I114" i="4"/>
  <c r="I115" i="4"/>
  <c r="I116" i="4"/>
  <c r="I117" i="4"/>
  <c r="I118" i="4"/>
  <c r="I119" i="4"/>
  <c r="I121" i="4"/>
  <c r="I122" i="4"/>
  <c r="I123" i="4"/>
  <c r="I124" i="4"/>
  <c r="I125" i="4"/>
  <c r="I126" i="4"/>
  <c r="I127" i="4"/>
  <c r="I128" i="4"/>
  <c r="I129" i="4"/>
  <c r="I130" i="4"/>
  <c r="I131" i="4"/>
  <c r="I132" i="4"/>
  <c r="I133" i="4"/>
  <c r="I134" i="4"/>
  <c r="I135" i="4"/>
  <c r="I136" i="4"/>
  <c r="I137" i="4"/>
  <c r="I138" i="4"/>
  <c r="I139" i="4"/>
  <c r="I140" i="4"/>
  <c r="I141" i="4"/>
  <c r="I143" i="4"/>
  <c r="I144" i="4"/>
  <c r="I145" i="4"/>
  <c r="I146" i="4"/>
  <c r="I147" i="4"/>
  <c r="I148" i="4"/>
  <c r="I149" i="4"/>
  <c r="I150" i="4"/>
  <c r="I151" i="4"/>
  <c r="I152" i="4"/>
  <c r="I153" i="4"/>
  <c r="I155" i="4"/>
  <c r="I156" i="4"/>
  <c r="I158" i="4"/>
  <c r="I157" i="4" s="1"/>
  <c r="K157" i="4" s="1"/>
  <c r="I161" i="4"/>
  <c r="I162" i="4"/>
  <c r="I163" i="4"/>
  <c r="I164" i="4"/>
  <c r="I165" i="4"/>
  <c r="I166" i="4"/>
  <c r="I167" i="4"/>
  <c r="I168" i="4"/>
  <c r="I169" i="4"/>
  <c r="I170" i="4"/>
  <c r="I171" i="4"/>
  <c r="I172" i="4"/>
  <c r="I173" i="4"/>
  <c r="I174" i="4"/>
  <c r="I175" i="4"/>
  <c r="I176" i="4"/>
  <c r="I177" i="4"/>
  <c r="I178" i="4"/>
  <c r="I179" i="4"/>
  <c r="I180" i="4"/>
  <c r="I181" i="4"/>
  <c r="I182" i="4"/>
  <c r="I183" i="4"/>
  <c r="I185" i="4"/>
  <c r="I186" i="4"/>
  <c r="I187" i="4"/>
  <c r="I188" i="4"/>
  <c r="I189" i="4"/>
  <c r="I190" i="4"/>
  <c r="I191" i="4"/>
  <c r="I192" i="4"/>
  <c r="I193" i="4"/>
  <c r="I194" i="4"/>
  <c r="I195" i="4"/>
  <c r="I196" i="4"/>
  <c r="I197" i="4"/>
  <c r="I198" i="4"/>
  <c r="I199" i="4"/>
  <c r="I200" i="4"/>
  <c r="I201" i="4"/>
  <c r="I202" i="4"/>
  <c r="I203" i="4"/>
  <c r="I204" i="4"/>
  <c r="I205" i="4"/>
  <c r="I207" i="4"/>
  <c r="I208" i="4"/>
  <c r="I212" i="4"/>
  <c r="I213" i="4"/>
  <c r="I214" i="4"/>
  <c r="I216" i="4"/>
  <c r="I217" i="4"/>
  <c r="I218" i="4"/>
  <c r="I219" i="4"/>
  <c r="I221" i="4"/>
  <c r="I222" i="4"/>
  <c r="I223" i="4"/>
  <c r="I224" i="4"/>
  <c r="I226" i="4"/>
  <c r="I227" i="4"/>
  <c r="I228" i="4"/>
  <c r="I229" i="4"/>
  <c r="I232" i="4"/>
  <c r="I233" i="4"/>
  <c r="I234" i="4"/>
  <c r="I235" i="4"/>
  <c r="I237" i="4"/>
  <c r="I238" i="4"/>
  <c r="I239" i="4"/>
  <c r="I241" i="4"/>
  <c r="I242" i="4"/>
  <c r="I243" i="4"/>
  <c r="I245" i="4"/>
  <c r="I246" i="4"/>
  <c r="I248" i="4"/>
  <c r="I249" i="4"/>
  <c r="I250" i="4"/>
  <c r="I251" i="4"/>
  <c r="I252" i="4"/>
  <c r="I253" i="4"/>
  <c r="I254" i="4"/>
  <c r="I255" i="4"/>
  <c r="I256" i="4"/>
  <c r="I257" i="4"/>
  <c r="I258" i="4"/>
  <c r="I259" i="4"/>
  <c r="I260" i="4"/>
  <c r="I261" i="4"/>
  <c r="I262" i="4"/>
  <c r="I263" i="4"/>
  <c r="I264" i="4"/>
  <c r="I265" i="4"/>
  <c r="I266" i="4"/>
  <c r="I267" i="4"/>
  <c r="I268" i="4"/>
  <c r="I269" i="4"/>
  <c r="I270" i="4"/>
  <c r="I273" i="4"/>
  <c r="I274" i="4"/>
  <c r="I278" i="4"/>
  <c r="I279" i="4"/>
  <c r="I280" i="4"/>
  <c r="I282" i="4"/>
  <c r="I283" i="4"/>
  <c r="I284" i="4"/>
  <c r="I285" i="4"/>
  <c r="I287" i="4"/>
  <c r="I288" i="4"/>
  <c r="I289" i="4"/>
  <c r="I290" i="4"/>
  <c r="I292" i="4"/>
  <c r="I293" i="4"/>
  <c r="I294" i="4"/>
  <c r="I295" i="4"/>
  <c r="I296" i="4"/>
  <c r="I298" i="4"/>
  <c r="I299" i="4"/>
  <c r="I300" i="4"/>
  <c r="I301" i="4"/>
  <c r="I303" i="4"/>
  <c r="I304" i="4"/>
  <c r="I305" i="4"/>
  <c r="I307" i="4"/>
  <c r="I308" i="4"/>
  <c r="I309" i="4"/>
  <c r="I311" i="4"/>
  <c r="I312" i="4"/>
  <c r="I314" i="4"/>
  <c r="I315" i="4"/>
  <c r="I316" i="4"/>
  <c r="I317" i="4"/>
  <c r="I318" i="4"/>
  <c r="I319" i="4"/>
  <c r="I320" i="4"/>
  <c r="I321" i="4"/>
  <c r="I322" i="4"/>
  <c r="I323" i="4"/>
  <c r="I324" i="4"/>
  <c r="I325" i="4"/>
  <c r="I326" i="4"/>
  <c r="I327" i="4"/>
  <c r="I328" i="4"/>
  <c r="I329" i="4"/>
  <c r="I330" i="4"/>
  <c r="I331" i="4"/>
  <c r="I332" i="4"/>
  <c r="I334" i="4"/>
  <c r="I333" i="4" s="1"/>
  <c r="K333" i="4" s="1"/>
  <c r="I337" i="4"/>
  <c r="I335" i="4" s="1"/>
  <c r="K335" i="4" s="1"/>
  <c r="I340" i="4"/>
  <c r="I341" i="4"/>
  <c r="I342" i="4"/>
  <c r="I343" i="4"/>
  <c r="I344" i="4"/>
  <c r="I345" i="4"/>
  <c r="I346" i="4"/>
  <c r="I347" i="4"/>
  <c r="I348" i="4"/>
  <c r="I349" i="4"/>
  <c r="I350" i="4"/>
  <c r="I351" i="4"/>
  <c r="I352" i="4"/>
  <c r="I353" i="4"/>
  <c r="I354" i="4"/>
  <c r="I355" i="4"/>
  <c r="I356" i="4"/>
  <c r="I357" i="4"/>
  <c r="I358" i="4"/>
  <c r="I359" i="4"/>
  <c r="I360" i="4"/>
  <c r="I361" i="4"/>
  <c r="I362" i="4"/>
  <c r="I363"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9" i="4"/>
  <c r="I408" i="4" s="1"/>
  <c r="K408" i="4" s="1"/>
  <c r="I411" i="4"/>
  <c r="I410" i="4" s="1"/>
  <c r="K410" i="4" s="1"/>
  <c r="I413" i="4"/>
  <c r="I412" i="4" s="1"/>
  <c r="K412" i="4" s="1"/>
  <c r="I416" i="4"/>
  <c r="I417" i="4"/>
  <c r="I418" i="4"/>
  <c r="I419" i="4"/>
  <c r="I420" i="4"/>
  <c r="I421" i="4"/>
  <c r="I422" i="4"/>
  <c r="I423" i="4"/>
  <c r="I424" i="4"/>
  <c r="I425" i="4"/>
  <c r="I426" i="4"/>
  <c r="I427" i="4"/>
  <c r="I428" i="4"/>
  <c r="I429" i="4"/>
  <c r="I430" i="4"/>
  <c r="I431" i="4"/>
  <c r="I432" i="4"/>
  <c r="I433" i="4"/>
  <c r="I434" i="4"/>
  <c r="I435" i="4"/>
  <c r="I436" i="4"/>
  <c r="I438" i="4"/>
  <c r="I439" i="4"/>
  <c r="I442" i="4"/>
  <c r="I443" i="4"/>
  <c r="I444" i="4"/>
  <c r="I445" i="4"/>
  <c r="I446" i="4"/>
  <c r="I447" i="4"/>
  <c r="I448" i="4"/>
  <c r="I449" i="4"/>
  <c r="I450" i="4"/>
  <c r="I451" i="4"/>
  <c r="I452" i="4"/>
  <c r="I453" i="4"/>
  <c r="I454" i="4"/>
  <c r="I455" i="4"/>
  <c r="I456" i="4"/>
  <c r="I457" i="4"/>
  <c r="I458" i="4"/>
  <c r="I459" i="4"/>
  <c r="I460" i="4"/>
  <c r="I461" i="4"/>
  <c r="I462" i="4"/>
  <c r="I464" i="4"/>
  <c r="I465" i="4"/>
  <c r="I467" i="4"/>
  <c r="I468" i="4"/>
  <c r="I470" i="4"/>
  <c r="I471" i="4"/>
  <c r="I473" i="4"/>
  <c r="I474" i="4"/>
  <c r="I477" i="4"/>
  <c r="I478" i="4"/>
  <c r="I480" i="4"/>
  <c r="I481" i="4"/>
  <c r="I483" i="4"/>
  <c r="I484" i="4"/>
  <c r="I486" i="4"/>
  <c r="I487" i="4"/>
  <c r="I491" i="4"/>
  <c r="I492" i="4"/>
  <c r="I493" i="4"/>
  <c r="I495" i="4"/>
  <c r="I496" i="4"/>
  <c r="I497" i="4"/>
  <c r="I498" i="4"/>
  <c r="I500" i="4"/>
  <c r="I501" i="4"/>
  <c r="I502" i="4"/>
  <c r="I503" i="4"/>
  <c r="I505" i="4"/>
  <c r="I506" i="4"/>
  <c r="I507" i="4"/>
  <c r="I508" i="4"/>
  <c r="I509" i="4"/>
  <c r="I511" i="4"/>
  <c r="I512" i="4"/>
  <c r="I513" i="4"/>
  <c r="I514" i="4"/>
  <c r="I516" i="4"/>
  <c r="I517" i="4"/>
  <c r="I518" i="4"/>
  <c r="I520" i="4"/>
  <c r="I521" i="4"/>
  <c r="I522" i="4"/>
  <c r="I524" i="4"/>
  <c r="I525" i="4"/>
  <c r="I527" i="4"/>
  <c r="I528" i="4"/>
  <c r="I529" i="4"/>
  <c r="I530" i="4"/>
  <c r="I531" i="4"/>
  <c r="I532" i="4"/>
  <c r="I533" i="4"/>
  <c r="I534" i="4"/>
  <c r="I535" i="4"/>
  <c r="I536" i="4"/>
  <c r="I537" i="4"/>
  <c r="I538" i="4"/>
  <c r="I539" i="4"/>
  <c r="I540" i="4"/>
  <c r="I541" i="4"/>
  <c r="I542" i="4"/>
  <c r="I543" i="4"/>
  <c r="I544" i="4"/>
  <c r="I546" i="4"/>
  <c r="I548" i="4"/>
  <c r="I549" i="4"/>
  <c r="I552" i="4"/>
  <c r="I553" i="4"/>
  <c r="I554" i="4"/>
  <c r="I557" i="4"/>
  <c r="I558" i="4"/>
  <c r="I561" i="4"/>
  <c r="I560" i="4" s="1"/>
  <c r="K560" i="4" s="1"/>
  <c r="I563" i="4"/>
  <c r="I564" i="4"/>
  <c r="I566" i="4"/>
  <c r="I565" i="4" s="1"/>
  <c r="K565" i="4" s="1"/>
  <c r="I568" i="4"/>
  <c r="I567" i="4" s="1"/>
  <c r="K567" i="4" s="1"/>
  <c r="I572" i="4"/>
  <c r="I573" i="4"/>
  <c r="I574" i="4"/>
  <c r="I575" i="4"/>
  <c r="I576" i="4"/>
  <c r="I578" i="4"/>
  <c r="I579" i="4"/>
  <c r="I581" i="4"/>
  <c r="I583" i="4"/>
  <c r="I585" i="4"/>
  <c r="I587" i="4"/>
  <c r="I593" i="4"/>
  <c r="I594" i="4"/>
  <c r="I595" i="4"/>
  <c r="I596" i="4"/>
  <c r="I597" i="4"/>
  <c r="I599" i="4"/>
  <c r="I600" i="4"/>
  <c r="I602" i="4"/>
  <c r="I604" i="4"/>
  <c r="I606" i="4"/>
  <c r="I608" i="4"/>
  <c r="I612" i="4"/>
  <c r="I611" i="4" s="1"/>
  <c r="K611" i="4" s="1"/>
  <c r="I614" i="4"/>
  <c r="I613" i="4" s="1"/>
  <c r="K613" i="4" s="1"/>
  <c r="I617" i="4"/>
  <c r="I618" i="4"/>
  <c r="I619" i="4"/>
  <c r="I620" i="4"/>
  <c r="I621" i="4"/>
  <c r="I622" i="4"/>
  <c r="I623" i="4"/>
  <c r="I624" i="4"/>
  <c r="I625" i="4"/>
  <c r="I627" i="4"/>
  <c r="I628" i="4"/>
  <c r="I629" i="4"/>
  <c r="I630" i="4"/>
  <c r="I631" i="4"/>
  <c r="I632" i="4"/>
  <c r="I633" i="4"/>
  <c r="I635" i="4"/>
  <c r="I636" i="4"/>
  <c r="I639" i="4"/>
  <c r="I640" i="4"/>
  <c r="I641" i="4"/>
  <c r="I642" i="4"/>
  <c r="I643" i="4"/>
  <c r="I644" i="4"/>
  <c r="I645" i="4"/>
  <c r="I646" i="4"/>
  <c r="I647" i="4"/>
  <c r="I649" i="4"/>
  <c r="I650" i="4"/>
  <c r="I651" i="4"/>
  <c r="I652" i="4"/>
  <c r="I653" i="4"/>
  <c r="I654" i="4"/>
  <c r="I655" i="4"/>
  <c r="I657" i="4"/>
  <c r="I658" i="4"/>
  <c r="I660" i="4"/>
  <c r="I661" i="4"/>
  <c r="I662" i="4"/>
  <c r="I663" i="4"/>
  <c r="I664" i="4"/>
  <c r="I665" i="4"/>
  <c r="I666" i="4"/>
  <c r="I668" i="4"/>
  <c r="I669" i="4"/>
  <c r="I670" i="4"/>
  <c r="I671" i="4"/>
  <c r="I672" i="4"/>
  <c r="I673" i="4"/>
  <c r="I674"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7" i="4"/>
  <c r="I766" i="4" s="1"/>
  <c r="K766" i="4" s="1"/>
  <c r="I769" i="4"/>
  <c r="I768" i="4" s="1"/>
  <c r="K768" i="4" s="1"/>
  <c r="I771" i="4"/>
  <c r="I770" i="4" s="1"/>
  <c r="K770" i="4" s="1"/>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6" i="4"/>
  <c r="I895" i="4" s="1"/>
  <c r="K895" i="4" s="1"/>
  <c r="I898" i="4"/>
  <c r="I897" i="4" s="1"/>
  <c r="K897" i="4" s="1"/>
  <c r="I901" i="4"/>
  <c r="I902" i="4"/>
  <c r="I903" i="4"/>
  <c r="I904" i="4"/>
  <c r="I905" i="4"/>
  <c r="I906" i="4"/>
  <c r="I907" i="4"/>
  <c r="I908" i="4"/>
  <c r="I911" i="4"/>
  <c r="I912" i="4"/>
  <c r="I913" i="4"/>
  <c r="I914" i="4"/>
  <c r="I915" i="4"/>
  <c r="I916" i="4"/>
  <c r="I917" i="4"/>
  <c r="I918" i="4"/>
  <c r="I922" i="4"/>
  <c r="I923" i="4"/>
  <c r="I924" i="4"/>
  <c r="I925" i="4"/>
  <c r="I928" i="4"/>
  <c r="I929" i="4"/>
  <c r="I932" i="4"/>
  <c r="I933" i="4"/>
  <c r="I934" i="4"/>
  <c r="I935" i="4"/>
  <c r="I938" i="4"/>
  <c r="I939" i="4"/>
  <c r="I942" i="4"/>
  <c r="I943" i="4"/>
  <c r="I944" i="4"/>
  <c r="I945" i="4"/>
  <c r="I946" i="4"/>
  <c r="I948" i="4"/>
  <c r="I947" i="4" s="1"/>
  <c r="K947" i="4" s="1"/>
  <c r="I951" i="4"/>
  <c r="I952" i="4"/>
  <c r="I956" i="4"/>
  <c r="I957" i="4"/>
  <c r="I958" i="4"/>
  <c r="I960" i="4"/>
  <c r="I961" i="4"/>
  <c r="I962" i="4"/>
  <c r="I963" i="4"/>
  <c r="I965" i="4"/>
  <c r="I966" i="4"/>
  <c r="I967" i="4"/>
  <c r="I968" i="4"/>
  <c r="I970" i="4"/>
  <c r="I971" i="4"/>
  <c r="I972" i="4"/>
  <c r="I973" i="4"/>
  <c r="I974" i="4"/>
  <c r="I976" i="4"/>
  <c r="I977" i="4"/>
  <c r="I978" i="4"/>
  <c r="I979" i="4"/>
  <c r="I981" i="4"/>
  <c r="I982" i="4"/>
  <c r="I983" i="4"/>
  <c r="I985" i="4"/>
  <c r="I986" i="4"/>
  <c r="I987" i="4"/>
  <c r="I989" i="4"/>
  <c r="I990" i="4"/>
  <c r="I992" i="4"/>
  <c r="I993" i="4"/>
  <c r="I994" i="4"/>
  <c r="I995" i="4"/>
  <c r="I996" i="4"/>
  <c r="I997" i="4"/>
  <c r="I998" i="4"/>
  <c r="I999" i="4"/>
  <c r="I1000" i="4"/>
  <c r="I1001" i="4"/>
  <c r="I1002" i="4"/>
  <c r="I1003" i="4"/>
  <c r="I1004" i="4"/>
  <c r="I1005" i="4"/>
  <c r="I1006" i="4"/>
  <c r="I1007" i="4"/>
  <c r="I1008" i="4"/>
  <c r="I1009" i="4"/>
  <c r="I1010" i="4"/>
  <c r="I1015" i="4"/>
  <c r="I1012" i="4" s="1"/>
  <c r="K1012" i="4" s="1"/>
  <c r="I1021" i="4"/>
  <c r="I1022" i="4"/>
  <c r="I1023" i="4"/>
  <c r="I1024" i="4"/>
  <c r="I1026" i="4"/>
  <c r="I1029" i="4"/>
  <c r="I1030" i="4"/>
  <c r="I1031" i="4"/>
  <c r="I1032" i="4"/>
  <c r="I1034" i="4"/>
  <c r="I1037" i="4"/>
  <c r="I1038" i="4"/>
  <c r="I1039" i="4"/>
  <c r="I1040" i="4"/>
  <c r="I1042" i="4"/>
  <c r="I1046" i="4"/>
  <c r="I1047" i="4"/>
  <c r="I1048" i="4"/>
  <c r="I1049" i="4"/>
  <c r="I1051" i="4"/>
  <c r="I1053" i="4"/>
  <c r="I1054" i="4"/>
  <c r="I1055" i="4"/>
  <c r="I1056" i="4"/>
  <c r="I1058" i="4"/>
  <c r="I1059" i="4"/>
  <c r="I1061" i="4"/>
  <c r="I1060" i="4" s="1"/>
  <c r="K1060" i="4" s="1"/>
  <c r="I1063" i="4"/>
  <c r="I1062" i="4" s="1"/>
  <c r="K1062" i="4" s="1"/>
  <c r="I1064" i="4"/>
  <c r="I1066" i="4"/>
  <c r="I1067" i="4"/>
  <c r="I1069" i="4"/>
  <c r="I1068" i="4" s="1"/>
  <c r="K1068" i="4" s="1"/>
  <c r="I1070" i="4"/>
  <c r="I1073" i="4"/>
  <c r="I1074" i="4"/>
  <c r="I1075" i="4"/>
  <c r="I1076" i="4"/>
  <c r="I1077" i="4"/>
  <c r="I1078" i="4"/>
  <c r="I1080" i="4"/>
  <c r="I1081" i="4"/>
  <c r="I1082" i="4"/>
  <c r="I1083" i="4"/>
  <c r="I1084" i="4"/>
  <c r="I1087" i="4"/>
  <c r="I1088" i="4"/>
  <c r="I1089" i="4"/>
  <c r="I1091" i="4"/>
  <c r="I1092" i="4"/>
  <c r="I1093" i="4"/>
  <c r="I1094" i="4"/>
  <c r="I1097" i="4"/>
  <c r="I1098" i="4"/>
  <c r="I1100" i="4"/>
  <c r="I1101" i="4"/>
  <c r="I1104" i="4"/>
  <c r="I1102" i="4" s="1"/>
  <c r="K1102" i="4" s="1"/>
  <c r="I1105" i="4"/>
  <c r="I1108" i="4"/>
  <c r="I1109" i="4"/>
  <c r="I1113" i="4"/>
  <c r="I1114" i="4"/>
  <c r="I1115" i="4"/>
  <c r="I1117" i="4"/>
  <c r="I1118" i="4"/>
  <c r="I1119" i="4"/>
  <c r="I1120" i="4"/>
  <c r="I1121" i="4"/>
  <c r="I1123" i="4"/>
  <c r="I1124" i="4"/>
  <c r="I1125" i="4"/>
  <c r="I1127" i="4"/>
  <c r="I1128" i="4"/>
  <c r="I1129" i="4"/>
  <c r="I1130" i="4"/>
  <c r="I1132" i="4"/>
  <c r="I1131" i="4" s="1"/>
  <c r="K1131" i="4" s="1"/>
  <c r="I1135" i="4"/>
  <c r="I1136" i="4"/>
  <c r="I1137" i="4"/>
  <c r="I1139" i="4"/>
  <c r="I1140" i="4"/>
  <c r="I1141" i="4"/>
  <c r="I1144" i="4"/>
  <c r="I1145" i="4"/>
  <c r="I1146" i="4"/>
  <c r="I1148" i="4"/>
  <c r="I1149" i="4"/>
  <c r="I1150" i="4"/>
  <c r="I1152" i="4"/>
  <c r="I1153" i="4"/>
  <c r="I1154" i="4"/>
  <c r="I1156" i="4"/>
  <c r="I1157" i="4"/>
  <c r="I1158" i="4"/>
  <c r="I1160" i="4"/>
  <c r="I1159" i="4" s="1"/>
  <c r="K1159" i="4" s="1"/>
  <c r="I1164" i="4"/>
  <c r="I1166" i="4"/>
  <c r="I1168" i="4"/>
  <c r="I1167" i="4" s="1"/>
  <c r="K1167" i="4" s="1"/>
  <c r="I1172" i="4"/>
  <c r="I1173" i="4"/>
  <c r="I1174" i="4"/>
  <c r="I1177" i="4"/>
  <c r="I1178" i="4"/>
  <c r="I1179" i="4"/>
  <c r="I47" i="4"/>
  <c r="I46" i="4"/>
  <c r="J44" i="4"/>
  <c r="M31" i="4"/>
  <c r="I32" i="4"/>
  <c r="J41" i="4"/>
  <c r="J40" i="4"/>
  <c r="J38" i="4"/>
  <c r="E40" i="4" s="1"/>
  <c r="I40" i="4" s="1"/>
  <c r="K40" i="4" s="1"/>
  <c r="J34" i="4"/>
  <c r="J30" i="4"/>
  <c r="J26" i="4"/>
  <c r="I28" i="4"/>
  <c r="I29" i="4"/>
  <c r="I27" i="4"/>
  <c r="I25" i="4"/>
  <c r="I24" i="4" s="1"/>
  <c r="K24" i="4" s="1"/>
  <c r="I21" i="4"/>
  <c r="I22" i="4"/>
  <c r="I23" i="4"/>
  <c r="I20" i="4"/>
  <c r="J24" i="4"/>
  <c r="J19" i="4"/>
  <c r="J15" i="4"/>
  <c r="M15" i="4" s="1"/>
  <c r="N15" i="4" s="1"/>
  <c r="I35" i="4"/>
  <c r="I34" i="4" s="1"/>
  <c r="K34" i="4" s="1"/>
  <c r="I14" i="4"/>
  <c r="I13" i="4"/>
  <c r="J12" i="4"/>
  <c r="J9" i="4"/>
  <c r="F42" i="4"/>
  <c r="I42" i="4" s="1"/>
  <c r="I41" i="4" s="1"/>
  <c r="K41" i="4" s="1"/>
  <c r="E39" i="4"/>
  <c r="I39" i="4" s="1"/>
  <c r="I38" i="4" s="1"/>
  <c r="E37" i="4"/>
  <c r="I33" i="4"/>
  <c r="I30" i="4"/>
  <c r="K30" i="4" s="1"/>
  <c r="I18" i="4"/>
  <c r="I17" i="4"/>
  <c r="E11" i="4"/>
  <c r="I11" i="4" s="1"/>
  <c r="I10" i="4"/>
  <c r="K20" i="6" l="1"/>
  <c r="L20" i="6" s="1"/>
  <c r="G20" i="6"/>
  <c r="I555" i="4"/>
  <c r="K555" i="4" s="1"/>
  <c r="I562" i="4"/>
  <c r="K562" i="4" s="1"/>
  <c r="I19" i="4"/>
  <c r="K19" i="4" s="1"/>
  <c r="K2207" i="6"/>
  <c r="L2207" i="6" s="1"/>
  <c r="G2207" i="6"/>
  <c r="K2247" i="2"/>
  <c r="K1122" i="2"/>
  <c r="F1082" i="6"/>
  <c r="K1130" i="2"/>
  <c r="F1090" i="6"/>
  <c r="K1108" i="2"/>
  <c r="F1068" i="6"/>
  <c r="K1089" i="2"/>
  <c r="F1049" i="6"/>
  <c r="K1097" i="2"/>
  <c r="F1057" i="6"/>
  <c r="K1042" i="2"/>
  <c r="F1002" i="6"/>
  <c r="K1050" i="2"/>
  <c r="F1010" i="6"/>
  <c r="K1058" i="2"/>
  <c r="F1018" i="6"/>
  <c r="K1066" i="2"/>
  <c r="F1026" i="6"/>
  <c r="K1074" i="2"/>
  <c r="F1034" i="6"/>
  <c r="K1082" i="2"/>
  <c r="F1042" i="6"/>
  <c r="K1001" i="2"/>
  <c r="F961" i="6"/>
  <c r="K1009" i="2"/>
  <c r="F969" i="6"/>
  <c r="K1017" i="2"/>
  <c r="F977" i="6"/>
  <c r="K979" i="2"/>
  <c r="F939" i="6"/>
  <c r="K987" i="2"/>
  <c r="F947" i="6"/>
  <c r="K1116" i="2"/>
  <c r="F1076" i="6"/>
  <c r="K1087" i="2"/>
  <c r="F1047" i="6"/>
  <c r="K1034" i="2"/>
  <c r="F994" i="6"/>
  <c r="K968" i="2"/>
  <c r="F928" i="6"/>
  <c r="K927" i="2"/>
  <c r="F887" i="6"/>
  <c r="K915" i="2"/>
  <c r="F875" i="6"/>
  <c r="K903" i="2"/>
  <c r="F863" i="6"/>
  <c r="K891" i="2"/>
  <c r="F851" i="6"/>
  <c r="K879" i="2"/>
  <c r="F839" i="6"/>
  <c r="K867" i="2"/>
  <c r="F827" i="6"/>
  <c r="K855" i="2"/>
  <c r="F815" i="6"/>
  <c r="K829" i="2"/>
  <c r="F789" i="6"/>
  <c r="K817" i="2"/>
  <c r="F777" i="6"/>
  <c r="K800" i="2"/>
  <c r="F760" i="6"/>
  <c r="K774" i="2"/>
  <c r="F734" i="6"/>
  <c r="K782" i="2"/>
  <c r="F742" i="6"/>
  <c r="K156" i="2"/>
  <c r="F116" i="6"/>
  <c r="K112" i="2"/>
  <c r="F72" i="6"/>
  <c r="K94" i="2"/>
  <c r="F54" i="6"/>
  <c r="K58" i="2"/>
  <c r="F18" i="6"/>
  <c r="K1127" i="2"/>
  <c r="F1087" i="6"/>
  <c r="K1120" i="2"/>
  <c r="F1080" i="6"/>
  <c r="K1113" i="2"/>
  <c r="F1073" i="6"/>
  <c r="K1094" i="2"/>
  <c r="F1054" i="6"/>
  <c r="K1039" i="2"/>
  <c r="F999" i="6"/>
  <c r="K1047" i="2"/>
  <c r="F1007" i="6"/>
  <c r="K1055" i="2"/>
  <c r="F1015" i="6"/>
  <c r="K1063" i="2"/>
  <c r="F1023" i="6"/>
  <c r="K1071" i="2"/>
  <c r="F1031" i="6"/>
  <c r="K1079" i="2"/>
  <c r="F1039" i="6"/>
  <c r="K998" i="2"/>
  <c r="F958" i="6"/>
  <c r="K1014" i="2"/>
  <c r="F974" i="6"/>
  <c r="K976" i="2"/>
  <c r="F936" i="6"/>
  <c r="K984" i="2"/>
  <c r="F944" i="6"/>
  <c r="K1117" i="2"/>
  <c r="F1077" i="6"/>
  <c r="K1084" i="2"/>
  <c r="F1044" i="6"/>
  <c r="K992" i="2"/>
  <c r="F952" i="6"/>
  <c r="K931" i="2"/>
  <c r="F891" i="6"/>
  <c r="K919" i="2"/>
  <c r="F879" i="6"/>
  <c r="K907" i="2"/>
  <c r="F867" i="6"/>
  <c r="K895" i="2"/>
  <c r="F855" i="6"/>
  <c r="K883" i="2"/>
  <c r="F843" i="6"/>
  <c r="K871" i="2"/>
  <c r="F831" i="6"/>
  <c r="K859" i="2"/>
  <c r="F819" i="6"/>
  <c r="K847" i="2"/>
  <c r="F807" i="6"/>
  <c r="K833" i="2"/>
  <c r="F793" i="6"/>
  <c r="K821" i="2"/>
  <c r="F781" i="6"/>
  <c r="K809" i="2"/>
  <c r="F769" i="6"/>
  <c r="K793" i="2"/>
  <c r="F753" i="6"/>
  <c r="K779" i="2"/>
  <c r="F739" i="6"/>
  <c r="K787" i="2"/>
  <c r="F747" i="6"/>
  <c r="K135" i="2"/>
  <c r="F95" i="6"/>
  <c r="K99" i="2"/>
  <c r="F59" i="6"/>
  <c r="K83" i="2"/>
  <c r="F43" i="6"/>
  <c r="K1095" i="2"/>
  <c r="F1055" i="6"/>
  <c r="K1126" i="2"/>
  <c r="F1086" i="6"/>
  <c r="K1129" i="2"/>
  <c r="F1089" i="6"/>
  <c r="K1092" i="2"/>
  <c r="F1052" i="6"/>
  <c r="K1045" i="2"/>
  <c r="F1005" i="6"/>
  <c r="K1065" i="2"/>
  <c r="F1025" i="6"/>
  <c r="K1000" i="2"/>
  <c r="F960" i="6"/>
  <c r="K978" i="2"/>
  <c r="F938" i="6"/>
  <c r="K1104" i="2"/>
  <c r="F1064" i="6"/>
  <c r="K990" i="2"/>
  <c r="F950" i="6"/>
  <c r="K922" i="2"/>
  <c r="F882" i="6"/>
  <c r="K892" i="2"/>
  <c r="F852" i="6"/>
  <c r="K862" i="2"/>
  <c r="F822" i="6"/>
  <c r="K830" i="2"/>
  <c r="F790" i="6"/>
  <c r="K806" i="2"/>
  <c r="F766" i="6"/>
  <c r="K86" i="2"/>
  <c r="F46" i="6"/>
  <c r="K1133" i="2"/>
  <c r="F1093" i="6"/>
  <c r="K1096" i="2"/>
  <c r="F1056" i="6"/>
  <c r="K1049" i="2"/>
  <c r="F1009" i="6"/>
  <c r="K1073" i="2"/>
  <c r="F1033" i="6"/>
  <c r="K1004" i="2"/>
  <c r="F964" i="6"/>
  <c r="K982" i="2"/>
  <c r="F942" i="6"/>
  <c r="K1086" i="2"/>
  <c r="F1046" i="6"/>
  <c r="K904" i="2"/>
  <c r="F864" i="6"/>
  <c r="K868" i="2"/>
  <c r="F828" i="6"/>
  <c r="K836" i="2"/>
  <c r="F796" i="6"/>
  <c r="K773" i="2"/>
  <c r="F733" i="6"/>
  <c r="K155" i="2"/>
  <c r="F115" i="6"/>
  <c r="K1128" i="2"/>
  <c r="F1088" i="6"/>
  <c r="K1106" i="2"/>
  <c r="F1066" i="6"/>
  <c r="K1114" i="2"/>
  <c r="F1074" i="6"/>
  <c r="K1040" i="2"/>
  <c r="F1000" i="6"/>
  <c r="K1048" i="2"/>
  <c r="F1008" i="6"/>
  <c r="K1056" i="2"/>
  <c r="F1016" i="6"/>
  <c r="K1064" i="2"/>
  <c r="F1024" i="6"/>
  <c r="K1072" i="2"/>
  <c r="F1032" i="6"/>
  <c r="K1080" i="2"/>
  <c r="F1040" i="6"/>
  <c r="K999" i="2"/>
  <c r="F959" i="6"/>
  <c r="K1007" i="2"/>
  <c r="F967" i="6"/>
  <c r="K1015" i="2"/>
  <c r="F975" i="6"/>
  <c r="K977" i="2"/>
  <c r="F937" i="6"/>
  <c r="K985" i="2"/>
  <c r="F945" i="6"/>
  <c r="K1118" i="2"/>
  <c r="F1078" i="6"/>
  <c r="K1085" i="2"/>
  <c r="F1045" i="6"/>
  <c r="K1032" i="2"/>
  <c r="F992" i="6"/>
  <c r="K993" i="2"/>
  <c r="F953" i="6"/>
  <c r="K930" i="2"/>
  <c r="F890" i="6"/>
  <c r="K918" i="2"/>
  <c r="F878" i="6"/>
  <c r="K906" i="2"/>
  <c r="F866" i="6"/>
  <c r="K894" i="2"/>
  <c r="F854" i="6"/>
  <c r="K882" i="2"/>
  <c r="F842" i="6"/>
  <c r="K870" i="2"/>
  <c r="F830" i="6"/>
  <c r="K858" i="2"/>
  <c r="F818" i="6"/>
  <c r="K846" i="2"/>
  <c r="F806" i="6"/>
  <c r="K832" i="2"/>
  <c r="F792" i="6"/>
  <c r="K820" i="2"/>
  <c r="F780" i="6"/>
  <c r="K808" i="2"/>
  <c r="F768" i="6"/>
  <c r="K772" i="2"/>
  <c r="F732" i="6"/>
  <c r="K780" i="2"/>
  <c r="F740" i="6"/>
  <c r="K149" i="2"/>
  <c r="F109" i="6"/>
  <c r="K95" i="2"/>
  <c r="F55" i="6"/>
  <c r="K1053" i="2"/>
  <c r="F1013" i="6"/>
  <c r="K996" i="2"/>
  <c r="F956" i="6"/>
  <c r="K994" i="2"/>
  <c r="F954" i="6"/>
  <c r="K1027" i="2"/>
  <c r="F987" i="6"/>
  <c r="K916" i="2"/>
  <c r="F876" i="6"/>
  <c r="K874" i="2"/>
  <c r="F834" i="6"/>
  <c r="K824" i="2"/>
  <c r="F784" i="6"/>
  <c r="K785" i="2"/>
  <c r="F745" i="6"/>
  <c r="K98" i="2"/>
  <c r="F58" i="6"/>
  <c r="K1134" i="2"/>
  <c r="F1094" i="6"/>
  <c r="K1112" i="2"/>
  <c r="F1072" i="6"/>
  <c r="K1093" i="2"/>
  <c r="F1053" i="6"/>
  <c r="K1038" i="2"/>
  <c r="F998" i="6"/>
  <c r="K1046" i="2"/>
  <c r="F1006" i="6"/>
  <c r="K1054" i="2"/>
  <c r="F1014" i="6"/>
  <c r="K1062" i="2"/>
  <c r="F1022" i="6"/>
  <c r="K1070" i="2"/>
  <c r="F1030" i="6"/>
  <c r="K1078" i="2"/>
  <c r="F1038" i="6"/>
  <c r="K997" i="2"/>
  <c r="F957" i="6"/>
  <c r="K1005" i="2"/>
  <c r="F965" i="6"/>
  <c r="K1013" i="2"/>
  <c r="F973" i="6"/>
  <c r="K975" i="2"/>
  <c r="F935" i="6"/>
  <c r="K983" i="2"/>
  <c r="F943" i="6"/>
  <c r="K971" i="2"/>
  <c r="F931" i="6"/>
  <c r="K1101" i="2"/>
  <c r="F1061" i="6"/>
  <c r="K1030" i="2"/>
  <c r="F990" i="6"/>
  <c r="K991" i="2"/>
  <c r="F951" i="6"/>
  <c r="K932" i="2"/>
  <c r="F892" i="6"/>
  <c r="K921" i="2"/>
  <c r="F881" i="6"/>
  <c r="K909" i="2"/>
  <c r="F869" i="6"/>
  <c r="K897" i="2"/>
  <c r="F857" i="6"/>
  <c r="K885" i="2"/>
  <c r="F845" i="6"/>
  <c r="K873" i="2"/>
  <c r="F833" i="6"/>
  <c r="K861" i="2"/>
  <c r="F821" i="6"/>
  <c r="K849" i="2"/>
  <c r="F809" i="6"/>
  <c r="K835" i="2"/>
  <c r="F795" i="6"/>
  <c r="K823" i="2"/>
  <c r="F783" i="6"/>
  <c r="K811" i="2"/>
  <c r="F771" i="6"/>
  <c r="K794" i="2"/>
  <c r="F754" i="6"/>
  <c r="K778" i="2"/>
  <c r="F738" i="6"/>
  <c r="K786" i="2"/>
  <c r="F746" i="6"/>
  <c r="K148" i="2"/>
  <c r="F108" i="6"/>
  <c r="K106" i="2"/>
  <c r="F66" i="6"/>
  <c r="K82" i="2"/>
  <c r="F42" i="6"/>
  <c r="K1123" i="2"/>
  <c r="F1083" i="6"/>
  <c r="K1131" i="2"/>
  <c r="F1091" i="6"/>
  <c r="K1109" i="2"/>
  <c r="F1069" i="6"/>
  <c r="K1090" i="2"/>
  <c r="F1050" i="6"/>
  <c r="K1098" i="2"/>
  <c r="F1058" i="6"/>
  <c r="K1043" i="2"/>
  <c r="F1003" i="6"/>
  <c r="K1051" i="2"/>
  <c r="F1011" i="6"/>
  <c r="K1059" i="2"/>
  <c r="F1019" i="6"/>
  <c r="K1067" i="2"/>
  <c r="F1027" i="6"/>
  <c r="K1075" i="2"/>
  <c r="F1035" i="6"/>
  <c r="K1037" i="2"/>
  <c r="F997" i="6"/>
  <c r="K1002" i="2"/>
  <c r="F962" i="6"/>
  <c r="K1010" i="2"/>
  <c r="F970" i="6"/>
  <c r="K1018" i="2"/>
  <c r="F978" i="6"/>
  <c r="K980" i="2"/>
  <c r="F940" i="6"/>
  <c r="K988" i="2"/>
  <c r="F948" i="6"/>
  <c r="K1102" i="2"/>
  <c r="F1062" i="6"/>
  <c r="K1083" i="2"/>
  <c r="F1043" i="6"/>
  <c r="K1035" i="2"/>
  <c r="F995" i="6"/>
  <c r="K969" i="2"/>
  <c r="F929" i="6"/>
  <c r="K925" i="2"/>
  <c r="F885" i="6"/>
  <c r="K913" i="2"/>
  <c r="F873" i="6"/>
  <c r="K901" i="2"/>
  <c r="F861" i="6"/>
  <c r="K889" i="2"/>
  <c r="F849" i="6"/>
  <c r="K877" i="2"/>
  <c r="F837" i="6"/>
  <c r="K865" i="2"/>
  <c r="F825" i="6"/>
  <c r="K853" i="2"/>
  <c r="F813" i="6"/>
  <c r="K841" i="2"/>
  <c r="F801" i="6"/>
  <c r="K827" i="2"/>
  <c r="F787" i="6"/>
  <c r="K815" i="2"/>
  <c r="F775" i="6"/>
  <c r="K799" i="2"/>
  <c r="F759" i="6"/>
  <c r="K775" i="2"/>
  <c r="F735" i="6"/>
  <c r="K783" i="2"/>
  <c r="F743" i="6"/>
  <c r="K154" i="2"/>
  <c r="F114" i="6"/>
  <c r="K111" i="2"/>
  <c r="F71" i="6"/>
  <c r="K87" i="2"/>
  <c r="F47" i="6"/>
  <c r="K843" i="2"/>
  <c r="F803" i="6"/>
  <c r="K1121" i="2"/>
  <c r="F1081" i="6"/>
  <c r="K1107" i="2"/>
  <c r="F1067" i="6"/>
  <c r="K1088" i="2"/>
  <c r="F1048" i="6"/>
  <c r="K1057" i="2"/>
  <c r="F1017" i="6"/>
  <c r="K1077" i="2"/>
  <c r="F1037" i="6"/>
  <c r="K1012" i="2"/>
  <c r="F972" i="6"/>
  <c r="K986" i="2"/>
  <c r="F946" i="6"/>
  <c r="K1029" i="2"/>
  <c r="F989" i="6"/>
  <c r="K933" i="2"/>
  <c r="F893" i="6"/>
  <c r="K910" i="2"/>
  <c r="F870" i="6"/>
  <c r="K880" i="2"/>
  <c r="F840" i="6"/>
  <c r="K844" i="2"/>
  <c r="F804" i="6"/>
  <c r="K818" i="2"/>
  <c r="F778" i="6"/>
  <c r="K777" i="2"/>
  <c r="F737" i="6"/>
  <c r="K1006" i="2"/>
  <c r="F966" i="6"/>
  <c r="K1031" i="2"/>
  <c r="F991" i="6"/>
  <c r="K1125" i="2"/>
  <c r="F1085" i="6"/>
  <c r="K1111" i="2"/>
  <c r="F1071" i="6"/>
  <c r="K1041" i="2"/>
  <c r="F1001" i="6"/>
  <c r="K1061" i="2"/>
  <c r="F1021" i="6"/>
  <c r="K1081" i="2"/>
  <c r="F1041" i="6"/>
  <c r="K1016" i="2"/>
  <c r="F976" i="6"/>
  <c r="K1119" i="2"/>
  <c r="F1079" i="6"/>
  <c r="K1033" i="2"/>
  <c r="F993" i="6"/>
  <c r="K886" i="2"/>
  <c r="F846" i="6"/>
  <c r="K856" i="2"/>
  <c r="F816" i="6"/>
  <c r="K812" i="2"/>
  <c r="F772" i="6"/>
  <c r="K781" i="2"/>
  <c r="F741" i="6"/>
  <c r="K108" i="2"/>
  <c r="F68" i="6"/>
  <c r="K1124" i="2"/>
  <c r="F1084" i="6"/>
  <c r="K1132" i="2"/>
  <c r="F1092" i="6"/>
  <c r="K1110" i="2"/>
  <c r="F1070" i="6"/>
  <c r="K1091" i="2"/>
  <c r="F1051" i="6"/>
  <c r="K1099" i="2"/>
  <c r="F1059" i="6"/>
  <c r="K1044" i="2"/>
  <c r="F1004" i="6"/>
  <c r="K1052" i="2"/>
  <c r="F1012" i="6"/>
  <c r="K1060" i="2"/>
  <c r="F1020" i="6"/>
  <c r="K1068" i="2"/>
  <c r="F1028" i="6"/>
  <c r="K1076" i="2"/>
  <c r="F1036" i="6"/>
  <c r="K995" i="2"/>
  <c r="F955" i="6"/>
  <c r="K1003" i="2"/>
  <c r="F963" i="6"/>
  <c r="K1011" i="2"/>
  <c r="F971" i="6"/>
  <c r="K1019" i="2"/>
  <c r="F979" i="6"/>
  <c r="K981" i="2"/>
  <c r="F941" i="6"/>
  <c r="K989" i="2"/>
  <c r="F949" i="6"/>
  <c r="K1103" i="2"/>
  <c r="F1063" i="6"/>
  <c r="K1028" i="2"/>
  <c r="F988" i="6"/>
  <c r="K1036" i="2"/>
  <c r="F996" i="6"/>
  <c r="K970" i="2"/>
  <c r="F930" i="6"/>
  <c r="K924" i="2"/>
  <c r="F884" i="6"/>
  <c r="K912" i="2"/>
  <c r="F872" i="6"/>
  <c r="K900" i="2"/>
  <c r="F860" i="6"/>
  <c r="K888" i="2"/>
  <c r="F848" i="6"/>
  <c r="K876" i="2"/>
  <c r="F836" i="6"/>
  <c r="K864" i="2"/>
  <c r="F824" i="6"/>
  <c r="K852" i="2"/>
  <c r="F812" i="6"/>
  <c r="K840" i="2"/>
  <c r="F800" i="6"/>
  <c r="K826" i="2"/>
  <c r="F786" i="6"/>
  <c r="K814" i="2"/>
  <c r="F774" i="6"/>
  <c r="K797" i="2"/>
  <c r="F757" i="6"/>
  <c r="K776" i="2"/>
  <c r="F736" i="6"/>
  <c r="K784" i="2"/>
  <c r="F744" i="6"/>
  <c r="K107" i="2"/>
  <c r="F67" i="6"/>
  <c r="K88" i="2"/>
  <c r="F48" i="6"/>
  <c r="K1105" i="2"/>
  <c r="F1065" i="6"/>
  <c r="K1069" i="2"/>
  <c r="F1029" i="6"/>
  <c r="K1008" i="2"/>
  <c r="F968" i="6"/>
  <c r="K974" i="2"/>
  <c r="F934" i="6"/>
  <c r="K928" i="2"/>
  <c r="F888" i="6"/>
  <c r="K898" i="2"/>
  <c r="F858" i="6"/>
  <c r="K850" i="2"/>
  <c r="F810" i="6"/>
  <c r="K796" i="2"/>
  <c r="F756" i="6"/>
  <c r="K150" i="2"/>
  <c r="F110" i="6"/>
  <c r="Q1134" i="2"/>
  <c r="R1134" i="2" s="1"/>
  <c r="Q1093" i="2"/>
  <c r="R1093" i="2" s="1"/>
  <c r="Q1054" i="2"/>
  <c r="R1054" i="2" s="1"/>
  <c r="Q1070" i="2"/>
  <c r="R1070" i="2" s="1"/>
  <c r="Q1005" i="2"/>
  <c r="R1005" i="2" s="1"/>
  <c r="Q975" i="2"/>
  <c r="R975" i="2" s="1"/>
  <c r="Q971" i="2"/>
  <c r="R971" i="2" s="1"/>
  <c r="Q1101" i="2"/>
  <c r="R1101" i="2" s="1"/>
  <c r="Q927" i="2"/>
  <c r="R927" i="2" s="1"/>
  <c r="Q829" i="2"/>
  <c r="R829" i="2" s="1"/>
  <c r="Q778" i="2"/>
  <c r="R778" i="2" s="1"/>
  <c r="Q94" i="2"/>
  <c r="R94" i="2" s="1"/>
  <c r="Q844" i="2"/>
  <c r="R844" i="2" s="1"/>
  <c r="Q806" i="2"/>
  <c r="R806" i="2" s="1"/>
  <c r="Q1098" i="2"/>
  <c r="R1098" i="2" s="1"/>
  <c r="Q1014" i="2"/>
  <c r="R1014" i="2" s="1"/>
  <c r="Q1117" i="2"/>
  <c r="R1117" i="2" s="1"/>
  <c r="Q1126" i="2"/>
  <c r="R1126" i="2" s="1"/>
  <c r="Q1034" i="2"/>
  <c r="R1034" i="2" s="1"/>
  <c r="Q932" i="2"/>
  <c r="R932" i="2" s="1"/>
  <c r="Q909" i="2"/>
  <c r="R909" i="2" s="1"/>
  <c r="Q885" i="2"/>
  <c r="R885" i="2" s="1"/>
  <c r="Q861" i="2"/>
  <c r="R861" i="2" s="1"/>
  <c r="Q835" i="2"/>
  <c r="R835" i="2" s="1"/>
  <c r="Q774" i="2"/>
  <c r="R774" i="2" s="1"/>
  <c r="Q156" i="2"/>
  <c r="R156" i="2" s="1"/>
  <c r="Q106" i="2"/>
  <c r="R106" i="2" s="1"/>
  <c r="Q1107" i="2"/>
  <c r="R1107" i="2" s="1"/>
  <c r="Q1057" i="2"/>
  <c r="R1057" i="2" s="1"/>
  <c r="Q1012" i="2"/>
  <c r="R1012" i="2" s="1"/>
  <c r="Q1029" i="2"/>
  <c r="R1029" i="2" s="1"/>
  <c r="Q922" i="2"/>
  <c r="R922" i="2" s="1"/>
  <c r="Q862" i="2"/>
  <c r="R862" i="2" s="1"/>
  <c r="Q1131" i="2"/>
  <c r="R1131" i="2" s="1"/>
  <c r="Q1109" i="2"/>
  <c r="R1109" i="2" s="1"/>
  <c r="Q1094" i="2"/>
  <c r="R1094" i="2" s="1"/>
  <c r="Q1047" i="2"/>
  <c r="R1047" i="2" s="1"/>
  <c r="Q1059" i="2"/>
  <c r="R1059" i="2" s="1"/>
  <c r="Q1071" i="2"/>
  <c r="R1071" i="2" s="1"/>
  <c r="Q1079" i="2"/>
  <c r="R1079" i="2" s="1"/>
  <c r="Q1010" i="2"/>
  <c r="R1010" i="2" s="1"/>
  <c r="Q980" i="2"/>
  <c r="R980" i="2" s="1"/>
  <c r="Q992" i="2"/>
  <c r="R992" i="2" s="1"/>
  <c r="Q919" i="2"/>
  <c r="R919" i="2" s="1"/>
  <c r="Q895" i="2"/>
  <c r="R895" i="2" s="1"/>
  <c r="Q871" i="2"/>
  <c r="R871" i="2" s="1"/>
  <c r="Q847" i="2"/>
  <c r="R847" i="2" s="1"/>
  <c r="Q821" i="2"/>
  <c r="R821" i="2" s="1"/>
  <c r="Q793" i="2"/>
  <c r="R793" i="2" s="1"/>
  <c r="Q787" i="2"/>
  <c r="R787" i="2" s="1"/>
  <c r="Q99" i="2"/>
  <c r="R99" i="2" s="1"/>
  <c r="Q1125" i="2"/>
  <c r="R1125" i="2" s="1"/>
  <c r="Q1041" i="2"/>
  <c r="R1041" i="2" s="1"/>
  <c r="Q1081" i="2"/>
  <c r="R1081" i="2" s="1"/>
  <c r="Q1119" i="2"/>
  <c r="R1119" i="2" s="1"/>
  <c r="Q836" i="2"/>
  <c r="R836" i="2" s="1"/>
  <c r="Q155" i="2"/>
  <c r="R155" i="2" s="1"/>
  <c r="Q1124" i="2"/>
  <c r="R1124" i="2" s="1"/>
  <c r="Q1110" i="2"/>
  <c r="R1110" i="2" s="1"/>
  <c r="Q1099" i="2"/>
  <c r="R1099" i="2" s="1"/>
  <c r="Q1052" i="2"/>
  <c r="R1052" i="2" s="1"/>
  <c r="Q1068" i="2"/>
  <c r="R1068" i="2" s="1"/>
  <c r="Q995" i="2"/>
  <c r="R995" i="2" s="1"/>
  <c r="Q1011" i="2"/>
  <c r="R1011" i="2" s="1"/>
  <c r="Q981" i="2"/>
  <c r="R981" i="2" s="1"/>
  <c r="Q1103" i="2"/>
  <c r="R1103" i="2" s="1"/>
  <c r="Q1036" i="2"/>
  <c r="R1036" i="2" s="1"/>
  <c r="Q924" i="2"/>
  <c r="R924" i="2" s="1"/>
  <c r="Q912" i="2"/>
  <c r="R912" i="2" s="1"/>
  <c r="Q870" i="2"/>
  <c r="R870" i="2" s="1"/>
  <c r="Q858" i="2"/>
  <c r="R858" i="2" s="1"/>
  <c r="Q797" i="2"/>
  <c r="R797" i="2" s="1"/>
  <c r="Q776" i="2"/>
  <c r="R776" i="2" s="1"/>
  <c r="Q88" i="2"/>
  <c r="R88" i="2" s="1"/>
  <c r="Q1069" i="2"/>
  <c r="R1069" i="2" s="1"/>
  <c r="Q974" i="2"/>
  <c r="R974" i="2" s="1"/>
  <c r="Q898" i="2"/>
  <c r="R898" i="2" s="1"/>
  <c r="Q796" i="2"/>
  <c r="R796" i="2" s="1"/>
  <c r="Q98" i="2"/>
  <c r="R98" i="2" s="1"/>
  <c r="Q1038" i="2"/>
  <c r="R1038" i="2" s="1"/>
  <c r="Q1078" i="2"/>
  <c r="R1078" i="2" s="1"/>
  <c r="Q983" i="2"/>
  <c r="R983" i="2" s="1"/>
  <c r="Q903" i="2"/>
  <c r="R903" i="2" s="1"/>
  <c r="Q1092" i="2"/>
  <c r="R1092" i="2" s="1"/>
  <c r="Q910" i="2"/>
  <c r="R910" i="2" s="1"/>
  <c r="Q1031" i="2"/>
  <c r="R1031" i="2" s="1"/>
  <c r="Q969" i="2"/>
  <c r="R969" i="2" s="1"/>
  <c r="Q913" i="2"/>
  <c r="R913" i="2" s="1"/>
  <c r="Q841" i="2"/>
  <c r="R841" i="2" s="1"/>
  <c r="Q1133" i="2"/>
  <c r="R1133" i="2" s="1"/>
  <c r="Q1004" i="2"/>
  <c r="R1004" i="2" s="1"/>
  <c r="Q1086" i="2"/>
  <c r="R1086" i="2" s="1"/>
  <c r="Q886" i="2"/>
  <c r="R886" i="2" s="1"/>
  <c r="Q1114" i="2"/>
  <c r="R1114" i="2" s="1"/>
  <c r="Q1040" i="2"/>
  <c r="R1040" i="2" s="1"/>
  <c r="Q1056" i="2"/>
  <c r="R1056" i="2" s="1"/>
  <c r="Q1072" i="2"/>
  <c r="R1072" i="2" s="1"/>
  <c r="Q1015" i="2"/>
  <c r="R1015" i="2" s="1"/>
  <c r="Q1085" i="2"/>
  <c r="R1085" i="2" s="1"/>
  <c r="Q993" i="2"/>
  <c r="R993" i="2" s="1"/>
  <c r="Q826" i="2"/>
  <c r="R826" i="2" s="1"/>
  <c r="Q780" i="2"/>
  <c r="R780" i="2" s="1"/>
  <c r="Q149" i="2"/>
  <c r="R149" i="2" s="1"/>
  <c r="Q1027" i="2"/>
  <c r="R1027" i="2" s="1"/>
  <c r="Q1122" i="2"/>
  <c r="R1122" i="2" s="1"/>
  <c r="Q1130" i="2"/>
  <c r="R1130" i="2" s="1"/>
  <c r="Q1108" i="2"/>
  <c r="R1108" i="2" s="1"/>
  <c r="Q1089" i="2"/>
  <c r="R1089" i="2" s="1"/>
  <c r="Q1097" i="2"/>
  <c r="R1097" i="2" s="1"/>
  <c r="Q1042" i="2"/>
  <c r="R1042" i="2" s="1"/>
  <c r="Q1050" i="2"/>
  <c r="R1050" i="2" s="1"/>
  <c r="Q1058" i="2"/>
  <c r="R1058" i="2" s="1"/>
  <c r="Q1066" i="2"/>
  <c r="R1066" i="2" s="1"/>
  <c r="Q1074" i="2"/>
  <c r="R1074" i="2" s="1"/>
  <c r="Q1082" i="2"/>
  <c r="R1082" i="2" s="1"/>
  <c r="Q1001" i="2"/>
  <c r="R1001" i="2" s="1"/>
  <c r="Q1009" i="2"/>
  <c r="R1009" i="2" s="1"/>
  <c r="Q1017" i="2"/>
  <c r="R1017" i="2" s="1"/>
  <c r="Q979" i="2"/>
  <c r="R979" i="2" s="1"/>
  <c r="Q987" i="2"/>
  <c r="R987" i="2" s="1"/>
  <c r="Q1116" i="2"/>
  <c r="R1116" i="2" s="1"/>
  <c r="Q1030" i="2"/>
  <c r="R1030" i="2" s="1"/>
  <c r="Q968" i="2"/>
  <c r="R968" i="2" s="1"/>
  <c r="Q915" i="2"/>
  <c r="R915" i="2" s="1"/>
  <c r="Q891" i="2"/>
  <c r="R891" i="2" s="1"/>
  <c r="Q867" i="2"/>
  <c r="R867" i="2" s="1"/>
  <c r="Q817" i="2"/>
  <c r="R817" i="2" s="1"/>
  <c r="Q794" i="2"/>
  <c r="R794" i="2" s="1"/>
  <c r="Q786" i="2"/>
  <c r="R786" i="2" s="1"/>
  <c r="Q112" i="2"/>
  <c r="R112" i="2" s="1"/>
  <c r="Q58" i="2"/>
  <c r="R58" i="2" s="1"/>
  <c r="Q1129" i="2"/>
  <c r="R1129" i="2" s="1"/>
  <c r="Q1045" i="2"/>
  <c r="R1045" i="2" s="1"/>
  <c r="Q1000" i="2"/>
  <c r="R1000" i="2" s="1"/>
  <c r="Q1104" i="2"/>
  <c r="R1104" i="2" s="1"/>
  <c r="Q933" i="2"/>
  <c r="R933" i="2" s="1"/>
  <c r="Q880" i="2"/>
  <c r="R880" i="2" s="1"/>
  <c r="Q818" i="2"/>
  <c r="R818" i="2" s="1"/>
  <c r="Q86" i="2"/>
  <c r="R86" i="2" s="1"/>
  <c r="Q1127" i="2"/>
  <c r="R1127" i="2" s="1"/>
  <c r="Q1043" i="2"/>
  <c r="R1043" i="2" s="1"/>
  <c r="Q1055" i="2"/>
  <c r="R1055" i="2" s="1"/>
  <c r="Q1067" i="2"/>
  <c r="R1067" i="2" s="1"/>
  <c r="Q998" i="2"/>
  <c r="R998" i="2" s="1"/>
  <c r="Q976" i="2"/>
  <c r="R976" i="2" s="1"/>
  <c r="Q988" i="2"/>
  <c r="R988" i="2" s="1"/>
  <c r="Q1084" i="2"/>
  <c r="R1084" i="2" s="1"/>
  <c r="Q1035" i="2"/>
  <c r="R1035" i="2" s="1"/>
  <c r="Q925" i="2"/>
  <c r="R925" i="2" s="1"/>
  <c r="Q901" i="2"/>
  <c r="R901" i="2" s="1"/>
  <c r="Q877" i="2"/>
  <c r="R877" i="2" s="1"/>
  <c r="Q853" i="2"/>
  <c r="R853" i="2" s="1"/>
  <c r="Q827" i="2"/>
  <c r="R827" i="2" s="1"/>
  <c r="Q799" i="2"/>
  <c r="R799" i="2" s="1"/>
  <c r="Q783" i="2"/>
  <c r="R783" i="2" s="1"/>
  <c r="Q111" i="2"/>
  <c r="R111" i="2" s="1"/>
  <c r="Q1096" i="2"/>
  <c r="R1096" i="2" s="1"/>
  <c r="Q1073" i="2"/>
  <c r="R1073" i="2" s="1"/>
  <c r="Q982" i="2"/>
  <c r="R982" i="2" s="1"/>
  <c r="Q904" i="2"/>
  <c r="R904" i="2" s="1"/>
  <c r="Q856" i="2"/>
  <c r="R856" i="2" s="1"/>
  <c r="Q781" i="2"/>
  <c r="R781" i="2" s="1"/>
  <c r="Q2247" i="2"/>
  <c r="R2247" i="2" s="1"/>
  <c r="Q1106" i="2"/>
  <c r="R1106" i="2" s="1"/>
  <c r="Q1048" i="2"/>
  <c r="R1048" i="2" s="1"/>
  <c r="Q1064" i="2"/>
  <c r="R1064" i="2" s="1"/>
  <c r="Q1080" i="2"/>
  <c r="R1080" i="2" s="1"/>
  <c r="Q1007" i="2"/>
  <c r="R1007" i="2" s="1"/>
  <c r="Q977" i="2"/>
  <c r="R977" i="2" s="1"/>
  <c r="Q1118" i="2"/>
  <c r="R1118" i="2" s="1"/>
  <c r="Q1032" i="2"/>
  <c r="R1032" i="2" s="1"/>
  <c r="Q930" i="2"/>
  <c r="R930" i="2" s="1"/>
  <c r="Q900" i="2"/>
  <c r="R900" i="2" s="1"/>
  <c r="Q888" i="2"/>
  <c r="R888" i="2" s="1"/>
  <c r="Q876" i="2"/>
  <c r="R876" i="2" s="1"/>
  <c r="Q846" i="2"/>
  <c r="R846" i="2" s="1"/>
  <c r="Q832" i="2"/>
  <c r="R832" i="2" s="1"/>
  <c r="Q820" i="2"/>
  <c r="R820" i="2" s="1"/>
  <c r="Q784" i="2"/>
  <c r="R784" i="2" s="1"/>
  <c r="Q95" i="2"/>
  <c r="R95" i="2" s="1"/>
  <c r="Q1053" i="2"/>
  <c r="R1053" i="2" s="1"/>
  <c r="Q994" i="2"/>
  <c r="R994" i="2" s="1"/>
  <c r="Q916" i="2"/>
  <c r="R916" i="2" s="1"/>
  <c r="Q824" i="2"/>
  <c r="R824" i="2" s="1"/>
  <c r="Q1112" i="2"/>
  <c r="R1112" i="2" s="1"/>
  <c r="Q1046" i="2"/>
  <c r="R1046" i="2" s="1"/>
  <c r="Q1062" i="2"/>
  <c r="R1062" i="2" s="1"/>
  <c r="Q997" i="2"/>
  <c r="R997" i="2" s="1"/>
  <c r="Q1013" i="2"/>
  <c r="R1013" i="2" s="1"/>
  <c r="Q879" i="2"/>
  <c r="R879" i="2" s="1"/>
  <c r="Q855" i="2"/>
  <c r="R855" i="2" s="1"/>
  <c r="Q811" i="2"/>
  <c r="R811" i="2" s="1"/>
  <c r="Q1065" i="2"/>
  <c r="R1065" i="2" s="1"/>
  <c r="Q978" i="2"/>
  <c r="R978" i="2" s="1"/>
  <c r="Q1113" i="2"/>
  <c r="R1113" i="2" s="1"/>
  <c r="Q1051" i="2"/>
  <c r="R1051" i="2" s="1"/>
  <c r="Q1063" i="2"/>
  <c r="R1063" i="2" s="1"/>
  <c r="Q1002" i="2"/>
  <c r="R1002" i="2" s="1"/>
  <c r="Q1083" i="2"/>
  <c r="R1083" i="2" s="1"/>
  <c r="Q889" i="2"/>
  <c r="R889" i="2" s="1"/>
  <c r="Q865" i="2"/>
  <c r="R865" i="2" s="1"/>
  <c r="Q815" i="2"/>
  <c r="R815" i="2" s="1"/>
  <c r="Q775" i="2"/>
  <c r="R775" i="2" s="1"/>
  <c r="Q154" i="2"/>
  <c r="R154" i="2" s="1"/>
  <c r="Q87" i="2"/>
  <c r="R87" i="2" s="1"/>
  <c r="Q1049" i="2"/>
  <c r="R1049" i="2" s="1"/>
  <c r="Q812" i="2"/>
  <c r="R812" i="2" s="1"/>
  <c r="Q1128" i="2"/>
  <c r="R1128" i="2" s="1"/>
  <c r="Q999" i="2"/>
  <c r="R999" i="2" s="1"/>
  <c r="Q985" i="2"/>
  <c r="R985" i="2" s="1"/>
  <c r="Q906" i="2"/>
  <c r="R906" i="2" s="1"/>
  <c r="Q894" i="2"/>
  <c r="R894" i="2" s="1"/>
  <c r="Q882" i="2"/>
  <c r="R882" i="2" s="1"/>
  <c r="Q840" i="2"/>
  <c r="R840" i="2" s="1"/>
  <c r="Q814" i="2"/>
  <c r="R814" i="2" s="1"/>
  <c r="Q996" i="2"/>
  <c r="R996" i="2" s="1"/>
  <c r="Q874" i="2"/>
  <c r="R874" i="2" s="1"/>
  <c r="Q785" i="2"/>
  <c r="R785" i="2" s="1"/>
  <c r="Q1087" i="2"/>
  <c r="R1087" i="2" s="1"/>
  <c r="Q991" i="2"/>
  <c r="R991" i="2" s="1"/>
  <c r="Q921" i="2"/>
  <c r="R921" i="2" s="1"/>
  <c r="Q897" i="2"/>
  <c r="R897" i="2" s="1"/>
  <c r="Q873" i="2"/>
  <c r="R873" i="2" s="1"/>
  <c r="Q849" i="2"/>
  <c r="R849" i="2" s="1"/>
  <c r="Q843" i="2"/>
  <c r="R843" i="2" s="1"/>
  <c r="Q823" i="2"/>
  <c r="R823" i="2" s="1"/>
  <c r="Q800" i="2"/>
  <c r="R800" i="2" s="1"/>
  <c r="Q782" i="2"/>
  <c r="R782" i="2" s="1"/>
  <c r="Q148" i="2"/>
  <c r="R148" i="2" s="1"/>
  <c r="Q82" i="2"/>
  <c r="R82" i="2" s="1"/>
  <c r="Q1121" i="2"/>
  <c r="R1121" i="2" s="1"/>
  <c r="Q1088" i="2"/>
  <c r="R1088" i="2" s="1"/>
  <c r="Q1077" i="2"/>
  <c r="R1077" i="2" s="1"/>
  <c r="Q986" i="2"/>
  <c r="R986" i="2" s="1"/>
  <c r="Q990" i="2"/>
  <c r="R990" i="2" s="1"/>
  <c r="Q892" i="2"/>
  <c r="R892" i="2" s="1"/>
  <c r="Q830" i="2"/>
  <c r="R830" i="2" s="1"/>
  <c r="Q777" i="2"/>
  <c r="R777" i="2" s="1"/>
  <c r="Q1123" i="2"/>
  <c r="R1123" i="2" s="1"/>
  <c r="Q1120" i="2"/>
  <c r="R1120" i="2" s="1"/>
  <c r="Q1090" i="2"/>
  <c r="R1090" i="2" s="1"/>
  <c r="Q1039" i="2"/>
  <c r="R1039" i="2" s="1"/>
  <c r="Q1075" i="2"/>
  <c r="R1075" i="2" s="1"/>
  <c r="Q1037" i="2"/>
  <c r="R1037" i="2" s="1"/>
  <c r="Q1006" i="2"/>
  <c r="R1006" i="2" s="1"/>
  <c r="Q1018" i="2"/>
  <c r="R1018" i="2" s="1"/>
  <c r="Q984" i="2"/>
  <c r="R984" i="2" s="1"/>
  <c r="Q1102" i="2"/>
  <c r="R1102" i="2" s="1"/>
  <c r="Q931" i="2"/>
  <c r="R931" i="2" s="1"/>
  <c r="Q907" i="2"/>
  <c r="R907" i="2" s="1"/>
  <c r="Q883" i="2"/>
  <c r="R883" i="2" s="1"/>
  <c r="Q859" i="2"/>
  <c r="R859" i="2" s="1"/>
  <c r="Q833" i="2"/>
  <c r="R833" i="2" s="1"/>
  <c r="Q809" i="2"/>
  <c r="R809" i="2" s="1"/>
  <c r="Q779" i="2"/>
  <c r="R779" i="2" s="1"/>
  <c r="Q135" i="2"/>
  <c r="R135" i="2" s="1"/>
  <c r="Q83" i="2"/>
  <c r="R83" i="2" s="1"/>
  <c r="Q1111" i="2"/>
  <c r="R1111" i="2" s="1"/>
  <c r="Q1061" i="2"/>
  <c r="R1061" i="2" s="1"/>
  <c r="Q1016" i="2"/>
  <c r="R1016" i="2" s="1"/>
  <c r="Q1033" i="2"/>
  <c r="R1033" i="2" s="1"/>
  <c r="Q868" i="2"/>
  <c r="R868" i="2" s="1"/>
  <c r="Q773" i="2"/>
  <c r="R773" i="2" s="1"/>
  <c r="Q108" i="2"/>
  <c r="R108" i="2" s="1"/>
  <c r="Q1132" i="2"/>
  <c r="R1132" i="2" s="1"/>
  <c r="Q1091" i="2"/>
  <c r="R1091" i="2" s="1"/>
  <c r="Q1095" i="2"/>
  <c r="R1095" i="2" s="1"/>
  <c r="Q1044" i="2"/>
  <c r="R1044" i="2" s="1"/>
  <c r="Q1060" i="2"/>
  <c r="R1060" i="2" s="1"/>
  <c r="Q1076" i="2"/>
  <c r="R1076" i="2" s="1"/>
  <c r="Q1003" i="2"/>
  <c r="R1003" i="2" s="1"/>
  <c r="Q1019" i="2"/>
  <c r="R1019" i="2" s="1"/>
  <c r="Q989" i="2"/>
  <c r="R989" i="2" s="1"/>
  <c r="Q1028" i="2"/>
  <c r="R1028" i="2" s="1"/>
  <c r="Q970" i="2"/>
  <c r="R970" i="2" s="1"/>
  <c r="Q918" i="2"/>
  <c r="R918" i="2" s="1"/>
  <c r="Q864" i="2"/>
  <c r="R864" i="2" s="1"/>
  <c r="Q852" i="2"/>
  <c r="R852" i="2" s="1"/>
  <c r="Q808" i="2"/>
  <c r="R808" i="2" s="1"/>
  <c r="Q772" i="2"/>
  <c r="R772" i="2" s="1"/>
  <c r="Q107" i="2"/>
  <c r="R107" i="2" s="1"/>
  <c r="Q1105" i="2"/>
  <c r="R1105" i="2" s="1"/>
  <c r="Q1008" i="2"/>
  <c r="R1008" i="2" s="1"/>
  <c r="Q928" i="2"/>
  <c r="R928" i="2" s="1"/>
  <c r="Q850" i="2"/>
  <c r="R850" i="2" s="1"/>
  <c r="Q150" i="2"/>
  <c r="R150" i="2" s="1"/>
  <c r="I1162" i="4"/>
  <c r="K1162" i="4" s="1"/>
  <c r="I1057" i="4"/>
  <c r="K1057" i="4" s="1"/>
  <c r="I469" i="4"/>
  <c r="K469" i="4" s="1"/>
  <c r="M469" i="4" s="1"/>
  <c r="I1035" i="4"/>
  <c r="K1035" i="4" s="1"/>
  <c r="M1035" i="4" s="1"/>
  <c r="I472" i="4"/>
  <c r="K472" i="4" s="1"/>
  <c r="I466" i="4"/>
  <c r="K466" i="4" s="1"/>
  <c r="M1307" i="4"/>
  <c r="M40" i="4"/>
  <c r="M34" i="4"/>
  <c r="M19" i="4"/>
  <c r="M24" i="4"/>
  <c r="M1131" i="4"/>
  <c r="M1060" i="4"/>
  <c r="I930" i="4"/>
  <c r="K930" i="4" s="1"/>
  <c r="I590" i="4"/>
  <c r="K590" i="4" s="1"/>
  <c r="M567" i="4"/>
  <c r="M466" i="4"/>
  <c r="I142" i="4"/>
  <c r="K142" i="4" s="1"/>
  <c r="M30" i="4"/>
  <c r="I1169" i="4"/>
  <c r="K1169" i="4" s="1"/>
  <c r="I1142" i="4"/>
  <c r="K1142" i="4" s="1"/>
  <c r="I1071" i="4"/>
  <c r="K1071" i="4" s="1"/>
  <c r="M947" i="4"/>
  <c r="M768" i="4"/>
  <c r="I637" i="4"/>
  <c r="K637" i="4" s="1"/>
  <c r="M611" i="4"/>
  <c r="M565" i="4"/>
  <c r="I550" i="4"/>
  <c r="K550" i="4" s="1"/>
  <c r="M408" i="4"/>
  <c r="M333" i="4"/>
  <c r="I154" i="4"/>
  <c r="K154" i="4" s="1"/>
  <c r="I37" i="4"/>
  <c r="I36" i="4" s="1"/>
  <c r="K36" i="4" s="1"/>
  <c r="K25" i="4"/>
  <c r="M25" i="4" s="1"/>
  <c r="N25" i="4" s="1"/>
  <c r="I44" i="4"/>
  <c r="K44" i="4" s="1"/>
  <c r="M1167" i="4"/>
  <c r="I1085" i="4"/>
  <c r="K1085" i="4" s="1"/>
  <c r="M1057" i="4"/>
  <c r="I1018" i="4"/>
  <c r="K1018" i="4" s="1"/>
  <c r="I940" i="4"/>
  <c r="K940" i="4" s="1"/>
  <c r="I919" i="4"/>
  <c r="K919" i="4" s="1"/>
  <c r="I909" i="4"/>
  <c r="K909" i="4" s="1"/>
  <c r="I899" i="4"/>
  <c r="K899" i="4" s="1"/>
  <c r="M766" i="4"/>
  <c r="I720" i="4"/>
  <c r="K720" i="4" s="1"/>
  <c r="M555" i="4"/>
  <c r="I475" i="4"/>
  <c r="K475" i="4" s="1"/>
  <c r="I414" i="4"/>
  <c r="K414" i="4" s="1"/>
  <c r="I271" i="4"/>
  <c r="K271" i="4" s="1"/>
  <c r="I159" i="4"/>
  <c r="K159" i="4" s="1"/>
  <c r="M1162" i="4"/>
  <c r="I949" i="4"/>
  <c r="K949" i="4" s="1"/>
  <c r="M895" i="4"/>
  <c r="M770" i="4"/>
  <c r="I667" i="4"/>
  <c r="K667" i="4" s="1"/>
  <c r="M613" i="4"/>
  <c r="M560" i="4"/>
  <c r="M472" i="4"/>
  <c r="M410" i="4"/>
  <c r="M335" i="4"/>
  <c r="I31" i="4"/>
  <c r="M1159" i="4"/>
  <c r="I1106" i="4"/>
  <c r="K1106" i="4" s="1"/>
  <c r="I1065" i="4"/>
  <c r="K1065" i="4" s="1"/>
  <c r="I1027" i="4"/>
  <c r="K1027" i="4" s="1"/>
  <c r="I836" i="4"/>
  <c r="K836" i="4" s="1"/>
  <c r="I675" i="4"/>
  <c r="K675" i="4" s="1"/>
  <c r="I9" i="4"/>
  <c r="K9" i="4" s="1"/>
  <c r="I12" i="4"/>
  <c r="K12" i="4" s="1"/>
  <c r="I1133" i="4"/>
  <c r="K1133" i="4" s="1"/>
  <c r="I1111" i="4"/>
  <c r="K1111" i="4" s="1"/>
  <c r="M1102" i="4"/>
  <c r="I1095" i="4"/>
  <c r="K1095" i="4" s="1"/>
  <c r="M1068" i="4"/>
  <c r="M1062" i="4"/>
  <c r="I1050" i="4"/>
  <c r="K1050" i="4" s="1"/>
  <c r="I1045" i="4"/>
  <c r="K1045" i="4" s="1"/>
  <c r="M1012" i="4"/>
  <c r="M897" i="4"/>
  <c r="I772" i="4"/>
  <c r="K772" i="4" s="1"/>
  <c r="I659" i="4"/>
  <c r="K659" i="4" s="1"/>
  <c r="I615" i="4"/>
  <c r="K615" i="4" s="1"/>
  <c r="I569" i="4"/>
  <c r="K569" i="4" s="1"/>
  <c r="M562" i="4"/>
  <c r="I440" i="4"/>
  <c r="K440" i="4" s="1"/>
  <c r="M412" i="4"/>
  <c r="I364" i="4"/>
  <c r="K364" i="4" s="1"/>
  <c r="I338" i="4"/>
  <c r="K338" i="4" s="1"/>
  <c r="M157" i="4"/>
  <c r="M1209" i="4"/>
  <c r="M1269" i="4"/>
  <c r="N1318" i="4"/>
  <c r="M1421" i="4"/>
  <c r="M1313" i="4"/>
  <c r="M1339" i="4"/>
  <c r="N1307" i="4"/>
  <c r="M1400" i="4"/>
  <c r="M1603" i="4"/>
  <c r="N1589" i="4"/>
  <c r="M1194" i="4"/>
  <c r="M1216" i="4"/>
  <c r="M1300" i="4"/>
  <c r="M1367" i="4"/>
  <c r="N1434" i="4"/>
  <c r="M1463" i="4"/>
  <c r="M1480" i="4"/>
  <c r="N1491" i="4"/>
  <c r="M1506" i="4"/>
  <c r="M1537" i="4"/>
  <c r="N1561" i="4"/>
  <c r="M1570" i="4"/>
  <c r="M1375" i="4"/>
  <c r="M1404" i="4"/>
  <c r="M1489" i="4"/>
  <c r="M1498" i="4"/>
  <c r="M1524" i="4"/>
  <c r="M1543" i="4"/>
  <c r="M1587" i="4"/>
  <c r="M1595" i="4"/>
  <c r="M1611" i="4"/>
  <c r="M1310" i="4"/>
  <c r="M1337" i="4"/>
  <c r="M1493" i="4"/>
  <c r="M1452" i="4"/>
  <c r="M1473" i="4"/>
  <c r="M1485" i="4"/>
  <c r="M1548" i="4"/>
  <c r="M1566" i="4"/>
  <c r="M1599" i="4"/>
  <c r="M1607" i="4"/>
  <c r="M1370" i="4"/>
  <c r="N1370" i="4" s="1"/>
  <c r="M1393" i="4"/>
  <c r="M1414" i="4"/>
  <c r="M1426" i="4"/>
  <c r="M1581" i="4"/>
  <c r="M1591" i="4"/>
  <c r="M1208" i="4"/>
  <c r="M1230" i="4"/>
  <c r="M1315" i="4"/>
  <c r="M1348" i="4"/>
  <c r="M1534" i="4"/>
  <c r="I1373" i="4"/>
  <c r="K1373" i="4" s="1"/>
  <c r="M41" i="4"/>
  <c r="K31" i="4"/>
  <c r="K38" i="4"/>
  <c r="I26" i="4"/>
  <c r="K26" i="4" s="1"/>
  <c r="I15" i="4"/>
  <c r="K15" i="4" s="1"/>
  <c r="K110" i="6" l="1"/>
  <c r="L110" i="6" s="1"/>
  <c r="G110" i="6"/>
  <c r="K810" i="6"/>
  <c r="L810" i="6" s="1"/>
  <c r="G810" i="6"/>
  <c r="K888" i="6"/>
  <c r="L888" i="6" s="1"/>
  <c r="G888" i="6"/>
  <c r="K968" i="6"/>
  <c r="L968" i="6" s="1"/>
  <c r="G968" i="6"/>
  <c r="K1065" i="6"/>
  <c r="L1065" i="6" s="1"/>
  <c r="G1065" i="6"/>
  <c r="K67" i="6"/>
  <c r="L67" i="6" s="1"/>
  <c r="G67" i="6"/>
  <c r="K736" i="6"/>
  <c r="L736" i="6" s="1"/>
  <c r="G736" i="6"/>
  <c r="K774" i="6"/>
  <c r="L774" i="6" s="1"/>
  <c r="G774" i="6"/>
  <c r="K800" i="6"/>
  <c r="L800" i="6" s="1"/>
  <c r="G800" i="6"/>
  <c r="K824" i="6"/>
  <c r="L824" i="6" s="1"/>
  <c r="G824" i="6"/>
  <c r="K848" i="6"/>
  <c r="L848" i="6" s="1"/>
  <c r="G848" i="6"/>
  <c r="K872" i="6"/>
  <c r="L872" i="6" s="1"/>
  <c r="G872" i="6"/>
  <c r="K930" i="6"/>
  <c r="L930" i="6" s="1"/>
  <c r="G930" i="6"/>
  <c r="K988" i="6"/>
  <c r="L988" i="6" s="1"/>
  <c r="G988" i="6"/>
  <c r="K949" i="6"/>
  <c r="L949" i="6" s="1"/>
  <c r="G949" i="6"/>
  <c r="K979" i="6"/>
  <c r="L979" i="6" s="1"/>
  <c r="G979" i="6"/>
  <c r="K963" i="6"/>
  <c r="L963" i="6" s="1"/>
  <c r="G963" i="6"/>
  <c r="K1036" i="6"/>
  <c r="L1036" i="6" s="1"/>
  <c r="G1036" i="6"/>
  <c r="K1020" i="6"/>
  <c r="L1020" i="6" s="1"/>
  <c r="G1020" i="6"/>
  <c r="K1004" i="6"/>
  <c r="L1004" i="6" s="1"/>
  <c r="G1004" i="6"/>
  <c r="K1051" i="6"/>
  <c r="L1051" i="6" s="1"/>
  <c r="G1051" i="6"/>
  <c r="K1092" i="6"/>
  <c r="L1092" i="6" s="1"/>
  <c r="G1092" i="6"/>
  <c r="K68" i="6"/>
  <c r="L68" i="6" s="1"/>
  <c r="G68" i="6"/>
  <c r="K772" i="6"/>
  <c r="L772" i="6" s="1"/>
  <c r="G772" i="6"/>
  <c r="K846" i="6"/>
  <c r="L846" i="6" s="1"/>
  <c r="G846" i="6"/>
  <c r="K1079" i="6"/>
  <c r="L1079" i="6" s="1"/>
  <c r="G1079" i="6"/>
  <c r="K1041" i="6"/>
  <c r="L1041" i="6" s="1"/>
  <c r="G1041" i="6"/>
  <c r="K1001" i="6"/>
  <c r="L1001" i="6" s="1"/>
  <c r="G1001" i="6"/>
  <c r="K1085" i="6"/>
  <c r="L1085" i="6" s="1"/>
  <c r="G1085" i="6"/>
  <c r="K966" i="6"/>
  <c r="L966" i="6" s="1"/>
  <c r="G966" i="6"/>
  <c r="K778" i="6"/>
  <c r="L778" i="6" s="1"/>
  <c r="G778" i="6"/>
  <c r="K840" i="6"/>
  <c r="L840" i="6" s="1"/>
  <c r="G840" i="6"/>
  <c r="K893" i="6"/>
  <c r="L893" i="6" s="1"/>
  <c r="G893" i="6"/>
  <c r="K946" i="6"/>
  <c r="L946" i="6" s="1"/>
  <c r="G946" i="6"/>
  <c r="K1037" i="6"/>
  <c r="L1037" i="6" s="1"/>
  <c r="G1037" i="6"/>
  <c r="K1048" i="6"/>
  <c r="L1048" i="6" s="1"/>
  <c r="G1048" i="6"/>
  <c r="K1081" i="6"/>
  <c r="L1081" i="6" s="1"/>
  <c r="G1081" i="6"/>
  <c r="K47" i="6"/>
  <c r="L47" i="6" s="1"/>
  <c r="G47" i="6"/>
  <c r="K114" i="6"/>
  <c r="L114" i="6" s="1"/>
  <c r="G114" i="6"/>
  <c r="K735" i="6"/>
  <c r="L735" i="6" s="1"/>
  <c r="G735" i="6"/>
  <c r="K775" i="6"/>
  <c r="L775" i="6" s="1"/>
  <c r="G775" i="6"/>
  <c r="K801" i="6"/>
  <c r="L801" i="6" s="1"/>
  <c r="G801" i="6"/>
  <c r="K825" i="6"/>
  <c r="L825" i="6" s="1"/>
  <c r="G825" i="6"/>
  <c r="K849" i="6"/>
  <c r="L849" i="6" s="1"/>
  <c r="G849" i="6"/>
  <c r="K873" i="6"/>
  <c r="L873" i="6" s="1"/>
  <c r="G873" i="6"/>
  <c r="K929" i="6"/>
  <c r="L929" i="6" s="1"/>
  <c r="G929" i="6"/>
  <c r="K1043" i="6"/>
  <c r="L1043" i="6" s="1"/>
  <c r="G1043" i="6"/>
  <c r="K948" i="6"/>
  <c r="L948" i="6" s="1"/>
  <c r="G948" i="6"/>
  <c r="K978" i="6"/>
  <c r="L978" i="6" s="1"/>
  <c r="G978" i="6"/>
  <c r="K962" i="6"/>
  <c r="L962" i="6" s="1"/>
  <c r="G962" i="6"/>
  <c r="K1035" i="6"/>
  <c r="L1035" i="6" s="1"/>
  <c r="G1035" i="6"/>
  <c r="K1019" i="6"/>
  <c r="L1019" i="6" s="1"/>
  <c r="G1019" i="6"/>
  <c r="K1003" i="6"/>
  <c r="L1003" i="6" s="1"/>
  <c r="G1003" i="6"/>
  <c r="K1050" i="6"/>
  <c r="L1050" i="6" s="1"/>
  <c r="G1050" i="6"/>
  <c r="K1091" i="6"/>
  <c r="L1091" i="6" s="1"/>
  <c r="G1091" i="6"/>
  <c r="K42" i="6"/>
  <c r="L42" i="6" s="1"/>
  <c r="G42" i="6"/>
  <c r="K108" i="6"/>
  <c r="L108" i="6" s="1"/>
  <c r="G108" i="6"/>
  <c r="K738" i="6"/>
  <c r="L738" i="6" s="1"/>
  <c r="G738" i="6"/>
  <c r="K771" i="6"/>
  <c r="L771" i="6" s="1"/>
  <c r="G771" i="6"/>
  <c r="K795" i="6"/>
  <c r="L795" i="6" s="1"/>
  <c r="G795" i="6"/>
  <c r="K821" i="6"/>
  <c r="L821" i="6" s="1"/>
  <c r="G821" i="6"/>
  <c r="K845" i="6"/>
  <c r="L845" i="6" s="1"/>
  <c r="G845" i="6"/>
  <c r="K869" i="6"/>
  <c r="L869" i="6" s="1"/>
  <c r="G869" i="6"/>
  <c r="K892" i="6"/>
  <c r="L892" i="6" s="1"/>
  <c r="G892" i="6"/>
  <c r="K990" i="6"/>
  <c r="L990" i="6" s="1"/>
  <c r="G990" i="6"/>
  <c r="K931" i="6"/>
  <c r="L931" i="6" s="1"/>
  <c r="G931" i="6"/>
  <c r="K935" i="6"/>
  <c r="L935" i="6" s="1"/>
  <c r="G935" i="6"/>
  <c r="K965" i="6"/>
  <c r="L965" i="6" s="1"/>
  <c r="G965" i="6"/>
  <c r="K1038" i="6"/>
  <c r="L1038" i="6" s="1"/>
  <c r="G1038" i="6"/>
  <c r="K1022" i="6"/>
  <c r="L1022" i="6" s="1"/>
  <c r="G1022" i="6"/>
  <c r="K1006" i="6"/>
  <c r="L1006" i="6" s="1"/>
  <c r="G1006" i="6"/>
  <c r="K1053" i="6"/>
  <c r="L1053" i="6" s="1"/>
  <c r="G1053" i="6"/>
  <c r="K1094" i="6"/>
  <c r="L1094" i="6" s="1"/>
  <c r="G1094" i="6"/>
  <c r="K745" i="6"/>
  <c r="L745" i="6" s="1"/>
  <c r="G745" i="6"/>
  <c r="K834" i="6"/>
  <c r="L834" i="6" s="1"/>
  <c r="G834" i="6"/>
  <c r="K987" i="6"/>
  <c r="L987" i="6" s="1"/>
  <c r="G987" i="6"/>
  <c r="K956" i="6"/>
  <c r="L956" i="6" s="1"/>
  <c r="G956" i="6"/>
  <c r="K55" i="6"/>
  <c r="L55" i="6" s="1"/>
  <c r="G55" i="6"/>
  <c r="K740" i="6"/>
  <c r="L740" i="6" s="1"/>
  <c r="G740" i="6"/>
  <c r="K768" i="6"/>
  <c r="L768" i="6" s="1"/>
  <c r="G768" i="6"/>
  <c r="K792" i="6"/>
  <c r="L792" i="6" s="1"/>
  <c r="G792" i="6"/>
  <c r="K818" i="6"/>
  <c r="L818" i="6" s="1"/>
  <c r="G818" i="6"/>
  <c r="K842" i="6"/>
  <c r="L842" i="6" s="1"/>
  <c r="G842" i="6"/>
  <c r="K866" i="6"/>
  <c r="L866" i="6" s="1"/>
  <c r="G866" i="6"/>
  <c r="K890" i="6"/>
  <c r="L890" i="6" s="1"/>
  <c r="G890" i="6"/>
  <c r="K992" i="6"/>
  <c r="L992" i="6" s="1"/>
  <c r="G992" i="6"/>
  <c r="K1078" i="6"/>
  <c r="L1078" i="6" s="1"/>
  <c r="G1078" i="6"/>
  <c r="K937" i="6"/>
  <c r="L937" i="6" s="1"/>
  <c r="G937" i="6"/>
  <c r="K967" i="6"/>
  <c r="L967" i="6" s="1"/>
  <c r="G967" i="6"/>
  <c r="K1040" i="6"/>
  <c r="L1040" i="6" s="1"/>
  <c r="G1040" i="6"/>
  <c r="K1024" i="6"/>
  <c r="L1024" i="6" s="1"/>
  <c r="G1024" i="6"/>
  <c r="K1008" i="6"/>
  <c r="L1008" i="6" s="1"/>
  <c r="G1008" i="6"/>
  <c r="K1074" i="6"/>
  <c r="L1074" i="6" s="1"/>
  <c r="G1074" i="6"/>
  <c r="K1088" i="6"/>
  <c r="L1088" i="6" s="1"/>
  <c r="G1088" i="6"/>
  <c r="K733" i="6"/>
  <c r="L733" i="6" s="1"/>
  <c r="G733" i="6"/>
  <c r="K828" i="6"/>
  <c r="L828" i="6" s="1"/>
  <c r="G828" i="6"/>
  <c r="K1046" i="6"/>
  <c r="L1046" i="6" s="1"/>
  <c r="G1046" i="6"/>
  <c r="K964" i="6"/>
  <c r="L964" i="6" s="1"/>
  <c r="G964" i="6"/>
  <c r="K1009" i="6"/>
  <c r="L1009" i="6" s="1"/>
  <c r="G1009" i="6"/>
  <c r="K1093" i="6"/>
  <c r="L1093" i="6" s="1"/>
  <c r="G1093" i="6"/>
  <c r="K766" i="6"/>
  <c r="L766" i="6" s="1"/>
  <c r="G766" i="6"/>
  <c r="K822" i="6"/>
  <c r="L822" i="6" s="1"/>
  <c r="G822" i="6"/>
  <c r="K882" i="6"/>
  <c r="L882" i="6" s="1"/>
  <c r="G882" i="6"/>
  <c r="K1064" i="6"/>
  <c r="L1064" i="6" s="1"/>
  <c r="G1064" i="6"/>
  <c r="K960" i="6"/>
  <c r="L960" i="6" s="1"/>
  <c r="G960" i="6"/>
  <c r="K1005" i="6"/>
  <c r="L1005" i="6" s="1"/>
  <c r="G1005" i="6"/>
  <c r="K1089" i="6"/>
  <c r="L1089" i="6" s="1"/>
  <c r="G1089" i="6"/>
  <c r="K1055" i="6"/>
  <c r="L1055" i="6" s="1"/>
  <c r="G1055" i="6"/>
  <c r="K59" i="6"/>
  <c r="L59" i="6" s="1"/>
  <c r="G59" i="6"/>
  <c r="K747" i="6"/>
  <c r="L747" i="6" s="1"/>
  <c r="G747" i="6"/>
  <c r="K753" i="6"/>
  <c r="L753" i="6" s="1"/>
  <c r="G753" i="6"/>
  <c r="K781" i="6"/>
  <c r="L781" i="6" s="1"/>
  <c r="G781" i="6"/>
  <c r="K807" i="6"/>
  <c r="L807" i="6" s="1"/>
  <c r="G807" i="6"/>
  <c r="K831" i="6"/>
  <c r="L831" i="6" s="1"/>
  <c r="G831" i="6"/>
  <c r="K855" i="6"/>
  <c r="L855" i="6" s="1"/>
  <c r="G855" i="6"/>
  <c r="K879" i="6"/>
  <c r="L879" i="6" s="1"/>
  <c r="G879" i="6"/>
  <c r="K952" i="6"/>
  <c r="L952" i="6" s="1"/>
  <c r="G952" i="6"/>
  <c r="K1077" i="6"/>
  <c r="L1077" i="6" s="1"/>
  <c r="G1077" i="6"/>
  <c r="K936" i="6"/>
  <c r="L936" i="6" s="1"/>
  <c r="G936" i="6"/>
  <c r="K958" i="6"/>
  <c r="L958" i="6" s="1"/>
  <c r="G958" i="6"/>
  <c r="K1031" i="6"/>
  <c r="L1031" i="6" s="1"/>
  <c r="G1031" i="6"/>
  <c r="K1015" i="6"/>
  <c r="L1015" i="6" s="1"/>
  <c r="G1015" i="6"/>
  <c r="K999" i="6"/>
  <c r="L999" i="6" s="1"/>
  <c r="G999" i="6"/>
  <c r="K1073" i="6"/>
  <c r="L1073" i="6" s="1"/>
  <c r="G1073" i="6"/>
  <c r="K1087" i="6"/>
  <c r="L1087" i="6" s="1"/>
  <c r="G1087" i="6"/>
  <c r="K54" i="6"/>
  <c r="L54" i="6" s="1"/>
  <c r="G54" i="6"/>
  <c r="K116" i="6"/>
  <c r="L116" i="6" s="1"/>
  <c r="G116" i="6"/>
  <c r="K734" i="6"/>
  <c r="L734" i="6" s="1"/>
  <c r="G734" i="6"/>
  <c r="K777" i="6"/>
  <c r="L777" i="6" s="1"/>
  <c r="G777" i="6"/>
  <c r="K815" i="6"/>
  <c r="L815" i="6" s="1"/>
  <c r="G815" i="6"/>
  <c r="K839" i="6"/>
  <c r="L839" i="6" s="1"/>
  <c r="G839" i="6"/>
  <c r="K863" i="6"/>
  <c r="L863" i="6" s="1"/>
  <c r="G863" i="6"/>
  <c r="K887" i="6"/>
  <c r="L887" i="6" s="1"/>
  <c r="G887" i="6"/>
  <c r="K994" i="6"/>
  <c r="L994" i="6" s="1"/>
  <c r="G994" i="6"/>
  <c r="K1076" i="6"/>
  <c r="L1076" i="6" s="1"/>
  <c r="G1076" i="6"/>
  <c r="K939" i="6"/>
  <c r="L939" i="6" s="1"/>
  <c r="G939" i="6"/>
  <c r="K969" i="6"/>
  <c r="L969" i="6" s="1"/>
  <c r="G969" i="6"/>
  <c r="K1042" i="6"/>
  <c r="L1042" i="6" s="1"/>
  <c r="G1042" i="6"/>
  <c r="K1026" i="6"/>
  <c r="L1026" i="6" s="1"/>
  <c r="G1026" i="6"/>
  <c r="K1010" i="6"/>
  <c r="L1010" i="6" s="1"/>
  <c r="G1010" i="6"/>
  <c r="K1057" i="6"/>
  <c r="L1057" i="6" s="1"/>
  <c r="G1057" i="6"/>
  <c r="K1068" i="6"/>
  <c r="L1068" i="6" s="1"/>
  <c r="G1068" i="6"/>
  <c r="K1082" i="6"/>
  <c r="L1082" i="6" s="1"/>
  <c r="G1082" i="6"/>
  <c r="K756" i="6"/>
  <c r="L756" i="6" s="1"/>
  <c r="G756" i="6"/>
  <c r="K858" i="6"/>
  <c r="L858" i="6" s="1"/>
  <c r="G858" i="6"/>
  <c r="K934" i="6"/>
  <c r="L934" i="6" s="1"/>
  <c r="G934" i="6"/>
  <c r="K1029" i="6"/>
  <c r="L1029" i="6" s="1"/>
  <c r="G1029" i="6"/>
  <c r="K48" i="6"/>
  <c r="L48" i="6" s="1"/>
  <c r="G48" i="6"/>
  <c r="K744" i="6"/>
  <c r="L744" i="6" s="1"/>
  <c r="G744" i="6"/>
  <c r="K757" i="6"/>
  <c r="L757" i="6" s="1"/>
  <c r="G757" i="6"/>
  <c r="K786" i="6"/>
  <c r="L786" i="6" s="1"/>
  <c r="G786" i="6"/>
  <c r="K812" i="6"/>
  <c r="L812" i="6" s="1"/>
  <c r="G812" i="6"/>
  <c r="K836" i="6"/>
  <c r="L836" i="6" s="1"/>
  <c r="G836" i="6"/>
  <c r="K860" i="6"/>
  <c r="L860" i="6" s="1"/>
  <c r="G860" i="6"/>
  <c r="K884" i="6"/>
  <c r="L884" i="6" s="1"/>
  <c r="G884" i="6"/>
  <c r="K996" i="6"/>
  <c r="L996" i="6" s="1"/>
  <c r="G996" i="6"/>
  <c r="K1063" i="6"/>
  <c r="L1063" i="6" s="1"/>
  <c r="G1063" i="6"/>
  <c r="K941" i="6"/>
  <c r="L941" i="6" s="1"/>
  <c r="G941" i="6"/>
  <c r="K971" i="6"/>
  <c r="L971" i="6" s="1"/>
  <c r="G971" i="6"/>
  <c r="K955" i="6"/>
  <c r="L955" i="6" s="1"/>
  <c r="G955" i="6"/>
  <c r="K1028" i="6"/>
  <c r="L1028" i="6" s="1"/>
  <c r="G1028" i="6"/>
  <c r="K1012" i="6"/>
  <c r="L1012" i="6" s="1"/>
  <c r="G1012" i="6"/>
  <c r="K1059" i="6"/>
  <c r="L1059" i="6" s="1"/>
  <c r="G1059" i="6"/>
  <c r="K1070" i="6"/>
  <c r="L1070" i="6" s="1"/>
  <c r="G1070" i="6"/>
  <c r="K1084" i="6"/>
  <c r="L1084" i="6" s="1"/>
  <c r="G1084" i="6"/>
  <c r="K741" i="6"/>
  <c r="L741" i="6" s="1"/>
  <c r="G741" i="6"/>
  <c r="K816" i="6"/>
  <c r="L816" i="6" s="1"/>
  <c r="G816" i="6"/>
  <c r="K993" i="6"/>
  <c r="L993" i="6" s="1"/>
  <c r="G993" i="6"/>
  <c r="K976" i="6"/>
  <c r="L976" i="6" s="1"/>
  <c r="G976" i="6"/>
  <c r="K1021" i="6"/>
  <c r="L1021" i="6" s="1"/>
  <c r="G1021" i="6"/>
  <c r="K1071" i="6"/>
  <c r="L1071" i="6" s="1"/>
  <c r="G1071" i="6"/>
  <c r="K991" i="6"/>
  <c r="L991" i="6" s="1"/>
  <c r="G991" i="6"/>
  <c r="K737" i="6"/>
  <c r="L737" i="6" s="1"/>
  <c r="G737" i="6"/>
  <c r="K804" i="6"/>
  <c r="L804" i="6" s="1"/>
  <c r="G804" i="6"/>
  <c r="K870" i="6"/>
  <c r="L870" i="6" s="1"/>
  <c r="G870" i="6"/>
  <c r="K989" i="6"/>
  <c r="L989" i="6" s="1"/>
  <c r="G989" i="6"/>
  <c r="K972" i="6"/>
  <c r="L972" i="6" s="1"/>
  <c r="G972" i="6"/>
  <c r="K1017" i="6"/>
  <c r="L1017" i="6" s="1"/>
  <c r="G1017" i="6"/>
  <c r="K1067" i="6"/>
  <c r="L1067" i="6" s="1"/>
  <c r="G1067" i="6"/>
  <c r="K803" i="6"/>
  <c r="L803" i="6" s="1"/>
  <c r="G803" i="6"/>
  <c r="K71" i="6"/>
  <c r="L71" i="6" s="1"/>
  <c r="G71" i="6"/>
  <c r="K743" i="6"/>
  <c r="L743" i="6" s="1"/>
  <c r="G743" i="6"/>
  <c r="K759" i="6"/>
  <c r="L759" i="6" s="1"/>
  <c r="G759" i="6"/>
  <c r="K787" i="6"/>
  <c r="L787" i="6" s="1"/>
  <c r="G787" i="6"/>
  <c r="K813" i="6"/>
  <c r="L813" i="6" s="1"/>
  <c r="G813" i="6"/>
  <c r="K837" i="6"/>
  <c r="L837" i="6" s="1"/>
  <c r="G837" i="6"/>
  <c r="K861" i="6"/>
  <c r="L861" i="6" s="1"/>
  <c r="G861" i="6"/>
  <c r="K885" i="6"/>
  <c r="L885" i="6" s="1"/>
  <c r="G885" i="6"/>
  <c r="K995" i="6"/>
  <c r="L995" i="6" s="1"/>
  <c r="G995" i="6"/>
  <c r="K1062" i="6"/>
  <c r="L1062" i="6" s="1"/>
  <c r="G1062" i="6"/>
  <c r="K940" i="6"/>
  <c r="L940" i="6" s="1"/>
  <c r="G940" i="6"/>
  <c r="K970" i="6"/>
  <c r="L970" i="6" s="1"/>
  <c r="G970" i="6"/>
  <c r="K997" i="6"/>
  <c r="L997" i="6" s="1"/>
  <c r="G997" i="6"/>
  <c r="K1027" i="6"/>
  <c r="L1027" i="6" s="1"/>
  <c r="G1027" i="6"/>
  <c r="K1011" i="6"/>
  <c r="L1011" i="6" s="1"/>
  <c r="G1011" i="6"/>
  <c r="K1058" i="6"/>
  <c r="L1058" i="6" s="1"/>
  <c r="G1058" i="6"/>
  <c r="K1069" i="6"/>
  <c r="L1069" i="6" s="1"/>
  <c r="G1069" i="6"/>
  <c r="K1083" i="6"/>
  <c r="L1083" i="6" s="1"/>
  <c r="G1083" i="6"/>
  <c r="K66" i="6"/>
  <c r="L66" i="6" s="1"/>
  <c r="G66" i="6"/>
  <c r="K746" i="6"/>
  <c r="L746" i="6" s="1"/>
  <c r="G746" i="6"/>
  <c r="K754" i="6"/>
  <c r="L754" i="6" s="1"/>
  <c r="G754" i="6"/>
  <c r="K783" i="6"/>
  <c r="L783" i="6" s="1"/>
  <c r="G783" i="6"/>
  <c r="K809" i="6"/>
  <c r="L809" i="6" s="1"/>
  <c r="G809" i="6"/>
  <c r="K833" i="6"/>
  <c r="L833" i="6" s="1"/>
  <c r="G833" i="6"/>
  <c r="K857" i="6"/>
  <c r="L857" i="6" s="1"/>
  <c r="G857" i="6"/>
  <c r="K881" i="6"/>
  <c r="L881" i="6" s="1"/>
  <c r="G881" i="6"/>
  <c r="K951" i="6"/>
  <c r="L951" i="6" s="1"/>
  <c r="G951" i="6"/>
  <c r="K1061" i="6"/>
  <c r="L1061" i="6" s="1"/>
  <c r="G1061" i="6"/>
  <c r="K943" i="6"/>
  <c r="L943" i="6" s="1"/>
  <c r="G943" i="6"/>
  <c r="K973" i="6"/>
  <c r="L973" i="6" s="1"/>
  <c r="G973" i="6"/>
  <c r="K957" i="6"/>
  <c r="L957" i="6" s="1"/>
  <c r="G957" i="6"/>
  <c r="K1030" i="6"/>
  <c r="L1030" i="6" s="1"/>
  <c r="G1030" i="6"/>
  <c r="K1014" i="6"/>
  <c r="L1014" i="6" s="1"/>
  <c r="G1014" i="6"/>
  <c r="K998" i="6"/>
  <c r="L998" i="6" s="1"/>
  <c r="G998" i="6"/>
  <c r="K1072" i="6"/>
  <c r="L1072" i="6" s="1"/>
  <c r="G1072" i="6"/>
  <c r="K58" i="6"/>
  <c r="L58" i="6" s="1"/>
  <c r="G58" i="6"/>
  <c r="K784" i="6"/>
  <c r="L784" i="6" s="1"/>
  <c r="G784" i="6"/>
  <c r="K876" i="6"/>
  <c r="L876" i="6" s="1"/>
  <c r="G876" i="6"/>
  <c r="K954" i="6"/>
  <c r="L954" i="6" s="1"/>
  <c r="G954" i="6"/>
  <c r="K1013" i="6"/>
  <c r="L1013" i="6" s="1"/>
  <c r="G1013" i="6"/>
  <c r="K109" i="6"/>
  <c r="L109" i="6" s="1"/>
  <c r="G109" i="6"/>
  <c r="K732" i="6"/>
  <c r="L732" i="6" s="1"/>
  <c r="G732" i="6"/>
  <c r="K780" i="6"/>
  <c r="L780" i="6" s="1"/>
  <c r="G780" i="6"/>
  <c r="K806" i="6"/>
  <c r="L806" i="6" s="1"/>
  <c r="G806" i="6"/>
  <c r="K830" i="6"/>
  <c r="L830" i="6" s="1"/>
  <c r="G830" i="6"/>
  <c r="K854" i="6"/>
  <c r="L854" i="6" s="1"/>
  <c r="G854" i="6"/>
  <c r="K878" i="6"/>
  <c r="L878" i="6" s="1"/>
  <c r="G878" i="6"/>
  <c r="K953" i="6"/>
  <c r="L953" i="6" s="1"/>
  <c r="G953" i="6"/>
  <c r="K1045" i="6"/>
  <c r="L1045" i="6" s="1"/>
  <c r="G1045" i="6"/>
  <c r="K945" i="6"/>
  <c r="L945" i="6" s="1"/>
  <c r="G945" i="6"/>
  <c r="K975" i="6"/>
  <c r="L975" i="6" s="1"/>
  <c r="G975" i="6"/>
  <c r="K959" i="6"/>
  <c r="L959" i="6" s="1"/>
  <c r="G959" i="6"/>
  <c r="K1032" i="6"/>
  <c r="L1032" i="6" s="1"/>
  <c r="G1032" i="6"/>
  <c r="K1016" i="6"/>
  <c r="L1016" i="6" s="1"/>
  <c r="G1016" i="6"/>
  <c r="K1000" i="6"/>
  <c r="L1000" i="6" s="1"/>
  <c r="G1000" i="6"/>
  <c r="K1066" i="6"/>
  <c r="L1066" i="6" s="1"/>
  <c r="G1066" i="6"/>
  <c r="K115" i="6"/>
  <c r="L115" i="6" s="1"/>
  <c r="G115" i="6"/>
  <c r="K796" i="6"/>
  <c r="L796" i="6" s="1"/>
  <c r="G796" i="6"/>
  <c r="K864" i="6"/>
  <c r="L864" i="6" s="1"/>
  <c r="G864" i="6"/>
  <c r="K942" i="6"/>
  <c r="L942" i="6" s="1"/>
  <c r="G942" i="6"/>
  <c r="K1033" i="6"/>
  <c r="L1033" i="6" s="1"/>
  <c r="G1033" i="6"/>
  <c r="K1056" i="6"/>
  <c r="L1056" i="6" s="1"/>
  <c r="G1056" i="6"/>
  <c r="K46" i="6"/>
  <c r="L46" i="6" s="1"/>
  <c r="G46" i="6"/>
  <c r="K790" i="6"/>
  <c r="L790" i="6" s="1"/>
  <c r="G790" i="6"/>
  <c r="K852" i="6"/>
  <c r="L852" i="6" s="1"/>
  <c r="G852" i="6"/>
  <c r="K950" i="6"/>
  <c r="L950" i="6" s="1"/>
  <c r="G950" i="6"/>
  <c r="K938" i="6"/>
  <c r="L938" i="6" s="1"/>
  <c r="G938" i="6"/>
  <c r="K1025" i="6"/>
  <c r="L1025" i="6" s="1"/>
  <c r="G1025" i="6"/>
  <c r="K1052" i="6"/>
  <c r="L1052" i="6" s="1"/>
  <c r="G1052" i="6"/>
  <c r="K1086" i="6"/>
  <c r="L1086" i="6" s="1"/>
  <c r="G1086" i="6"/>
  <c r="K43" i="6"/>
  <c r="L43" i="6" s="1"/>
  <c r="G43" i="6"/>
  <c r="K95" i="6"/>
  <c r="L95" i="6" s="1"/>
  <c r="G95" i="6"/>
  <c r="K739" i="6"/>
  <c r="L739" i="6" s="1"/>
  <c r="G739" i="6"/>
  <c r="K769" i="6"/>
  <c r="L769" i="6" s="1"/>
  <c r="G769" i="6"/>
  <c r="K793" i="6"/>
  <c r="L793" i="6" s="1"/>
  <c r="G793" i="6"/>
  <c r="K819" i="6"/>
  <c r="L819" i="6" s="1"/>
  <c r="G819" i="6"/>
  <c r="K843" i="6"/>
  <c r="L843" i="6" s="1"/>
  <c r="G843" i="6"/>
  <c r="K867" i="6"/>
  <c r="L867" i="6" s="1"/>
  <c r="G867" i="6"/>
  <c r="K891" i="6"/>
  <c r="L891" i="6" s="1"/>
  <c r="G891" i="6"/>
  <c r="K1044" i="6"/>
  <c r="L1044" i="6" s="1"/>
  <c r="G1044" i="6"/>
  <c r="K944" i="6"/>
  <c r="L944" i="6" s="1"/>
  <c r="G944" i="6"/>
  <c r="K974" i="6"/>
  <c r="L974" i="6" s="1"/>
  <c r="G974" i="6"/>
  <c r="K1039" i="6"/>
  <c r="L1039" i="6" s="1"/>
  <c r="G1039" i="6"/>
  <c r="K1023" i="6"/>
  <c r="L1023" i="6" s="1"/>
  <c r="G1023" i="6"/>
  <c r="K1007" i="6"/>
  <c r="L1007" i="6" s="1"/>
  <c r="G1007" i="6"/>
  <c r="K1054" i="6"/>
  <c r="L1054" i="6" s="1"/>
  <c r="G1054" i="6"/>
  <c r="K1080" i="6"/>
  <c r="L1080" i="6" s="1"/>
  <c r="G1080" i="6"/>
  <c r="K18" i="6"/>
  <c r="G18" i="6"/>
  <c r="K72" i="6"/>
  <c r="L72" i="6" s="1"/>
  <c r="G72" i="6"/>
  <c r="K742" i="6"/>
  <c r="L742" i="6" s="1"/>
  <c r="G742" i="6"/>
  <c r="K760" i="6"/>
  <c r="L760" i="6" s="1"/>
  <c r="G760" i="6"/>
  <c r="K789" i="6"/>
  <c r="L789" i="6" s="1"/>
  <c r="G789" i="6"/>
  <c r="K827" i="6"/>
  <c r="L827" i="6" s="1"/>
  <c r="G827" i="6"/>
  <c r="K851" i="6"/>
  <c r="L851" i="6" s="1"/>
  <c r="G851" i="6"/>
  <c r="K875" i="6"/>
  <c r="L875" i="6" s="1"/>
  <c r="G875" i="6"/>
  <c r="K928" i="6"/>
  <c r="L928" i="6" s="1"/>
  <c r="G928" i="6"/>
  <c r="K1047" i="6"/>
  <c r="L1047" i="6" s="1"/>
  <c r="G1047" i="6"/>
  <c r="K947" i="6"/>
  <c r="L947" i="6" s="1"/>
  <c r="G947" i="6"/>
  <c r="K977" i="6"/>
  <c r="L977" i="6" s="1"/>
  <c r="G977" i="6"/>
  <c r="K961" i="6"/>
  <c r="L961" i="6" s="1"/>
  <c r="G961" i="6"/>
  <c r="K1034" i="6"/>
  <c r="L1034" i="6" s="1"/>
  <c r="G1034" i="6"/>
  <c r="K1018" i="6"/>
  <c r="L1018" i="6" s="1"/>
  <c r="G1018" i="6"/>
  <c r="K1002" i="6"/>
  <c r="L1002" i="6" s="1"/>
  <c r="G1002" i="6"/>
  <c r="K1049" i="6"/>
  <c r="L1049" i="6" s="1"/>
  <c r="G1049" i="6"/>
  <c r="K1090" i="6"/>
  <c r="L1090" i="6" s="1"/>
  <c r="G1090" i="6"/>
  <c r="N1315" i="4"/>
  <c r="N1337" i="4"/>
  <c r="N1480" i="4"/>
  <c r="N1300" i="4"/>
  <c r="N1339" i="4"/>
  <c r="N1421" i="4"/>
  <c r="N1269" i="4"/>
  <c r="N412" i="4"/>
  <c r="K57" i="2"/>
  <c r="M9" i="4"/>
  <c r="M1065" i="4"/>
  <c r="M667" i="4"/>
  <c r="N895" i="4"/>
  <c r="N1162" i="4"/>
  <c r="N766" i="4"/>
  <c r="M940" i="4"/>
  <c r="M1085" i="4"/>
  <c r="N333" i="4"/>
  <c r="M637" i="4"/>
  <c r="N947" i="4"/>
  <c r="N30" i="4"/>
  <c r="M26" i="4"/>
  <c r="N1581" i="4"/>
  <c r="N1414" i="4"/>
  <c r="N1599" i="4"/>
  <c r="N1548" i="4"/>
  <c r="N1473" i="4"/>
  <c r="N1611" i="4"/>
  <c r="N1587" i="4"/>
  <c r="N1524" i="4"/>
  <c r="N1489" i="4"/>
  <c r="N1375" i="4"/>
  <c r="N1506" i="4"/>
  <c r="N1194" i="4"/>
  <c r="N1603" i="4"/>
  <c r="M338" i="4"/>
  <c r="M440" i="4"/>
  <c r="M615" i="4"/>
  <c r="N897" i="4"/>
  <c r="M1050" i="4"/>
  <c r="N1068" i="4"/>
  <c r="M1111" i="4"/>
  <c r="M675" i="4"/>
  <c r="M1106" i="4"/>
  <c r="N410" i="4"/>
  <c r="N560" i="4"/>
  <c r="N770" i="4"/>
  <c r="M949" i="4"/>
  <c r="N555" i="4"/>
  <c r="M899" i="4"/>
  <c r="M1018" i="4"/>
  <c r="M36" i="4"/>
  <c r="N565" i="4"/>
  <c r="M1071" i="4"/>
  <c r="M142" i="4"/>
  <c r="N567" i="4"/>
  <c r="N1060" i="4"/>
  <c r="N24" i="4"/>
  <c r="N34" i="4"/>
  <c r="M1373" i="4"/>
  <c r="N1348" i="4"/>
  <c r="N1230" i="4"/>
  <c r="N1566" i="4"/>
  <c r="N1493" i="4"/>
  <c r="N1310" i="4"/>
  <c r="N1570" i="4"/>
  <c r="N1313" i="4"/>
  <c r="N1209" i="4"/>
  <c r="M364" i="4"/>
  <c r="M659" i="4"/>
  <c r="N1012" i="4"/>
  <c r="N1062" i="4"/>
  <c r="M1095" i="4"/>
  <c r="M1133" i="4"/>
  <c r="M836" i="4"/>
  <c r="N1035" i="4"/>
  <c r="M159" i="4"/>
  <c r="N469" i="4"/>
  <c r="M720" i="4"/>
  <c r="M909" i="4"/>
  <c r="N1167" i="4"/>
  <c r="M154" i="4"/>
  <c r="N408" i="4"/>
  <c r="N768" i="4"/>
  <c r="M1142" i="4"/>
  <c r="M590" i="4"/>
  <c r="N19" i="4"/>
  <c r="N40" i="4"/>
  <c r="N1534" i="4"/>
  <c r="N1208" i="4"/>
  <c r="M569" i="4"/>
  <c r="M1045" i="4"/>
  <c r="N1102" i="4"/>
  <c r="M414" i="4"/>
  <c r="N1591" i="4"/>
  <c r="N1426" i="4"/>
  <c r="N1393" i="4"/>
  <c r="N1607" i="4"/>
  <c r="N1485" i="4"/>
  <c r="N1452" i="4"/>
  <c r="N1595" i="4"/>
  <c r="N1543" i="4"/>
  <c r="N1498" i="4"/>
  <c r="N1404" i="4"/>
  <c r="N1537" i="4"/>
  <c r="N1463" i="4"/>
  <c r="N1367" i="4"/>
  <c r="N1216" i="4"/>
  <c r="N1400" i="4"/>
  <c r="N157" i="4"/>
  <c r="N562" i="4"/>
  <c r="M772" i="4"/>
  <c r="M12" i="4"/>
  <c r="M1027" i="4"/>
  <c r="N1159" i="4"/>
  <c r="N335" i="4"/>
  <c r="N472" i="4"/>
  <c r="N613" i="4"/>
  <c r="M271" i="4"/>
  <c r="M475" i="4"/>
  <c r="M919" i="4"/>
  <c r="N1057" i="4"/>
  <c r="M44" i="4"/>
  <c r="M550" i="4"/>
  <c r="N611" i="4"/>
  <c r="M1169" i="4"/>
  <c r="N466" i="4"/>
  <c r="M930" i="4"/>
  <c r="N1131" i="4"/>
  <c r="M38" i="4"/>
  <c r="N41" i="4"/>
  <c r="N31" i="4"/>
  <c r="L18" i="6" l="1"/>
  <c r="L2213" i="6" s="1"/>
  <c r="L2214" i="6" s="1"/>
  <c r="L2215" i="6" s="1"/>
  <c r="J2220" i="6" s="1"/>
  <c r="J2226" i="6" s="1"/>
  <c r="J2222" i="6" s="1"/>
  <c r="K2213" i="6"/>
  <c r="K2214" i="6" s="1"/>
  <c r="K2215" i="6" s="1"/>
  <c r="N44" i="4"/>
  <c r="N271" i="4"/>
  <c r="N569" i="4"/>
  <c r="N720" i="4"/>
  <c r="N836" i="4"/>
  <c r="N1095" i="4"/>
  <c r="N364" i="4"/>
  <c r="N675" i="4"/>
  <c r="N637" i="4"/>
  <c r="N1065" i="4"/>
  <c r="N1106" i="4"/>
  <c r="N338" i="4"/>
  <c r="N26" i="4"/>
  <c r="N9" i="4"/>
  <c r="N12" i="4"/>
  <c r="N919" i="4"/>
  <c r="N1142" i="4"/>
  <c r="N159" i="4"/>
  <c r="N142" i="4"/>
  <c r="N1018" i="4"/>
  <c r="N440" i="4"/>
  <c r="N1085" i="4"/>
  <c r="N930" i="4"/>
  <c r="N1169" i="4"/>
  <c r="N550" i="4"/>
  <c r="N475" i="4"/>
  <c r="N1027" i="4"/>
  <c r="N772" i="4"/>
  <c r="N414" i="4"/>
  <c r="N1045" i="4"/>
  <c r="N590" i="4"/>
  <c r="N154" i="4"/>
  <c r="N909" i="4"/>
  <c r="N1133" i="4"/>
  <c r="N659" i="4"/>
  <c r="N1373" i="4"/>
  <c r="N1071" i="4"/>
  <c r="N36" i="4"/>
  <c r="N899" i="4"/>
  <c r="N949" i="4"/>
  <c r="N1111" i="4"/>
  <c r="N1050" i="4"/>
  <c r="N615" i="4"/>
  <c r="N940" i="4"/>
  <c r="N667" i="4"/>
  <c r="N38" i="4"/>
  <c r="G37" i="3" l="1"/>
  <c r="J2230" i="6"/>
  <c r="J2227" i="6" s="1"/>
  <c r="C20" i="3"/>
  <c r="G38" i="3" l="1"/>
  <c r="B37" i="3" s="1"/>
  <c r="E37" i="3" l="1"/>
  <c r="C37" i="3"/>
  <c r="G39" i="3"/>
  <c r="B38" i="3" s="1"/>
  <c r="C38" i="3" s="1"/>
  <c r="G40" i="3" l="1"/>
  <c r="B39" i="3" l="1"/>
  <c r="C39" i="3" s="1"/>
  <c r="G41" i="3"/>
  <c r="G2" i="3"/>
  <c r="G5" i="3" s="1"/>
  <c r="G6" i="3" s="1"/>
  <c r="B5" i="3" s="1"/>
  <c r="E5" i="3" s="1"/>
  <c r="B40" i="3" l="1"/>
  <c r="G42" i="3"/>
  <c r="G7" i="3"/>
  <c r="B6" i="3" s="1"/>
  <c r="C6" i="3" s="1"/>
  <c r="C5" i="3"/>
  <c r="B41" i="3" l="1"/>
  <c r="C41" i="3" s="1"/>
  <c r="G43" i="3"/>
  <c r="G8" i="3"/>
  <c r="B7" i="3" s="1"/>
  <c r="C7" i="3" s="1"/>
  <c r="B4" i="8"/>
  <c r="B7" i="8" s="1"/>
  <c r="C40" i="3" l="1"/>
  <c r="B42" i="3"/>
  <c r="C42" i="3" s="1"/>
  <c r="G44" i="3"/>
  <c r="B43" i="3" s="1"/>
  <c r="G9" i="3"/>
  <c r="G10" i="3" s="1"/>
  <c r="G11" i="3" s="1"/>
  <c r="B10" i="3" s="1"/>
  <c r="G45" i="3" l="1"/>
  <c r="B44" i="3" s="1"/>
  <c r="B9" i="3"/>
  <c r="B8" i="3"/>
  <c r="G12" i="3"/>
  <c r="B11" i="3" s="1"/>
  <c r="C44" i="3" l="1"/>
  <c r="G46" i="3"/>
  <c r="B45" i="3" s="1"/>
  <c r="C9" i="3"/>
  <c r="C8" i="3"/>
  <c r="C10" i="3"/>
  <c r="G13" i="3"/>
  <c r="C45" i="3" l="1"/>
  <c r="C43" i="3"/>
  <c r="G47" i="3"/>
  <c r="G48" i="3" s="1"/>
  <c r="B12" i="3"/>
  <c r="G14" i="3"/>
  <c r="B46" i="3" l="1"/>
  <c r="B47" i="3"/>
  <c r="G49" i="3"/>
  <c r="C48" i="3"/>
  <c r="B13" i="3"/>
  <c r="C11" i="3" s="1"/>
  <c r="G15" i="3"/>
  <c r="C12" i="3"/>
  <c r="B48" i="3" l="1"/>
  <c r="G50" i="3"/>
  <c r="B49" i="3" s="1"/>
  <c r="C49" i="3"/>
  <c r="C47" i="3"/>
  <c r="C13" i="3"/>
  <c r="B14" i="3"/>
  <c r="G16" i="3"/>
  <c r="G51" i="3" l="1"/>
  <c r="C50" i="3"/>
  <c r="B15" i="3"/>
  <c r="C15" i="3" s="1"/>
  <c r="G17" i="3"/>
  <c r="B16" i="3" s="1"/>
  <c r="B50" i="3" l="1"/>
  <c r="C51" i="3"/>
  <c r="B51" i="3"/>
  <c r="C46" i="3" s="1"/>
  <c r="C16" i="3"/>
  <c r="G18" i="3"/>
  <c r="B17" i="3" s="1"/>
  <c r="C17" i="3"/>
  <c r="G54" i="3" l="1"/>
  <c r="C2223" i="6" s="1"/>
  <c r="C18" i="3"/>
  <c r="G19" i="3"/>
  <c r="B18" i="3" s="1"/>
  <c r="C19" i="3" l="1"/>
  <c r="B19" i="3"/>
  <c r="C14" i="3" s="1"/>
  <c r="G22" i="3" l="1"/>
</calcChain>
</file>

<file path=xl/sharedStrings.xml><?xml version="1.0" encoding="utf-8"?>
<sst xmlns="http://schemas.openxmlformats.org/spreadsheetml/2006/main" count="15506" uniqueCount="4841">
  <si>
    <t>STT</t>
  </si>
  <si>
    <t>1</t>
  </si>
  <si>
    <t>PHẦN CỌC</t>
  </si>
  <si>
    <t/>
  </si>
  <si>
    <t>1.1</t>
  </si>
  <si>
    <t>Cọc PHC D600 Class A</t>
  </si>
  <si>
    <t>m</t>
  </si>
  <si>
    <t>1.2</t>
  </si>
  <si>
    <t>Mũi cọc</t>
  </si>
  <si>
    <t>cái</t>
  </si>
  <si>
    <t>1.3</t>
  </si>
  <si>
    <t>Khoan dẫn phục vụ đóng, ép cọc bằng máy khoan xoay, đường kính 400mm</t>
  </si>
  <si>
    <t>1.4</t>
  </si>
  <si>
    <t>Ép cọc ống bê tông cốt thép dự ứng lực bằng máy ép Robot thủy lực tự hành, đất cấp I, đường kính cọc 600mm</t>
  </si>
  <si>
    <t>100m</t>
  </si>
  <si>
    <t>1.5</t>
  </si>
  <si>
    <t>Ép cọc ống bê tông cốt thép dự ứng lực bằng máy ép Robot thủy lực tự hành, đất cấp I, đường kính cọc 600mm, đoạn cọc không ngập đất</t>
  </si>
  <si>
    <t>1.6</t>
  </si>
  <si>
    <t>Ép cọc ống bê tông cốt thép dự ứng lực bằng máy ép Robot thủy lực tự hành , đất cấp I, đường kính cọc 600mm, ép âm sử dụng cọc dẫn</t>
  </si>
  <si>
    <t>1.7</t>
  </si>
  <si>
    <t>Nối cọc ống bê tông cốt thép, đường kính cọc &lt;= 600mm</t>
  </si>
  <si>
    <t>mối nối</t>
  </si>
  <si>
    <t>1.8</t>
  </si>
  <si>
    <t>Cắt đầu cọc</t>
  </si>
  <si>
    <t>mối</t>
  </si>
  <si>
    <t>1.9</t>
  </si>
  <si>
    <t>Vận chuyển đất bằng ôtô tự đổ trong phạm vi &lt;= 1000m, đất cấp III</t>
  </si>
  <si>
    <t>100m3</t>
  </si>
  <si>
    <t>1.10</t>
  </si>
  <si>
    <t>Vận chuyển đất bằng ô tô tự đổ  1km tiếp theo ngoài phạm vi 5km, đất cấp III</t>
  </si>
  <si>
    <t>1.11</t>
  </si>
  <si>
    <t>Gia công cấu kiện thép đặt sẵn trong bê tông, khối lượng một cấu kiện &lt;= 50 kg</t>
  </si>
  <si>
    <t>tấn</t>
  </si>
  <si>
    <t>1.12</t>
  </si>
  <si>
    <t>Lắp đặt cấu kiện thép đặt sẵn trong bê tông, khối lượng một cấu kiện &lt;= 50 kg</t>
  </si>
  <si>
    <t>1.13</t>
  </si>
  <si>
    <t>Đổ bê tông thủ công bằng máy trộn, bê tông móng, chiều rộng &lt;= 250 cm, đá 1x2, mác 300</t>
  </si>
  <si>
    <t>m3</t>
  </si>
  <si>
    <t>2</t>
  </si>
  <si>
    <t>PHẦN DƯỚI CỐT 0.0M</t>
  </si>
  <si>
    <t>2.1</t>
  </si>
  <si>
    <t>Đào móng công trình, chiều rộng móng ≤6m, bằng máy đào, đất cấp II</t>
  </si>
  <si>
    <t>2.2</t>
  </si>
  <si>
    <t>Đắp đất công trình bằng đầm đất cầm tay, độ chặt yêu cầu K=0,85</t>
  </si>
  <si>
    <t>2.3</t>
  </si>
  <si>
    <t>Vận chuyển đất bằng ôtô tự đổ trong phạm vi ≤1000m, đất cấp II</t>
  </si>
  <si>
    <t>2.4</t>
  </si>
  <si>
    <t>Vận chuyển đất bằng ô tô tự đổ 1km tiếp theo trong phạm vi ≤5km, đất cấp II</t>
  </si>
  <si>
    <t>2.5</t>
  </si>
  <si>
    <t>Bê tông lót móng, chiều rộng ≤250cm, đá 4x6, mác 100</t>
  </si>
  <si>
    <t>2.6</t>
  </si>
  <si>
    <t>Lớp màng chống thấm tự dính dày 2mm</t>
  </si>
  <si>
    <t>m2</t>
  </si>
  <si>
    <t>2.7</t>
  </si>
  <si>
    <t>Láng nền sàn không đánh mầu,vữa XM mác 50</t>
  </si>
  <si>
    <t>2.8</t>
  </si>
  <si>
    <t>Đổ bê tông bằng máy, đổ bằng máy bơm bê tông, bê tông móng, chiều rộng móng ≤250cm, đá 1x2, mác 400</t>
  </si>
  <si>
    <t>2.9</t>
  </si>
  <si>
    <t>Đổ bê tông bằng máy, đổ bằng máy bơm bê tông, bê tông móng, chiều rộng móng &gt;250cm, đá 1x2, mác 400</t>
  </si>
  <si>
    <t>2.10</t>
  </si>
  <si>
    <t>Ván khuôn móng cột</t>
  </si>
  <si>
    <t>100m2</t>
  </si>
  <si>
    <t>2.11</t>
  </si>
  <si>
    <t>Cốt thép móng, D≤10mm</t>
  </si>
  <si>
    <t>2.12</t>
  </si>
  <si>
    <t>Cốt thép móng, D≤18mm</t>
  </si>
  <si>
    <t>2.13</t>
  </si>
  <si>
    <t>Cốt thép móng, D&gt;18mm</t>
  </si>
  <si>
    <t>2.14</t>
  </si>
  <si>
    <t>Đổ bê tông bằng máy, đổ bằng máy bơm bê tông, bê tông dầm móng, đá 1x2, mác 400</t>
  </si>
  <si>
    <t>2.15</t>
  </si>
  <si>
    <t>Ván khuôn dầm móng</t>
  </si>
  <si>
    <t>2.16</t>
  </si>
  <si>
    <t>Cốt thép dầm móng, D≤10mm</t>
  </si>
  <si>
    <t>2.17</t>
  </si>
  <si>
    <t>Cốt thép dầm móng, D≤18mm</t>
  </si>
  <si>
    <t>2.18</t>
  </si>
  <si>
    <t>Cốt thép dầm móng, D&gt;18mm</t>
  </si>
  <si>
    <t>2.19</t>
  </si>
  <si>
    <t>Đổ bê tông bằng máy, đổ bằng máy bơm bê tông, bê tông sàn hầm, chiều rộng &gt;250cm, đá 1x2, mác 400</t>
  </si>
  <si>
    <t>2.20</t>
  </si>
  <si>
    <t>Đổ bê tông đúc sẵn bằng thủ công - sản xuất bằng máy trộn. Bê tông tấm đan, đá 1x2, mác 200</t>
  </si>
  <si>
    <t>2.21</t>
  </si>
  <si>
    <t>Công tác gia công, lắp dựng, tháo dỡ ván khuôn. Ván khuôn thép, ván khuôn nắp đan</t>
  </si>
  <si>
    <t>2.22</t>
  </si>
  <si>
    <t>Lắp các loại cấu kiện bê tông đúc sẵn bằng thủ công, trọng lượng ≤75kg</t>
  </si>
  <si>
    <t>1 cấu kiện</t>
  </si>
  <si>
    <t>2.23</t>
  </si>
  <si>
    <t>Lắp đặt cấu kiện bê tông đúc sẵn trọng lượng &gt;50kg-200kg bằng cần cẩu</t>
  </si>
  <si>
    <t>2.24</t>
  </si>
  <si>
    <t>Cốt thép sàn hầm, D≤10mm</t>
  </si>
  <si>
    <t>2.25</t>
  </si>
  <si>
    <t>Cốt thép sàn hầm, D≤18mm</t>
  </si>
  <si>
    <t>2.26</t>
  </si>
  <si>
    <t>Đổ bê tông bằng máy, đổ bằng máy bơm bê tông, bê tông tường, chiều dày ≤45cm, chiều cao ≤6m, đá 1x2, mác 400</t>
  </si>
  <si>
    <t>2.27</t>
  </si>
  <si>
    <t>Ván khuôn tường, chiều cao ≤28m</t>
  </si>
  <si>
    <t>2.28</t>
  </si>
  <si>
    <t>Cốt thép tường, D≤10mm, chiều cao ≤6m</t>
  </si>
  <si>
    <t>2.29</t>
  </si>
  <si>
    <t>Cốt thép tường, D≤18mm, chiều cao ≤6m</t>
  </si>
  <si>
    <t>2.30</t>
  </si>
  <si>
    <t>Đổ bê tông bằng máy, đổ bằng máy bơm bê tông, bê tông tường, chiều dày ≤45cm, chiều cao ≤6m, đá 1x2, mác 500</t>
  </si>
  <si>
    <t>2.31</t>
  </si>
  <si>
    <t>Ván khuôn bằng ván ép phủ phim có khung xương, cột chống bằng hệ giáo ống. Ván khuôn tường, chiều cao ≤28m</t>
  </si>
  <si>
    <t>2.32</t>
  </si>
  <si>
    <t>Đổ bê tông bằng máy, đổ bằng máy bơm bê tông, bê tông cột, tiết diện cột &gt;0,1m2, chiều cao ≤6m, đá 1x2, mác 400</t>
  </si>
  <si>
    <t>2.33</t>
  </si>
  <si>
    <t>Ván khuôn bằng ván ép phủ phim, khung thép hình, dàn giáo công cụ kết hợp cột chống bằng hệ giáo ống. Ván khuôn cột vuông, chữ nhật, chiều cao ≤28m</t>
  </si>
  <si>
    <t>2.34</t>
  </si>
  <si>
    <t>Đổ bê tông bằng máy, đổ bằng máy bơm bê tông, bê tông xà dầm, giằng, sàn mái, đá 1x2, mác 400</t>
  </si>
  <si>
    <t>2.35</t>
  </si>
  <si>
    <t>Ván khuôn bằng ván ép phủ phim có khung xương, cột chống bằng hệ giáo ống. Ván khuôn xà dầm, giằng, chiều cao ≤28m</t>
  </si>
  <si>
    <t>2.36</t>
  </si>
  <si>
    <t>Công tác gia công lắp dựng cốt thép. Cốt thép xà dầm, giằng, D≤10mm, chiều cao ≤28m</t>
  </si>
  <si>
    <t>2.37</t>
  </si>
  <si>
    <t>Công tác gia công lắp dựng cốt thép. Cốt thép xà dầm, giằng, D≤18mm, chiều cao ≤28m</t>
  </si>
  <si>
    <t>2.38</t>
  </si>
  <si>
    <t>Công tác gia công lắp dựng cốt thép. Cốt thép xà dầm, giằng, D&gt;18mm, chiều cao ≤28m</t>
  </si>
  <si>
    <t>2.39</t>
  </si>
  <si>
    <t>Đổ bê tông bằng máy, đổ bằng máy bơm bê tông, bê tông sàn mái, đá 1x2, mác 400</t>
  </si>
  <si>
    <t>2.40</t>
  </si>
  <si>
    <t>Ván khuôn bằng ván ép phủ phim có khung xương, cột chống bằng hệ giáo ống. Ván khuôn sàn mái, chiều cao ≤28m</t>
  </si>
  <si>
    <t>2.41</t>
  </si>
  <si>
    <t>Công tác gia công lắp dựng cốt thép. Cốt thép sàn mái, D≤10mm, chiều cao ≤28m</t>
  </si>
  <si>
    <t>2.42</t>
  </si>
  <si>
    <t>Công tác gia công lắp dựng cốt thép. Cốt thép sàn mái, D&gt;10mm, chiều cao ≤28m</t>
  </si>
  <si>
    <t>2.43</t>
  </si>
  <si>
    <t>Đổ bê tông thủ công bằng máy trộn, bê tông lanh tô, đá 1x2, mác 250</t>
  </si>
  <si>
    <t>2.44</t>
  </si>
  <si>
    <t>Công tác gia công, lắp dựng, tháo dỡ ván khuôn. Ván khuôn thép, ván khuôn lanh tô</t>
  </si>
  <si>
    <t>2.45</t>
  </si>
  <si>
    <t>Đổ bê tông thủ công bằng máy trộn, bê tông cầu thang thường, đá 1x2, mác 250</t>
  </si>
  <si>
    <t>2.46</t>
  </si>
  <si>
    <t>Ván khuôn gỗ. Ván khuôn cầu thang thường</t>
  </si>
  <si>
    <t>2.47</t>
  </si>
  <si>
    <t>Trám bả, tạo lớp hồ dầu kết dính (tham khảo phụ gia Latex TH + ximang cát)</t>
  </si>
  <si>
    <t>2.48</t>
  </si>
  <si>
    <t>Quét chống thấm tường hầm (tham khảo Sikatop seal 107, định mức 3kg/2 lớp/m2)</t>
  </si>
  <si>
    <t>2.49</t>
  </si>
  <si>
    <t>Xoa phẳng mặt bằng máy</t>
  </si>
  <si>
    <t>2.50</t>
  </si>
  <si>
    <t>Thuê hệ khung dàn</t>
  </si>
  <si>
    <t>đ/m/ngày</t>
  </si>
  <si>
    <t>2.51</t>
  </si>
  <si>
    <t>Thuê cừ Lasen IV</t>
  </si>
  <si>
    <t>2.52</t>
  </si>
  <si>
    <t>Ép cọc cừ larsen bằng máy ép thuỷ lực 130T</t>
  </si>
  <si>
    <t>2.53</t>
  </si>
  <si>
    <t>Nhổ cừ larsen bằng búa rung 170kW, trên cạn</t>
  </si>
  <si>
    <t>100m cọc</t>
  </si>
  <si>
    <t>2.54</t>
  </si>
  <si>
    <t>2.55</t>
  </si>
  <si>
    <t>2.56</t>
  </si>
  <si>
    <t>2.57</t>
  </si>
  <si>
    <t>2.58</t>
  </si>
  <si>
    <t>2.59</t>
  </si>
  <si>
    <t>Đổ bê tông bằng máy, đổ bằng máy bơm bê tông, bê tông móng, chiều rộng móng &gt;250cm, đá 1x2, mác 250</t>
  </si>
  <si>
    <t>2.60</t>
  </si>
  <si>
    <t>Ván khuôn móng dài</t>
  </si>
  <si>
    <t>2.61</t>
  </si>
  <si>
    <t>Đổ bê tông bằng máy, đổ bằng máy bơm bê tông, bê tông tường, chiều dày ≤45cm, chiều cao ≤6m, đá 1x2, mác 250</t>
  </si>
  <si>
    <t>2.62</t>
  </si>
  <si>
    <t>2.63</t>
  </si>
  <si>
    <t>Mạch ngừng thi công</t>
  </si>
  <si>
    <t>2.64</t>
  </si>
  <si>
    <t>Công tác gia công lắp dựng cốt thép. Cốt thép móng, D≤10mm</t>
  </si>
  <si>
    <t>2.65</t>
  </si>
  <si>
    <t>Công tác gia công lắp dựng cốt thép. Cốt thép móng, D≤18mm</t>
  </si>
  <si>
    <t>2.66</t>
  </si>
  <si>
    <t>2.67</t>
  </si>
  <si>
    <t>Quét dung dịch chống thấm bể (tham khảo Sikatop seal 107, định mức 3kg/m2/2 lớp)</t>
  </si>
  <si>
    <t>2.68</t>
  </si>
  <si>
    <t>Dán lưới thủy tinh vị trí góc tường và sàn, KT 150x150mm</t>
  </si>
  <si>
    <t>2.69</t>
  </si>
  <si>
    <t>Trát tường trong, chiều dày trát 2cm, vữa XM mác 75</t>
  </si>
  <si>
    <t>2.70</t>
  </si>
  <si>
    <t>Trát tường trong,chiều dày trát 1cm, vữa XM mác 75</t>
  </si>
  <si>
    <t>2.71</t>
  </si>
  <si>
    <t>2.72</t>
  </si>
  <si>
    <t>Quét dung dịch chống thấm (tham khảo Sikaproof Membrane, định mức 2kg/m2/3 lớp)</t>
  </si>
  <si>
    <t>2.73</t>
  </si>
  <si>
    <t>Ngâm nước thử bể</t>
  </si>
  <si>
    <t>3</t>
  </si>
  <si>
    <t>KẾT CẤU - PHẦN THÂN</t>
  </si>
  <si>
    <t>3.1</t>
  </si>
  <si>
    <t>Đổ bê tông bằng máy, đổ bằng cần cẩu, bê tông tường, chiều dày ≤45cm, chiều cao ≤100m, đá 1x2, mác 400</t>
  </si>
  <si>
    <t>3.2</t>
  </si>
  <si>
    <t>3.3</t>
  </si>
  <si>
    <t>Ván khuôn bằng ván ép phủ phim có khung xương, cột chống bằng hệ giáo ống. Ván khuôn tường, chiều cao ≤100m</t>
  </si>
  <si>
    <t>3.4</t>
  </si>
  <si>
    <t>Công tác gia công lắp dựng cốt thép. Cốt thép tường, D≤10mm, chiều cao ≤100m</t>
  </si>
  <si>
    <t>3.5</t>
  </si>
  <si>
    <t>Công tác gia công lắp dựng cốt thép. Cốt thép tường, D≤18mm, chiều cao ≤100m</t>
  </si>
  <si>
    <t>3.6</t>
  </si>
  <si>
    <t>Công tác gia công lắp dựng cốt thép. Cốt thép tường, D&gt;18mm, chiều cao ≤100m</t>
  </si>
  <si>
    <t>3.7</t>
  </si>
  <si>
    <t>Đổ bê tông bằng máy, đổ bằng cần cẩu, bê tông vách thang máy, chiều dày ≤45cm, chiều cao ≤100m, đá 1x2, mác 500</t>
  </si>
  <si>
    <t>3.8</t>
  </si>
  <si>
    <t>Đổ bê tông bằng máy, đổ bằng cần cẩu, bê tông vách thang máy, chiều dày ≤45cm, chiều cao ≤100m, đá 1x2, mác 400</t>
  </si>
  <si>
    <t>3.9</t>
  </si>
  <si>
    <t>Ván khuôn bằng ván ép phủ phim có khung xương, cột chống bằng hệ giáo ống. Ván khuôn vách thang máy, chiều cao ≤100m</t>
  </si>
  <si>
    <t>3.10</t>
  </si>
  <si>
    <t>Công tác gia công lắp dựng cốt thép. Cốt thép vách thang máy, D≤10mm, chiều cao ≤100m</t>
  </si>
  <si>
    <t>3.11</t>
  </si>
  <si>
    <t>Công tác gia công lắp dựng cốt thép. Cốt thép vách thang máy, D≤18mm, chiều cao ≤100m</t>
  </si>
  <si>
    <t>3.12</t>
  </si>
  <si>
    <t>Công tác gia công lắp dựng cốt thép. Cốt thép vách thang máy, D&gt;18mm, chiều cao ≤100m</t>
  </si>
  <si>
    <t>3.13</t>
  </si>
  <si>
    <t>Đổ bê tông bằng máy, đổ bằng cần cẩu, bê tông cột, tiết diện cột &gt;0,1m2, chiều cao ≤100m, đá 1x2, mác 500</t>
  </si>
  <si>
    <t>3.14</t>
  </si>
  <si>
    <t>Đổ bê tông bằng máy, đổ bằng cần cẩu, bê tông cột, tiết diện cột &gt;0,1m2, chiều cao ≤100m, đá 1x2, mác 400</t>
  </si>
  <si>
    <t>3.15</t>
  </si>
  <si>
    <t>Ván khuôn bằng ván ép phủ phim có khung xương, cột chống bằng hệ giáo ống. Ván khuôn cột vuông, chữ nhật, chiều cao ≤100m</t>
  </si>
  <si>
    <t>3.16</t>
  </si>
  <si>
    <t>Công tác gia công lắp dựng cốt thép. Cốt thép cột, trụ, D≤10mm, chiều cao ≤100m</t>
  </si>
  <si>
    <t>3.17</t>
  </si>
  <si>
    <t>Công tác gia công lắp dựng cốt thép. Cốt thép cột, trụ, D≤18mm, chiều cao ≤100m</t>
  </si>
  <si>
    <t>3.18</t>
  </si>
  <si>
    <t>Công tác gia công lắp dựng cốt thép. Cốt thép cột, trụ, D&gt;18mm, chiều cao ≤100m</t>
  </si>
  <si>
    <t>3.19</t>
  </si>
  <si>
    <t>Đổ bê tông bằng máy, đổ bằng máy bơm bê tông, bê tông xà dầm, giằng đá 1x2, mác 400</t>
  </si>
  <si>
    <t>3.20</t>
  </si>
  <si>
    <t>Ván khuôn bằng ván ép phủ phim có khung xương, cột chống bằng hệ giáo ống. Ván khuôn xà dầm, giằng, chiều cao ≤100m</t>
  </si>
  <si>
    <t>3.21</t>
  </si>
  <si>
    <t>Công tác gia công lắp dựng cốt thép. Cốt thép xà dầm, giằng, D≤10mm, chiều cao ≤100m</t>
  </si>
  <si>
    <t>3.22</t>
  </si>
  <si>
    <t>Công tác gia công lắp dựng cốt thép. Cốt thép xà dầm, giằng, D≤18mm, chiều cao ≤100m</t>
  </si>
  <si>
    <t>3.23</t>
  </si>
  <si>
    <t>Công tác gia công lắp dựng cốt thép. Cốt thép xà dầm, giằng, D&gt;18mm, chiều cao ≤100m</t>
  </si>
  <si>
    <t>3.24</t>
  </si>
  <si>
    <t>3.25</t>
  </si>
  <si>
    <t>Ván khuôn bằng ván ép phủ phim có khung xương, cột chống bằng hệ giáo ống. Ván khuôn sàn mái, chiều cao ≤100m</t>
  </si>
  <si>
    <t>3.26</t>
  </si>
  <si>
    <t>Công tác gia công lắp dựng cốt thép. Cốt thép sàn mái, D≤10mm, chiều cao ≤100m</t>
  </si>
  <si>
    <t>3.27</t>
  </si>
  <si>
    <t>Công tác gia công lắp dựng cốt thép. Cốt thép sàn mái, D&gt;10mm, chiều cao ≤100m</t>
  </si>
  <si>
    <t>3.28</t>
  </si>
  <si>
    <t>Cáp thép dự ứng lực dầm, sàn nhà (kéo sau)</t>
  </si>
  <si>
    <t>3.29</t>
  </si>
  <si>
    <t>Ống ghen luồn cáp, loại 2 sợi</t>
  </si>
  <si>
    <t>md</t>
  </si>
  <si>
    <t>3.30</t>
  </si>
  <si>
    <t>Ống ghen luồn cáp, loại 3 sợi</t>
  </si>
  <si>
    <t>3.31</t>
  </si>
  <si>
    <t>Ống ghen luồn cáp, loại 19 sợi</t>
  </si>
  <si>
    <t>3.32</t>
  </si>
  <si>
    <t>Neo công tác, loại 2 lỗ</t>
  </si>
  <si>
    <t>bộ</t>
  </si>
  <si>
    <t>3.33</t>
  </si>
  <si>
    <t>Neo công tác, loại 3 lỗ</t>
  </si>
  <si>
    <t>3.34</t>
  </si>
  <si>
    <t>Neo công tác, loại 19 lỗ</t>
  </si>
  <si>
    <t>3.35</t>
  </si>
  <si>
    <t>Neo cố định, loại 2 lỗ</t>
  </si>
  <si>
    <t>3.36</t>
  </si>
  <si>
    <t>Neo cố định, loại 3 lỗ</t>
  </si>
  <si>
    <t>3.37</t>
  </si>
  <si>
    <t>Neo cố định, loại 19 lỗ</t>
  </si>
  <si>
    <t>3.38</t>
  </si>
  <si>
    <t>3.39</t>
  </si>
  <si>
    <t>3.40</t>
  </si>
  <si>
    <t>Công tác gia công lắp dựng cốt thép. Cốt thép lanh tô, D≤10mm, chiều cao ≤100m</t>
  </si>
  <si>
    <t>3.41</t>
  </si>
  <si>
    <t>Công tác gia công lắp dựng cốt thép. Cốt thép lanh tô, D&gt;10mm, chiều cao ≤100m</t>
  </si>
  <si>
    <t>3.42</t>
  </si>
  <si>
    <t>Đổ bê tông đúc sẵn bằng thủ công - sản xuất bằng máy trộn. Bê tông tấm đan, đá 1x2, mác 250</t>
  </si>
  <si>
    <t>3.43</t>
  </si>
  <si>
    <t>Công tác gia công, lắp dựng, tháo dỡ ván khuôn. Ván khuôn thép, ván khuôn tấm đan</t>
  </si>
  <si>
    <t>3.44</t>
  </si>
  <si>
    <t>cấu kiện</t>
  </si>
  <si>
    <t>3.45</t>
  </si>
  <si>
    <t>3.46</t>
  </si>
  <si>
    <t>3.47</t>
  </si>
  <si>
    <t>Công tác gia công lắp dựng cốt thép. Cốt thép cầu thang, D≤10mm, chiều cao ≤100m</t>
  </si>
  <si>
    <t>3.48</t>
  </si>
  <si>
    <t>Công tác gia công lắp dựng cốt thép. Cốt thép cầu thang, D&gt;10mm, chiều cao ≤100m</t>
  </si>
  <si>
    <t>3.49</t>
  </si>
  <si>
    <t>Khoan tạo lỗ bê tông bằng máy khoan, lỗ khoan D≤12mm, chiều sâu khoan &lt;=5cm, (VD tính NC &amp; MTC)</t>
  </si>
  <si>
    <t>1 lỗ khoan</t>
  </si>
  <si>
    <t>3.50</t>
  </si>
  <si>
    <t>4</t>
  </si>
  <si>
    <t>HOÀN THIỆN KIẾN TRÚC</t>
  </si>
  <si>
    <t>4.1</t>
  </si>
  <si>
    <t>Xây không nung đặc 5x9x19cm, xây các bộ phận kết cấu phức tạp khác, chiều cao ≤100m, vữa XM mác 75</t>
  </si>
  <si>
    <t>4.2</t>
  </si>
  <si>
    <t>Lát đá granit tự nhiên màu trắng bậc tam cấp, vữa XM mác 75</t>
  </si>
  <si>
    <t>4.3</t>
  </si>
  <si>
    <t>Lát granito đúc sẵn bậc cầu thang, vữa XM mác 75</t>
  </si>
  <si>
    <t>4.4</t>
  </si>
  <si>
    <t>CC lan can thép []25x50x1.8 (chi tiết theo thiết kế)</t>
  </si>
  <si>
    <t>4.5</t>
  </si>
  <si>
    <t>Lắp dựng lan can sắt</t>
  </si>
  <si>
    <t>4.6</t>
  </si>
  <si>
    <t>CC lan can inox D60 (chi tiết theo thiết kế)</t>
  </si>
  <si>
    <t>4.7</t>
  </si>
  <si>
    <t>4.8</t>
  </si>
  <si>
    <t>Sơn sắt thép bằng sơn các loại, 1 nước lót, 2 nước phủ</t>
  </si>
  <si>
    <t>4.9</t>
  </si>
  <si>
    <t>CC lan can kính cường lực dày 12mm tay vịn D60 cao 1.05m, khung thép []50x50</t>
  </si>
  <si>
    <t>4.10</t>
  </si>
  <si>
    <t>CC lan can kính cường lực dày 12mm tay vịn D60 cao 1.4m, khung thép []50x50</t>
  </si>
  <si>
    <t>4.11</t>
  </si>
  <si>
    <t>Lắp dựng lan can kính</t>
  </si>
  <si>
    <t>4.12</t>
  </si>
  <si>
    <t>Mái sảnh kính cường lực dày 12mm</t>
  </si>
  <si>
    <t>4.13</t>
  </si>
  <si>
    <t>Lắp dựng mái sảnh kính</t>
  </si>
  <si>
    <t>4.14</t>
  </si>
  <si>
    <t>Gia công giằng mái thép</t>
  </si>
  <si>
    <t>4.15</t>
  </si>
  <si>
    <t>Lắp dựng giằng thép liên kết bằng bu lông</t>
  </si>
  <si>
    <t>4.16</t>
  </si>
  <si>
    <t>4.17</t>
  </si>
  <si>
    <t>Xây gạch không nung đặc 5x9x19cm, xây tường thẳng chiều dày ≤30cm, chiều cao ≤100m, vữa XM mác 50</t>
  </si>
  <si>
    <t>4.18</t>
  </si>
  <si>
    <t>Xây gạch không nung đặc 5x9x19cm, xây tường thẳng chiều dày ≤10cm, chiều cao ≤100m, vữa XM mác 50</t>
  </si>
  <si>
    <t>4.19</t>
  </si>
  <si>
    <t>4.20</t>
  </si>
  <si>
    <t>Trát tường xây gạch không nung bằng vữa thông thường, trát tường ngoài, chiều dày trát 1,5cm, vữa XM mác 75</t>
  </si>
  <si>
    <t>4.21</t>
  </si>
  <si>
    <t>Lát đá mặt bệ các loại, vữa XM mác 75</t>
  </si>
  <si>
    <t>4.22</t>
  </si>
  <si>
    <t>Lam chớp nhôm thông gió (chi tiết theo thiết kế)</t>
  </si>
  <si>
    <t>4.23</t>
  </si>
  <si>
    <t>Xây gạch không nung đặc 9x9x19cm, xây tường thẳng chiều dày &gt;30cm, chiều cao ≤6m, vữa XM mác 50</t>
  </si>
  <si>
    <t>4.24</t>
  </si>
  <si>
    <t>Xây gạch không nung rỗng 9x9x19cm, xây tường thẳng chiều dày ≤30cm, chiều cao ≤100m, vữa XM mác 50</t>
  </si>
  <si>
    <t>4.25</t>
  </si>
  <si>
    <t>4.26</t>
  </si>
  <si>
    <t>Xây gạch không nung rỗng 9x9x19cm, xây tường thẳng chiều dày ≤30cm, chiều cao ≤6m, vữa XM mác 50</t>
  </si>
  <si>
    <t>4.27</t>
  </si>
  <si>
    <t>Xây gạch không nung rỗng 9x9x19cm, xây tường thẳng chiều dày ≤10cm, chiều cao ≤100m, vữa XM mác 50</t>
  </si>
  <si>
    <t>4.28</t>
  </si>
  <si>
    <t>Xây gạch không nung rỗng 9x9x19cm câu gạch không nung đặc 5x9x19cm, xây tường chiều cao ≤100m, vữa XM mác 50</t>
  </si>
  <si>
    <t>4.29</t>
  </si>
  <si>
    <t>4.30</t>
  </si>
  <si>
    <t>4.31</t>
  </si>
  <si>
    <t>4.32</t>
  </si>
  <si>
    <t>Căng lưới thủy tinh gia cố tường gạch không nung</t>
  </si>
  <si>
    <t>4.33</t>
  </si>
  <si>
    <t>4.34</t>
  </si>
  <si>
    <t>Trát tường xây gạch không nung bằng vữa thông thường, trát tường trong, chiều dày trát 1,5cm, vữa XM mác 75</t>
  </si>
  <si>
    <t>4.35</t>
  </si>
  <si>
    <t>Trát trụ, cột, lam đứng, cầu thang, chiều dày trát 1,5cm, vữa XM mác 75 - Trong nhà</t>
  </si>
  <si>
    <t>4.36</t>
  </si>
  <si>
    <t>Trát trần, vữa XM mác 75</t>
  </si>
  <si>
    <t>4.37</t>
  </si>
  <si>
    <t>Trát sênô, mái hắt, lam ngang, vữa XM mác 75</t>
  </si>
  <si>
    <t>4.38</t>
  </si>
  <si>
    <t>Trát xà dầm, vữa XM mác 75</t>
  </si>
  <si>
    <t>4.39</t>
  </si>
  <si>
    <t>CC&amp;LĐ cửa thép chống cháy, EI60, phụ kiện đồng bộ (chi tiết theo thiết kế)</t>
  </si>
  <si>
    <t>4.40</t>
  </si>
  <si>
    <t>CC&amp;LĐ cửa thép chống cháy, EI30, phụ kiện đồng bộ (chi tiết theo thiết kế)</t>
  </si>
  <si>
    <t>4.41</t>
  </si>
  <si>
    <t>CC&amp;LĐ cửa gỗ công nghiệp chống cháy, EI60, phụ kiện đồng bộ (chi tiết theo thiết kế)</t>
  </si>
  <si>
    <t>4.42</t>
  </si>
  <si>
    <t>CC&amp;LĐ cửa gỗ công nghiệp chống cháy, EI30, phụ kiện đồng bộ (chi tiết theo thiết kế)</t>
  </si>
  <si>
    <t>4.43</t>
  </si>
  <si>
    <t>CC&amp;LĐ cửa gỗ công nghiệp, phụ kiện đồng bộ (chi tiết theo thiết kế)</t>
  </si>
  <si>
    <t>4.44</t>
  </si>
  <si>
    <t>CC&amp;LĐ cửa gỗ xoay chiều, phụ kiện đồng bộ (chi tiết theo thiết kế)</t>
  </si>
  <si>
    <t>4.45</t>
  </si>
  <si>
    <t>CC&amp;LĐ cửa đi nhôm kính, phụ kiện đồng bộ (chi tiết theo thiết kế)</t>
  </si>
  <si>
    <t>4.46</t>
  </si>
  <si>
    <t>CC&amp;LĐ cửa sổ nhôm kính chống cháy EI60, phụ kiện đồng bộ (chi tiết theo thiết kế)</t>
  </si>
  <si>
    <t>4.47</t>
  </si>
  <si>
    <t>CC&amp;LĐ cửa sổ nhôm kính, phụ kiện đồng bộ (chi tiết theo thiết kế)</t>
  </si>
  <si>
    <t>4.48</t>
  </si>
  <si>
    <t>CC&amp;LĐ vách cửa nhôm kính chống cháy EI45, phụ kiện đồng bộ (chi tiết theo thiết kế)</t>
  </si>
  <si>
    <t>4.49</t>
  </si>
  <si>
    <t>CC&amp;LĐ vách cửa nhôm kính, phụ kiện đồng bộ (chi tiết theo thiết kế)</t>
  </si>
  <si>
    <t>4.50</t>
  </si>
  <si>
    <t>Lát nền, sàn bằng đá  granite tự nhiên, vữa XM mác 75</t>
  </si>
  <si>
    <t>4.51</t>
  </si>
  <si>
    <t>Lát nền, sàn bằng đá black marble, vữa XM mác 75</t>
  </si>
  <si>
    <t>4.52</t>
  </si>
  <si>
    <t>Lát nền, sàn bằng đá theo modul, vữa XM mác 75</t>
  </si>
  <si>
    <t>4.53</t>
  </si>
  <si>
    <t>Lát nền, sàn, gạch trắng vân mây 600x1200mm màu sáng, vữa XM mác 75</t>
  </si>
  <si>
    <t>4.54</t>
  </si>
  <si>
    <t>Lát nền, sàn, gạch chống trơn 600x600mm màu sáng, vữa XM mác 75</t>
  </si>
  <si>
    <t>4.55</t>
  </si>
  <si>
    <t>Lát nền, sàn, gạch chống trơn 400x400mm màu sáng, vữa XM mác 75</t>
  </si>
  <si>
    <t>4.56</t>
  </si>
  <si>
    <t>Lát nền, sàn bằng đá Mable 800x800mm, vữa XM mác 75</t>
  </si>
  <si>
    <t>4.57</t>
  </si>
  <si>
    <t>Lát nền, sàn bằng gạch chống trơn 800x800mm màu sáng, vữa XM mác 75</t>
  </si>
  <si>
    <t>4.58</t>
  </si>
  <si>
    <t>Lát nền, sàn, gạch lá nem 400x400mm, vữa XM mác 75</t>
  </si>
  <si>
    <t>4.59</t>
  </si>
  <si>
    <t>Thi công sàn gỗ công nghiệp, dày 18mm (bao gồm keo dán, xốp lót và vật tư phụ)</t>
  </si>
  <si>
    <t>4.60</t>
  </si>
  <si>
    <t>Láng nền sàn không đánh mầu, dày 2cm, vữa XM mác 75</t>
  </si>
  <si>
    <t>4.61</t>
  </si>
  <si>
    <t>Láng nền sàn không đánh mầu, dày 3cm, vữa XM mác 75</t>
  </si>
  <si>
    <t>4.62</t>
  </si>
  <si>
    <t>Công tác ốp gạch vào tường, trụ, cột gạch 300x600mm, vữa XM mác 75</t>
  </si>
  <si>
    <t>4.63</t>
  </si>
  <si>
    <t>Công tác ốp gạch vào tường, trụ, cột, gạch gốm màu ghi đậm, vữa XM mác 75</t>
  </si>
  <si>
    <t>4.64</t>
  </si>
  <si>
    <t>Công tác ốp đá marble màu trắng vào tường có chốt bằng inox</t>
  </si>
  <si>
    <t>4.65</t>
  </si>
  <si>
    <t>Công tác ốp đá granit tự nhiên vào tường</t>
  </si>
  <si>
    <t>4.66</t>
  </si>
  <si>
    <t>Thi công trần phẳng bằng tấm thạch cao chống ẩm</t>
  </si>
  <si>
    <t>4.67</t>
  </si>
  <si>
    <t>Thi công trần phẳng bằng tấm thạch cao khung nhôm chìm</t>
  </si>
  <si>
    <t>4.68</t>
  </si>
  <si>
    <t>Thi công trần phẳng bằng tấm thạch cao 9mm (khung nhôm nổi)</t>
  </si>
  <si>
    <t>4.69</t>
  </si>
  <si>
    <t>Mặt đá granit tự nhiên màu đen dày 20mm</t>
  </si>
  <si>
    <t>4.70</t>
  </si>
  <si>
    <t>Quét dung dịch chống thấm mái, ban công, vệ sinh, tường hầm...; đục nhám, tẩy, vệ sinh nền bê tông trước khi quét chống thấm (tham khảo Sikatop seal 107, định mức 3kg/m2/2 lớp)</t>
  </si>
  <si>
    <t>4.71</t>
  </si>
  <si>
    <t>Vệ sinh mặt bê tông (trước khi lăn sơn epoxy)</t>
  </si>
  <si>
    <t>4.72</t>
  </si>
  <si>
    <t>Sơn epoxy sàn, nền, bề mặt bê tông bằng sơn các loại, 1 nước lót, 2 nước phủ</t>
  </si>
  <si>
    <t>4.73</t>
  </si>
  <si>
    <t>Chống thấm cổ ống xuyên sàn</t>
  </si>
  <si>
    <t>cổ ống</t>
  </si>
  <si>
    <t>4.74</t>
  </si>
  <si>
    <t>Sơn dầm, trần, cột, tường ngoài nhà không bả bằng sơn các loại, 1 nước lót, 2 nước phủ</t>
  </si>
  <si>
    <t>4.75</t>
  </si>
  <si>
    <t>Bả bằng bột bả vào tường trong nhà</t>
  </si>
  <si>
    <t>4.76</t>
  </si>
  <si>
    <t>Bả bằng bột bả vào cột, dầm, trần trong nhà</t>
  </si>
  <si>
    <t>4.77</t>
  </si>
  <si>
    <t>Sơn dầm, trần, cột, tường trong nhà đã bả bằng sơn các loại, 1 nước lót, 2 nước phủ</t>
  </si>
  <si>
    <t>4.78</t>
  </si>
  <si>
    <t>Kẻ roan mảng tường sơn đậm nhạt</t>
  </si>
  <si>
    <t>4.79</t>
  </si>
  <si>
    <t>Vách ngăn compact dày 12mm chống thấm nước(cả nhân công và phụ kiện)</t>
  </si>
  <si>
    <t>4.80</t>
  </si>
  <si>
    <t>Cầu chắn rác D150</t>
  </si>
  <si>
    <t>4.81</t>
  </si>
  <si>
    <t>Khung sắt []20x20 (che rãnh thoát nước)</t>
  </si>
  <si>
    <t>4.82</t>
  </si>
  <si>
    <t>Khung inox (che rãnh thoát nước)</t>
  </si>
  <si>
    <t>4.83</t>
  </si>
  <si>
    <t>Cắt roan ram dốc</t>
  </si>
  <si>
    <t>10m</t>
  </si>
  <si>
    <t>4.84</t>
  </si>
  <si>
    <t>Lắp dựng dàn giáo ngoài, chiều cao &gt;50m</t>
  </si>
  <si>
    <t>4.85</t>
  </si>
  <si>
    <t>Lắp dựng dàn giáo trong, chiều cao chuẩn 3,6m</t>
  </si>
  <si>
    <t>4.86</t>
  </si>
  <si>
    <t>Lưới bao che công trình</t>
  </si>
  <si>
    <t>4.87</t>
  </si>
  <si>
    <t>Lưới chắn vật rơi</t>
  </si>
  <si>
    <t>4.88</t>
  </si>
  <si>
    <t>Hệ khung thép giằng chéo (lưới bao che)</t>
  </si>
  <si>
    <t>4.89</t>
  </si>
  <si>
    <t>Vận chuyển vật liệu lên cao bằng vận thăng lồng  - cát các loại, than xỉ</t>
  </si>
  <si>
    <t>4.90</t>
  </si>
  <si>
    <t>Vận chuyển vật liệu lên cao bằng vận thăng lồng - các loại sơn, bột (bột đá, bột bả..)</t>
  </si>
  <si>
    <t>4.91</t>
  </si>
  <si>
    <t>Vận chuyển vật liệu lên cao bằng vận thăng lồng - gạch ốp, lát các loại</t>
  </si>
  <si>
    <t>10m2</t>
  </si>
  <si>
    <t>4.92</t>
  </si>
  <si>
    <t>Vận chuyển vật liệu lên cao bằng vận thăng lồng - đá ốp, lát các loại</t>
  </si>
  <si>
    <t>4.93</t>
  </si>
  <si>
    <t>Vận chuyển vật liệu lên cao bằng vận thăng lồng - xi măng</t>
  </si>
  <si>
    <t>4.94</t>
  </si>
  <si>
    <t>Vận chuyển vật liệu lên cao bằng vận thăng lồng - kính các loại</t>
  </si>
  <si>
    <t>4.95</t>
  </si>
  <si>
    <t>Vận chuyển vật liệu lên cao bằng vận thăng lồng - cửa các loại</t>
  </si>
  <si>
    <t>4.96</t>
  </si>
  <si>
    <t>4.97</t>
  </si>
  <si>
    <t>4.98</t>
  </si>
  <si>
    <t>Xử lý 1m3 hào phòng mối bao ngoài.</t>
  </si>
  <si>
    <t>4.99</t>
  </si>
  <si>
    <t>Phòng mối nền công trình xây mới.</t>
  </si>
  <si>
    <t>5</t>
  </si>
  <si>
    <t>HỆ THỐNG ĐIỆN</t>
  </si>
  <si>
    <t>5.1</t>
  </si>
  <si>
    <t>Tủ điện LV1.1</t>
  </si>
  <si>
    <t>5.1.1</t>
  </si>
  <si>
    <t>ACB 3P 1600A 42kA</t>
  </si>
  <si>
    <t>5.1.2</t>
  </si>
  <si>
    <t>Biến dòng 1600A/5A</t>
  </si>
  <si>
    <t>5.1.3</t>
  </si>
  <si>
    <t>Đèn báo pha</t>
  </si>
  <si>
    <t>5.1.4</t>
  </si>
  <si>
    <t>Cầu chì 220V-2A</t>
  </si>
  <si>
    <t>5.1.5</t>
  </si>
  <si>
    <t>Công tơ điện đa năng</t>
  </si>
  <si>
    <t>5.1.6</t>
  </si>
  <si>
    <t>Công tắc chuyển mạch vôn kế</t>
  </si>
  <si>
    <t>5.1.7</t>
  </si>
  <si>
    <t>Vôn kế</t>
  </si>
  <si>
    <t>5.1.8</t>
  </si>
  <si>
    <t>Ampe kế 0-1600A</t>
  </si>
  <si>
    <t>5.1.9</t>
  </si>
  <si>
    <t>Hệ thống thanh cái, cáp nối</t>
  </si>
  <si>
    <t>Bộ</t>
  </si>
  <si>
    <t>5.1.10</t>
  </si>
  <si>
    <t>Vỏ tủ trong nhà, 2 lớp cánh, tôn dày 1.5mm, kt C2200xR800xS800mm</t>
  </si>
  <si>
    <t>tủ</t>
  </si>
  <si>
    <t>5.2</t>
  </si>
  <si>
    <t>Tủ điện LV1.2</t>
  </si>
  <si>
    <t>5.2.1</t>
  </si>
  <si>
    <t>ACB 3P 1250A 42kA</t>
  </si>
  <si>
    <t>5.2.2</t>
  </si>
  <si>
    <t>MCCB 3P 125A 36kA</t>
  </si>
  <si>
    <t>5.2.3</t>
  </si>
  <si>
    <t>MCCB 3P 100A 36kA</t>
  </si>
  <si>
    <t>5.2.4</t>
  </si>
  <si>
    <t>MCCB 3P 50A 36kA</t>
  </si>
  <si>
    <t>5.2.5</t>
  </si>
  <si>
    <t>MCCB 3P 25A 36kA</t>
  </si>
  <si>
    <t>5.2.6</t>
  </si>
  <si>
    <t>5.2.7</t>
  </si>
  <si>
    <t>5.3</t>
  </si>
  <si>
    <t>Tủ điện LV1.3</t>
  </si>
  <si>
    <t>5.3.1</t>
  </si>
  <si>
    <t>MCCB 3P 630A 42kA</t>
  </si>
  <si>
    <t>5.3.2</t>
  </si>
  <si>
    <t>MCCB 3P 300A 36kA</t>
  </si>
  <si>
    <t>5.3.3</t>
  </si>
  <si>
    <t>MCCB 3P 250A 36kA</t>
  </si>
  <si>
    <t>5.3.4</t>
  </si>
  <si>
    <t>MCCB 3P 160A 36kA</t>
  </si>
  <si>
    <t>5.3.5</t>
  </si>
  <si>
    <t>MCCB 3P 80A 36kA</t>
  </si>
  <si>
    <t>5.3.6</t>
  </si>
  <si>
    <t>5.3.7</t>
  </si>
  <si>
    <t>Biến dòng 630A/5A</t>
  </si>
  <si>
    <t>5.3.8</t>
  </si>
  <si>
    <t>5.3.9</t>
  </si>
  <si>
    <t>5.3.10</t>
  </si>
  <si>
    <t>5.3.11</t>
  </si>
  <si>
    <t>5.3.12</t>
  </si>
  <si>
    <t>5.3.13</t>
  </si>
  <si>
    <t>Ampe kế 0-630A</t>
  </si>
  <si>
    <t>5.3.14</t>
  </si>
  <si>
    <t>5.3.15</t>
  </si>
  <si>
    <t>5.4</t>
  </si>
  <si>
    <t>Tủ điện LV1.4</t>
  </si>
  <si>
    <t>5.4.1</t>
  </si>
  <si>
    <t>ACB 3P 1000A 42kA</t>
  </si>
  <si>
    <t>5.4.2</t>
  </si>
  <si>
    <t>MCCB 3P 200A 36kA</t>
  </si>
  <si>
    <t>5.4.3</t>
  </si>
  <si>
    <t>5.4.4</t>
  </si>
  <si>
    <t>5.4.5</t>
  </si>
  <si>
    <t>5.4.6</t>
  </si>
  <si>
    <t>MCCB 3P 20A 36kA</t>
  </si>
  <si>
    <t>5.4.7</t>
  </si>
  <si>
    <t>Biến dòng 1000A/5A</t>
  </si>
  <si>
    <t>5.4.8</t>
  </si>
  <si>
    <t>5.4.9</t>
  </si>
  <si>
    <t>5.4.10</t>
  </si>
  <si>
    <t>5.4.11</t>
  </si>
  <si>
    <t>5.4.12</t>
  </si>
  <si>
    <t>5.4.13</t>
  </si>
  <si>
    <t>Ampe kế 0-1000A</t>
  </si>
  <si>
    <t>5.4.14</t>
  </si>
  <si>
    <t>5.4.15</t>
  </si>
  <si>
    <t>5.5</t>
  </si>
  <si>
    <t>Tủ điện LV1.5</t>
  </si>
  <si>
    <t>5.5.1</t>
  </si>
  <si>
    <t>5.5.2</t>
  </si>
  <si>
    <t>5.5.3</t>
  </si>
  <si>
    <t>MCCB 3P 32A 36kA</t>
  </si>
  <si>
    <t>5.5.4</t>
  </si>
  <si>
    <t>5.5.5</t>
  </si>
  <si>
    <t>5.5.6</t>
  </si>
  <si>
    <t>5.5.7</t>
  </si>
  <si>
    <t>5.6</t>
  </si>
  <si>
    <t>Tủ điện LV.FC</t>
  </si>
  <si>
    <t>5.6.1</t>
  </si>
  <si>
    <t>5.6.2</t>
  </si>
  <si>
    <t>5.6.3</t>
  </si>
  <si>
    <t>5.6.4</t>
  </si>
  <si>
    <t>5.6.5</t>
  </si>
  <si>
    <t>5.6.6</t>
  </si>
  <si>
    <t>5.7</t>
  </si>
  <si>
    <t>Tủ điện tầng hầm - TĐ.TH</t>
  </si>
  <si>
    <t>5.7.1</t>
  </si>
  <si>
    <t>MCCB 3P 50A 10kA</t>
  </si>
  <si>
    <t>5.7.2</t>
  </si>
  <si>
    <t>5.7.3</t>
  </si>
  <si>
    <t>5.7.4</t>
  </si>
  <si>
    <t>MCB 3P 16A 6kA</t>
  </si>
  <si>
    <t>5.7.5</t>
  </si>
  <si>
    <t>MCB 1P 25A 10kA</t>
  </si>
  <si>
    <t>5.7.6</t>
  </si>
  <si>
    <t>MCB 1P 20A 10kA</t>
  </si>
  <si>
    <t>5.7.7</t>
  </si>
  <si>
    <t>RCBO 1P+1N 16A 6kA</t>
  </si>
  <si>
    <t>5.7.8</t>
  </si>
  <si>
    <t>MCB 1P 10A 6kA</t>
  </si>
  <si>
    <t>5.7.9</t>
  </si>
  <si>
    <t>Timer 24h</t>
  </si>
  <si>
    <t>5.7.10</t>
  </si>
  <si>
    <t>Contactor 1P 10A</t>
  </si>
  <si>
    <t>5.7.11</t>
  </si>
  <si>
    <t>Nút ấn ON-OFF</t>
  </si>
  <si>
    <t>5.7.12</t>
  </si>
  <si>
    <t>5.7.13</t>
  </si>
  <si>
    <t>Vỏ tủ trong nhà, 2 lớp cánh, tôn dày 1.5mm, kt C800xR600xS250mm</t>
  </si>
  <si>
    <t>5.8</t>
  </si>
  <si>
    <t>Tủ điện tầng 1 - TĐ1</t>
  </si>
  <si>
    <t>5.8.1</t>
  </si>
  <si>
    <t>5.8.2</t>
  </si>
  <si>
    <t>5.8.3</t>
  </si>
  <si>
    <t>5.8.4</t>
  </si>
  <si>
    <t>5.8.5</t>
  </si>
  <si>
    <t>5.8.6</t>
  </si>
  <si>
    <t>MCB 1P 16A 6kA</t>
  </si>
  <si>
    <t>5.8.7</t>
  </si>
  <si>
    <t>5.8.8</t>
  </si>
  <si>
    <t>5.8.9</t>
  </si>
  <si>
    <t>5.9</t>
  </si>
  <si>
    <t>Tủ điện tầng 2 - TĐ2</t>
  </si>
  <si>
    <t>5.9.1</t>
  </si>
  <si>
    <t>MCCB 3P 160A 25kA</t>
  </si>
  <si>
    <t>5.9.2</t>
  </si>
  <si>
    <t>5.9.3</t>
  </si>
  <si>
    <t>5.9.4</t>
  </si>
  <si>
    <t>MCCB 3P 125A 16kA</t>
  </si>
  <si>
    <t>5.9.5</t>
  </si>
  <si>
    <t>MCB 3P 32A 10kA</t>
  </si>
  <si>
    <t>5.9.6</t>
  </si>
  <si>
    <t>MCB 3P 25A 10kA</t>
  </si>
  <si>
    <t>5.9.7</t>
  </si>
  <si>
    <t>MCB 1P 20A 6kA</t>
  </si>
  <si>
    <t>5.9.8</t>
  </si>
  <si>
    <t>5.9.9</t>
  </si>
  <si>
    <t>5.9.10</t>
  </si>
  <si>
    <t>5.10</t>
  </si>
  <si>
    <t>Tủ điện tầng 3 - TĐ-T3</t>
  </si>
  <si>
    <t>5.10.1</t>
  </si>
  <si>
    <t>MCCB 3P 200A 25kA</t>
  </si>
  <si>
    <t>5.10.2</t>
  </si>
  <si>
    <t>5.10.3</t>
  </si>
  <si>
    <t>5.10.4</t>
  </si>
  <si>
    <t>MCB 3P 125A 25kA</t>
  </si>
  <si>
    <t>5.10.5</t>
  </si>
  <si>
    <t>5.10.6</t>
  </si>
  <si>
    <t>5.10.7</t>
  </si>
  <si>
    <t>5.10.8</t>
  </si>
  <si>
    <t>5.10.9</t>
  </si>
  <si>
    <t>Vỏ tủ trong nhà, 2 lớp cánh, tôn dày 1.5mm, kt C600xR400xS250mm</t>
  </si>
  <si>
    <t>5.11</t>
  </si>
  <si>
    <t>Tủ điện tầng 4 - TĐ-T4</t>
  </si>
  <si>
    <t>5.11.1</t>
  </si>
  <si>
    <t>MCCB 3P 50A 16kA</t>
  </si>
  <si>
    <t>5.11.2</t>
  </si>
  <si>
    <t>5.11.3</t>
  </si>
  <si>
    <t>5.11.4</t>
  </si>
  <si>
    <t>MCB 1P 32A 10kA</t>
  </si>
  <si>
    <t>5.11.5</t>
  </si>
  <si>
    <t>5.11.6</t>
  </si>
  <si>
    <t>5.11.7</t>
  </si>
  <si>
    <t>5.11.8</t>
  </si>
  <si>
    <t>5.11.9</t>
  </si>
  <si>
    <t>5.12</t>
  </si>
  <si>
    <t>Tủ điện tầng 5 - TĐ-T5</t>
  </si>
  <si>
    <t>5.12.1</t>
  </si>
  <si>
    <t>5.12.2</t>
  </si>
  <si>
    <t>5.12.3</t>
  </si>
  <si>
    <t>5.12.4</t>
  </si>
  <si>
    <t>5.12.5</t>
  </si>
  <si>
    <t>5.12.6</t>
  </si>
  <si>
    <t>RCBO 1P+N 16A 6kA 30mA</t>
  </si>
  <si>
    <t>5.12.7</t>
  </si>
  <si>
    <t>5.12.8</t>
  </si>
  <si>
    <t>5.12.9</t>
  </si>
  <si>
    <t>5.12.10</t>
  </si>
  <si>
    <t>Vỏ tủ trong nhà, 2 lớp cánh, tôn dày 1.5mm, kt C700xR500xS250mm</t>
  </si>
  <si>
    <t>5.13</t>
  </si>
  <si>
    <t>Tủ điện tầng 6 - TĐ-T6~ TĐ-T16</t>
  </si>
  <si>
    <t>5.13.1</t>
  </si>
  <si>
    <t>MCCB 3P 125A 25kA</t>
  </si>
  <si>
    <t>5.13.2</t>
  </si>
  <si>
    <t>5.13.3</t>
  </si>
  <si>
    <t>5.13.4</t>
  </si>
  <si>
    <t>5.13.5</t>
  </si>
  <si>
    <t>5.13.6</t>
  </si>
  <si>
    <t>Vỏ tủ trong nhà, 2 lớp cánh, tôn dày 1.5mm, kt C1000xR800xS250mm</t>
  </si>
  <si>
    <t>5.14</t>
  </si>
  <si>
    <t>Tủ điện tầng 17 - TĐ-T17</t>
  </si>
  <si>
    <t>5.14.1</t>
  </si>
  <si>
    <t>MCCB 3P 100A 25kA</t>
  </si>
  <si>
    <t>5.14.2</t>
  </si>
  <si>
    <t>5.14.3</t>
  </si>
  <si>
    <t>5.14.4</t>
  </si>
  <si>
    <t>MCB 1P 40A 10kA</t>
  </si>
  <si>
    <t>5.14.5</t>
  </si>
  <si>
    <t>5.14.6</t>
  </si>
  <si>
    <t>5.14.7</t>
  </si>
  <si>
    <t>5.15</t>
  </si>
  <si>
    <t>Tủ điện tầng 18 - TĐ-T18</t>
  </si>
  <si>
    <t>5.15.1</t>
  </si>
  <si>
    <t>MCCB 3P 80A 25kA</t>
  </si>
  <si>
    <t>5.15.2</t>
  </si>
  <si>
    <t>5.15.3</t>
  </si>
  <si>
    <t>5.15.4</t>
  </si>
  <si>
    <t>5.15.5</t>
  </si>
  <si>
    <t>5.15.6</t>
  </si>
  <si>
    <t>5.15.7</t>
  </si>
  <si>
    <t>5.16</t>
  </si>
  <si>
    <t>Tủ điện tầng tum - TĐ-TUM</t>
  </si>
  <si>
    <t>5.16.1</t>
  </si>
  <si>
    <t>MCCB 3P 25A 10kA</t>
  </si>
  <si>
    <t>5.16.2</t>
  </si>
  <si>
    <t>5.16.3</t>
  </si>
  <si>
    <t>5.16.4</t>
  </si>
  <si>
    <t>5.16.5</t>
  </si>
  <si>
    <t>5.16.6</t>
  </si>
  <si>
    <t>5.16.7</t>
  </si>
  <si>
    <t>5.16.8</t>
  </si>
  <si>
    <t>5.16.9</t>
  </si>
  <si>
    <t>Vỏ tủ trong nhà, 2 lớp cánh, tôn dày 1.5mm, kt C400xR300xS250mm</t>
  </si>
  <si>
    <t>5.17</t>
  </si>
  <si>
    <t>Tủ điện chiếu sáng hành lang - TS1 (tương tự TS2)</t>
  </si>
  <si>
    <t>5.17.1</t>
  </si>
  <si>
    <t>5.17.2</t>
  </si>
  <si>
    <t>5.17.3</t>
  </si>
  <si>
    <t>5.17.4</t>
  </si>
  <si>
    <t>5.17.5</t>
  </si>
  <si>
    <t>5.17.6</t>
  </si>
  <si>
    <t>5.17.7</t>
  </si>
  <si>
    <t>5.17.8</t>
  </si>
  <si>
    <t>5.17.9</t>
  </si>
  <si>
    <t>5.17.10</t>
  </si>
  <si>
    <t>5.17.11</t>
  </si>
  <si>
    <t>5.18</t>
  </si>
  <si>
    <t>Tủ điện chiếu sáng hành lang - TS3 (tương tự tủ TS4, TS5, TS6)</t>
  </si>
  <si>
    <t>5.18.1</t>
  </si>
  <si>
    <t>5.18.2</t>
  </si>
  <si>
    <t>5.18.3</t>
  </si>
  <si>
    <t>5.18.4</t>
  </si>
  <si>
    <t>5.18.5</t>
  </si>
  <si>
    <t>5.18.6</t>
  </si>
  <si>
    <t>5.18.7</t>
  </si>
  <si>
    <t>5.18.8</t>
  </si>
  <si>
    <t>5.18.9</t>
  </si>
  <si>
    <t>5.18.10</t>
  </si>
  <si>
    <t>5.18.11</t>
  </si>
  <si>
    <t>5.19</t>
  </si>
  <si>
    <t>Tủ điện thang máy TĐ.TM1 (tương tự TĐ.TM4)</t>
  </si>
  <si>
    <t>5.19.1</t>
  </si>
  <si>
    <t>5.19.2</t>
  </si>
  <si>
    <t>Cầu chì 220V-3A</t>
  </si>
  <si>
    <t>5.19.3</t>
  </si>
  <si>
    <t>5.19.4</t>
  </si>
  <si>
    <t>5.19.5</t>
  </si>
  <si>
    <t>5.19.6</t>
  </si>
  <si>
    <t>5.20</t>
  </si>
  <si>
    <t>Tủ điện thang máy TĐ.TM2 (tương tự TĐ.TM3, TĐ.TM5)</t>
  </si>
  <si>
    <t>5.20.1</t>
  </si>
  <si>
    <t>5.20.2</t>
  </si>
  <si>
    <t>5.20.3</t>
  </si>
  <si>
    <t>5.20.4</t>
  </si>
  <si>
    <t>5.20.5</t>
  </si>
  <si>
    <t>5.20.6</t>
  </si>
  <si>
    <t>5.21</t>
  </si>
  <si>
    <t>Tủ điện thang máy TĐ-TMCC</t>
  </si>
  <si>
    <t>5.21.1</t>
  </si>
  <si>
    <t>5.21.2</t>
  </si>
  <si>
    <t>5.21.3</t>
  </si>
  <si>
    <t>5.21.4</t>
  </si>
  <si>
    <t>5.21.5</t>
  </si>
  <si>
    <t>5.21.6</t>
  </si>
  <si>
    <t>5.22</t>
  </si>
  <si>
    <t>Tủ điện bơm nước thoát sàn - TĐ-BTS</t>
  </si>
  <si>
    <t>5.22.1</t>
  </si>
  <si>
    <t>MCCB 3P 20A 16kA</t>
  </si>
  <si>
    <t>5.22.2</t>
  </si>
  <si>
    <t>5.22.3</t>
  </si>
  <si>
    <t>5.22.4</t>
  </si>
  <si>
    <t>5.22.5</t>
  </si>
  <si>
    <t>5.22.6</t>
  </si>
  <si>
    <t>MCCB 3P 16A 16kA</t>
  </si>
  <si>
    <t>5.22.7</t>
  </si>
  <si>
    <t>Bộ khởi động trực tiếp cho động cơ 1,5KW</t>
  </si>
  <si>
    <t>5.22.8</t>
  </si>
  <si>
    <t>MCB 1P 6A 6kA</t>
  </si>
  <si>
    <t>5.22.9</t>
  </si>
  <si>
    <t>5.22.10</t>
  </si>
  <si>
    <t>Vỏ tủ trong nhà, 2 lớp cánh, tôn dày 1.5mm, kt C1000xR800xS300mm</t>
  </si>
  <si>
    <t>5.23</t>
  </si>
  <si>
    <t>Tủ điện bơm nước sinh hoạt - TĐ-BSH</t>
  </si>
  <si>
    <t>5.23.1</t>
  </si>
  <si>
    <t>5.23.2</t>
  </si>
  <si>
    <t>5.23.3</t>
  </si>
  <si>
    <t>5.23.4</t>
  </si>
  <si>
    <t>5.23.5</t>
  </si>
  <si>
    <t>5.23.6</t>
  </si>
  <si>
    <t>MCCB 3P 40A 16kA</t>
  </si>
  <si>
    <t>5.23.7</t>
  </si>
  <si>
    <t>Bộ khởi động sao-tam giác cho động cơ 15KW</t>
  </si>
  <si>
    <t>5.23.8</t>
  </si>
  <si>
    <t>5.23.9</t>
  </si>
  <si>
    <t>5.23.10</t>
  </si>
  <si>
    <t>5.24</t>
  </si>
  <si>
    <t>Tủ điện phòng bảo vệ BĐ-BV</t>
  </si>
  <si>
    <t>5.24.1</t>
  </si>
  <si>
    <t>MCB 2P 25A 10kA</t>
  </si>
  <si>
    <t>5.24.2</t>
  </si>
  <si>
    <t>RCBO 1P+1N 16A 6kA 30mA</t>
  </si>
  <si>
    <t>5.24.3</t>
  </si>
  <si>
    <t>5.24.4</t>
  </si>
  <si>
    <t>5.24.5</t>
  </si>
  <si>
    <t>Tủ nhựa gắn tường: 10 Module</t>
  </si>
  <si>
    <t>5.25</t>
  </si>
  <si>
    <t>Tủ điện phòng giao nhận BĐ-PGN</t>
  </si>
  <si>
    <t>5.25.1</t>
  </si>
  <si>
    <t>MCB 2P 20A 10kA</t>
  </si>
  <si>
    <t>5.25.2</t>
  </si>
  <si>
    <t>5.25.3</t>
  </si>
  <si>
    <t>5.25.4</t>
  </si>
  <si>
    <t>Tủ nhựa gắn tường: 06 Module</t>
  </si>
  <si>
    <t>5.26</t>
  </si>
  <si>
    <t>Tủ điện phòng họp BĐ1.1</t>
  </si>
  <si>
    <t>5.26.1</t>
  </si>
  <si>
    <t>5.26.2</t>
  </si>
  <si>
    <t>5.26.3</t>
  </si>
  <si>
    <t>5.26.4</t>
  </si>
  <si>
    <t>5.27</t>
  </si>
  <si>
    <t>Tủ điện phòng kinh doanh - nhân sự  BĐ1.2</t>
  </si>
  <si>
    <t>5.27.1</t>
  </si>
  <si>
    <t>5.27.2</t>
  </si>
  <si>
    <t>5.27.3</t>
  </si>
  <si>
    <t>5.27.4</t>
  </si>
  <si>
    <t>5.28</t>
  </si>
  <si>
    <t>Tủ điện phòng kế toán  BĐ1.3</t>
  </si>
  <si>
    <t>5.28.1</t>
  </si>
  <si>
    <t>5.28.2</t>
  </si>
  <si>
    <t>5.28.3</t>
  </si>
  <si>
    <t>5.28.4</t>
  </si>
  <si>
    <t>5.29</t>
  </si>
  <si>
    <t>Tủ điện phòng phó giám đốc  BĐ1.4</t>
  </si>
  <si>
    <t>5.29.1</t>
  </si>
  <si>
    <t>5.29.2</t>
  </si>
  <si>
    <t>5.29.3</t>
  </si>
  <si>
    <t>5.29.4</t>
  </si>
  <si>
    <t>5.30</t>
  </si>
  <si>
    <t>Tủ điện phòng phó giám đốc  BĐ1.5</t>
  </si>
  <si>
    <t>5.30.1</t>
  </si>
  <si>
    <t>5.30.2</t>
  </si>
  <si>
    <t>5.30.3</t>
  </si>
  <si>
    <t>5.30.4</t>
  </si>
  <si>
    <t>5.31</t>
  </si>
  <si>
    <t>Tủ điện phòng KT vận hành  BĐ1.6</t>
  </si>
  <si>
    <t>5.31.1</t>
  </si>
  <si>
    <t>5.31.2</t>
  </si>
  <si>
    <t>5.31.3</t>
  </si>
  <si>
    <t>5.31.4</t>
  </si>
  <si>
    <t>5.32</t>
  </si>
  <si>
    <t>Tủ điện phòng office  BĐ1.7</t>
  </si>
  <si>
    <t>5.32.1</t>
  </si>
  <si>
    <t>5.32.2</t>
  </si>
  <si>
    <t>5.32.3</t>
  </si>
  <si>
    <t>5.32.4</t>
  </si>
  <si>
    <t>5.33</t>
  </si>
  <si>
    <t>Tủ điện quản lý bếp BĐ2.1</t>
  </si>
  <si>
    <t>5.33.1</t>
  </si>
  <si>
    <t>5.33.2</t>
  </si>
  <si>
    <t>5.33.3</t>
  </si>
  <si>
    <t>5.33.4</t>
  </si>
  <si>
    <t>5.34</t>
  </si>
  <si>
    <t>Tủ điện phòng ăn vip NH1.1 (tương tự NH1.2)</t>
  </si>
  <si>
    <t>5.34.1</t>
  </si>
  <si>
    <t>5.34.2</t>
  </si>
  <si>
    <t>5.34.3</t>
  </si>
  <si>
    <t>5.34.4</t>
  </si>
  <si>
    <t>5.35</t>
  </si>
  <si>
    <t>Tủ điện Nhà hàng tầng 2 TĐ-NH</t>
  </si>
  <si>
    <t>5.35.1</t>
  </si>
  <si>
    <t>MCCB 3P 32A 10kA</t>
  </si>
  <si>
    <t>5.35.2</t>
  </si>
  <si>
    <t>5.35.3</t>
  </si>
  <si>
    <t>Cầu chì 2A</t>
  </si>
  <si>
    <t>5.35.4</t>
  </si>
  <si>
    <t>5.35.5</t>
  </si>
  <si>
    <t>5.35.6</t>
  </si>
  <si>
    <t>5.35.7</t>
  </si>
  <si>
    <t>5.35.8</t>
  </si>
  <si>
    <t>5.36</t>
  </si>
  <si>
    <t>Tủ điện Bếp tầng 2 TĐ-B2</t>
  </si>
  <si>
    <t>5.36.1</t>
  </si>
  <si>
    <t>5.36.2</t>
  </si>
  <si>
    <t>5.36.3</t>
  </si>
  <si>
    <t>5.36.4</t>
  </si>
  <si>
    <t>5.36.5</t>
  </si>
  <si>
    <t>Tủ nhựa gắn tường: 12 Module</t>
  </si>
  <si>
    <t>5.37</t>
  </si>
  <si>
    <t>Tủ điện Bếp tầng 3 TĐ-B3</t>
  </si>
  <si>
    <t>5.37.1</t>
  </si>
  <si>
    <t>5.37.2</t>
  </si>
  <si>
    <t>5.37.3</t>
  </si>
  <si>
    <t>5.37.4</t>
  </si>
  <si>
    <t>5.37.5</t>
  </si>
  <si>
    <t>5.38</t>
  </si>
  <si>
    <t>Tủ điện phòng hội thảo 1 BĐ 4.1</t>
  </si>
  <si>
    <t>5.38.1</t>
  </si>
  <si>
    <t>MCB 2P 32A 10kA</t>
  </si>
  <si>
    <t>5.38.2</t>
  </si>
  <si>
    <t>5.38.3</t>
  </si>
  <si>
    <t>5.38.4</t>
  </si>
  <si>
    <t>5.39</t>
  </si>
  <si>
    <t>Tủ điện phòng hội thảo 2 BĐ 4.2</t>
  </si>
  <si>
    <t>5.39.1</t>
  </si>
  <si>
    <t>5.39.2</t>
  </si>
  <si>
    <t>5.39.3</t>
  </si>
  <si>
    <t>5.39.4</t>
  </si>
  <si>
    <t>5.40</t>
  </si>
  <si>
    <t>Tủ điện phòng kỹ thuật điều khiển BĐ 4.3</t>
  </si>
  <si>
    <t>5.40.1</t>
  </si>
  <si>
    <t>5.40.2</t>
  </si>
  <si>
    <t>5.40.3</t>
  </si>
  <si>
    <t>5.40.4</t>
  </si>
  <si>
    <t>5.41</t>
  </si>
  <si>
    <t>Tủ điện Phòng tiếp khách BĐ 4.4</t>
  </si>
  <si>
    <t>5.41.1</t>
  </si>
  <si>
    <t>5.41.2</t>
  </si>
  <si>
    <t>5.41.3</t>
  </si>
  <si>
    <t>5.41.4</t>
  </si>
  <si>
    <t>5.42</t>
  </si>
  <si>
    <t>Tủ điện phòng nghỉ nhân viên nữ BĐ 5.1</t>
  </si>
  <si>
    <t>5.42.1</t>
  </si>
  <si>
    <t>5.42.2</t>
  </si>
  <si>
    <t>5.42.3</t>
  </si>
  <si>
    <t>5.42.4</t>
  </si>
  <si>
    <t>5.43</t>
  </si>
  <si>
    <t>Tủ điện phòng nghỉ nhân viên nam BĐ 5.2</t>
  </si>
  <si>
    <t>5.43.1</t>
  </si>
  <si>
    <t>5.43.2</t>
  </si>
  <si>
    <t>5.43.3</t>
  </si>
  <si>
    <t>5.43.4</t>
  </si>
  <si>
    <t>5.44</t>
  </si>
  <si>
    <t>Tủ điện phòng y tế BĐ 5.3</t>
  </si>
  <si>
    <t>5.44.1</t>
  </si>
  <si>
    <t>5.44.2</t>
  </si>
  <si>
    <t>5.44.3</t>
  </si>
  <si>
    <t>5.44.4</t>
  </si>
  <si>
    <t>5.45</t>
  </si>
  <si>
    <t>Tủ điện phòng ăn nhân viên BĐ 5.4</t>
  </si>
  <si>
    <t>5.45.1</t>
  </si>
  <si>
    <t>5.45.2</t>
  </si>
  <si>
    <t>5.45.3</t>
  </si>
  <si>
    <t>5.45.4</t>
  </si>
  <si>
    <t>5.46</t>
  </si>
  <si>
    <t>Tủ điện phòng hội thảo 3 BĐ 5.5</t>
  </si>
  <si>
    <t>5.46.1</t>
  </si>
  <si>
    <t>5.46.2</t>
  </si>
  <si>
    <t>5.46.3</t>
  </si>
  <si>
    <t>5.46.4</t>
  </si>
  <si>
    <t>Tủ nhựa gắn tường: 08 Module</t>
  </si>
  <si>
    <t>5.47</t>
  </si>
  <si>
    <t>Tủ điện phòng thư viện BĐ 5.6</t>
  </si>
  <si>
    <t>5.47.1</t>
  </si>
  <si>
    <t>5.47.2</t>
  </si>
  <si>
    <t>5.47.3</t>
  </si>
  <si>
    <t>5.47.4</t>
  </si>
  <si>
    <t>5.48</t>
  </si>
  <si>
    <t>Tủ điện phòng tập BĐ 5.7</t>
  </si>
  <si>
    <t>5.48.1</t>
  </si>
  <si>
    <t>5.48.2</t>
  </si>
  <si>
    <t>5.48.3</t>
  </si>
  <si>
    <t>5.48.4</t>
  </si>
  <si>
    <t>5.49</t>
  </si>
  <si>
    <t>Tủ điện Điều hòa tầng 1 TĐ-AC1</t>
  </si>
  <si>
    <t>5.49.1</t>
  </si>
  <si>
    <t>MCCB 3P 25A 16kA</t>
  </si>
  <si>
    <t>5.49.2</t>
  </si>
  <si>
    <t>5.49.3</t>
  </si>
  <si>
    <t>MCB 3P 10A 6kA</t>
  </si>
  <si>
    <t>5.49.4</t>
  </si>
  <si>
    <t>5.49.5</t>
  </si>
  <si>
    <t>5.50</t>
  </si>
  <si>
    <t>Tủ điện Điều hòa tầng 2 TĐ-AC2</t>
  </si>
  <si>
    <t>5.50.1</t>
  </si>
  <si>
    <t>5.50.2</t>
  </si>
  <si>
    <t>MCB 3P 50A 6kA</t>
  </si>
  <si>
    <t>5.50.3</t>
  </si>
  <si>
    <t>MCB 3P 32A 6kA</t>
  </si>
  <si>
    <t>5.50.4</t>
  </si>
  <si>
    <t>5.50.5</t>
  </si>
  <si>
    <t>5.50.6</t>
  </si>
  <si>
    <t>5.50.7</t>
  </si>
  <si>
    <t>5.51</t>
  </si>
  <si>
    <t>Tủ điện Điều hòa tầng 3 TĐ-AC3</t>
  </si>
  <si>
    <t>5.51.1</t>
  </si>
  <si>
    <t>5.51.2</t>
  </si>
  <si>
    <t>5.51.3</t>
  </si>
  <si>
    <t>5.51.4</t>
  </si>
  <si>
    <t>5.51.5</t>
  </si>
  <si>
    <t>5.51.6</t>
  </si>
  <si>
    <t>5.51.7</t>
  </si>
  <si>
    <t>5.52</t>
  </si>
  <si>
    <t>Tủ điện Điều hòa tầng 4 TĐ-AC4 (tương tự TĐ-AC5)</t>
  </si>
  <si>
    <t>5.52.1</t>
  </si>
  <si>
    <t>5.52.2</t>
  </si>
  <si>
    <t>5.52.3</t>
  </si>
  <si>
    <t>5.52.4</t>
  </si>
  <si>
    <t>5.53</t>
  </si>
  <si>
    <t>Tủ điện Điều hòa tầng 5 TĐ-AC5</t>
  </si>
  <si>
    <t>5.53.1</t>
  </si>
  <si>
    <t>5.53.2</t>
  </si>
  <si>
    <t>5.53.3</t>
  </si>
  <si>
    <t>5.53.4</t>
  </si>
  <si>
    <t>5.54</t>
  </si>
  <si>
    <t>Tủ điện hội trường TĐ-HT</t>
  </si>
  <si>
    <t>5.54.1</t>
  </si>
  <si>
    <t>5.54.2</t>
  </si>
  <si>
    <t>5.54.3</t>
  </si>
  <si>
    <t>5.54.4</t>
  </si>
  <si>
    <t>5.54.5</t>
  </si>
  <si>
    <t>5.54.6</t>
  </si>
  <si>
    <t>5.54.7</t>
  </si>
  <si>
    <t>5.54.8</t>
  </si>
  <si>
    <t>5.54.9</t>
  </si>
  <si>
    <t>5.55</t>
  </si>
  <si>
    <t>Tủ điện TĐ-CL</t>
  </si>
  <si>
    <t>5.55.1</t>
  </si>
  <si>
    <t>ACB 3P 1250A 36kA</t>
  </si>
  <si>
    <t>5.55.2</t>
  </si>
  <si>
    <t>5.55.3</t>
  </si>
  <si>
    <t>5.55.4</t>
  </si>
  <si>
    <t>MCCB 3P 500A 25kA</t>
  </si>
  <si>
    <t>5.55.5</t>
  </si>
  <si>
    <t>5.55.6</t>
  </si>
  <si>
    <t>5.55.7</t>
  </si>
  <si>
    <t>Biến tần 200 kW</t>
  </si>
  <si>
    <t>5.55.8</t>
  </si>
  <si>
    <t>5.55.9</t>
  </si>
  <si>
    <t>5.56</t>
  </si>
  <si>
    <t>Tủ điện bơm chiller - TĐ-BCL</t>
  </si>
  <si>
    <t>5.56.1</t>
  </si>
  <si>
    <t>5.56.2</t>
  </si>
  <si>
    <t>5.56.3</t>
  </si>
  <si>
    <t>5.56.4</t>
  </si>
  <si>
    <t>MCCB 3P 80A 15kA</t>
  </si>
  <si>
    <t>5.56.5</t>
  </si>
  <si>
    <t>5.56.6</t>
  </si>
  <si>
    <t>Biến tần 25 kW</t>
  </si>
  <si>
    <t>5.56.7</t>
  </si>
  <si>
    <t>5.56.8</t>
  </si>
  <si>
    <t>Vỏ tủ trong nhà, 2 lớp cánh, tôn dày 1.5mm, kt C1200xR1000xS300mm</t>
  </si>
  <si>
    <t>5.57</t>
  </si>
  <si>
    <t>Tủ điện phòng nghỉ vip - TĐ**</t>
  </si>
  <si>
    <t>5.57.1</t>
  </si>
  <si>
    <t>MCB 2P 40A 10kA</t>
  </si>
  <si>
    <t>5.57.2</t>
  </si>
  <si>
    <t>MCB 1P 32A 6kA</t>
  </si>
  <si>
    <t>5.57.3</t>
  </si>
  <si>
    <t>Contactor 1P 40A</t>
  </si>
  <si>
    <t>5.57.4</t>
  </si>
  <si>
    <t>5.57.5</t>
  </si>
  <si>
    <t>5.57.6</t>
  </si>
  <si>
    <t>5.57.7</t>
  </si>
  <si>
    <t>5.57.8</t>
  </si>
  <si>
    <t>Tủ 14 module</t>
  </si>
  <si>
    <t>5.58</t>
  </si>
  <si>
    <t>Tủ điện phòng nghỉ  - TĐ**</t>
  </si>
  <si>
    <t>5.58.1</t>
  </si>
  <si>
    <t>5.58.2</t>
  </si>
  <si>
    <t>5.58.3</t>
  </si>
  <si>
    <t>5.58.4</t>
  </si>
  <si>
    <t>5.58.5</t>
  </si>
  <si>
    <t>5.58.6</t>
  </si>
  <si>
    <t>5.58.7</t>
  </si>
  <si>
    <t>5.58.8</t>
  </si>
  <si>
    <t>Tủ 12 module</t>
  </si>
  <si>
    <t>5.59</t>
  </si>
  <si>
    <t>Vật tư đèn</t>
  </si>
  <si>
    <t>5.59.1</t>
  </si>
  <si>
    <t>Đèn huỳnh quang đơn bóng led - Loại 1,2m 220V-20W</t>
  </si>
  <si>
    <t>5.59.2</t>
  </si>
  <si>
    <t>Đèn huỳnh quang đơn bóng led - Loại 1,2m 220V-2x20W</t>
  </si>
  <si>
    <t>5.59.3</t>
  </si>
  <si>
    <t>Đèn huỳnh quang đơn bóng led - Loại 0,6m 220V-10W</t>
  </si>
  <si>
    <t>5.59.4</t>
  </si>
  <si>
    <t>Đèn ram dốc bóng 20W</t>
  </si>
  <si>
    <t>5.59.5</t>
  </si>
  <si>
    <t>Đèn ốp trần bóng led -220V-12W</t>
  </si>
  <si>
    <t>5.59.6</t>
  </si>
  <si>
    <t>Đèn ốp trần tròn D300 kèm cảm biến di chuyển 220V/24W</t>
  </si>
  <si>
    <t>5.59.7</t>
  </si>
  <si>
    <t>Bệ đèn led tuýp, có chao phản quang, lắp âm trần, (600x600)mm, 220V/36W</t>
  </si>
  <si>
    <t>5.59.8</t>
  </si>
  <si>
    <t>Đèn ốp trần 300x300 - Bóng led 24W/220V</t>
  </si>
  <si>
    <t>5.59.9</t>
  </si>
  <si>
    <t>Đèn led thanh 12w/m</t>
  </si>
  <si>
    <t>5.59.10</t>
  </si>
  <si>
    <t>Đèn led dây 5w/m</t>
  </si>
  <si>
    <t>5.59.11</t>
  </si>
  <si>
    <t>Đèn gương bóng led -220V-7W</t>
  </si>
  <si>
    <t>5.59.12</t>
  </si>
  <si>
    <t>Đèn chùm</t>
  </si>
  <si>
    <t>5.59.13</t>
  </si>
  <si>
    <t>Đèn chùm phòng nghỉ</t>
  </si>
  <si>
    <t>5.59.14</t>
  </si>
  <si>
    <t>Đèn downlight bóng led D90 -220V-7W</t>
  </si>
  <si>
    <t>5.59.15</t>
  </si>
  <si>
    <t>Đèn downlight bóng led D90 -220V-7W chống ẩm</t>
  </si>
  <si>
    <t>5.59.16</t>
  </si>
  <si>
    <t>Đèn downlight bóng led D110 -220V-9W</t>
  </si>
  <si>
    <t>5.59.17</t>
  </si>
  <si>
    <t>Đèn downlight bóng led D110 -220V-9W chống ẩm</t>
  </si>
  <si>
    <t>5.59.18</t>
  </si>
  <si>
    <t>Đèn downlight  bóng led D110 -220V-12W</t>
  </si>
  <si>
    <t>5.59.19</t>
  </si>
  <si>
    <t>Đèn downlight  bóng led D110 -220V-25W</t>
  </si>
  <si>
    <t>5.59.20</t>
  </si>
  <si>
    <t>Đèn downlight  bóng led kích thước 145x395 -220V-3x12W</t>
  </si>
  <si>
    <t>5.59.21</t>
  </si>
  <si>
    <t>Đèn downlight  bóng led mjwt vuông -220V-25W</t>
  </si>
  <si>
    <t>5.59.22</t>
  </si>
  <si>
    <t>Công tắc đơn lắp chìm 10A</t>
  </si>
  <si>
    <t>5.59.23</t>
  </si>
  <si>
    <t>Công tắc đôi lắp chìm 10A</t>
  </si>
  <si>
    <t>5.59.24</t>
  </si>
  <si>
    <t>Công tắc ba lắp chìm 10A</t>
  </si>
  <si>
    <t>5.59.25</t>
  </si>
  <si>
    <t>Công tắc đảo chiều đơn lắp chìm 10A</t>
  </si>
  <si>
    <t>5.59.26</t>
  </si>
  <si>
    <t>Công tắc đảo chiều đôi lắp chìm 10A</t>
  </si>
  <si>
    <t>5.59.27</t>
  </si>
  <si>
    <t>Công tắc đảo chiều ba lắp chìm 10A</t>
  </si>
  <si>
    <t>5.59.28</t>
  </si>
  <si>
    <t>Công tắc cho bình nước nóng 16a</t>
  </si>
  <si>
    <t>5.59.29</t>
  </si>
  <si>
    <t>Ổ cắm đôi 3 cực 16A lắp âm tường</t>
  </si>
  <si>
    <t>5.59.30</t>
  </si>
  <si>
    <t>Ổ cắm đơn 3 cực 16A chống nước</t>
  </si>
  <si>
    <t>5.59.31</t>
  </si>
  <si>
    <t>Ổ cắm đơn 3 cực 16A lắp âm sàn</t>
  </si>
  <si>
    <t>5.59.32</t>
  </si>
  <si>
    <t>Cu/XLPE/PVC (4x50)mm2</t>
  </si>
  <si>
    <t>5.59.33</t>
  </si>
  <si>
    <t>Cu/XLPE/PVC (4x10)mm2</t>
  </si>
  <si>
    <t>5.59.34</t>
  </si>
  <si>
    <t>Cu/XLPE/PVC (4x6)mm2</t>
  </si>
  <si>
    <t>5.59.35</t>
  </si>
  <si>
    <t>Cu/XLPE/PVC (4x2.5)mm2</t>
  </si>
  <si>
    <t>5.59.36</t>
  </si>
  <si>
    <t>Cu/XLPE/PVC (2x10)mm2</t>
  </si>
  <si>
    <t>5.59.37</t>
  </si>
  <si>
    <t>Cu/XLPE/PVC (2x6)mm2</t>
  </si>
  <si>
    <t>5.59.38</t>
  </si>
  <si>
    <t>Cu/XLPE/PVC (2x4)mm2</t>
  </si>
  <si>
    <t>5.59.39</t>
  </si>
  <si>
    <t>Cu/PVC (1x2.5)mm2</t>
  </si>
  <si>
    <t>5.59.40</t>
  </si>
  <si>
    <t>Cu/PVC (1x1.5)mm2</t>
  </si>
  <si>
    <t>5.59.41</t>
  </si>
  <si>
    <t>Dây tiếp địa Cu/PVC (1x25)mm2</t>
  </si>
  <si>
    <t>5.59.42</t>
  </si>
  <si>
    <t>Dây tiếp địa Cu/PVC (1x10)mm2</t>
  </si>
  <si>
    <t>5.59.43</t>
  </si>
  <si>
    <t>Dây tiếp địa Cu/PVC (1x6)mm2</t>
  </si>
  <si>
    <t>5.59.44</t>
  </si>
  <si>
    <t>Dây tiếp địa Cu/PVC (1x4)mm2</t>
  </si>
  <si>
    <t>5.59.45</t>
  </si>
  <si>
    <t>Dây tiếp địa Cu/PVC (1x2.5)mm2</t>
  </si>
  <si>
    <t>5.59.46</t>
  </si>
  <si>
    <t>Ông nhựa PVC D20 (lắp chìm)</t>
  </si>
  <si>
    <t>5.59.47</t>
  </si>
  <si>
    <t>Ông nhựa PVC D20 (lắp nổi)</t>
  </si>
  <si>
    <t>5.59.48</t>
  </si>
  <si>
    <t>Ông nhựa PVC D32</t>
  </si>
  <si>
    <t>5.59.49</t>
  </si>
  <si>
    <t>Máng cáp 300x100mm</t>
  </si>
  <si>
    <t>5.59.50</t>
  </si>
  <si>
    <t>Thang cáp 300x100mm</t>
  </si>
  <si>
    <t>5.59.51</t>
  </si>
  <si>
    <t>Thang cáp 600x100mm</t>
  </si>
  <si>
    <t>5.59.52</t>
  </si>
  <si>
    <t>Thang cáp 1000x100mm</t>
  </si>
  <si>
    <t>5.60</t>
  </si>
  <si>
    <t>Dây cáp điện Từ tủ LV1.2 đến tủ TĐ-CL</t>
  </si>
  <si>
    <t>5.60.1</t>
  </si>
  <si>
    <t>Cu/XLPE/PVC (1x240)mm2</t>
  </si>
  <si>
    <t>5.60.2</t>
  </si>
  <si>
    <t>Cu/PVC (1x240)mm2</t>
  </si>
  <si>
    <t>5.61</t>
  </si>
  <si>
    <t>Dây cáp điện Từ tủ LV1.2 đến tủ TĐ.AHU</t>
  </si>
  <si>
    <t>5.61.1</t>
  </si>
  <si>
    <t>5.61.2</t>
  </si>
  <si>
    <t>Cu/PVC (1x10)mm2</t>
  </si>
  <si>
    <t>5.62</t>
  </si>
  <si>
    <t>Dây cáp điện Từ tủ LV1.2 đến tủ TĐ.B</t>
  </si>
  <si>
    <t>5.62.1</t>
  </si>
  <si>
    <t>Cu/XLPE/PVC (1x185)mm2</t>
  </si>
  <si>
    <t>5.62.2</t>
  </si>
  <si>
    <t>Cu/PVC (1x185)mm2</t>
  </si>
  <si>
    <t>5.63</t>
  </si>
  <si>
    <t>Dây cáp điện Từ tủ LV1.2 đến tủ TĐ-AC1</t>
  </si>
  <si>
    <t>5.63.1</t>
  </si>
  <si>
    <t>Cu/XLPE/PVC (4x4)mm2</t>
  </si>
  <si>
    <t>5.63.2</t>
  </si>
  <si>
    <t>Cu/PVC (1x4)mm2</t>
  </si>
  <si>
    <t>5.64</t>
  </si>
  <si>
    <t>Dây cáp điện Từ tủ LV1.2 đến tủ TĐ-AC2</t>
  </si>
  <si>
    <t>5.64.1</t>
  </si>
  <si>
    <t>5.64.2</t>
  </si>
  <si>
    <t>Cu/PVC (1x25)mm2</t>
  </si>
  <si>
    <t>5.65</t>
  </si>
  <si>
    <t>Dây cáp điện Từ tủ LV1.2 đến tủ TĐ-AC3</t>
  </si>
  <si>
    <t>5.65.1</t>
  </si>
  <si>
    <t>5.65.2</t>
  </si>
  <si>
    <t>5.66</t>
  </si>
  <si>
    <t>Dây cáp điện Từ tủ LV1.2 đến tủ TĐ-AC4</t>
  </si>
  <si>
    <t>5.66.1</t>
  </si>
  <si>
    <t>5.66.2</t>
  </si>
  <si>
    <t>Cu/PVC (1x6)mm2</t>
  </si>
  <si>
    <t>5.67</t>
  </si>
  <si>
    <t>Dây cáp điện Từ tủ LV1.2 đến tủ TĐ-AC5</t>
  </si>
  <si>
    <t>5.67.1</t>
  </si>
  <si>
    <t>5.67.2</t>
  </si>
  <si>
    <t>5.68</t>
  </si>
  <si>
    <t>Dây cáp điện Từ tủ LV1.3 đến tủ TĐ-QSC-TM</t>
  </si>
  <si>
    <t>5.68.1</t>
  </si>
  <si>
    <t>Cu/XLPE/PVC-Fr (1x185)mm2</t>
  </si>
  <si>
    <t>5.68.2</t>
  </si>
  <si>
    <t>Cu/PVC (1x120)mm2</t>
  </si>
  <si>
    <t>5.69</t>
  </si>
  <si>
    <t>Dây cáp điện Từ tủ LV1.3 đến tủ TĐ-QSC-T4</t>
  </si>
  <si>
    <t>5.69.1</t>
  </si>
  <si>
    <t>5.69.2</t>
  </si>
  <si>
    <t>5.70</t>
  </si>
  <si>
    <t>Dây cáp điện Từ tủ LV1.3 đến tủ TĐ-QSC-H</t>
  </si>
  <si>
    <t>5.70.1</t>
  </si>
  <si>
    <t>Cu/XLPE/PVC-Fr (4x70)mm2</t>
  </si>
  <si>
    <t>5.70.2</t>
  </si>
  <si>
    <t>Cu/PVC (1x35)mm2</t>
  </si>
  <si>
    <t>5.71</t>
  </si>
  <si>
    <t>Từ tủ LV1.3 đến tủ TĐ-TPC</t>
  </si>
  <si>
    <t>5.71.1</t>
  </si>
  <si>
    <t>Cu/XLPE/PVC-Fr(4x25)mm2</t>
  </si>
  <si>
    <t>5.71.2</t>
  </si>
  <si>
    <t>Cu/PVC (1x16)mm2</t>
  </si>
  <si>
    <t>5.72</t>
  </si>
  <si>
    <t>Dây cáp điện Từ tủ LV1.3 đến tủ TĐ-BC</t>
  </si>
  <si>
    <t>5.72.1</t>
  </si>
  <si>
    <t>Cu/XLPE/PVC-Fr(4x6)mm2</t>
  </si>
  <si>
    <t>5.72.2</t>
  </si>
  <si>
    <t>5.73</t>
  </si>
  <si>
    <t>Dây cáp điện Từ tủ LV1.3 đến tủ TĐ-BCC1</t>
  </si>
  <si>
    <t>5.73.1</t>
  </si>
  <si>
    <t>Cu/XLPE/PVC-Fr(1x95)mm2</t>
  </si>
  <si>
    <t>5.73.2</t>
  </si>
  <si>
    <t>Cu/PVC (1x50)mm2</t>
  </si>
  <si>
    <t>5.74</t>
  </si>
  <si>
    <t>Dây cáp điện Từ tủ LV1.4 đến tủ TĐ-TH</t>
  </si>
  <si>
    <t>5.74.1</t>
  </si>
  <si>
    <t>5.74.2</t>
  </si>
  <si>
    <t>5.74.3</t>
  </si>
  <si>
    <t>Cu/XLPE/PVC (4x25)mm2</t>
  </si>
  <si>
    <t>5.74.4</t>
  </si>
  <si>
    <t>5.75</t>
  </si>
  <si>
    <t>Dây cáp điện Từ tủ LV1.4 đến tủ TĐ-T2</t>
  </si>
  <si>
    <t>5.75.1</t>
  </si>
  <si>
    <t>Cu/XLPE/PVC (4x70)mm2</t>
  </si>
  <si>
    <t>5.75.2</t>
  </si>
  <si>
    <t>5.76</t>
  </si>
  <si>
    <t>Dây cáp điện Từ tủ LV1.4 đến tủ TĐ-T3</t>
  </si>
  <si>
    <t>5.76.1</t>
  </si>
  <si>
    <t>Cu/XLPE/PVC (4x95)mm2</t>
  </si>
  <si>
    <t>5.76.2</t>
  </si>
  <si>
    <t>5.77</t>
  </si>
  <si>
    <t>Dây cáp điện Từ tủ LV1.4 đến tủ TĐ-T4</t>
  </si>
  <si>
    <t>5.77.1</t>
  </si>
  <si>
    <t>5.77.2</t>
  </si>
  <si>
    <t>5.78</t>
  </si>
  <si>
    <t>Dây cáp điện Từ tủ LV1.4 đến tủ TĐ-T5</t>
  </si>
  <si>
    <t>5.78.1</t>
  </si>
  <si>
    <t>5.78.2</t>
  </si>
  <si>
    <t>5.79</t>
  </si>
  <si>
    <t>Dây cáp điện Từ tủ LV1.4 đến tủ TĐ-TUM</t>
  </si>
  <si>
    <t>5.79.1</t>
  </si>
  <si>
    <t>5.79.2</t>
  </si>
  <si>
    <t>5.80</t>
  </si>
  <si>
    <t>Dây cáp điện Từ tủ LV1.4 đến tủ TĐ-BTA</t>
  </si>
  <si>
    <t>5.80.1</t>
  </si>
  <si>
    <t>5.80.2</t>
  </si>
  <si>
    <t>5.81</t>
  </si>
  <si>
    <t>Dây cáp điện Từ tủ LV1.5 đến tủ TĐ-BSH</t>
  </si>
  <si>
    <t>5.81.1</t>
  </si>
  <si>
    <t>5.81.2</t>
  </si>
  <si>
    <t>5.82</t>
  </si>
  <si>
    <t>Dây cáp điện Từ tủ LV1.5 đến tủ TĐ-BL</t>
  </si>
  <si>
    <t>5.82.1</t>
  </si>
  <si>
    <t>5.82.2</t>
  </si>
  <si>
    <t>5.83</t>
  </si>
  <si>
    <t>Dây cáp điện Từ tủ LV1.5 đến tủ TĐ-ĐN</t>
  </si>
  <si>
    <t>5.83.1</t>
  </si>
  <si>
    <t>5.83.2</t>
  </si>
  <si>
    <t>5.84</t>
  </si>
  <si>
    <t>Dây cáp điện Từ tủ LV1.5 đến tủ TĐ-BTS</t>
  </si>
  <si>
    <t>5.84.1</t>
  </si>
  <si>
    <t>5.84.2</t>
  </si>
  <si>
    <t>5.85</t>
  </si>
  <si>
    <t>Dây cáp điện Từ tủ LV1.5 đến tủ TĐ-BNT</t>
  </si>
  <si>
    <t>5.85.1</t>
  </si>
  <si>
    <t>5.85.2</t>
  </si>
  <si>
    <t>5.86</t>
  </si>
  <si>
    <t>Dây cáp điện Từ tủ LV1.5 đến tủ TS..</t>
  </si>
  <si>
    <t>5.86.1</t>
  </si>
  <si>
    <t>Cu/XLPE/PVC (4x16)mm2</t>
  </si>
  <si>
    <t>5.86.2</t>
  </si>
  <si>
    <t>5.87</t>
  </si>
  <si>
    <t>Dây cáp điện Từ tủ LV1.5 đến tủ TĐ-CSNN</t>
  </si>
  <si>
    <t>5.87.1</t>
  </si>
  <si>
    <t>5.87.2</t>
  </si>
  <si>
    <t>5.88</t>
  </si>
  <si>
    <t>Dây cáp điện Từ tủ LV1.5 đến tủ TĐ-T6</t>
  </si>
  <si>
    <t>5.88.1</t>
  </si>
  <si>
    <t>5.88.2</t>
  </si>
  <si>
    <t>5.89</t>
  </si>
  <si>
    <t>Dây cáp điện Từ tủ LV1.5 đến tủ TĐ-T7</t>
  </si>
  <si>
    <t>5.89.1</t>
  </si>
  <si>
    <t>5.89.2</t>
  </si>
  <si>
    <t>5.90</t>
  </si>
  <si>
    <t>Dây cáp điện Từ tủ LV1.5 đến tủ TĐ-T8</t>
  </si>
  <si>
    <t>5.90.1</t>
  </si>
  <si>
    <t>5.90.2</t>
  </si>
  <si>
    <t>5.91</t>
  </si>
  <si>
    <t>Dây cáp điện Từ tủ LV1.5 đến tủ TĐ-T9</t>
  </si>
  <si>
    <t>5.91.1</t>
  </si>
  <si>
    <t>5.91.2</t>
  </si>
  <si>
    <t>5.92</t>
  </si>
  <si>
    <t>Dây cáp điện Từ tủ LV1.5 đến tủ TĐ-T10</t>
  </si>
  <si>
    <t>5.92.1</t>
  </si>
  <si>
    <t>5.92.2</t>
  </si>
  <si>
    <t>5.93</t>
  </si>
  <si>
    <t>Dây cáp điện Từ tủ LV1.5 đến tủ TĐ-T11</t>
  </si>
  <si>
    <t>5.93.1</t>
  </si>
  <si>
    <t>5.93.2</t>
  </si>
  <si>
    <t>5.94</t>
  </si>
  <si>
    <t>Dây cáp điện Từ tủ LV1.6 đến tủ TĐ-T12</t>
  </si>
  <si>
    <t>5.94.1</t>
  </si>
  <si>
    <t>5.94.2</t>
  </si>
  <si>
    <t>5.95</t>
  </si>
  <si>
    <t>Dây cáp điện Từ tủ LV1.6 đến tủ TĐ-T13</t>
  </si>
  <si>
    <t>5.95.1</t>
  </si>
  <si>
    <t>5.95.2</t>
  </si>
  <si>
    <t>5.96</t>
  </si>
  <si>
    <t>Dây cáp điện Từ tủ LV1.6 đến tủ TĐ-T14</t>
  </si>
  <si>
    <t>5.96.1</t>
  </si>
  <si>
    <t>5.96.2</t>
  </si>
  <si>
    <t>5.97</t>
  </si>
  <si>
    <t>Dây cáp điện Từ tủ LV1.6 đến tủ TĐ-T15</t>
  </si>
  <si>
    <t>5.97.1</t>
  </si>
  <si>
    <t>5.97.2</t>
  </si>
  <si>
    <t>5.98</t>
  </si>
  <si>
    <t>Dây cáp điện Từ tủ LV1.6 đến tủ TĐ-T16</t>
  </si>
  <si>
    <t>5.98.1</t>
  </si>
  <si>
    <t>Cu/XLPE/PVC (4x35)mm2</t>
  </si>
  <si>
    <t>5.98.2</t>
  </si>
  <si>
    <t>5.99</t>
  </si>
  <si>
    <t>Dây cáp điện Từ tủ LV1.6 đến tủ TĐ-T17</t>
  </si>
  <si>
    <t>5.99.1</t>
  </si>
  <si>
    <t>5.99.2</t>
  </si>
  <si>
    <t>5.100</t>
  </si>
  <si>
    <t>Dây cáp điện Từ tủ LV1.6 đến tủ TĐ-T18</t>
  </si>
  <si>
    <t>5.100.1</t>
  </si>
  <si>
    <t>5.100.2</t>
  </si>
  <si>
    <t>5.101</t>
  </si>
  <si>
    <t>Dây cáp điện Từ tủ LV1.6 đến tủ TĐ-TM1</t>
  </si>
  <si>
    <t>5.101.1</t>
  </si>
  <si>
    <t>5.101.2</t>
  </si>
  <si>
    <t>5.102</t>
  </si>
  <si>
    <t>Dây cáp điện Từ tủ LV1.6 đến tủ TĐ-TM2</t>
  </si>
  <si>
    <t>5.102.1</t>
  </si>
  <si>
    <t>5.102.2</t>
  </si>
  <si>
    <t>5.103</t>
  </si>
  <si>
    <t>Dây cáp điện Từ tủ LV1.6 đến tủ TĐ-TM3</t>
  </si>
  <si>
    <t>5.103.1</t>
  </si>
  <si>
    <t>5.103.2</t>
  </si>
  <si>
    <t>5.104</t>
  </si>
  <si>
    <t>Dây cáp điện Từ tủ LV1.6 đến tủ TĐ-TM4</t>
  </si>
  <si>
    <t>5.104.1</t>
  </si>
  <si>
    <t>5.104.2</t>
  </si>
  <si>
    <t>5.105</t>
  </si>
  <si>
    <t>Dây cáp điện Từ tủ LV1.6 đến tủ TĐ-TM5</t>
  </si>
  <si>
    <t>5.105.1</t>
  </si>
  <si>
    <t>5.105.2</t>
  </si>
  <si>
    <t>5.105.3</t>
  </si>
  <si>
    <t>Thang cáp trục đứng 600x100mm</t>
  </si>
  <si>
    <t>5.105.4</t>
  </si>
  <si>
    <t>Dây tiếp địa dọc trục Cu/PVC (1x240)mm2</t>
  </si>
  <si>
    <t>5.105.5</t>
  </si>
  <si>
    <t>Bản đồng tiếp địa 300x100x10</t>
  </si>
  <si>
    <t>5.106</t>
  </si>
  <si>
    <t>Nối đất an toàn</t>
  </si>
  <si>
    <t>5.106.1</t>
  </si>
  <si>
    <t>Bản đồng tiếp địa</t>
  </si>
  <si>
    <t>5.106.2</t>
  </si>
  <si>
    <t>Băng đồng 25x5mm</t>
  </si>
  <si>
    <t>5.106.3</t>
  </si>
  <si>
    <t>Cọc thép mạ đồng D16, L=2400m</t>
  </si>
  <si>
    <t>cọc</t>
  </si>
  <si>
    <t>5.106.4</t>
  </si>
  <si>
    <t>Cáp đồng trần M120</t>
  </si>
  <si>
    <t>5.107</t>
  </si>
  <si>
    <t>Nối đất chống sét</t>
  </si>
  <si>
    <t>5.107.1</t>
  </si>
  <si>
    <t>Đèn báo không</t>
  </si>
  <si>
    <t>5.107.2</t>
  </si>
  <si>
    <t>Thiết bị thu sét tia tiên đạo bk bảo vệ 45m</t>
  </si>
  <si>
    <t>5.107.3</t>
  </si>
  <si>
    <t>Bulong, ecu, inox M12</t>
  </si>
  <si>
    <t>5.107.4</t>
  </si>
  <si>
    <t>Cáp đồng bện 70mm2 dẫn thoát sét</t>
  </si>
  <si>
    <t>5.107.5</t>
  </si>
  <si>
    <t>Ống uPVC D32</t>
  </si>
  <si>
    <t>5.107.6</t>
  </si>
  <si>
    <t>5.107.7</t>
  </si>
  <si>
    <t>Bộ ghép nối Inox 3.0mxD42x3mm</t>
  </si>
  <si>
    <t>5.107.8</t>
  </si>
  <si>
    <t>Chân trụ đỡ cho thiết bị kim thu sét</t>
  </si>
  <si>
    <t>5.107.9</t>
  </si>
  <si>
    <t>Nở nhựa D8</t>
  </si>
  <si>
    <t>5.107.10</t>
  </si>
  <si>
    <t>Phụ kiện kẹp định vị thoát sét</t>
  </si>
  <si>
    <t>5.107.11</t>
  </si>
  <si>
    <t>Đai cố định vào cột thu sét</t>
  </si>
  <si>
    <t>5.107.12</t>
  </si>
  <si>
    <t>Dây giằng néo, tăng đơ, ốc siết cáp</t>
  </si>
  <si>
    <t>5.107.13</t>
  </si>
  <si>
    <t>Hộp đo điện trở tiếp địa</t>
  </si>
  <si>
    <t>hộp</t>
  </si>
  <si>
    <t>5.107.14</t>
  </si>
  <si>
    <t>5.107.15</t>
  </si>
  <si>
    <t>Bộ kẹp tiếp địa bằng đồng đặc chủng</t>
  </si>
  <si>
    <t>5.107.16</t>
  </si>
  <si>
    <t>Bộ đếm sét CDR-2000</t>
  </si>
  <si>
    <t>6</t>
  </si>
  <si>
    <t>HỆ THỐNG CẤP THOÁT NƯỚC</t>
  </si>
  <si>
    <t>6.1</t>
  </si>
  <si>
    <t>Xí bệt kèm dây cáp</t>
  </si>
  <si>
    <t>6.2</t>
  </si>
  <si>
    <t>Vòi xịt + Hộp giấy</t>
  </si>
  <si>
    <t>6.3</t>
  </si>
  <si>
    <t>Lavabo kèm xi phông</t>
  </si>
  <si>
    <t>6.4</t>
  </si>
  <si>
    <t>Vòi lavab kèm dây cấp</t>
  </si>
  <si>
    <t>6.5</t>
  </si>
  <si>
    <t>Gương gắn tường cho Lavabo</t>
  </si>
  <si>
    <t>6.6</t>
  </si>
  <si>
    <t>Tiểu nam + van xả tự động điện</t>
  </si>
  <si>
    <t>6.7</t>
  </si>
  <si>
    <t>Sen tắm thường</t>
  </si>
  <si>
    <t>6.8</t>
  </si>
  <si>
    <t>Vòi rửa</t>
  </si>
  <si>
    <t>6.9</t>
  </si>
  <si>
    <t>Lắp đặt bồn tắm nằm</t>
  </si>
  <si>
    <t>6.10</t>
  </si>
  <si>
    <t>Ống nước lạnh PP-R D32 PN10</t>
  </si>
  <si>
    <t>6.11</t>
  </si>
  <si>
    <t>Ống nước lạnh PP-R D25 PN10</t>
  </si>
  <si>
    <t>6.12</t>
  </si>
  <si>
    <t>Ống nước lạnh PP-R D20 PN10</t>
  </si>
  <si>
    <t>6.13</t>
  </si>
  <si>
    <t>Ống nước nóng PP-R D20 PN10</t>
  </si>
  <si>
    <t>6.14</t>
  </si>
  <si>
    <t>Măng sông PP-R D32</t>
  </si>
  <si>
    <t>6.15</t>
  </si>
  <si>
    <t>Măng sông PP-R D25</t>
  </si>
  <si>
    <t>6.16</t>
  </si>
  <si>
    <t>Măng sông PP-R D20</t>
  </si>
  <si>
    <t>6.17</t>
  </si>
  <si>
    <t>Kép PP-R D20</t>
  </si>
  <si>
    <t>6.18</t>
  </si>
  <si>
    <t>Cút 90 ren trong PP-R D20</t>
  </si>
  <si>
    <t>6.19</t>
  </si>
  <si>
    <t>Nút bịt ren ngoài PP-R D20</t>
  </si>
  <si>
    <t>6.20</t>
  </si>
  <si>
    <t>Cút PP-R D32</t>
  </si>
  <si>
    <t>6.21</t>
  </si>
  <si>
    <t>Cút PP-R D25</t>
  </si>
  <si>
    <t>6.22</t>
  </si>
  <si>
    <t>Cút PP-R D20</t>
  </si>
  <si>
    <t>6.23</t>
  </si>
  <si>
    <t>Tê PP-R D32x32</t>
  </si>
  <si>
    <t>6.24</t>
  </si>
  <si>
    <t>Tê PP-R D32x25</t>
  </si>
  <si>
    <t>6.25</t>
  </si>
  <si>
    <t>Tê PP-R D25x25</t>
  </si>
  <si>
    <t>6.26</t>
  </si>
  <si>
    <t>Tê PP-R D25x20</t>
  </si>
  <si>
    <t>6.27</t>
  </si>
  <si>
    <t>Tê PP-R D20x20</t>
  </si>
  <si>
    <t>6.28</t>
  </si>
  <si>
    <t>Côn thu PP-R D32x25</t>
  </si>
  <si>
    <t>6.29</t>
  </si>
  <si>
    <t>Côn thu PP-R D25x20</t>
  </si>
  <si>
    <t>6.30</t>
  </si>
  <si>
    <t>Van hai chiều D32</t>
  </si>
  <si>
    <t>6.31</t>
  </si>
  <si>
    <t>Van hai chiều D25</t>
  </si>
  <si>
    <t>6.32</t>
  </si>
  <si>
    <t>Van hai chiều D20</t>
  </si>
  <si>
    <t>6.33</t>
  </si>
  <si>
    <t>Ống nhựa uPVC (PN8) D110</t>
  </si>
  <si>
    <t>6.34</t>
  </si>
  <si>
    <t>Ống nhựa uPVC (PN8) D90</t>
  </si>
  <si>
    <t>6.35</t>
  </si>
  <si>
    <t>Ống nhựa uPVC (PN8) D60</t>
  </si>
  <si>
    <t>6.36</t>
  </si>
  <si>
    <t>Ống nhựa uPVC (PN8) D42</t>
  </si>
  <si>
    <t>6.37</t>
  </si>
  <si>
    <t>Măng sông uPVC (PN8) D110</t>
  </si>
  <si>
    <t>6.38</t>
  </si>
  <si>
    <t>Măng sông uPVC (PN8) D90</t>
  </si>
  <si>
    <t>6.39</t>
  </si>
  <si>
    <t>Măng sông uPVC (PN8) D60</t>
  </si>
  <si>
    <t>6.40</t>
  </si>
  <si>
    <t>Măng sông uPVC (PN8) D42</t>
  </si>
  <si>
    <t>6.41</t>
  </si>
  <si>
    <t>Chếch 135 uPVC D110</t>
  </si>
  <si>
    <t>6.42</t>
  </si>
  <si>
    <t>Chếch 135 uPVC D90</t>
  </si>
  <si>
    <t>6.43</t>
  </si>
  <si>
    <t>Chếch 135 uPVC D60</t>
  </si>
  <si>
    <t>6.44</t>
  </si>
  <si>
    <t>Chếch 135 uPVC D42</t>
  </si>
  <si>
    <t>6.45</t>
  </si>
  <si>
    <t>Cút uPVC D42</t>
  </si>
  <si>
    <t>6.46</t>
  </si>
  <si>
    <t>Y 135 uPVC D110x90</t>
  </si>
  <si>
    <t>6.47</t>
  </si>
  <si>
    <t>Y 135 uPVC D110x110</t>
  </si>
  <si>
    <t>6.48</t>
  </si>
  <si>
    <t>Y 135 uPVC D110x60</t>
  </si>
  <si>
    <t>6.49</t>
  </si>
  <si>
    <t>Y 135 uPVC D90x90</t>
  </si>
  <si>
    <t>6.50</t>
  </si>
  <si>
    <t>Y 135 uPVC D90x60</t>
  </si>
  <si>
    <t>6.51</t>
  </si>
  <si>
    <t>Y 135 uPVC D60x60</t>
  </si>
  <si>
    <t>6.52</t>
  </si>
  <si>
    <t>Côn thu uPVC D110x90</t>
  </si>
  <si>
    <t>6.53</t>
  </si>
  <si>
    <t>Côn thu uPVC D90x60</t>
  </si>
  <si>
    <t>6.54</t>
  </si>
  <si>
    <t>Côn thu uPVC D60x42</t>
  </si>
  <si>
    <t>6.55</t>
  </si>
  <si>
    <t>Phễu thu sàn D60 + xi phong</t>
  </si>
  <si>
    <t>6.56</t>
  </si>
  <si>
    <t>Ống uPVC (PN6) D48</t>
  </si>
  <si>
    <t>6.57</t>
  </si>
  <si>
    <t>Măng sông uPVC D48</t>
  </si>
  <si>
    <t>6.58</t>
  </si>
  <si>
    <t>Tê uPVC D110x48</t>
  </si>
  <si>
    <t>6.59</t>
  </si>
  <si>
    <t>Tê uPVC D90x48</t>
  </si>
  <si>
    <t>6.60</t>
  </si>
  <si>
    <t>Tê uPVC D48x48</t>
  </si>
  <si>
    <t>6.61</t>
  </si>
  <si>
    <t>Cút uPVC D48</t>
  </si>
  <si>
    <t>6.62</t>
  </si>
  <si>
    <t>Két nước mái 25m3</t>
  </si>
  <si>
    <t>bể</t>
  </si>
  <si>
    <t>6.63</t>
  </si>
  <si>
    <t>Cụm van giảm áp DN100 - 1.5bar</t>
  </si>
  <si>
    <t>6.64</t>
  </si>
  <si>
    <t>Cụm van giảm áp DN80 - 1.5bar</t>
  </si>
  <si>
    <t>6.65</t>
  </si>
  <si>
    <t>Cụm van giảm áp DN65 - 1.5bar</t>
  </si>
  <si>
    <t>6.66</t>
  </si>
  <si>
    <t>Van phao cơ D90</t>
  </si>
  <si>
    <t>6.67</t>
  </si>
  <si>
    <t>Van phao cơ D63</t>
  </si>
  <si>
    <t>6.68</t>
  </si>
  <si>
    <t>Van phao điện</t>
  </si>
  <si>
    <t>6.69</t>
  </si>
  <si>
    <t>6.70</t>
  </si>
  <si>
    <t>Ống Inox DN100 ( SCH10)</t>
  </si>
  <si>
    <t>6.71</t>
  </si>
  <si>
    <t>Ống Inox DN80 ( SCH10)</t>
  </si>
  <si>
    <t>6.72</t>
  </si>
  <si>
    <t>Ống nước lạnh PP-R D90 PN10</t>
  </si>
  <si>
    <t>6.73</t>
  </si>
  <si>
    <t>Ống nước lạnh PP-R D75 PN10</t>
  </si>
  <si>
    <t>6.74</t>
  </si>
  <si>
    <t>Ống nước lạnh PP-R D63 PN10</t>
  </si>
  <si>
    <t>6.75</t>
  </si>
  <si>
    <t>Ống nước lạnh PP-R D50 PN10</t>
  </si>
  <si>
    <t>6.76</t>
  </si>
  <si>
    <t>Ống nước lạnh PP-R D40 PN10</t>
  </si>
  <si>
    <t>6.77</t>
  </si>
  <si>
    <t>6.78</t>
  </si>
  <si>
    <t>6.79</t>
  </si>
  <si>
    <t>6.80</t>
  </si>
  <si>
    <t>Măng sông PPR-D110</t>
  </si>
  <si>
    <t>6.81</t>
  </si>
  <si>
    <t>Măng sông PPR-D90</t>
  </si>
  <si>
    <t>6.82</t>
  </si>
  <si>
    <t>Măng sông PPR-D75</t>
  </si>
  <si>
    <t>6.83</t>
  </si>
  <si>
    <t>Măng sông PPR-D63</t>
  </si>
  <si>
    <t>6.84</t>
  </si>
  <si>
    <t>Măng sông PPR-D50</t>
  </si>
  <si>
    <t>6.85</t>
  </si>
  <si>
    <t>Măng sông PPR-D40</t>
  </si>
  <si>
    <t>6.86</t>
  </si>
  <si>
    <t>Măng sông PPR-D32</t>
  </si>
  <si>
    <t>6.87</t>
  </si>
  <si>
    <t>Măng sông PPR-D25</t>
  </si>
  <si>
    <t>6.88</t>
  </si>
  <si>
    <t>Cút PPR-D90</t>
  </si>
  <si>
    <t>6.89</t>
  </si>
  <si>
    <t>Cút Inox DN100</t>
  </si>
  <si>
    <t>6.90</t>
  </si>
  <si>
    <t>Cút Inox DN80</t>
  </si>
  <si>
    <t>6.91</t>
  </si>
  <si>
    <t>Cút PPR - D75</t>
  </si>
  <si>
    <t>6.92</t>
  </si>
  <si>
    <t>Cút PPR - D63</t>
  </si>
  <si>
    <t>6.93</t>
  </si>
  <si>
    <t>Cút PPR - D50</t>
  </si>
  <si>
    <t>6.94</t>
  </si>
  <si>
    <t>Cút PPR - D40</t>
  </si>
  <si>
    <t>6.95</t>
  </si>
  <si>
    <t>Cút PPR - D32</t>
  </si>
  <si>
    <t>6.96</t>
  </si>
  <si>
    <t>Cút PPR - D25</t>
  </si>
  <si>
    <t>6.97</t>
  </si>
  <si>
    <t>Cút PPR - D20</t>
  </si>
  <si>
    <t>6.98</t>
  </si>
  <si>
    <t>Tê PPR - D90x90</t>
  </si>
  <si>
    <t>6.99</t>
  </si>
  <si>
    <t>Tê Inox D100x100</t>
  </si>
  <si>
    <t>6.100</t>
  </si>
  <si>
    <t>Tê Inox D80x80</t>
  </si>
  <si>
    <t>6.101</t>
  </si>
  <si>
    <t>Tê PPR - D75x63</t>
  </si>
  <si>
    <t>6.102</t>
  </si>
  <si>
    <t>Tê PPR - D75x50</t>
  </si>
  <si>
    <t>6.103</t>
  </si>
  <si>
    <t>Tê PPR - D50x50</t>
  </si>
  <si>
    <t>6.104</t>
  </si>
  <si>
    <t>Tê PPR - D63x25</t>
  </si>
  <si>
    <t>6.105</t>
  </si>
  <si>
    <t>Tê PPR - D50x32</t>
  </si>
  <si>
    <t>6.106</t>
  </si>
  <si>
    <t>Tê PPR - D50x25</t>
  </si>
  <si>
    <t>6.107</t>
  </si>
  <si>
    <t>Tê PPR - D63x40</t>
  </si>
  <si>
    <t>6.108</t>
  </si>
  <si>
    <t>Tê PPR - D40x32</t>
  </si>
  <si>
    <t>6.109</t>
  </si>
  <si>
    <t>Tê PPR - D32x25</t>
  </si>
  <si>
    <t>6.110</t>
  </si>
  <si>
    <t>Tê PPR - D25x25</t>
  </si>
  <si>
    <t>6.111</t>
  </si>
  <si>
    <t>Tê PPR - D25x20</t>
  </si>
  <si>
    <t>6.112</t>
  </si>
  <si>
    <t>Tê PPR - D20x20</t>
  </si>
  <si>
    <t>6.113</t>
  </si>
  <si>
    <t>Côn thu PPR D90x75</t>
  </si>
  <si>
    <t>6.114</t>
  </si>
  <si>
    <t>Côn thu PPR D75x63</t>
  </si>
  <si>
    <t>6.115</t>
  </si>
  <si>
    <t>Côn thu PPR D63x50</t>
  </si>
  <si>
    <t>6.116</t>
  </si>
  <si>
    <t>Côn thu PPR D40x32</t>
  </si>
  <si>
    <t>6.117</t>
  </si>
  <si>
    <t>Côn thu PPR D50x25</t>
  </si>
  <si>
    <t>6.118</t>
  </si>
  <si>
    <t>Côn thu PPR D25x20</t>
  </si>
  <si>
    <t>6.119</t>
  </si>
  <si>
    <t>Van hai chiều D110</t>
  </si>
  <si>
    <t>6.120</t>
  </si>
  <si>
    <t>Van hai chiều D90</t>
  </si>
  <si>
    <t>6.121</t>
  </si>
  <si>
    <t>Van hai chiều D75</t>
  </si>
  <si>
    <t>6.122</t>
  </si>
  <si>
    <t>Van hai chiều D63</t>
  </si>
  <si>
    <t>6.123</t>
  </si>
  <si>
    <t>Van hai chiều D50</t>
  </si>
  <si>
    <t>6.124</t>
  </si>
  <si>
    <t>Van hai chiều D40</t>
  </si>
  <si>
    <t>6.125</t>
  </si>
  <si>
    <t>6.126</t>
  </si>
  <si>
    <t>Ống HDPE D160 (PN8)</t>
  </si>
  <si>
    <t>6.127</t>
  </si>
  <si>
    <t>Ống uPVC D200 (PN8)</t>
  </si>
  <si>
    <t>6.128</t>
  </si>
  <si>
    <t>Ống uPVC D140 (PN8)</t>
  </si>
  <si>
    <t>6.129</t>
  </si>
  <si>
    <t>Ống uPVC D110 (PN8)</t>
  </si>
  <si>
    <t>6.130</t>
  </si>
  <si>
    <t>Ống uPVC D60 (PN8)</t>
  </si>
  <si>
    <t>6.131</t>
  </si>
  <si>
    <t>Măng sông uPVC D200 (PN10)</t>
  </si>
  <si>
    <t>6.132</t>
  </si>
  <si>
    <t>Măng sông uPVC D125 (PN10)</t>
  </si>
  <si>
    <t>6.133</t>
  </si>
  <si>
    <t>Măng sông uPVC D110 (PN10)</t>
  </si>
  <si>
    <t>6.134</t>
  </si>
  <si>
    <t>Chếch 135 uPVC D140 (PN10)</t>
  </si>
  <si>
    <t>6.135</t>
  </si>
  <si>
    <t>Chếch 135 uPVC D110 (PN10)</t>
  </si>
  <si>
    <t>6.136</t>
  </si>
  <si>
    <t>Chếch 135 uPVC D60 (PN10)</t>
  </si>
  <si>
    <t>6.137</t>
  </si>
  <si>
    <t>Y 135 uPVC D200x125 (PN10)</t>
  </si>
  <si>
    <t>6.138</t>
  </si>
  <si>
    <t>Y 135 uPVC D140x140 (PN10)</t>
  </si>
  <si>
    <t>6.139</t>
  </si>
  <si>
    <t>Y 135 uPVC D140x110 (PN10)</t>
  </si>
  <si>
    <t>6.140</t>
  </si>
  <si>
    <t>Y 135 uPVC D110x110 (PN10)</t>
  </si>
  <si>
    <t>6.141</t>
  </si>
  <si>
    <t>Y 135 uPVC D110x60 (PN10)</t>
  </si>
  <si>
    <t>6.142</t>
  </si>
  <si>
    <t>Phễu thu sàn</t>
  </si>
  <si>
    <t>6.143</t>
  </si>
  <si>
    <t>Hố ga đậy Grating</t>
  </si>
  <si>
    <t>6.144</t>
  </si>
  <si>
    <t>Ống uPVC D200 (PN6)</t>
  </si>
  <si>
    <t>6.145</t>
  </si>
  <si>
    <t>Ống uPVC D160 (PN6)</t>
  </si>
  <si>
    <t>6.146</t>
  </si>
  <si>
    <t>Ống uPVC D140 (PN6)</t>
  </si>
  <si>
    <t>6.147</t>
  </si>
  <si>
    <t>Ống uPVC D90 (PN6)</t>
  </si>
  <si>
    <t>6.148</t>
  </si>
  <si>
    <t>Măng sông uPVC D200 (PN6)</t>
  </si>
  <si>
    <t>6.149</t>
  </si>
  <si>
    <t>Măng sông uPVC D90 (PN6)</t>
  </si>
  <si>
    <t>6.150</t>
  </si>
  <si>
    <t>Y 135 uPVC D160x90 (PN6)</t>
  </si>
  <si>
    <t>6.151</t>
  </si>
  <si>
    <t>Y 135 uPVC D140x90 (PN6)</t>
  </si>
  <si>
    <t>6.152</t>
  </si>
  <si>
    <t>Y 135 uPVC D110x90 (PN6)</t>
  </si>
  <si>
    <t>6.153</t>
  </si>
  <si>
    <t>Y 135 uPVC D110x110 (PN6)</t>
  </si>
  <si>
    <t>6.154</t>
  </si>
  <si>
    <t>Cút uPVC D200 (PN6)</t>
  </si>
  <si>
    <t>6.155</t>
  </si>
  <si>
    <t>Cút uPVC D140 (PN6)</t>
  </si>
  <si>
    <t>6.156</t>
  </si>
  <si>
    <t>Cút uPVC D90 (PN6)</t>
  </si>
  <si>
    <t>6.157</t>
  </si>
  <si>
    <t>Tê uPVC D90 (PN6)</t>
  </si>
  <si>
    <t>6.158</t>
  </si>
  <si>
    <t>Chụp thông hơi inox có lưới chắn</t>
  </si>
  <si>
    <t>6.159</t>
  </si>
  <si>
    <t>Ống uPVC D200 (PN10)</t>
  </si>
  <si>
    <t>6.160</t>
  </si>
  <si>
    <t>Ống uPVC D160 (PN10)</t>
  </si>
  <si>
    <t>6.161</t>
  </si>
  <si>
    <t>Ống uPVC D110 (PN10)</t>
  </si>
  <si>
    <t>6.162</t>
  </si>
  <si>
    <t>Ống uPVC D60 (PN10)</t>
  </si>
  <si>
    <t>6.163</t>
  </si>
  <si>
    <t>6.164</t>
  </si>
  <si>
    <t>Măng sông uPVC D160 (PN10)</t>
  </si>
  <si>
    <t>6.165</t>
  </si>
  <si>
    <t>6.166</t>
  </si>
  <si>
    <t>Chếch 135 uPVC D200 (PN10)</t>
  </si>
  <si>
    <t>6.167</t>
  </si>
  <si>
    <t>Chếch 135 uPVC D160 (PN10)</t>
  </si>
  <si>
    <t>6.168</t>
  </si>
  <si>
    <t>6.169</t>
  </si>
  <si>
    <t>6.170</t>
  </si>
  <si>
    <t>Y 135 uPVC D200x160 (PN10)</t>
  </si>
  <si>
    <t>6.171</t>
  </si>
  <si>
    <t>Y 135 uPVC D160x110 (PN10)</t>
  </si>
  <si>
    <t>6.172</t>
  </si>
  <si>
    <t>6.173</t>
  </si>
  <si>
    <t>6.174</t>
  </si>
  <si>
    <t>Côn thu uPVC D200x160</t>
  </si>
  <si>
    <t>6.175</t>
  </si>
  <si>
    <t>Côn thu uPVC D160x110</t>
  </si>
  <si>
    <t>6.176</t>
  </si>
  <si>
    <t>Côn thu uPVC D110x60</t>
  </si>
  <si>
    <t>6.177</t>
  </si>
  <si>
    <t>Phễu thu ban công DN80</t>
  </si>
  <si>
    <t>6.178</t>
  </si>
  <si>
    <t>Cầu chắn rác DN150</t>
  </si>
  <si>
    <t>6.179</t>
  </si>
  <si>
    <t>Dọ hút bơm D100</t>
  </si>
  <si>
    <t>6.180</t>
  </si>
  <si>
    <t>Van chống va DN100 PN20</t>
  </si>
  <si>
    <t>6.181</t>
  </si>
  <si>
    <t>Áp kế</t>
  </si>
  <si>
    <t>6.182</t>
  </si>
  <si>
    <t>Lọc chữ Y D125</t>
  </si>
  <si>
    <t>6.183</t>
  </si>
  <si>
    <t>Van cổng Inox DN125</t>
  </si>
  <si>
    <t>6.184</t>
  </si>
  <si>
    <t>Van cổng Inox DN100</t>
  </si>
  <si>
    <t>6.185</t>
  </si>
  <si>
    <t>Van 1 chiều DN100</t>
  </si>
  <si>
    <t>6.186</t>
  </si>
  <si>
    <t>Mối nối mềm DN125</t>
  </si>
  <si>
    <t>6.187</t>
  </si>
  <si>
    <t>Mối nối mềm DN100</t>
  </si>
  <si>
    <t>6.188</t>
  </si>
  <si>
    <t>Lọc chữ Y D80</t>
  </si>
  <si>
    <t>6.189</t>
  </si>
  <si>
    <t>Van cổng Inox DN80</t>
  </si>
  <si>
    <t>6.190</t>
  </si>
  <si>
    <t>Van cổng Inox DN65</t>
  </si>
  <si>
    <t>6.191</t>
  </si>
  <si>
    <t>Van 1 chiều DN65</t>
  </si>
  <si>
    <t>6.192</t>
  </si>
  <si>
    <t>Mối nối mềm DN80</t>
  </si>
  <si>
    <t>6.193</t>
  </si>
  <si>
    <t>Mối nối mềm DN65</t>
  </si>
  <si>
    <t>7</t>
  </si>
  <si>
    <t>HỆ THỐNG ĐIỆN NHẸ</t>
  </si>
  <si>
    <t>7.1</t>
  </si>
  <si>
    <t>Hệ thống mạng internet</t>
  </si>
  <si>
    <t>7.1.1</t>
  </si>
  <si>
    <t>Ống nhựa cứng PVC D20, đặt nổi</t>
  </si>
  <si>
    <t>7.1.2</t>
  </si>
  <si>
    <t>Ống nhựa mềm D20, đặt nổi</t>
  </si>
  <si>
    <t>7.1.3</t>
  </si>
  <si>
    <t>Ống nhựa cứng PVC D20, đặt chìm</t>
  </si>
  <si>
    <t>7.1.4</t>
  </si>
  <si>
    <t>Dây Cu/PVC/PVC (2x2.5)mm2</t>
  </si>
  <si>
    <t>7.1.5</t>
  </si>
  <si>
    <t>Dây cáp đồng UTP CAT6</t>
  </si>
  <si>
    <t>7.1.6</t>
  </si>
  <si>
    <t>Dây cáp quang singlemode 4 core</t>
  </si>
  <si>
    <t>7.1.7</t>
  </si>
  <si>
    <t>Ổ cắm mạng máy tính âm tường (Bao gồm đế âm, ổ cắm, mặt che)</t>
  </si>
  <si>
    <t>7.1.8</t>
  </si>
  <si>
    <t>Tủ rack thiết bị 19'' 42U D1000</t>
  </si>
  <si>
    <t>7.1.9</t>
  </si>
  <si>
    <t>ODF 4 cổng kèm đầy đủ phụ kiện</t>
  </si>
  <si>
    <t>khung</t>
  </si>
  <si>
    <t>7.1.10</t>
  </si>
  <si>
    <t>ODF 64 cổng kèm đầy đủ phụ kiện</t>
  </si>
  <si>
    <t>7.2</t>
  </si>
  <si>
    <t>Hệ thống điện thoại</t>
  </si>
  <si>
    <t>7.2.1</t>
  </si>
  <si>
    <t>Tủ đấu dây điện thoại (IDF 50 đôi)</t>
  </si>
  <si>
    <t>7.2.2</t>
  </si>
  <si>
    <t>Tủ đấu dây điện thoại (IDF 20 đôi)</t>
  </si>
  <si>
    <t>7.2.3</t>
  </si>
  <si>
    <t>Tủ đấu dây điện thoại (IDF 40 đôi)</t>
  </si>
  <si>
    <t>7.2.4</t>
  </si>
  <si>
    <t>Tủ đấu dây điện thoại (MDF 300 đôi)</t>
  </si>
  <si>
    <t>7.2.5</t>
  </si>
  <si>
    <t>Dây điện thoại CAT3</t>
  </si>
  <si>
    <t>7.2.6</t>
  </si>
  <si>
    <t>Cáp điện thoại 40 đôi</t>
  </si>
  <si>
    <t>7.2.7</t>
  </si>
  <si>
    <t>Ổ cắm điện thoại âm tường (Bao gồm đế âm, ổ cắm, mặt che)</t>
  </si>
  <si>
    <t>7.3</t>
  </si>
  <si>
    <t>Hệ thống camera giám sát</t>
  </si>
  <si>
    <t>7.3.1</t>
  </si>
  <si>
    <t>7.3.2</t>
  </si>
  <si>
    <t>7.3.3</t>
  </si>
  <si>
    <t>Dây Cu/PVC/PVC (2x1.5)mm2</t>
  </si>
  <si>
    <t>7.3.4</t>
  </si>
  <si>
    <t>7.3.5</t>
  </si>
  <si>
    <t>7.3.6</t>
  </si>
  <si>
    <t>Cáp quang 2FO</t>
  </si>
  <si>
    <t>7.3.7</t>
  </si>
  <si>
    <t>7.3.8</t>
  </si>
  <si>
    <t>ODF 16 FO</t>
  </si>
  <si>
    <t>chiếc</t>
  </si>
  <si>
    <t>7.3.9</t>
  </si>
  <si>
    <t>ODF 2FO</t>
  </si>
  <si>
    <t>7.3.10</t>
  </si>
  <si>
    <t>Cáp tín hiệu HDMI 10m</t>
  </si>
  <si>
    <t>sợi</t>
  </si>
  <si>
    <t>7.4</t>
  </si>
  <si>
    <t>Hệ thống âm thanh công cộng</t>
  </si>
  <si>
    <t>7.4.1</t>
  </si>
  <si>
    <t>7.4.2</t>
  </si>
  <si>
    <t>7.4.3</t>
  </si>
  <si>
    <t>Hộp nối dây tự chống cháy kích thước 110x110x80mm</t>
  </si>
  <si>
    <t>7.4.4</t>
  </si>
  <si>
    <t>7.4.5</t>
  </si>
  <si>
    <t>Cáp tín hiệu 1P-18AWG</t>
  </si>
  <si>
    <t>7.4.6</t>
  </si>
  <si>
    <t>Cáp tín hiệu 1P-16AWG</t>
  </si>
  <si>
    <t>7.5</t>
  </si>
  <si>
    <t>Hệ thống kích sóng điện thoại</t>
  </si>
  <si>
    <t>7.5.1</t>
  </si>
  <si>
    <t>7.5.2</t>
  </si>
  <si>
    <t>Cáp feeder 1/2 inch</t>
  </si>
  <si>
    <t>7.5.3</t>
  </si>
  <si>
    <t>Cáp feeder 7/8 inch</t>
  </si>
  <si>
    <t>7.6</t>
  </si>
  <si>
    <t>Hệ thống quản lý xe ra vào</t>
  </si>
  <si>
    <t>7.6.1</t>
  </si>
  <si>
    <t>7.6.2</t>
  </si>
  <si>
    <t>7.6.3</t>
  </si>
  <si>
    <t>7.6.4</t>
  </si>
  <si>
    <t>Vật tư phụ</t>
  </si>
  <si>
    <t>lô</t>
  </si>
  <si>
    <t>7.7</t>
  </si>
  <si>
    <t>Phần chung</t>
  </si>
  <si>
    <t>7.7.1</t>
  </si>
  <si>
    <t>Thang cáp 400x100mm</t>
  </si>
  <si>
    <t>7.7.2</t>
  </si>
  <si>
    <t>Máng cáp 400x100mm</t>
  </si>
  <si>
    <t>7.7.3</t>
  </si>
  <si>
    <t>Máng cáp 150x100mm</t>
  </si>
  <si>
    <t>7.7.4</t>
  </si>
  <si>
    <t>Tủ RACK 20U</t>
  </si>
  <si>
    <t>7.7.5</t>
  </si>
  <si>
    <t>BỘ UPS 5KVA</t>
  </si>
  <si>
    <t>máy</t>
  </si>
  <si>
    <t>10</t>
  </si>
  <si>
    <t>CÂY XANH, ĐƯỜNG NỘI BỘ</t>
  </si>
  <si>
    <t>10.1</t>
  </si>
  <si>
    <t>10.1.1</t>
  </si>
  <si>
    <t>San đầm đất bằng máy lu bánh thép 16T, độ chặt yêu cầu K=0,95</t>
  </si>
  <si>
    <t>10.1.2</t>
  </si>
  <si>
    <t>Đắp đất công trình bằng máy lu bánh thép 16T, độ chặt yêu cầu K=0,98</t>
  </si>
  <si>
    <t>10.1.3</t>
  </si>
  <si>
    <t>Thi công móng cấp phối đá dăm loại 2 lớp dưới</t>
  </si>
  <si>
    <t>10.1.4</t>
  </si>
  <si>
    <t>Thi công móng cấp phối đá dăm loại 1 lớp trên</t>
  </si>
  <si>
    <t>10.1.5</t>
  </si>
  <si>
    <t>Cào nhám lớp mặt bê tông</t>
  </si>
  <si>
    <t>10.1.6</t>
  </si>
  <si>
    <t>Tưới lớp dính bám mặt đường bằng nhựa pha dầu, lượng nhựa 1,0 kg/m2</t>
  </si>
  <si>
    <t>10.1.7</t>
  </si>
  <si>
    <t>Rải thảm mặt đường bê tông nhựa (loại C&lt;= 12,5), chiều dày mặt đường đã lèn ép 7 cm</t>
  </si>
  <si>
    <t>10.1.8</t>
  </si>
  <si>
    <t>Sơn kẻ đường bằng sơn dẻo nhiệt phản quang, chiều dày lớp sơn 2,0mm</t>
  </si>
  <si>
    <t>10.1.9</t>
  </si>
  <si>
    <t>Biển báo sơn phản quang 500x900mm (cao 1.5m)</t>
  </si>
  <si>
    <t>10.2</t>
  </si>
  <si>
    <t>ĐÀI NƯỚC</t>
  </si>
  <si>
    <t>10.2.1</t>
  </si>
  <si>
    <t>Đào móng công trình, chiều rộng móng &lt;= 6m, bằng máy đào, đất cấp III</t>
  </si>
  <si>
    <t>10.2.2</t>
  </si>
  <si>
    <t>Đắp đất công trình bằng đầm đất cầm tay, độ chặt yêu cầu K=0,95</t>
  </si>
  <si>
    <t>10.2.3</t>
  </si>
  <si>
    <t>Đổ bê tông thủ công bằng máy trộn, bê tông lót móng, chiều rộng &gt; 250 cm, đá 4x6, mác 100</t>
  </si>
  <si>
    <t>10.2.4</t>
  </si>
  <si>
    <t>Đổ bê tông thủ công bằng máy trộn, bê tông nền, đá 1x2, mác 250</t>
  </si>
  <si>
    <t>10.2.5</t>
  </si>
  <si>
    <t>Ván khuôn thép. Ván khuôn móng dài</t>
  </si>
  <si>
    <t>10.2.6</t>
  </si>
  <si>
    <t>Đổ bê tông thủ công bằng máy trộn, bê tông tường chiều dày &lt;= 45cm, chiều cao &lt;= 6m, đá 1x2, mác 250</t>
  </si>
  <si>
    <t>10.2.7</t>
  </si>
  <si>
    <t>Ván khuôn bằng ván ép phủ phim có khung xương, cột chống bằng hệ giáo ống. Ván khuôn tường, chiều cao &lt;= 28m</t>
  </si>
  <si>
    <t>10.2.8</t>
  </si>
  <si>
    <t>Đổ bê tông thủ công bằng máy trộn, bê tông xà dầm, giằng nhà, chiều cao &lt;= 6m, đá 1x2, mác 250</t>
  </si>
  <si>
    <t>10.2.9</t>
  </si>
  <si>
    <t>Ván khuôn bằng ván ép phủ phim có khung xương, cột chống bằng hệ giáo ống. Ván khuôn sàn mái, chiều cao &lt;= 28m</t>
  </si>
  <si>
    <t>10.2.10</t>
  </si>
  <si>
    <t>Công tác gia công lắp dựng cốt thép. Cốt thép móng, đường kính cốt thép &lt;= 10mm</t>
  </si>
  <si>
    <t>10.2.11</t>
  </si>
  <si>
    <t>Công tác gia công lắp dựng cốt thép. Cốt thép tường, đường kính cốt thép &lt;= 10mm, chiều cao &lt;= 6m</t>
  </si>
  <si>
    <t>10.2.12</t>
  </si>
  <si>
    <t>Xây gạch thẻ không nung 5x9x19, xây tường thẳng chiều dày &lt;= 30cm, chiều cao &lt;= 6m, vữa XM mác 50</t>
  </si>
  <si>
    <t>10.2.13</t>
  </si>
  <si>
    <t>Đài phun nước (hoàn thiện theo kiến trúc)</t>
  </si>
  <si>
    <t>10.2.14</t>
  </si>
  <si>
    <t>10.2.15</t>
  </si>
  <si>
    <t>Đổ bê tông thủ công bằng máy trộn, bê tông móng, chiều rộng &lt;= 250 cm, đá 1x2, mác 200</t>
  </si>
  <si>
    <t>10.2.16</t>
  </si>
  <si>
    <t>10.2.17</t>
  </si>
  <si>
    <t>Xây gạch thẻ không nung 5x9x19, xây tường thẳng chiều dày &lt;= 10cm, chiều cao &lt;= 6m, vữa XM cát mịn modul ML=1,5-2 mác 75</t>
  </si>
  <si>
    <t>10.2.18</t>
  </si>
  <si>
    <t>Trát tường ngoài, chiều dày trát 1,5cm, vữa XM cát mịn modul ML=0,7-1,4 mác 75</t>
  </si>
  <si>
    <t>10.2.19</t>
  </si>
  <si>
    <t>10.2.20</t>
  </si>
  <si>
    <t>Đất màu trồng cây</t>
  </si>
  <si>
    <t>10.2.21</t>
  </si>
  <si>
    <t>Mặt ghế nhựa giả gỗ</t>
  </si>
  <si>
    <t>10.2.22</t>
  </si>
  <si>
    <t>CCLD mặt Composite giả đá màu xám (hoàn thiện theo thiết kế)</t>
  </si>
  <si>
    <t>10.2.23</t>
  </si>
  <si>
    <t>Trồng cây bỏng nổ</t>
  </si>
  <si>
    <t>100 m2</t>
  </si>
  <si>
    <t>10.2.24</t>
  </si>
  <si>
    <t>Cỏ hoàng lạc</t>
  </si>
  <si>
    <t>10.2.25</t>
  </si>
  <si>
    <t>Cỏ lá tre</t>
  </si>
  <si>
    <t>10.2.26</t>
  </si>
  <si>
    <t>Tưới nước bảo dưỡng bồn hoa, thảm cỏ, bồn cảnh, hàng rào nước lấy từ máy nước</t>
  </si>
  <si>
    <t>100m2/tháng</t>
  </si>
  <si>
    <t>10.2.27</t>
  </si>
  <si>
    <t>Cây cau cảnh (h=3m, 3 khóm/cây)</t>
  </si>
  <si>
    <t>cây</t>
  </si>
  <si>
    <t>10.2.28</t>
  </si>
  <si>
    <t>Cây bàng Đài Loan (H=6-8m, D=30cm)</t>
  </si>
  <si>
    <t>10.2.29</t>
  </si>
  <si>
    <t>Cây bằng lăng (H=6-8m, D=30-35cm)</t>
  </si>
  <si>
    <t>10.2.30</t>
  </si>
  <si>
    <t>Cây chà là (H=8-10m, D tán=1.2-1.5m)</t>
  </si>
  <si>
    <t>10.2.31</t>
  </si>
  <si>
    <t>Cây ngâu (H=1-1.2m, D tán=0.8-1m)</t>
  </si>
  <si>
    <t>10.2.32</t>
  </si>
  <si>
    <t>Bảo dưỡng cây xanh sau khi trồng, Nước máy</t>
  </si>
  <si>
    <t>cây/90ngày</t>
  </si>
  <si>
    <t>11</t>
  </si>
  <si>
    <t>VỈA HÈ</t>
  </si>
  <si>
    <t>11.1</t>
  </si>
  <si>
    <t>San đầm đất bằng máy lu bánh thép 16T, độ chặt yêu cầu K=0,90</t>
  </si>
  <si>
    <t>11.2</t>
  </si>
  <si>
    <t>Lớp giấy nilon</t>
  </si>
  <si>
    <t>11.3</t>
  </si>
  <si>
    <t>Đổ bê tông thủ công bằng máy trộn, bê tông nền, đá 2x4, mác 150</t>
  </si>
  <si>
    <t>11.4</t>
  </si>
  <si>
    <t>Lát nền, sàn bằng đá xanh 300x600mm, M100</t>
  </si>
  <si>
    <t>12</t>
  </si>
  <si>
    <t>BÓ VỈA</t>
  </si>
  <si>
    <t>12.1</t>
  </si>
  <si>
    <t>Đổ bê tông thủ công bằng máy trộn, bê tông lót móng, chiều rộng &lt;= 250 cm, đá 2x4, mác 150</t>
  </si>
  <si>
    <t>12.2</t>
  </si>
  <si>
    <t>12.3</t>
  </si>
  <si>
    <t>Lắp tấm đan rãnh bằng đá M250, KT 250x300x50mm bằng thủ công, trọng lượng &lt;= 25kg</t>
  </si>
  <si>
    <t>12.4</t>
  </si>
  <si>
    <t>Lắp tấm đan rãnh bằng BTXM giả đá M250, KT 500x300x50mm bằng thủ công, trọng lượng &lt;= 25kg</t>
  </si>
  <si>
    <t>12.5</t>
  </si>
  <si>
    <t>Lắp bó vỉa bằng đá, KT 180x220x250mm bằng thủ công, trọng lượng &lt;= 25kg</t>
  </si>
  <si>
    <t>12.6</t>
  </si>
  <si>
    <t>Lắp bó vỉa bằng đá, KT 180x220x1000mm bằng thủ công, trọng lượng &lt;= 100kg</t>
  </si>
  <si>
    <t>13</t>
  </si>
  <si>
    <t>HỆ THỐNG CẤP ĐIỆN CHIẾU SÁNG NGOÀI NHÀ</t>
  </si>
  <si>
    <t>13.1</t>
  </si>
  <si>
    <t>Dây cáp Cu/XPLE 4x240mm2</t>
  </si>
  <si>
    <t>13.2</t>
  </si>
  <si>
    <t>Ống nhựa xoắn luồn dây HDPE D160/125</t>
  </si>
  <si>
    <t>13.3</t>
  </si>
  <si>
    <t>Ống thép D110</t>
  </si>
  <si>
    <t>13.4</t>
  </si>
  <si>
    <t>Ống thép D40</t>
  </si>
  <si>
    <t>13.5</t>
  </si>
  <si>
    <t>Trụ đèn chiếu sáng sân vườn 4 bóng 15W</t>
  </si>
  <si>
    <t>cột</t>
  </si>
  <si>
    <t>13.6</t>
  </si>
  <si>
    <t>Dây điện Cu/XPLE/PVC/DSTA 2x4mm2</t>
  </si>
  <si>
    <t>13.7</t>
  </si>
  <si>
    <t>Dây điện Cu/PVC 1x4mm2</t>
  </si>
  <si>
    <t>13.8</t>
  </si>
  <si>
    <t>Ống nhựa xoắn luồn dây HDPE D32/25</t>
  </si>
  <si>
    <t>13.9</t>
  </si>
  <si>
    <t>Cọc tiếp địa thép góc mạ kẽm L63x63x6 dài 2.5m</t>
  </si>
  <si>
    <t>13.10</t>
  </si>
  <si>
    <t>Dây thép mạ kẽm D10</t>
  </si>
  <si>
    <t>13.11</t>
  </si>
  <si>
    <t>13.12</t>
  </si>
  <si>
    <t>Đắp đất nền móng công trình, nền đường bằng thủ công</t>
  </si>
  <si>
    <t>13.13</t>
  </si>
  <si>
    <t>Đổ bê tông thủ công bằng máy trộn, bê tông lót móng, chiều rộng &lt;= 250 cm, đá 4x6, mác 100</t>
  </si>
  <si>
    <t>13.14</t>
  </si>
  <si>
    <t>Đổ bê tông thủ công bằng máy trộn, bê tông móng, chiều rộng &lt;= 250 cm, đá 1x2, mác 150</t>
  </si>
  <si>
    <t>13.15</t>
  </si>
  <si>
    <t>Ván khuôn thép. Ván khuôn móng cột</t>
  </si>
  <si>
    <t>13.16</t>
  </si>
  <si>
    <t>13.17</t>
  </si>
  <si>
    <t>13.18</t>
  </si>
  <si>
    <t>13.19</t>
  </si>
  <si>
    <t>Xây gạch ống không nung 9x9x19 M75, xây hố van, hố ga, vữa XM cát mịn modul ML=1,5-2 mác 75</t>
  </si>
  <si>
    <t>13.20</t>
  </si>
  <si>
    <t>Đổ bê tông thủ công bằng máy trộn, bê tông xà dầm, giằng nhà, chiều cao &lt;= 6m, đá 1x2, mác 200</t>
  </si>
  <si>
    <t>13.21</t>
  </si>
  <si>
    <t>CCLD nắp đậy hố ga gang 4 cánh</t>
  </si>
  <si>
    <t>13.22</t>
  </si>
  <si>
    <t>13.23</t>
  </si>
  <si>
    <t>Đắp cát công trình bằng thủ công, đắp móng đường ống</t>
  </si>
  <si>
    <t>13.24</t>
  </si>
  <si>
    <t>13.25</t>
  </si>
  <si>
    <t>MCCB 3P-32A-10kA</t>
  </si>
  <si>
    <t>13.26</t>
  </si>
  <si>
    <t>MCB 1P-20A-10kA</t>
  </si>
  <si>
    <t>13.27</t>
  </si>
  <si>
    <t>MCB 1P-32A-10kA</t>
  </si>
  <si>
    <t>13.28</t>
  </si>
  <si>
    <t>13.29</t>
  </si>
  <si>
    <t>Contactor 1P-10A</t>
  </si>
  <si>
    <t>13.30</t>
  </si>
  <si>
    <t>Hệ thống thanh cái và cáp nối</t>
  </si>
  <si>
    <t>13.31</t>
  </si>
  <si>
    <t>Vỏ tủ tôn trong nhà 2 lớp cánh , tôn dày 1.5mm kích thước 600x450x200</t>
  </si>
  <si>
    <t>14</t>
  </si>
  <si>
    <t>HỆ THỐNG CẤP, THOÁT NƯỚC NGOÀI NHÀ</t>
  </si>
  <si>
    <t>14.1</t>
  </si>
  <si>
    <t>Đào đất móng băng bằng thủ công, rộng &lt;= 3m, sâu &lt;= 1m, đất cấp III</t>
  </si>
  <si>
    <t>14.2</t>
  </si>
  <si>
    <t>14.3</t>
  </si>
  <si>
    <t>14.4</t>
  </si>
  <si>
    <t>Xây gạch thẻ không nung 5x9x19 M75, xây hố van, hố ga, vữa XM cát mịn modul ML=1,5-2 mác 75</t>
  </si>
  <si>
    <t>14.5</t>
  </si>
  <si>
    <t>14.6</t>
  </si>
  <si>
    <t>Đổ bê tông đúc sẵn bằng thủ công - sản xuất bằng máy trộn. Bê tông tấm đan, mái hắt, lanh tô, đá 1x2, mác 200</t>
  </si>
  <si>
    <t>14.7</t>
  </si>
  <si>
    <t>Lắp các loại cấu kiện bê tông đúc sẵn bằng thủ công, trọng lượng &lt;= 25kg</t>
  </si>
  <si>
    <t>14.8</t>
  </si>
  <si>
    <t>Ống HDPE D90</t>
  </si>
  <si>
    <t>14.9</t>
  </si>
  <si>
    <t>Van phao thủy lực</t>
  </si>
  <si>
    <t>14.10</t>
  </si>
  <si>
    <t>Vòi tưới cây</t>
  </si>
  <si>
    <t>14.11</t>
  </si>
  <si>
    <t>Ống PPR D25</t>
  </si>
  <si>
    <t>14.12</t>
  </si>
  <si>
    <t>Ga thu thăm kết hợp</t>
  </si>
  <si>
    <t>14.13</t>
  </si>
  <si>
    <t>Lắp đặt ống bê tông bằng cần cẩu, đoạn ống dài 2,5m, đường kính D=400mm</t>
  </si>
  <si>
    <t>đoạn ống</t>
  </si>
  <si>
    <t>14.14</t>
  </si>
  <si>
    <t>Ống PVC D250</t>
  </si>
  <si>
    <t>14.15</t>
  </si>
  <si>
    <t>Đế cống</t>
  </si>
  <si>
    <t>14.16</t>
  </si>
  <si>
    <t>14.17</t>
  </si>
  <si>
    <t>Đắp cát công trình bằng thủ công, đắp nền móng công trình</t>
  </si>
  <si>
    <t>14.18</t>
  </si>
  <si>
    <t>15</t>
  </si>
  <si>
    <t>TƯỜNG RÀO</t>
  </si>
  <si>
    <t>15.1</t>
  </si>
  <si>
    <t>Đào móng công trình, chiều rộng móng &lt;= 6m, bằng máy đào, đất cấp II</t>
  </si>
  <si>
    <t>15.2</t>
  </si>
  <si>
    <t>15.3</t>
  </si>
  <si>
    <t>Vận chuyển đất bằng ôtô tự đổ trong phạm vi &lt;= 300m, đất cấp II</t>
  </si>
  <si>
    <t>15.4</t>
  </si>
  <si>
    <t>15.5</t>
  </si>
  <si>
    <t>Đổ bê tông thủ công bằng máy trộn, bê tông móng, chiều rộng &lt;= 250 cm, đá 1x2, mác 250</t>
  </si>
  <si>
    <t>15.6</t>
  </si>
  <si>
    <t>15.7</t>
  </si>
  <si>
    <t>Ván khuôn bằng ván ép phủ phim có khung xương, cột chống bằng hệ giáo ống. Ván khuôn cột vuông, chữ nhật, chiều cao &lt;= 28m</t>
  </si>
  <si>
    <t>15.8</t>
  </si>
  <si>
    <t>Đổ bê tông thủ công bằng máy trộn, bê tông cột, tiết diện cột &lt;= 0,1m2, chiều cao &lt;= 6m, đá 1x2, mác 250</t>
  </si>
  <si>
    <t>15.9</t>
  </si>
  <si>
    <t>15.10</t>
  </si>
  <si>
    <t>15.11</t>
  </si>
  <si>
    <t>15.12</t>
  </si>
  <si>
    <t>15.13</t>
  </si>
  <si>
    <t>Ván khuôn bằng ván ép phủ phim có khung xương, cột chống bằng hệ giáo ống. Ván khuôn xà dầm, giằng, chiều cao &lt;= 28m</t>
  </si>
  <si>
    <t>15.14</t>
  </si>
  <si>
    <t>Công tác gia công lắp dựng cốt thép. Cốt thép xà dầm, giằng, đường kính cốt thép &lt;= 10mm, chiều cao &lt;= 6m</t>
  </si>
  <si>
    <t>15.15</t>
  </si>
  <si>
    <t>Công tác gia công lắp dựng cốt thép. Cốt thép xà dầm, giằng, đường kính cốt thép &lt;= 18mm, chiều cao &lt;= 6m</t>
  </si>
  <si>
    <t>15.16</t>
  </si>
  <si>
    <t>15.17</t>
  </si>
  <si>
    <t>Công tác gia công lắp dựng cốt thép. Cốt thép cột, trụ, đường kính cốt thép &lt;= 10mm, chiều cao &lt;= 6m</t>
  </si>
  <si>
    <t>15.18</t>
  </si>
  <si>
    <t>Công tác gia công lắp dựng cốt thép. Cốt thép cột, trụ, đường kính cốt thép &lt;= 10mm, chiều cao &lt;= 28m</t>
  </si>
  <si>
    <t>15.19</t>
  </si>
  <si>
    <t>Xây gạch không nung đặc 5x9x19cm (M7.5), xây cột, trụ, chiều cao &lt;= 6m, vữa XM mác 75</t>
  </si>
  <si>
    <t>15.20</t>
  </si>
  <si>
    <t>Xây gạch không nung rỗng 9x9x19cm (M7.5), xây tường thẳng chiều dày &lt;= 30cm, chiều cao &lt;= 6m, vữa XM mác 75</t>
  </si>
  <si>
    <t>15.21</t>
  </si>
  <si>
    <t>Xây gạch không nung rỗng 9x9x19cm (M7.5), xây tường thẳng chiều dày &lt;= 10cm, chiều cao &lt;= 6m, vữa XM mác 75</t>
  </si>
  <si>
    <t>15.22</t>
  </si>
  <si>
    <t>Trát tường xây gạch không nung bằng vữa thông thường, trát tường ngoài, chiều dày trát 1,5cm, vữa XM cát mịn modul ML=0,7-1,4 mác 50</t>
  </si>
  <si>
    <t>15.23</t>
  </si>
  <si>
    <t>Trát trụ, cột, lam đứng, cầu thang, chiều dày trát 1,5cm, vữa XM mác 75 (có hồ dầu)</t>
  </si>
  <si>
    <t>15.24</t>
  </si>
  <si>
    <t>Trát xà dầm, vữa XM mác 75 (có hồ dầu)</t>
  </si>
  <si>
    <t>15.25</t>
  </si>
  <si>
    <t>15.26</t>
  </si>
  <si>
    <t>Gia công hàng rào song sắt</t>
  </si>
  <si>
    <t>15.27</t>
  </si>
  <si>
    <t>Lắp dựng hoa sắt</t>
  </si>
  <si>
    <t>15.28</t>
  </si>
  <si>
    <t>16</t>
  </si>
  <si>
    <t>BỂ  NƯỚC NGẦM</t>
  </si>
  <si>
    <t>16.1</t>
  </si>
  <si>
    <t>Bể nước ngầm</t>
  </si>
  <si>
    <t>16.1.1</t>
  </si>
  <si>
    <t>16.1.2</t>
  </si>
  <si>
    <t>16.1.3</t>
  </si>
  <si>
    <t>Vận chuyển đất bằng ôtô tự đổ trong phạm vi &lt;= 1000m, đất cấp II</t>
  </si>
  <si>
    <t>16.1.4</t>
  </si>
  <si>
    <t>Vận chuyển đất bằng ô tô tự đổ 1km tiếp theo trong phạm vi &lt;=5km, đất cấp II (4km tiếp theo)</t>
  </si>
  <si>
    <t>16.1.5</t>
  </si>
  <si>
    <t>16.1.6</t>
  </si>
  <si>
    <t>Đổ bê tông bằng máy, đổ bằng máy bơm bê tông, bê tông móng, chiều rộng móng &gt;250 cm, đá 1x2, mác 250</t>
  </si>
  <si>
    <t>16.1.7</t>
  </si>
  <si>
    <t>16.1.8</t>
  </si>
  <si>
    <t>Đổ bê tông bằng máy, đổ bằng máy bơm bê tông, bê tông tường, chiều dày &lt;= 45cm, chiều cao &lt;= 6m, đá 1x2, mác 250</t>
  </si>
  <si>
    <t>16.1.9</t>
  </si>
  <si>
    <t>Ván khuôn tường, chiều cao &lt;= 28m</t>
  </si>
  <si>
    <t>16.1.10</t>
  </si>
  <si>
    <t>16.1.11</t>
  </si>
  <si>
    <t>Đổ bê tông bằng máy, đổ bằng máy bơm bê tông, bê tông xà dầm, giằng, sàn mái, đá 1x2, mác 250</t>
  </si>
  <si>
    <t>16.1.12</t>
  </si>
  <si>
    <t>16.1.13</t>
  </si>
  <si>
    <t>Công tác gia công lắp dựng cốt thép. Cốt thép móng, D&lt;=10mm</t>
  </si>
  <si>
    <t>16.1.14</t>
  </si>
  <si>
    <t>Công tác gia công lắp dựng cốt thép. Cốt thép móng, D&lt;=18mm</t>
  </si>
  <si>
    <t>16.2</t>
  </si>
  <si>
    <t>Chống thấm mặt trong bể:</t>
  </si>
  <si>
    <t>16.2.1</t>
  </si>
  <si>
    <t>16.2.2</t>
  </si>
  <si>
    <t>Quét chống thấm bể (tham khảo Sikatop seal 107, định mức 3kg/2 lớp/m2)</t>
  </si>
  <si>
    <t>16.2.3</t>
  </si>
  <si>
    <t>16.2.4</t>
  </si>
  <si>
    <t>16.2.5</t>
  </si>
  <si>
    <t>Trát tường trong,chiều dày trát 1cm, vữa XM mác 75, lớp 2</t>
  </si>
  <si>
    <t>16.3</t>
  </si>
  <si>
    <t>Chống thấm tường ngoài</t>
  </si>
  <si>
    <t>16.3.1</t>
  </si>
  <si>
    <t>16.3.2</t>
  </si>
  <si>
    <t>16.3.3</t>
  </si>
  <si>
    <t>17</t>
  </si>
  <si>
    <t>NHÀ ĐẶT MÁY PHÁT ĐIỆN</t>
  </si>
  <si>
    <t>17.1</t>
  </si>
  <si>
    <t>17.2</t>
  </si>
  <si>
    <t>17.3</t>
  </si>
  <si>
    <t>Đắp cát công trình bằng máy đầm đất cầm tay, độ chặt yêu cầu K=0,85</t>
  </si>
  <si>
    <t>17.4</t>
  </si>
  <si>
    <t>17.5</t>
  </si>
  <si>
    <t>17.6</t>
  </si>
  <si>
    <t>17.7</t>
  </si>
  <si>
    <t>17.8</t>
  </si>
  <si>
    <t>17.9</t>
  </si>
  <si>
    <t>17.10</t>
  </si>
  <si>
    <t>17.11</t>
  </si>
  <si>
    <t>17.12</t>
  </si>
  <si>
    <t>17.13</t>
  </si>
  <si>
    <t>17.14</t>
  </si>
  <si>
    <t>Đổ bê tông thủ công bằng máy trộn, bê tông sàn mái, đá 1x2, mác 250</t>
  </si>
  <si>
    <t>17.15</t>
  </si>
  <si>
    <t>17.16</t>
  </si>
  <si>
    <t>17.17</t>
  </si>
  <si>
    <t>Đổ bê tông thủ công bằng máy trộn, bê tông nền, đá 1x2, mác 200</t>
  </si>
  <si>
    <t>17.18</t>
  </si>
  <si>
    <t>17.19</t>
  </si>
  <si>
    <t>17.20</t>
  </si>
  <si>
    <t>17.21</t>
  </si>
  <si>
    <t>17.22</t>
  </si>
  <si>
    <t>17.23</t>
  </si>
  <si>
    <t>Công tác gia công lắp dựng cốt thép. Cốt thép cột, trụ, đường kính cốt thép &lt;= 18mm, chiều cao &lt;= 6m</t>
  </si>
  <si>
    <t>17.24</t>
  </si>
  <si>
    <t>Công tác gia công lắp dựng cốt thép. Cốt thép sàn mái, đường kính cốt thép &lt;=10mm, chiều cao &lt;= 28m</t>
  </si>
  <si>
    <t>17.25</t>
  </si>
  <si>
    <t>Công tác gia công lắp dựng cốt thép. Cốt thép lanh tô liền mái hắt, máng nước, đường kính cốt thép &lt;= 10mm, chiều cao &lt;= 6m</t>
  </si>
  <si>
    <t>17.26</t>
  </si>
  <si>
    <t>Công tác gia công lắp dựng cốt thép. Cốt thép lanh tô liền mái hắt, máng nước, đường kính cốt thép &gt; 10mm, chiều cao &lt;= 6m</t>
  </si>
  <si>
    <t>17.27</t>
  </si>
  <si>
    <t>17.28</t>
  </si>
  <si>
    <t>Xây gạch không nung đặc 5x9x19cm , xây các bộ phận kết cấu phức tạp khác, chiều cao &lt;= 6m, vữa XM mác 75</t>
  </si>
  <si>
    <t>17.29</t>
  </si>
  <si>
    <t>Xây gạch không nung rỗng 9x9x19cm, xây tường thẳng chiều dày &lt;=10cm, chiều cao &lt;= 6m, vữa XM mác 50</t>
  </si>
  <si>
    <t>17.30</t>
  </si>
  <si>
    <t>Xây gạch không nung rỗng 9x9x19cm (M7.5), xây tường thẳng chiều dày &lt;=30cm, chiều cao &lt;= 6m, vữa XM mác 50</t>
  </si>
  <si>
    <t>17.31</t>
  </si>
  <si>
    <t>17.32</t>
  </si>
  <si>
    <t>17.33</t>
  </si>
  <si>
    <t>17.34</t>
  </si>
  <si>
    <t>Trát trần, vữa XM mác 75 (có hồ dầu)</t>
  </si>
  <si>
    <t>17.35</t>
  </si>
  <si>
    <t>Trát sênô, mái hắt, lam ngang, vữa XM mác 75 (có hồ dầu)</t>
  </si>
  <si>
    <t>17.36</t>
  </si>
  <si>
    <t>Lát gạch lá nem 400x400mm, vữa XM mác 75</t>
  </si>
  <si>
    <t>17.37</t>
  </si>
  <si>
    <t>Lát nền, sàn, gạch 600x600mm, vữa XM mác 75</t>
  </si>
  <si>
    <t>17.38</t>
  </si>
  <si>
    <t>Trát xà dầm, vữa XM mác 75 - trong nhà (cả trát hồ dầu)</t>
  </si>
  <si>
    <t>17.39</t>
  </si>
  <si>
    <t>Đục nhám, vệ sinh mặt bê tông (trước khi chống thấm)</t>
  </si>
  <si>
    <t>17.40</t>
  </si>
  <si>
    <t>17.41</t>
  </si>
  <si>
    <t>CCLĐ cửa thép chống cháy, EI60, phụ kiện đồng bộ (chi tiết theo thiết kế)</t>
  </si>
  <si>
    <t>17.42</t>
  </si>
  <si>
    <t>CCLĐ cửa sổ nhôm kính, phụ kiện đồng bộ (chi tiết theo thiết kế)</t>
  </si>
  <si>
    <t>17.43</t>
  </si>
  <si>
    <t>Lắp dựng cửa khung sắt, khung nhôm</t>
  </si>
  <si>
    <t>17.44</t>
  </si>
  <si>
    <t>Bả bằng bột bả vào tường</t>
  </si>
  <si>
    <t>17.45</t>
  </si>
  <si>
    <t>Bả bằng bột bả vào cột, dầm, trần</t>
  </si>
  <si>
    <t>17.46</t>
  </si>
  <si>
    <t>Sơn dầm, trần, cột, tường ngoài nhà đã bả bằng sơn các loại, 1 nước lót, 2 nước phủ</t>
  </si>
  <si>
    <t>17.47</t>
  </si>
  <si>
    <t>17.48</t>
  </si>
  <si>
    <t>17.49</t>
  </si>
  <si>
    <t>17.50</t>
  </si>
  <si>
    <t>17.51</t>
  </si>
  <si>
    <t>Dây Cu/XLPE 2x4mm2, 0.45/0.75kV</t>
  </si>
  <si>
    <t>17.52</t>
  </si>
  <si>
    <t>Dây CV 2.5mm2, 0.45/0.75kV</t>
  </si>
  <si>
    <t>17.53</t>
  </si>
  <si>
    <t>Dây CV 1.5mm2, 0.45/0.75kV</t>
  </si>
  <si>
    <t>17.54</t>
  </si>
  <si>
    <t>Dây tiếp địa CV 4mm2, 0.45/0.75kV</t>
  </si>
  <si>
    <t>17.55</t>
  </si>
  <si>
    <t>Dây tiếp địa CV 2.5mm2, 0.45/0.75kV</t>
  </si>
  <si>
    <t>17.56</t>
  </si>
  <si>
    <t>Ống luồn dây PVC D20</t>
  </si>
  <si>
    <t>17.57</t>
  </si>
  <si>
    <t>MCB 2P-20A-10kA</t>
  </si>
  <si>
    <t>17.58</t>
  </si>
  <si>
    <t>MCB 1P-16A-6kA</t>
  </si>
  <si>
    <t>17.59</t>
  </si>
  <si>
    <t>MCB 1P-10A-6kA</t>
  </si>
  <si>
    <t>17.60</t>
  </si>
  <si>
    <t>17.61</t>
  </si>
  <si>
    <t>Vỏ tủ trong nhà, 02 lớp cánh, tôn dày 1.5mm (KT: C400R300S200mm)</t>
  </si>
  <si>
    <t>19</t>
  </si>
  <si>
    <t>HOÀN THIỆN KIẾN TRÚC PHÒNG HỘI TRƯỜNG</t>
  </si>
  <si>
    <t>19.1</t>
  </si>
  <si>
    <t>Gia công giằng thép mạ kẽm</t>
  </si>
  <si>
    <t>19.2</t>
  </si>
  <si>
    <t>19.3</t>
  </si>
  <si>
    <t>Tấm sàn cemboard dày 16mm</t>
  </si>
  <si>
    <t>19.4</t>
  </si>
  <si>
    <t>Trải thảm nền nhà</t>
  </si>
  <si>
    <t>19.5</t>
  </si>
  <si>
    <t>Thi công mặt sàn gỗ công nghiệp</t>
  </si>
  <si>
    <t>20</t>
  </si>
  <si>
    <t>THIẾ BỊ MÁY PHÁT ĐIỆN 670kVA</t>
  </si>
  <si>
    <t>20.1</t>
  </si>
  <si>
    <t>Máy phát điện 3P4W-670kVA</t>
  </si>
  <si>
    <t>22</t>
  </si>
  <si>
    <t>THIẾT BỊ ĐIỆN NHẸ</t>
  </si>
  <si>
    <t>22.1</t>
  </si>
  <si>
    <t>Hệ thống mạng - phần thiết bị</t>
  </si>
  <si>
    <t>22.1.1</t>
  </si>
  <si>
    <t>Core switch  24 SFP</t>
  </si>
  <si>
    <t>22.1.2</t>
  </si>
  <si>
    <t>Bộ máy tính server</t>
  </si>
  <si>
    <t>22.1.3</t>
  </si>
  <si>
    <t>Router Load balance</t>
  </si>
  <si>
    <t>22.1.4</t>
  </si>
  <si>
    <t>WIFI CONTROLLER</t>
  </si>
  <si>
    <t>22.2</t>
  </si>
  <si>
    <t>Hệ thống mạng</t>
  </si>
  <si>
    <t>22.2.1</t>
  </si>
  <si>
    <t>Wifi gắn tường</t>
  </si>
  <si>
    <t>22.2.2</t>
  </si>
  <si>
    <t>Wifi âm trần</t>
  </si>
  <si>
    <t>22.2.3</t>
  </si>
  <si>
    <t>Switch poe 6p cổng RJ45 10/100/100</t>
  </si>
  <si>
    <t>22.2.4</t>
  </si>
  <si>
    <t>Switch poe 8p cổng RJ45 10/100/100</t>
  </si>
  <si>
    <t>22.2.5</t>
  </si>
  <si>
    <t>Switch poe 12p cổng RJ45 10/100/100</t>
  </si>
  <si>
    <t>22.2.6</t>
  </si>
  <si>
    <t>Switch poe 24p cổng RJ45 10/100/100</t>
  </si>
  <si>
    <t>22.2.7</t>
  </si>
  <si>
    <t>Switch 4p cổng RJ45 10/100/100</t>
  </si>
  <si>
    <t>22.2.8</t>
  </si>
  <si>
    <t>Switch 6p cổng RJ45 10/100/100</t>
  </si>
  <si>
    <t>22.2.9</t>
  </si>
  <si>
    <t>Switch 8p cổng RJ45 10/100/100</t>
  </si>
  <si>
    <t>22.2.10</t>
  </si>
  <si>
    <t>Switch 12p cổng RJ45 10/100/100</t>
  </si>
  <si>
    <t>22.2.11</t>
  </si>
  <si>
    <t>Switch 24p cổng RJ45 10/100/100</t>
  </si>
  <si>
    <t>22.2.12</t>
  </si>
  <si>
    <t>Patch Panel 4p</t>
  </si>
  <si>
    <t>22.2.13</t>
  </si>
  <si>
    <t>Patch Panel 6p</t>
  </si>
  <si>
    <t>22.2.14</t>
  </si>
  <si>
    <t>Patch Panel 8p</t>
  </si>
  <si>
    <t>22.2.15</t>
  </si>
  <si>
    <t>Patch Panel 12p</t>
  </si>
  <si>
    <t>22.2.16</t>
  </si>
  <si>
    <t>Patch Panel 24p</t>
  </si>
  <si>
    <t>22.3</t>
  </si>
  <si>
    <t>HỆ THỐNG ĐIỆN THOẠI - PHẦN THIẾT BỊ</t>
  </si>
  <si>
    <t>22.3.1</t>
  </si>
  <si>
    <t>Tổng đài điện thoại IP 30 trung kế số, 128 máy tính</t>
  </si>
  <si>
    <t>22.3.2</t>
  </si>
  <si>
    <t>Điện thoại IP Phone Sử dụng cho việc lập trình phím bấm, hiển thị cuộc gọi</t>
  </si>
  <si>
    <t>Chiếc</t>
  </si>
  <si>
    <t>22.3.3</t>
  </si>
  <si>
    <t>Phần mềm tính cước (Thống kê cước nội bộ, thống kế theo số máy lẻ và nhóm người dùng; Lọc các cuộc gọi theo thời gian linh hoạt; Thực hiện hiệu chỉnh để phù hợp với giá cước của Bưu điện và Tổng đài; Phân quyền sử dụng và quản trị).</t>
  </si>
  <si>
    <t>License</t>
  </si>
  <si>
    <t>22.3.4</t>
  </si>
  <si>
    <t>Máy in cước laser đen trắng. Khổ giấy: A4/A5. In đảo mặt: Không. Cổng giao tiếp: USB/ LAN</t>
  </si>
  <si>
    <t>22.4</t>
  </si>
  <si>
    <t>HỆ THỐNG CAMERA GIÁM SÁT AN NINH - PHẦN THIẾT BỊ</t>
  </si>
  <si>
    <t>22.4.1</t>
  </si>
  <si>
    <t>Camera dome hồng ngoại 4Megapixe</t>
  </si>
  <si>
    <t>22.4.2</t>
  </si>
  <si>
    <t>Camera thân hồng ngoại 4Megapixe</t>
  </si>
  <si>
    <t>22.4.3</t>
  </si>
  <si>
    <t>Camera Speeddome 2.0 Megapixel (OUR DOOR/ INDOOR)</t>
  </si>
  <si>
    <t>22.4.4</t>
  </si>
  <si>
    <t>Đầu ghi hình 32 kênh camera IP 1.5U 4HDD và phụ kiện</t>
  </si>
  <si>
    <t>22.4.5</t>
  </si>
  <si>
    <t>Ổ cứng chuyên dụng 6TB 3.5", 64Mb Cache, SATA 3,hỗ trợ RAID, hoạt động 24/7</t>
  </si>
  <si>
    <t>22.4.6</t>
  </si>
  <si>
    <t>Màn hình hiển thị camera Full HD 49" kèm giá treo tường</t>
  </si>
  <si>
    <t>22.4.7</t>
  </si>
  <si>
    <t>Bộ máy chủ 21"</t>
  </si>
  <si>
    <t>22.4.8</t>
  </si>
  <si>
    <t>Bộ phân nguồn</t>
  </si>
  <si>
    <t>22.5</t>
  </si>
  <si>
    <t>HỆ THỐNG CAMERA GIÁM SÁT AN NINH - PHẦN VẬT TƯ</t>
  </si>
  <si>
    <t>22.5.1</t>
  </si>
  <si>
    <t>Switch core 16 ports</t>
  </si>
  <si>
    <t>22.5.2</t>
  </si>
  <si>
    <t>Switch poe 24 ports</t>
  </si>
  <si>
    <t>22.5.3</t>
  </si>
  <si>
    <t>Switch poe 16 ports</t>
  </si>
  <si>
    <t>22.6</t>
  </si>
  <si>
    <t>HỆ THỐNG ÂM THANH CÔNG CỘNG - PHẦN THIẾT BỊ</t>
  </si>
  <si>
    <t>22.6.1</t>
  </si>
  <si>
    <t>Bộ điều khiển trung tâm 8 vùng</t>
  </si>
  <si>
    <t>22.6.2</t>
  </si>
  <si>
    <t>Bộ mở rộng 8 vùng</t>
  </si>
  <si>
    <t>22.6.3</t>
  </si>
  <si>
    <t>Micro chọn vùng</t>
  </si>
  <si>
    <t>22.6.4</t>
  </si>
  <si>
    <t>Bàn phím mở rộng 8 vùng</t>
  </si>
  <si>
    <t>22.6.5</t>
  </si>
  <si>
    <t>Đầu phát nhạc nền</t>
  </si>
  <si>
    <t>22.6.6</t>
  </si>
  <si>
    <t>Bộ khuếch đại công suất 500W</t>
  </si>
  <si>
    <t>22.6.7</t>
  </si>
  <si>
    <t>Loa trần 6W</t>
  </si>
  <si>
    <t>22.6.8</t>
  </si>
  <si>
    <t>Loa hộp 6W</t>
  </si>
  <si>
    <t>22.6.9</t>
  </si>
  <si>
    <t>Loa nén 15W</t>
  </si>
  <si>
    <t>22.7</t>
  </si>
  <si>
    <t>HỆ THỐNG KÍCH SÓNG ĐIỆN THOẠI - PHẦN THIẾT BỊ</t>
  </si>
  <si>
    <t>22.7.1</t>
  </si>
  <si>
    <t>Aten gắn trần</t>
  </si>
  <si>
    <t>22.7.2</t>
  </si>
  <si>
    <t>Anten gắn tường</t>
  </si>
  <si>
    <t>22.7.3</t>
  </si>
  <si>
    <t>Bộ trộn tín hiệu</t>
  </si>
  <si>
    <t>22.7.4</t>
  </si>
  <si>
    <t>Bộ chia 2</t>
  </si>
  <si>
    <t>22.7.5</t>
  </si>
  <si>
    <t>Bộ chia 3</t>
  </si>
  <si>
    <t>22.7.6</t>
  </si>
  <si>
    <t>Bộ chia 4</t>
  </si>
  <si>
    <t>22.8</t>
  </si>
  <si>
    <t>HỆ THỐNG QUẢN LÍ XE RA VÀO</t>
  </si>
  <si>
    <t>22.8.1</t>
  </si>
  <si>
    <t>Đầu đọc thẻ khoảng cách xa</t>
  </si>
  <si>
    <t>22.8.2</t>
  </si>
  <si>
    <t>Đầu đọc thẻ khoảng cách gần</t>
  </si>
  <si>
    <t>22.8.3</t>
  </si>
  <si>
    <t>Vòng loop kích hoạt đóng/mở barrier</t>
  </si>
  <si>
    <t>22.8.4</t>
  </si>
  <si>
    <t>Barrier chắn xe lối vào/ra</t>
  </si>
  <si>
    <t>22.8.5</t>
  </si>
  <si>
    <t>Bộ điều khiển chính</t>
  </si>
  <si>
    <t>22.8.6</t>
  </si>
  <si>
    <t>UPS 2kVA</t>
  </si>
  <si>
    <t>22.8.7</t>
  </si>
  <si>
    <t>Camera nhận dạng biển số xe máy</t>
  </si>
  <si>
    <t>22.8.8</t>
  </si>
  <si>
    <t>Camera nhận dạng biển số ô tô</t>
  </si>
  <si>
    <t>22.8.9</t>
  </si>
  <si>
    <t>Camera chụp toàn cảnh</t>
  </si>
  <si>
    <t>22.8.10</t>
  </si>
  <si>
    <t>Switch POE 8 cổng RJ45 10/100/100</t>
  </si>
  <si>
    <t>22.8.11</t>
  </si>
  <si>
    <t>Switch 24 cổng RJ45 10/100/100</t>
  </si>
  <si>
    <t>22.8.12</t>
  </si>
  <si>
    <t>Module chuyển đổi quang điện SFP</t>
  </si>
  <si>
    <t>22.8.13</t>
  </si>
  <si>
    <t>Máy tính cài phền mềm quản lý xe ra/vào</t>
  </si>
  <si>
    <t>22.8.14</t>
  </si>
  <si>
    <t>22.9</t>
  </si>
  <si>
    <t>HỆ THỐNG ÂM THANH HỘI HỌP PHÒNG HỘI NGHỊ ĐA NĂNG</t>
  </si>
  <si>
    <t>22.9.1</t>
  </si>
  <si>
    <t>Micro cổ ngỗng để bục 450mm</t>
  </si>
  <si>
    <t>22.9.2</t>
  </si>
  <si>
    <t>Micro Dynamic dùng cho Ca sĩ và ban nhạc</t>
  </si>
  <si>
    <t>22.9.3</t>
  </si>
  <si>
    <t>Micro Dynamic không dây UHF cầm tay</t>
  </si>
  <si>
    <t>22.9.4</t>
  </si>
  <si>
    <t>Micro không dây UHF cài áo</t>
  </si>
  <si>
    <t>22.9.5</t>
  </si>
  <si>
    <t>UHF Antenna 470MHz - 875MHz</t>
  </si>
  <si>
    <t>22.10</t>
  </si>
  <si>
    <t>HỆ THỐNG ÂM THANH BIỂU DIỄN CHUYÊN NGHIỆP</t>
  </si>
  <si>
    <t>22.10.1</t>
  </si>
  <si>
    <t>Loa biểu diễn 90°x50°, 600W/2300W 132dB</t>
  </si>
  <si>
    <t>22.10.2</t>
  </si>
  <si>
    <t>Loa toàn dải sân khấu 1500W, 134dB</t>
  </si>
  <si>
    <t>22.10.3</t>
  </si>
  <si>
    <t>Loa siêu trầm 18" 1300W, 134dB</t>
  </si>
  <si>
    <t>22.10.4</t>
  </si>
  <si>
    <t>Khuếch đại công suất có DSP 2x1400W@4Ω</t>
  </si>
  <si>
    <t>22.10.5</t>
  </si>
  <si>
    <t>Bàn trộn âm thanh 22 đường, có hiệu ứng</t>
  </si>
  <si>
    <t>22.10.6</t>
  </si>
  <si>
    <t>Bộ xử lý âm thanh kỹ thuật số 2:6 ngõ vào:ra</t>
  </si>
  <si>
    <t>22.10.7</t>
  </si>
  <si>
    <t>Bộ nén và kiểm soát tín hiệu âm thanh</t>
  </si>
  <si>
    <t>22.10.8</t>
  </si>
  <si>
    <t>Bộ lọc và cân bằng tần số âm thanh ra loa</t>
  </si>
  <si>
    <t>22.10.9</t>
  </si>
  <si>
    <t>Bộ lọc nhiễu tín hiệu âm thanh và chống hú</t>
  </si>
  <si>
    <t>22.10.10</t>
  </si>
  <si>
    <t>Bộ lọc nhiễu âm thanh cho nhạc cụ điện tử</t>
  </si>
  <si>
    <t>22.10.11</t>
  </si>
  <si>
    <t>Bộ tạo hiệu ứng âm thanh cho ca sĩ</t>
  </si>
  <si>
    <t>22.10.12</t>
  </si>
  <si>
    <t>Chân Micro cao 1600mm</t>
  </si>
  <si>
    <t>22.11</t>
  </si>
  <si>
    <t>HỆ THỐNG MÁY CHIẾU HÌNH ĐỘ NÉT CAO (DÙNG CHO HỘI NGHỊ)</t>
  </si>
  <si>
    <t>22.11.1</t>
  </si>
  <si>
    <t>Màn hình LED trong nhà 7650 x 4150mm</t>
  </si>
  <si>
    <t>Gói</t>
  </si>
  <si>
    <t>22.11.2</t>
  </si>
  <si>
    <t>Màn hình LED Backlit, tấm nền IPS 86", Full HD (1920x1080)</t>
  </si>
  <si>
    <t>22.12</t>
  </si>
  <si>
    <t>ÁNH SÁNG SÂN KHẤU</t>
  </si>
  <si>
    <t>22.12.1</t>
  </si>
  <si>
    <t>Đèn PAR LED 18x10W, RGBW, góc toả 45°, nhiệt độ màu 3200°K</t>
  </si>
  <si>
    <t>22.12.2</t>
  </si>
  <si>
    <t>Đèn Moving head beam 230W, bóng Metal Halide OSRAM/Philips, nhiệt màu 3200°K</t>
  </si>
  <si>
    <t>22.12.3</t>
  </si>
  <si>
    <t>Bộ chia tín hiệu DMX 1:8 đường vào:ra</t>
  </si>
  <si>
    <t>22.12.4</t>
  </si>
  <si>
    <t>Đèn Follow spot 230W đi kèm chân đứng</t>
  </si>
  <si>
    <t>22.12.5</t>
  </si>
  <si>
    <t>Máy tạo sương 1500W, thể tích 566m³/phút</t>
  </si>
  <si>
    <t>22.12.6</t>
  </si>
  <si>
    <t>Dung dịch tạo sương 5L/bình</t>
  </si>
  <si>
    <t>Bình</t>
  </si>
  <si>
    <t>22.12.7</t>
  </si>
  <si>
    <t>Bàn điều khiển 1024 DMX</t>
  </si>
  <si>
    <t>22.12.8</t>
  </si>
  <si>
    <t>Bộ giao tiếp điều khiển DMX 1024 qua máy tính</t>
  </si>
  <si>
    <t>22.12.9</t>
  </si>
  <si>
    <t>Đầu nối XLR (Male/Female)</t>
  </si>
  <si>
    <t>22.13</t>
  </si>
  <si>
    <t>CƠ KHÍ ÁNH SÁNG SÂN KHẤU</t>
  </si>
  <si>
    <t>22.13.1</t>
  </si>
  <si>
    <t>Bộ Motor giảm tốc trục vít, tang cuốn cáp, hệ Pully truyền dẫn và hệ điều khiển nâng hạ khung đèn sân khấu</t>
  </si>
  <si>
    <t>22.13.2</t>
  </si>
  <si>
    <t>Hệ cơ khí chịu lực theo không gian âm trần hệ Motor và hệ Pully Khung 280 x 400mm</t>
  </si>
  <si>
    <t>Hệ</t>
  </si>
  <si>
    <t>22.13.3</t>
  </si>
  <si>
    <t>Khung treo đèn hợp kim nhôm Tube φ 40mm, tam giác 200x2000</t>
  </si>
  <si>
    <t>Mét</t>
  </si>
  <si>
    <t>22.13.4</t>
  </si>
  <si>
    <t>Hệ cơ khí lắp đặt màn hình LED</t>
  </si>
  <si>
    <t>22.13.5</t>
  </si>
  <si>
    <t>Giá treo loa Line Array</t>
  </si>
  <si>
    <t>22.13.6</t>
  </si>
  <si>
    <t>Tủ điện cấp nguồn cho Hệ cơ khí</t>
  </si>
  <si>
    <t>22.14</t>
  </si>
  <si>
    <t>THIẾT BỊ ĐIỀU KHIỂN HỆ ÂM THANH &amp; PHÁT NHẠC NỀN</t>
  </si>
  <si>
    <t>22.14.1</t>
  </si>
  <si>
    <t>Bộ xử lý ma trận âm thanh kỹ thuật số 16x16 đường vào/ra, kèm chức năng kết nối với hệ thống báo cháy tự động</t>
  </si>
  <si>
    <t>22.14.2</t>
  </si>
  <si>
    <t>Bộ chia hiệu Antenna UHF</t>
  </si>
  <si>
    <t>22.14.3</t>
  </si>
  <si>
    <t>Bộ trộn tín hiệu Antenna</t>
  </si>
  <si>
    <t>22.14.4</t>
  </si>
  <si>
    <t>Loa kiểm tra âm thanh 100W tích hợp công suất</t>
  </si>
  <si>
    <t>22.14.5</t>
  </si>
  <si>
    <t>22.14.6</t>
  </si>
  <si>
    <t>Đầu nối BNC, RG59</t>
  </si>
  <si>
    <t>Cái</t>
  </si>
  <si>
    <t>22.15</t>
  </si>
  <si>
    <t>THIẾT BỊ XỬ LÝ VIDEO</t>
  </si>
  <si>
    <t>22.15.1</t>
  </si>
  <si>
    <t>Thiết bị chuyển đổi tín hiệu AV 4K  ra IP</t>
  </si>
  <si>
    <t>22.15.2</t>
  </si>
  <si>
    <t>22.15.3</t>
  </si>
  <si>
    <t>Thiết bị chuyển đổi tín hiệu IP ra AV 4K</t>
  </si>
  <si>
    <t>22.15.4</t>
  </si>
  <si>
    <t>Thiết bị trình chiếu không dây qua WIFI chuẩn Miracast và ShareNext</t>
  </si>
  <si>
    <t>22.15.5</t>
  </si>
  <si>
    <t>Màn hình LED Backlit, tấm nền IPS 55", Full HD, 350cd/m², góc nhìn 178°</t>
  </si>
  <si>
    <t>22.15.6</t>
  </si>
  <si>
    <t>Chân đế đặt màn hình</t>
  </si>
  <si>
    <t>22.15.7</t>
  </si>
  <si>
    <t>Bộ chia HDMI 1:4 4K</t>
  </si>
  <si>
    <t>22.15.8</t>
  </si>
  <si>
    <t>Dây HDMI 4K (4096x2160) 0.45M</t>
  </si>
  <si>
    <t>Sợi</t>
  </si>
  <si>
    <t>22.15.9</t>
  </si>
  <si>
    <t>Dây HDMI 4K (4096x2160) 0.9M</t>
  </si>
  <si>
    <t>22.15.10</t>
  </si>
  <si>
    <t>Dây HDMI 4K (4096x2160) 1.8M</t>
  </si>
  <si>
    <t>22.15.11</t>
  </si>
  <si>
    <t>Dây HDMI 4K (4096x2160) 3.6M</t>
  </si>
  <si>
    <t>22.15.12</t>
  </si>
  <si>
    <t>Plenum, Flexible, ultra-thin 4K/60 Premium 10.6m</t>
  </si>
  <si>
    <t>22.15.13</t>
  </si>
  <si>
    <t>Đầu nối tín hiệu RJ45, 10 chiếc/gói</t>
  </si>
  <si>
    <t>22.16</t>
  </si>
  <si>
    <t>THIẾT BỊ ĐIỀU KHIỂN TÍCH HỢP</t>
  </si>
  <si>
    <t>22.16.1</t>
  </si>
  <si>
    <t>Bộ tích hợp xử lý trung tâm thế hệ III, cho phép tích hợp KNX, BACnet, DALI, kèm giao diện Người dùng đa dạng</t>
  </si>
  <si>
    <t>22.16.2</t>
  </si>
  <si>
    <t>Card điều khiển 8 Relay 230V, 8A</t>
  </si>
  <si>
    <t>22.16.3</t>
  </si>
  <si>
    <t>Bộ chia nguồn và kết nối điều khiển Cresnet</t>
  </si>
  <si>
    <t>22.16.4</t>
  </si>
  <si>
    <t>Màn hình điều khiển 10" đi kèm ứng dụng</t>
  </si>
  <si>
    <t>22.16.5</t>
  </si>
  <si>
    <t>Bộ chuyển mạch Ethernet 24 cổng 100/10000</t>
  </si>
  <si>
    <t>22.16.6</t>
  </si>
  <si>
    <t>Máy tính điều khiển đi kèm màn hình 23"</t>
  </si>
  <si>
    <t>22.17</t>
  </si>
  <si>
    <t>THIẾT BỊ ĐIỆN VÀ PHỤ KIỆN LẮP ĐẶT</t>
  </si>
  <si>
    <t>22.17.1</t>
  </si>
  <si>
    <t>Tủ điện 1 pha, 18 Mô đun (Tủ điện cấp nguồn cho hệ thống âm thanh (1 tủ); Tủ điện cấp nguồn  hệ thống ánh sáng sân khấu (1 tủ); Tủ điện cấp nguồn cho hệ thống Video (1 tủ))</t>
  </si>
  <si>
    <t>22.17.2</t>
  </si>
  <si>
    <t>Hộp nối tín hiệu Video âm sàn/ tường</t>
  </si>
  <si>
    <t>22.17.3</t>
  </si>
  <si>
    <t>Bộ bảo vệ đột biến điện áp 1:8 ngõ vào:ra</t>
  </si>
  <si>
    <t>22.17.4</t>
  </si>
  <si>
    <t>Bộ lọc nhiễu điện và bảo vệ đa tầng, cách ly điện áp và chia nguồn 1:8 vào:ra 20A/230VAC</t>
  </si>
  <si>
    <t>22.17.5</t>
  </si>
  <si>
    <t>CAT6A F/UTP Twisted Pair Ethernet Cable</t>
  </si>
  <si>
    <t>22.17.6</t>
  </si>
  <si>
    <t>CAT6 điều khiển IP/RS232/422, cuộn 305M</t>
  </si>
  <si>
    <t>22.17.7</t>
  </si>
  <si>
    <t>Cáp Loa 2x16AWG, cuộn 305M</t>
  </si>
  <si>
    <t>22.17.8</t>
  </si>
  <si>
    <t>Cáp DMX 2x18AWG, chống nhiễu, cuộn 305M</t>
  </si>
  <si>
    <t>22.17.9</t>
  </si>
  <si>
    <t>Cáp đồng trục loại 50Ω, RG58</t>
  </si>
  <si>
    <t>22.17.10</t>
  </si>
  <si>
    <t>Cùm treo đèn Moving head</t>
  </si>
  <si>
    <t>22.17.11</t>
  </si>
  <si>
    <t>Cùm treo đèn PAR LED &amp; Fresnel</t>
  </si>
  <si>
    <t>22.17.12</t>
  </si>
  <si>
    <t>Tủ máy loại 19", 15U, đi kèm phiến nguồn 12 ổ cắm, khay đựng thiết bị 19"</t>
  </si>
  <si>
    <t>22.17.13</t>
  </si>
  <si>
    <t>Tủ máy loại 19", 42U, đi kèm phiến nguồn 12 ổ cắm, khay đựng thiết bị 19"</t>
  </si>
  <si>
    <t>22.18</t>
  </si>
  <si>
    <t>NHÂN CÔNG LẮP ĐẶT, T&amp;C VÀ HUẤN LUYỆN SỬ DỤNG</t>
  </si>
  <si>
    <t>22.18.1</t>
  </si>
  <si>
    <t>Công lắp hệ âm thanh biểu diễn gồm: Lắp máng, ống;  Kéo và nghiệm thu cáp loa và cáp âm thanh;  Lắp đặt và đấu nối thiết bị theo danh mục trên;  Lập trình điều khiển hệ thống; Tinh chỉnh, chạy thử và nghiệm thu thiết bị</t>
  </si>
  <si>
    <t>22.18.2</t>
  </si>
  <si>
    <t>Công lắp hệ Màn hình LED Module: - Lắp máng, ống;- Kéo và nghiệm thu cáp tín hiệu, cáp nguồn;- Lắp đặt và đấu nối thiết bị theo danh mục trên;- Lập trình điều khiển hệ thống;- Tinh chỉnh, chạy thử và nghiệm thu thiết bị</t>
  </si>
  <si>
    <t>hệ</t>
  </si>
  <si>
    <t>22.18.3</t>
  </si>
  <si>
    <t>Công lắp hệ ánh sáng sân khấu gồm: - Lắp máng, ống;- Kéo và nghiệm thu cáp tín hiệu và cáp nguồn;- Lắp đặt và đấu nối thiết bị theo danh mục trên;- Lập trình điều khiển hệ thống;- Tinh chỉnh, chạy thử và nghiệm thu thiết bị</t>
  </si>
  <si>
    <t>22.18.4</t>
  </si>
  <si>
    <t>Công lắp hệ cơ khí nâng hạ gồm: - Lắp máng, ống và hệ chịu lư5c;- Kéo và nghiệm thu tín hiệu và cáp nguồn;- Lắp đặt và đấu nối thiết bị theo danh mục trên;- Lập trình điều khiển hệ thống;- Tinh chỉnh, chạy thử và nghiệm thu thiết bị</t>
  </si>
  <si>
    <t>22.18.5</t>
  </si>
  <si>
    <t>Công lắp và tinh chỉnh hệ tủ nguồn và thiết bị:- Lắp máng, ống;- Kéo cáp tín hiệu và cáp nguồn;- Lắp đặt thiết bị theo danh mục trên</t>
  </si>
  <si>
    <t>25</t>
  </si>
  <si>
    <t>THIẾT BỊ MÁY BƠM VÀ MÁY NƯỚC NÓNG</t>
  </si>
  <si>
    <t>25.1</t>
  </si>
  <si>
    <t>HỆ THỐNG BƠM NƯỚC SINH HOẠT</t>
  </si>
  <si>
    <t>25.1.1</t>
  </si>
  <si>
    <t>Bơm sinh hoạt 25HP, Q=25m3/h, H=90m</t>
  </si>
  <si>
    <t>25.1.2</t>
  </si>
  <si>
    <t>Bơm tăng áp 3HP, Q=13m3/h, H=20m</t>
  </si>
  <si>
    <t>25.1.3</t>
  </si>
  <si>
    <t>Bơm chìm nước thải 3HP, Q=20m3/h, H=15m</t>
  </si>
  <si>
    <t>25.1.4</t>
  </si>
  <si>
    <t>Bơm chìm nước thải 1.8HP, Q=5m3/h, H=15m</t>
  </si>
  <si>
    <t>25.2</t>
  </si>
  <si>
    <t>HỆ THỐNG NƯỚC NÓNG</t>
  </si>
  <si>
    <t>25.2.1</t>
  </si>
  <si>
    <t>Bình nước nóng (30l)</t>
  </si>
  <si>
    <t>Tổng cộng</t>
  </si>
  <si>
    <t>ĐẠI DIỆN CHỦ ĐẦU TƯ</t>
  </si>
  <si>
    <t>ĐẠI DIỆN NHÀ THẦU</t>
  </si>
  <si>
    <t>Đơn vị 
tính</t>
  </si>
  <si>
    <t>Theo hợp đồng</t>
  </si>
  <si>
    <t>Lũy kế đến hết kỳ này</t>
  </si>
  <si>
    <t>Ghi chú</t>
  </si>
  <si>
    <t>Mẫu số 03a/TT</t>
  </si>
  <si>
    <t>BẢNG XÁC ĐỊNH GIÁ TRỊ KHỐI LƯỢNG CÔNG VIỆC HOÀN THÀNH 
THANH TOÁN LẦN THỨ: LẦN 01</t>
  </si>
  <si>
    <r>
      <t xml:space="preserve">Chủ đầu tư: </t>
    </r>
    <r>
      <rPr>
        <sz val="14"/>
        <rFont val="Times New Roman"/>
        <family val="1"/>
      </rPr>
      <t>Công an tỉnh Khánh Hoà</t>
    </r>
  </si>
  <si>
    <t>Căn cứ xác định:</t>
  </si>
  <si>
    <r>
      <rPr>
        <b/>
        <i/>
        <sz val="14"/>
        <rFont val="Times New Roman"/>
        <family val="1"/>
      </rPr>
      <t>Đơn vị:</t>
    </r>
    <r>
      <rPr>
        <i/>
        <sz val="14"/>
        <rFont val="Times New Roman"/>
        <family val="1"/>
      </rPr>
      <t xml:space="preserve"> Đồng</t>
    </r>
  </si>
  <si>
    <t>đồng</t>
  </si>
  <si>
    <t>2. Giá trị tạm ứng còn lại chưa thu hồi đến cuối kỳ trước:………………………………………………………………………………………………………</t>
  </si>
  <si>
    <t>3. Số tiền đã thanh toán khối lượng hoàn thành đến cuối kỳ trước:……………………………………………………………………………………………..</t>
  </si>
  <si>
    <t>4. Lũy kế giá trị khối lượng thực hiện đến cuối kỳ này:…………………………………………………………………………………………………………</t>
  </si>
  <si>
    <t>5. Thanh toán để thu hồi tạm ứng:……………………………………………………………………………………………………………………………….</t>
  </si>
  <si>
    <t>6. Giá trị đề nghị giải ngân kỳ này:………………………………………………………………………………………………………………………………</t>
  </si>
  <si>
    <t>Trong đó:</t>
  </si>
  <si>
    <t xml:space="preserve">     + Tạm ứng:</t>
  </si>
  <si>
    <t xml:space="preserve">     + Thanh toán khối lượng hoàn thành:……………………………………………………………………………………………………………………….</t>
  </si>
  <si>
    <t>7. Lũy kế giá trị giải ngân: ……………………………………………………………………………………………………………………………………….</t>
  </si>
  <si>
    <t xml:space="preserve">    + Tạm ứng: …………………………………………………………………………………………………………………………………………………..</t>
  </si>
  <si>
    <t xml:space="preserve">    + Thanh toán khối lượng hoàn thành:………………………………………………………………………………………………………………………..</t>
  </si>
  <si>
    <t>Khánh Hoà, ngày          tháng              năm 2024</t>
  </si>
  <si>
    <t xml:space="preserve">Số tiền bằng chữ:  </t>
  </si>
  <si>
    <t>Số cần đọc:</t>
  </si>
  <si>
    <t>Số đọc</t>
  </si>
  <si>
    <t>Đọc chữ</t>
  </si>
  <si>
    <t>Hàng đơn vị</t>
  </si>
  <si>
    <t xml:space="preserve"> không</t>
  </si>
  <si>
    <t>Hàng chục</t>
  </si>
  <si>
    <t xml:space="preserve"> Một</t>
  </si>
  <si>
    <t xml:space="preserve"> một</t>
  </si>
  <si>
    <t>Hàng trăm</t>
  </si>
  <si>
    <t xml:space="preserve"> Hai</t>
  </si>
  <si>
    <t xml:space="preserve"> hai</t>
  </si>
  <si>
    <t>Hàng nghìn</t>
  </si>
  <si>
    <t xml:space="preserve"> Ba</t>
  </si>
  <si>
    <t xml:space="preserve"> ba</t>
  </si>
  <si>
    <t>Hàng chục nghìn</t>
  </si>
  <si>
    <t xml:space="preserve"> Bốn</t>
  </si>
  <si>
    <t xml:space="preserve"> bốn</t>
  </si>
  <si>
    <t>Hàng trăm nghìn</t>
  </si>
  <si>
    <t xml:space="preserve"> Năm</t>
  </si>
  <si>
    <t xml:space="preserve"> năm</t>
  </si>
  <si>
    <t>Hàng triệu</t>
  </si>
  <si>
    <t xml:space="preserve"> Sáu</t>
  </si>
  <si>
    <t xml:space="preserve"> sáu</t>
  </si>
  <si>
    <t>Hàng chục triệu</t>
  </si>
  <si>
    <t xml:space="preserve"> Bảy</t>
  </si>
  <si>
    <t xml:space="preserve"> bảy</t>
  </si>
  <si>
    <t>Hàng trăm triệu</t>
  </si>
  <si>
    <t xml:space="preserve"> Tám</t>
  </si>
  <si>
    <t xml:space="preserve"> tám</t>
  </si>
  <si>
    <t>Hàng tỷ</t>
  </si>
  <si>
    <t xml:space="preserve"> Chín</t>
  </si>
  <si>
    <t xml:space="preserve"> chín</t>
  </si>
  <si>
    <t>Hàng chục tỷ</t>
  </si>
  <si>
    <t xml:space="preserve"> </t>
  </si>
  <si>
    <t>Hàng trăm tỷ</t>
  </si>
  <si>
    <t>Hàng nghìn tỷ</t>
  </si>
  <si>
    <t>Hàng chục nghìn tỷ</t>
  </si>
  <si>
    <t>Hàng trăm nghìn tỷ</t>
  </si>
  <si>
    <t>Với Font Unicode: Đọc số là:</t>
  </si>
  <si>
    <t>Với Font TCVN, VNI</t>
  </si>
  <si>
    <t xml:space="preserve"> - Copy Vùng dữ liệu ở trên đến vị trí khác. </t>
  </si>
  <si>
    <t xml:space="preserve"> - Thay đổi các chữ trong công thức ở vùng "C6:F20" bằng bảng mã TCVN </t>
  </si>
  <si>
    <t>hoặc VNI sẽ có được cách đọc tương ứng</t>
  </si>
  <si>
    <t>Giá trị sau khi giảm thuế làm tròn ( VAT8%)</t>
  </si>
  <si>
    <t>Tổng cộng làm tròn (VAT10%)</t>
  </si>
  <si>
    <t>CỘNG HÒA XÃ HỘI CHỦ NGHĨA VIỆT NAM</t>
  </si>
  <si>
    <t>Độc lập - Tự do - Hạnh phúc</t>
  </si>
  <si>
    <t>Khánh Hòa, ngày …... tháng …..năm 2024.</t>
  </si>
  <si>
    <t>I. THÀNH PHẦN THAM GIA NGHIỆM THU:</t>
  </si>
  <si>
    <t>- Ông: Võ Đình Khang</t>
  </si>
  <si>
    <t>II. THỜI GIAN NGHIỆM THU:</t>
  </si>
  <si>
    <t>- Bắt đầu :  08 giờ 00 phút, ngày….. tháng…...năm 2024.</t>
  </si>
  <si>
    <t>- Kết thúc:  10 giờ 30 phút, ngày….. tháng ….năm 2024.</t>
  </si>
  <si>
    <t>- Địa điểm: Tại công trình thi công.</t>
  </si>
  <si>
    <t>III. ĐÁNH GIÁ CÔNG VIỆC XÂY DỰNG ĐÃ THỰC HIỆN:</t>
  </si>
  <si>
    <t>1. Về tài liệu làm căn cứ nghiệm thu:</t>
  </si>
  <si>
    <t>- Căn cứ hồ sơ thiết kế, hồ sơ dự thầu đã được phê duyệt;</t>
  </si>
  <si>
    <t>- Căn cứ nhật ký thi công, nhật ký giám sát của TVGS và các văn bản khác có liên quan đến đối tượng nghiệm thu;</t>
  </si>
  <si>
    <t>- Căn cứ bản vẽ hoàn công hạng mục nghiệm thu;</t>
  </si>
  <si>
    <t>2. Về chất lượng công trình:</t>
  </si>
  <si>
    <t>- Kiểm tra đối tượng nghiệm thu tại hiện trường; đạt yêu cầu</t>
  </si>
  <si>
    <t>3. Về khối lượng công việc thực hiện:</t>
  </si>
  <si>
    <t>- Khối lượng thực hiện: Theo Bảng diễn giải khối lượng hoàn thành đính kèm.</t>
  </si>
  <si>
    <t>1. Đại diện Chủ đầu tư: Công an tỉnh Khánh Hòa</t>
  </si>
  <si>
    <t xml:space="preserve">- Ông: Nguyễn Văn Ngàn </t>
  </si>
  <si>
    <t xml:space="preserve">- Ông: Đường Trung Thành </t>
  </si>
  <si>
    <t xml:space="preserve">2. Đại diện Tư vấn Quản lý dự án: Công ty Cổ phần Tư vấn Quản lý dự án Việt Nam </t>
  </si>
  <si>
    <t xml:space="preserve">- Ông: Nguyễn Cảnh Tiến            </t>
  </si>
  <si>
    <t>3. Đại diện đơn vị giám sát: Công ty Cổ phần Coninco – Thăng Long</t>
  </si>
  <si>
    <t>4. Đại diện đơn vị thi công: Liên danh thi công Nhà khách CA tỉnh Khánh Hòa</t>
  </si>
  <si>
    <t xml:space="preserve">- Ông: </t>
  </si>
  <si>
    <t>- Ông: Huỳnh Tấn Khánh</t>
  </si>
  <si>
    <t>Tên công việc</t>
  </si>
  <si>
    <t>Đơn vị</t>
  </si>
  <si>
    <t>Khối lượng</t>
  </si>
  <si>
    <t>Thực hiện</t>
  </si>
  <si>
    <t>Lũy kế đến hết kỳ trước</t>
  </si>
  <si>
    <t>Lũy kế thanh toán đến hết kỳ này</t>
  </si>
  <si>
    <t>ĐẠI DIỆN TƯ VẤN QUẢN LÝ DỰ ÁN</t>
  </si>
  <si>
    <t>ĐẠI DIỆN TƯ VẤN GIÁM SÁT</t>
  </si>
  <si>
    <t>ĐẠI DIỆN ĐƠN VỊ THI CÔNG</t>
  </si>
  <si>
    <t xml:space="preserve"> Biên bản nghiệm thu khối lượng hoàn thành đợt 01 ngày……   tháng ….  .năm 2024. </t>
  </si>
  <si>
    <t xml:space="preserve">Tên công việc </t>
  </si>
  <si>
    <t>Đơn giá thanh toán theo
hợp đồng</t>
  </si>
  <si>
    <t xml:space="preserve">Thành tiền </t>
  </si>
  <si>
    <t xml:space="preserve">Khối lượng </t>
  </si>
  <si>
    <t xml:space="preserve">Khối lượng theo hợp đồng </t>
  </si>
  <si>
    <r>
      <t>Căn cứ Quyết định phê duyệt dự toán số (trong trường hợp thực hiện không thông qua hợp đồng):</t>
    </r>
    <r>
      <rPr>
        <sz val="14"/>
        <rFont val="Times New Roman"/>
        <family val="1"/>
      </rPr>
      <t>…..ngày    tháng    năm 2024</t>
    </r>
  </si>
  <si>
    <r>
      <rPr>
        <b/>
        <sz val="16"/>
        <rFont val="Times New Roman"/>
        <family val="1"/>
      </rPr>
      <t>BIÊN BẢN NGHIỆM THU 
 KHỐI LƯỢNG HOÀN THÀNH ĐỢT 1</t>
    </r>
    <r>
      <rPr>
        <b/>
        <sz val="16"/>
        <color rgb="FFFF0000"/>
        <rFont val="Times New Roman"/>
        <family val="1"/>
      </rPr>
      <t xml:space="preserve"> </t>
    </r>
  </si>
  <si>
    <t>Chênh lệch so với hợp đồng</t>
  </si>
  <si>
    <t>Lũy kế  đến hết kỳ này</t>
  </si>
  <si>
    <t xml:space="preserve"> Đề nghị thanh toán </t>
  </si>
  <si>
    <t>Diễn giải khối lượng</t>
  </si>
  <si>
    <t>Đơn
vị</t>
  </si>
  <si>
    <t xml:space="preserve"> Số lượng</t>
  </si>
  <si>
    <t>Kích thước</t>
  </si>
  <si>
    <t>Hệ số</t>
  </si>
  <si>
    <t>Dài</t>
  </si>
  <si>
    <t>Rộng</t>
  </si>
  <si>
    <t>Cao</t>
  </si>
  <si>
    <t>Chi tiết</t>
  </si>
  <si>
    <t>Theo HĐ</t>
  </si>
  <si>
    <t>Thực hiện
 kỳ này</t>
  </si>
  <si>
    <t>Lũy kế đến
 hết kỳ trước</t>
  </si>
  <si>
    <t>Thanh toán
 kỳ này</t>
  </si>
  <si>
    <t>Lũy kế đến
 hết kỳ này</t>
  </si>
  <si>
    <t>HẠNG MỤC: PHẦN CỌC</t>
  </si>
  <si>
    <t>Cọc thí nghiệm</t>
  </si>
  <si>
    <t xml:space="preserve">Cọc đại trà loại 1 </t>
  </si>
  <si>
    <t>Phần đất cát:</t>
  </si>
  <si>
    <t>Ép cọc ống bê tông cốt thép dự ứng lực bằng máy ép Robot thủy lực tự hành 860T, đất cấp I, đường kính cọc 600mm</t>
  </si>
  <si>
    <t>Cọc đại trà loại 1, dưới đài cọc cao 1.5m</t>
  </si>
  <si>
    <t>Cọc đại trà loại 1, dưới đài cọc cao 2.0m</t>
  </si>
  <si>
    <t>Cọc đại trà loại 1, dưới đài cọc cao 3.0m</t>
  </si>
  <si>
    <t>Ép cọc ống bê tông cốt thép dự ứng lực bằng máy ép Robot thủy lực tự hành 860T, đất cấp I, đường kính cọc 600mm, đoạn cọc không ngập đất (NC, MTC x 0.75)</t>
  </si>
  <si>
    <t>Ép cọc ống bê tông cốt thép dự ứng lực bằng máy ép Robot thủy lực tự hành 860T, đất cấp I, đường kính cọc 600mm, ép âm sử dụng cọc dẫn (NC, MTC x 1.05)</t>
  </si>
  <si>
    <t>Cắt đầu cọc (VD mã hiệu)</t>
  </si>
  <si>
    <t>Vận chuyển đất bằng ôtô tự đổ 7 tấn trong phạm vi &lt;= 1000m, đất cấp III</t>
  </si>
  <si>
    <t>BT đầu cọc: 203*3,14*0,3*0,3*0,6*0,01 = 0,344</t>
  </si>
  <si>
    <t>Vận chuyển đất bằng ô tô tự đổ 7T 1km tiếp theo ngoài phạm vi 5km, đất cấp III</t>
  </si>
  <si>
    <t>VC xa 5km, MTC x 4</t>
  </si>
  <si>
    <t>Thép liên kết cọc với đài</t>
  </si>
  <si>
    <t>BT chèn cọc ( tính theo đk trong của cọc)</t>
  </si>
  <si>
    <t>HẠNG MỤC: PHẦN DƯỚI CỐT 0.0M</t>
  </si>
  <si>
    <t>Đào móng công trình, chiều rộng móng ≤6m, bằng máy đào 1,25m3, đất cấp II</t>
  </si>
  <si>
    <t>Móng ( theo chu vi đóng cừ)</t>
  </si>
  <si>
    <t>(A-D)(1-4)</t>
  </si>
  <si>
    <t>(A-D)(4-8)</t>
  </si>
  <si>
    <t>Đài cọc:</t>
  </si>
  <si>
    <t>M1</t>
  </si>
  <si>
    <t>M2</t>
  </si>
  <si>
    <t>M4</t>
  </si>
  <si>
    <t>M5</t>
  </si>
  <si>
    <t>M6</t>
  </si>
  <si>
    <t>M6A</t>
  </si>
  <si>
    <t>M8</t>
  </si>
  <si>
    <t>M8A</t>
  </si>
  <si>
    <t>M8A1</t>
  </si>
  <si>
    <t>M9</t>
  </si>
  <si>
    <t>M9A</t>
  </si>
  <si>
    <t>M10</t>
  </si>
  <si>
    <t>M10A</t>
  </si>
  <si>
    <t>M11</t>
  </si>
  <si>
    <t>M13</t>
  </si>
  <si>
    <t>M19</t>
  </si>
  <si>
    <t>M21</t>
  </si>
  <si>
    <t>M25</t>
  </si>
  <si>
    <t>Dầm móng:</t>
  </si>
  <si>
    <t>DM-1: 54,2-(1,65+3,1+3,1+4,9+3,1+4,5+3,1+0,85) = 29,9</t>
  </si>
  <si>
    <t>DM-2: 23,4-(1,65+4,5+3,1+5,55) = 8,6</t>
  </si>
  <si>
    <t>DM-3:9,6-(2,25+2,15) = 5,2</t>
  </si>
  <si>
    <t>DM-4: 30,8-(1,25+4,9+4,5+3,1+0,95) = 16,1</t>
  </si>
  <si>
    <t>DM-5:15,6-(1,65+4,5+2,25) = 7,2</t>
  </si>
  <si>
    <t>DM-5A:30,8-(2,25+6,7+4,9+3,1+0,95) = 12,9</t>
  </si>
  <si>
    <t>DM-6:9,6-(2,45+2,95) = 4,2</t>
  </si>
  <si>
    <t>DM-7:38,1-(0,75+2*1,3+4,9+3,1+2,45) = 24,3</t>
  </si>
  <si>
    <t>DM7A:6,9-(2,45+2,95) = 1,5</t>
  </si>
  <si>
    <t>DM7B:6,5-(1,95+0,85) = 3,7</t>
  </si>
  <si>
    <t>DM-8:6,9-(1,55+2,05) = 3,3</t>
  </si>
  <si>
    <t>DM8A:(2,1-0,2) = 1,9</t>
  </si>
  <si>
    <t>DM-9:25,2-(0,75+6,7+6,7+2,25) = 8,8</t>
  </si>
  <si>
    <t>DM-10:25,2-(0,75+4,9+6,7+3,15) = 9,7</t>
  </si>
  <si>
    <t>DM-11:25,2-(0,75+4,9+6,7+1,65) = 11,2</t>
  </si>
  <si>
    <t>DM-12:25,2-(2,05+4,9+10,05) = 8,2</t>
  </si>
  <si>
    <t>DM-13:25,2-(2,55+4,5+4,9+0,85) = 12,4</t>
  </si>
  <si>
    <t>DM-14:25,2-(10,4+7,85) = 6,95</t>
  </si>
  <si>
    <t>DM-15:25,2-(9,85+7,55) = 7,8</t>
  </si>
  <si>
    <t>DM-16:25,2-(0,85+3,1+3,1+0,85) = 17,3</t>
  </si>
  <si>
    <t>DM-17:7,8-(2,25+2,65) = 2,9</t>
  </si>
  <si>
    <t>Đắp đất công trình bằng đầm đất cầm tay 70kg, độ chặt yêu cầu K=0,85</t>
  </si>
  <si>
    <t>KL đào máy</t>
  </si>
  <si>
    <t>trừ KL Bt đá 4x6</t>
  </si>
  <si>
    <t>trừ KL BT móng &lt;250cm</t>
  </si>
  <si>
    <t>trừ KL BT móng &gt;250cm</t>
  </si>
  <si>
    <t>trừ KL dầm móng</t>
  </si>
  <si>
    <t>trừ KL sàn móng</t>
  </si>
  <si>
    <t>trừ thể tích hầm</t>
  </si>
  <si>
    <t>Trừ thể tích hố ga hầm</t>
  </si>
  <si>
    <t>Trừ thể tích hố bơm</t>
  </si>
  <si>
    <t>Trừ thể tích hố bơm nước rửa lọc phòng bơm</t>
  </si>
  <si>
    <t>Vận chuyển đất bằng ôtô tự đổ 7T trong phạm vi ≤1000m, đất cấp II</t>
  </si>
  <si>
    <t>Trừ KL đắp (K90, hệ số x 1.1)</t>
  </si>
  <si>
    <t>Vận chuyển đất bằng ô tô tự đổ 7T 1km tiếp theo trong phạm vi ≤5km, đất cấp II</t>
  </si>
  <si>
    <t>VC xa 5km, MTC x4</t>
  </si>
  <si>
    <t>DM-1: 54,2-(1,55+2,9+2,9+4,7+2,9+4,3+2,9+0,75) = 31,3</t>
  </si>
  <si>
    <t>DM-2: 23,4-(1,55+4,3+2,9+5,35) = 9,3</t>
  </si>
  <si>
    <t>DM-3:9,6-(2,15+2,05) = 5,4</t>
  </si>
  <si>
    <t>DM-4: 30,8-(1,15+4,7+4,3+2,9+0,85) = 16,9</t>
  </si>
  <si>
    <t>DM-5:15,6-(1,55+4,3+2,15) = 7,6</t>
  </si>
  <si>
    <t>DM-5A:30,8-(2,15+6,5+4,7+2,9+0,85) = 13,7</t>
  </si>
  <si>
    <t>DM-6:9,6-(2,35+2,85) = 4,4</t>
  </si>
  <si>
    <t>DM7A:6,9-(2,35+2,85) = 1,7</t>
  </si>
  <si>
    <t>DM7B:6,5-(1,85+0,75) = 3,9</t>
  </si>
  <si>
    <t>DM-8:6,9-(1,45+1,95) = 3,5</t>
  </si>
  <si>
    <t>DM8A:(2,1-0,1) = 2</t>
  </si>
  <si>
    <t>DM-9:25,2-(0,65+6,5+6,5+2,15) = 9,4</t>
  </si>
  <si>
    <t>DM-10:25,2-(0,65+4,7+6,5+3,05) = 10,3</t>
  </si>
  <si>
    <t>DM-11:25,2-(0,65+4,7+6,5+1,55) = 11,8</t>
  </si>
  <si>
    <t>DM-12:25,2-(1,95+4,7+9,85) = 8,7</t>
  </si>
  <si>
    <t>DM-13:25,2-(2,45+4,3+4,7+0,75) = 13</t>
  </si>
  <si>
    <t>DM-14:25,2-(10,3+7,75) = 7,15</t>
  </si>
  <si>
    <t>DM-15:25,2-(9,75+7,45) = 8</t>
  </si>
  <si>
    <t>DM-16:25,2-(0,75+2,9+2,9+0,75) = 17,9</t>
  </si>
  <si>
    <t>DM-17:7,8-(2,15+2,55) = 3,1</t>
  </si>
  <si>
    <t>Sàn tầng hầm:</t>
  </si>
  <si>
    <t>(A-D)(1-8)</t>
  </si>
  <si>
    <t>(A'-A)(6-7)</t>
  </si>
  <si>
    <t>trừ KL chiếm chỗ:</t>
  </si>
  <si>
    <t>trục 1:</t>
  </si>
  <si>
    <t>trục 2:</t>
  </si>
  <si>
    <t>trục 3:</t>
  </si>
  <si>
    <t>trục 4:</t>
  </si>
  <si>
    <t>trục 5:</t>
  </si>
  <si>
    <t>trục 6:</t>
  </si>
  <si>
    <t>trục 7:</t>
  </si>
  <si>
    <t>trục 8:</t>
  </si>
  <si>
    <t>DM-14:25,2-(9,75+7,75) = 7,7</t>
  </si>
  <si>
    <t>Trừ mương nước:</t>
  </si>
  <si>
    <t>Trừ HG</t>
  </si>
  <si>
    <t>Trừ Hố bơm</t>
  </si>
  <si>
    <t>Trừ hố bơm nước rửa lọc của P.bơm</t>
  </si>
  <si>
    <t>Mương nước</t>
  </si>
  <si>
    <t>Hố ga</t>
  </si>
  <si>
    <t>Hố bơm</t>
  </si>
  <si>
    <t>Hố bơm nước rửa lọc của P.bơm</t>
  </si>
  <si>
    <t>Trừ hố bơm nước rửa lọc của p. bơm</t>
  </si>
  <si>
    <t>Láng nền sàn không đánh mầu,vữa XM mác 50 (VD mã hiệu tính vữa)</t>
  </si>
  <si>
    <t>Lớp vữa bảo vệ màng chống thấm</t>
  </si>
  <si>
    <t>trừ hố pít</t>
  </si>
  <si>
    <t>M1:4*1,1 = 4,4</t>
  </si>
  <si>
    <t>trừ giáp sàn</t>
  </si>
  <si>
    <t>M2:2*(1,1+2,9) = 8</t>
  </si>
  <si>
    <t>M4:4*2,9 = 11,6</t>
  </si>
  <si>
    <t>M5:2*(2,9+4,3) = 14,4</t>
  </si>
  <si>
    <t>M6:2*(2,9+4,7) = 15,2</t>
  </si>
  <si>
    <t>M6A:2*(2,9+4,7) = 15,2</t>
  </si>
  <si>
    <t>M8:2*(2,9+6,5) = 18,8</t>
  </si>
  <si>
    <t>M8A:2*(4,3+4,7) = 18</t>
  </si>
  <si>
    <t>M8A1:2*(4,3+4,7) = 18</t>
  </si>
  <si>
    <t>M9:4*4,7 = 18,8</t>
  </si>
  <si>
    <t>M9A:4*4,7 = 18,8</t>
  </si>
  <si>
    <t>M10:2*(4,3+6,5) = 21,6</t>
  </si>
  <si>
    <t>M10A:2*(2,9+8,3) = 22,4</t>
  </si>
  <si>
    <t>M11:2*(4,3+6,5) = 21,6</t>
  </si>
  <si>
    <t>M13:2*(4,3+8,3) = 25,2</t>
  </si>
  <si>
    <t>M19:2*(4,7+13,1) = 35,6</t>
  </si>
  <si>
    <t>M21:2*(4,7+13,3) = 36</t>
  </si>
  <si>
    <t>M25:2*(6,5+11,9) = 36,8</t>
  </si>
  <si>
    <t>vị trí hố pít: 2*(2,2+2,1) = 8,6</t>
  </si>
  <si>
    <t>2*(2,2+2,0) = 8,4</t>
  </si>
  <si>
    <t>Đk &lt;10</t>
  </si>
  <si>
    <t>Đk &lt;18</t>
  </si>
  <si>
    <t>Đk &gt;18</t>
  </si>
  <si>
    <t>Kết cấu đường dốc:</t>
  </si>
  <si>
    <t>D1:(0,55+1,65)/2 = 1,1</t>
  </si>
  <si>
    <t>D2</t>
  </si>
  <si>
    <t>Đk&lt;10</t>
  </si>
  <si>
    <t>Kết cấu đường dốc</t>
  </si>
  <si>
    <t>Cốt -3.3m:</t>
  </si>
  <si>
    <t>Rãnh thu nước</t>
  </si>
  <si>
    <t>Hố ga:</t>
  </si>
  <si>
    <t>đáy</t>
  </si>
  <si>
    <t>thành:2*(1,2+0,4) = 3,2</t>
  </si>
  <si>
    <t>Hố bơm:</t>
  </si>
  <si>
    <t>thành:2*(2,6+1,48) = 8,16</t>
  </si>
  <si>
    <t>Hố bơm nước rửa lọc p. bơm</t>
  </si>
  <si>
    <t>thành:2*(1,6+1,0) = 5,2</t>
  </si>
  <si>
    <t>trừ rãnh thu nước</t>
  </si>
  <si>
    <t>trừ HG</t>
  </si>
  <si>
    <t>trừ hố bơm</t>
  </si>
  <si>
    <t>trừ hố bơm nước rửa lọc p. bơm</t>
  </si>
  <si>
    <t>Cốt -1.5m:</t>
  </si>
  <si>
    <t>Nền</t>
  </si>
  <si>
    <t>Rãnh nước</t>
  </si>
  <si>
    <t>Nắp đan:</t>
  </si>
  <si>
    <t>Hố ga:2*(0,4+0,6) = 2</t>
  </si>
  <si>
    <t>Hố bơm:2*(1,04+2,08) = 6,24</t>
  </si>
  <si>
    <t>Hố bơm nước rửa lọc p. bơm:4*0,1 = 0,4</t>
  </si>
  <si>
    <t>Đan nắp HG</t>
  </si>
  <si>
    <t>Đan nắp hố bơm p. bơm</t>
  </si>
  <si>
    <t>Đan nắp hố bơm</t>
  </si>
  <si>
    <t>đk &lt;10</t>
  </si>
  <si>
    <t>Tường hầm:</t>
  </si>
  <si>
    <t>Loại 1:</t>
  </si>
  <si>
    <t>A(4-8):29,6-(2*0,3+3*0,8+0,6) = 26</t>
  </si>
  <si>
    <t>D(1-2):8,15-(0,4+0,5) = 7,25</t>
  </si>
  <si>
    <t>D(2'-8):41,05-(1,6+2,6+2*0,6+0,8+0,6) = 34,25</t>
  </si>
  <si>
    <t>1(B-D):17,9-(3,7+2,8+1,6) = 9,8</t>
  </si>
  <si>
    <t>8(C-D):6,8-(0,6+0,8) = 5,4</t>
  </si>
  <si>
    <t>Loại 2:</t>
  </si>
  <si>
    <t>A(1-3):15,95-3*0,4 = 14,75</t>
  </si>
  <si>
    <t>1(A-B):7,5-(0,1+0,3) = 7,1</t>
  </si>
  <si>
    <t>Loại 3:</t>
  </si>
  <si>
    <t>D(2-2')</t>
  </si>
  <si>
    <t>Loại 4:</t>
  </si>
  <si>
    <t>8(A-C):18,6-(0,6+0,8) = 17,2</t>
  </si>
  <si>
    <t>Loại 5:</t>
  </si>
  <si>
    <t>A(2-3):7,35-(0,25+0,2) = 6,9</t>
  </si>
  <si>
    <t>Loại 6:</t>
  </si>
  <si>
    <t>6'(A-A')</t>
  </si>
  <si>
    <t>Vách T1:2*1/2*6,55*1,1*0,3 = 2,162</t>
  </si>
  <si>
    <t>Tường hầm: ( tính 2 mặt)</t>
  </si>
  <si>
    <t>Vách T1:2*1/2*6,55*1,1*0,01 = 0,072</t>
  </si>
  <si>
    <t>Đk&lt;18</t>
  </si>
  <si>
    <t>Cốt -3.3m-&gt; 0.0m:</t>
  </si>
  <si>
    <t>V-01</t>
  </si>
  <si>
    <t>V-02</t>
  </si>
  <si>
    <t>V-2A</t>
  </si>
  <si>
    <t>V-03</t>
  </si>
  <si>
    <t>V-04</t>
  </si>
  <si>
    <t>V-05</t>
  </si>
  <si>
    <t>V-5A</t>
  </si>
  <si>
    <t>V-06</t>
  </si>
  <si>
    <t>V-07</t>
  </si>
  <si>
    <t>Lõi L-01:</t>
  </si>
  <si>
    <t>Thanh dọc</t>
  </si>
  <si>
    <t>Thanh ngang</t>
  </si>
  <si>
    <t>Trừ ô cửa thang máy</t>
  </si>
  <si>
    <t>Lõi L-02:</t>
  </si>
  <si>
    <t>V-01:2*(0,4+1,6) = 4</t>
  </si>
  <si>
    <t>V-02:2*(0,5+1,6) = 4,2</t>
  </si>
  <si>
    <t>V-2A:2*(0,5+1,6) = 4,2</t>
  </si>
  <si>
    <t>V-03:2*(0,4+2,8) = 6,4</t>
  </si>
  <si>
    <t>V-04:2*(0,4+3,7) = 8,2</t>
  </si>
  <si>
    <t>V-05:2*(0,6+1,6) = 4,4</t>
  </si>
  <si>
    <t>V-5A:2*(0,5+1,6) = 4,2</t>
  </si>
  <si>
    <t>V-06:2*(0,5+1,6) = 4,2</t>
  </si>
  <si>
    <t>V-07:2*(0,3+1,2) = 3</t>
  </si>
  <si>
    <t>C-01</t>
  </si>
  <si>
    <t>C-02</t>
  </si>
  <si>
    <t>C-03</t>
  </si>
  <si>
    <t>C-04</t>
  </si>
  <si>
    <t>C-05</t>
  </si>
  <si>
    <t>C-06</t>
  </si>
  <si>
    <t>C-07 (tới cốt -0.15m)</t>
  </si>
  <si>
    <t>C-01:4*0,6 = 2,4</t>
  </si>
  <si>
    <t>C-02:4*0,8 = 3,2</t>
  </si>
  <si>
    <t>C-04:4*0,8 = 3,2</t>
  </si>
  <si>
    <t>C-05:4*0,8 = 3,2</t>
  </si>
  <si>
    <t>C-07 (tới cốt -0.15m): 4*0,4 = 1,6</t>
  </si>
  <si>
    <t>C-03:2*(0,8+1,2) = 4</t>
  </si>
  <si>
    <t>C-06:2*(1,2+1,6) = 5,6</t>
  </si>
  <si>
    <t>Tầng 1:</t>
  </si>
  <si>
    <t>D1-1:41,05-(1,6+2,6+2*0,6+0,8+0,5) = 34,35</t>
  </si>
  <si>
    <t>D1-1A:8,15-(0,4+0,5) = 7,25</t>
  </si>
  <si>
    <t>D1-1B:6,0- 0,5 = 5,5</t>
  </si>
  <si>
    <t>D1-2:17,9-(0,8+1,6+1,5) = 14</t>
  </si>
  <si>
    <t>D1-3:8,35-(0,6+0,5) = 7,25</t>
  </si>
  <si>
    <t>D1-4:24,6-(1,2+3*0,8) = 21</t>
  </si>
  <si>
    <t>D1-5:30,8-(0,4+0,6+0,5+2,6+0,3+0,4) = 26</t>
  </si>
  <si>
    <t>D1-5A:31,0-(0,4+3*0,5+1,2) = 27,9</t>
  </si>
  <si>
    <t>D1-6:31,1-(2*0,3+3*0,8+2*0,3+0,6) = 26,9</t>
  </si>
  <si>
    <t>D1-7</t>
  </si>
  <si>
    <t>D1-7A</t>
  </si>
  <si>
    <t>D1-7B:7,9-(0,4+0,1) = 7,4</t>
  </si>
  <si>
    <t>D1-8:17,9-(2*1,6+0,4) = 14,3</t>
  </si>
  <si>
    <t>D1-8A:7,6-(0,4+0,1) = 7,1</t>
  </si>
  <si>
    <t>D1-8B:9,9-(1,5+0,1) = 8,3</t>
  </si>
  <si>
    <t>7,8-2*1,5 = 4,8</t>
  </si>
  <si>
    <t>D1-9:17,9-(1,6+7,9) = 8,4</t>
  </si>
  <si>
    <t>D1-10:9,1-(1,2+1,6) = 6,3</t>
  </si>
  <si>
    <t>D1-11:7,9-(1,2+0,4) = 6,3</t>
  </si>
  <si>
    <t>D1-12:25,4-(3*0,8+0,6) = 22,4</t>
  </si>
  <si>
    <t>D1-13:25,4-(3*0,8+2*1,0+0,6) = 20,4</t>
  </si>
  <si>
    <t>D1-14:6,8-(0,5+0,8) = 5,5</t>
  </si>
  <si>
    <t>D1-14A:19,4-(0,6+2*0,8) = 17,2</t>
  </si>
  <si>
    <t>DP1-1:21,4-(3*0,8+2*0,3+0,4) = 18</t>
  </si>
  <si>
    <t>DP1-2:3,35-0,25 = 3,1</t>
  </si>
  <si>
    <t>DP1-2A:2,5-(0,4+0,1) = 2</t>
  </si>
  <si>
    <t>DP1-3:15,95-(3*0,3+2*0,5) = 14,05</t>
  </si>
  <si>
    <t>DP1-3A:8,2-(0,4+0,3+0,5) = 7</t>
  </si>
  <si>
    <t>DP1-4:8,15-(0,5+0,3+0,4) = 6,95</t>
  </si>
  <si>
    <t>DP1-5:4,72-(0,3+0,4) = 4,02</t>
  </si>
  <si>
    <t>DP1-6:15,95-(3-0,3+2*0,4) = 12,45</t>
  </si>
  <si>
    <t>DP1-7:15,95-3*0,4 = 14,75</t>
  </si>
  <si>
    <t>DP1-8:7,6-(0,4+0,3+0,8) = 6,1</t>
  </si>
  <si>
    <t>DP19:3,3-(0,2+0,3) = 2,8</t>
  </si>
  <si>
    <t>DP1-10:6,7-2*0,3 = 6,1</t>
  </si>
  <si>
    <t>DP1-11:17,9-(0,3+0,4+0,4+0,3) = 16,5</t>
  </si>
  <si>
    <t>DP1-11A:7,9-(0,3+0,4) = 7,2</t>
  </si>
  <si>
    <t>DP1-12:10,3-(0,3+2*0,4) = 9,2</t>
  </si>
  <si>
    <t>DP1-13:3,4-(0,3+0,4) = 2,7</t>
  </si>
  <si>
    <t>DP1-14: 10,3-(0,4+0,4) = 9,5</t>
  </si>
  <si>
    <t>DP1-15:17,9-(0,4+0,4+0,3) = 16,8</t>
  </si>
  <si>
    <t>DP1-16:11,9-2*0,8 = 10,3</t>
  </si>
  <si>
    <t>DP1-17:19,4-(0,3+2*0,8) = 17,5</t>
  </si>
  <si>
    <t>DP1-11:10,0-(0,4+0,3) = 9,3</t>
  </si>
  <si>
    <t>- Tầng 1:</t>
  </si>
  <si>
    <t>(A-B)(1-2)</t>
  </si>
  <si>
    <t>(A-B)(2-3)</t>
  </si>
  <si>
    <t>(A-B)(4-5)</t>
  </si>
  <si>
    <t>(A-B)(5-6)</t>
  </si>
  <si>
    <t>trừ trụ chiếm chỗ</t>
  </si>
  <si>
    <t>(A-B)(6-7)</t>
  </si>
  <si>
    <t>trừ ô trống sàn</t>
  </si>
  <si>
    <t>(A-B)(7-8)</t>
  </si>
  <si>
    <t>sàn dốc</t>
  </si>
  <si>
    <t>(B-C)(1-2)</t>
  </si>
  <si>
    <t>(B-C)(2-3)</t>
  </si>
  <si>
    <t>(B-C)(3-4)</t>
  </si>
  <si>
    <t>(B-C)(4-5)</t>
  </si>
  <si>
    <t>(B-C)(5-6)</t>
  </si>
  <si>
    <t>(B-C)(6-7)</t>
  </si>
  <si>
    <t>(B-C)(7-8)</t>
  </si>
  <si>
    <t>(C-D)(1-2)</t>
  </si>
  <si>
    <t>(C-D)(2-3)</t>
  </si>
  <si>
    <t>(C-D)(3-4)</t>
  </si>
  <si>
    <t>(C-D)(4-5)</t>
  </si>
  <si>
    <t>(C-D)(5-6)</t>
  </si>
  <si>
    <t>(C-D)(6-7)</t>
  </si>
  <si>
    <t>(C-D)(7-8)</t>
  </si>
  <si>
    <t>đk&lt;10</t>
  </si>
  <si>
    <t>đk &lt;18</t>
  </si>
  <si>
    <t>Lanh tô cửa tầng hầm:</t>
  </si>
  <si>
    <t>LT-1000L</t>
  </si>
  <si>
    <t>LT-1500L</t>
  </si>
  <si>
    <t>LT-2000L</t>
  </si>
  <si>
    <t>LT-3000L</t>
  </si>
  <si>
    <t>LT-600L</t>
  </si>
  <si>
    <t>LT-750M</t>
  </si>
  <si>
    <t>LT-900M</t>
  </si>
  <si>
    <t>LT-900L</t>
  </si>
  <si>
    <t>Cầu thang 1:</t>
  </si>
  <si>
    <t>tầng hầm -&gt; tầng 1:</t>
  </si>
  <si>
    <t>DT-01</t>
  </si>
  <si>
    <t>Đan thang</t>
  </si>
  <si>
    <t>Chiếu nghỉ</t>
  </si>
  <si>
    <t>Cầu thang 2:</t>
  </si>
  <si>
    <t>- Tường hầm:</t>
  </si>
  <si>
    <t>Loại 1</t>
  </si>
  <si>
    <t>Loại 2</t>
  </si>
  <si>
    <t>Loại 3</t>
  </si>
  <si>
    <t>Loại 4</t>
  </si>
  <si>
    <t>Loại 5</t>
  </si>
  <si>
    <t>- Dt trám bả</t>
  </si>
  <si>
    <t>Biện pháp thi công tầng hầm</t>
  </si>
  <si>
    <t>Tính thuê 5 tháng ( 150 ngày)</t>
  </si>
  <si>
    <t>Chống văng H300x300x14x10: (94.0kg/m)</t>
  </si>
  <si>
    <t>Chiều dài theo thiết kế:</t>
  </si>
  <si>
    <t>Tổng: Biện pháp thi công tầng hầm</t>
  </si>
  <si>
    <t>Cừ Lasen</t>
  </si>
  <si>
    <t>Chiều dài cừ Lasen IV, L=9m</t>
  </si>
  <si>
    <t>(A-A')(1-8):(4,432+4,517+29,927+3,667+13,182+10,245+1,5+13,3+3,0+5,9)/0,4*9,0 = 2017,575</t>
  </si>
  <si>
    <t>D(1-8):(21,2+30,0)/0,4*9,0 = 1152</t>
  </si>
  <si>
    <t>1(A-D):24,504/0,4*9,0 = 551,34</t>
  </si>
  <si>
    <t>8(A-D):(0,85+25,2+1,35)/0,4*9,0 = 616,5</t>
  </si>
  <si>
    <t>Chiều dài cừ Lasen IV, L=12m</t>
  </si>
  <si>
    <t>D(3'-4'):(0,4+5,7+1,2)/0,4*12,0 = 219</t>
  </si>
  <si>
    <t>Tổng: Cừ Lasen</t>
  </si>
  <si>
    <t>Bể tự hoại &amp; Bể tách mỡ</t>
  </si>
  <si>
    <t>Bể tách mỡ</t>
  </si>
  <si>
    <t>Bể tự hoại</t>
  </si>
  <si>
    <t>Kl đào máy</t>
  </si>
  <si>
    <t xml:space="preserve">trừ KL chiếm chỗ: </t>
  </si>
  <si>
    <t>trừ KL BT lót 4x6</t>
  </si>
  <si>
    <t>trừ KL BT đá 1x2</t>
  </si>
  <si>
    <t>trừ thể tích bể tách mỡ</t>
  </si>
  <si>
    <t>trừ thể tích bể tự hoại</t>
  </si>
  <si>
    <t>Vận chuyển đất bằng ôtô tự đổ 7 tấn trong phạm vi ≤1000m, đất cấp II</t>
  </si>
  <si>
    <t>trừ Kl đắp</t>
  </si>
  <si>
    <t>Đáy bể tách mỡ</t>
  </si>
  <si>
    <t>Đáy bể tự hoại</t>
  </si>
  <si>
    <t>Đáy bể tách mỡ:2*(8,0+5,0) = 26</t>
  </si>
  <si>
    <t>Đáy bể tự hoại:2*(9,0+7,0) = 32</t>
  </si>
  <si>
    <t>Bể tách mỡ:</t>
  </si>
  <si>
    <t>Vách bao: 2*(7,6+4,0) = 23,2</t>
  </si>
  <si>
    <t>vách ngăn</t>
  </si>
  <si>
    <t>trừ lỗ mở</t>
  </si>
  <si>
    <t>Nắp bể</t>
  </si>
  <si>
    <t>Bể tự hoại:</t>
  </si>
  <si>
    <t>Vách bao: 2*(8,6+6,0) = 29,2</t>
  </si>
  <si>
    <t>vách ngăn: (6,0+4,0) = 10</t>
  </si>
  <si>
    <t>Đk&lt;10:</t>
  </si>
  <si>
    <t>Đk&lt;18:</t>
  </si>
  <si>
    <t>* Chống thấm mặt trong bể:</t>
  </si>
  <si>
    <t>thành:</t>
  </si>
  <si>
    <t>2*(4,0+2,96) = 13,92</t>
  </si>
  <si>
    <t>2*(1,7+4,0) = 11,4</t>
  </si>
  <si>
    <t>2*(1,9+4,0) = 11,8</t>
  </si>
  <si>
    <t>2*(3,7+6,0) = 19,4</t>
  </si>
  <si>
    <t>2*(3,0+4,0) = 14</t>
  </si>
  <si>
    <t>2*(2,7+4,0) = 13,4</t>
  </si>
  <si>
    <t>- DT trám bả</t>
  </si>
  <si>
    <t>Lần 2</t>
  </si>
  <si>
    <t>* Chống thấm tường ngoài</t>
  </si>
  <si>
    <t>2*(7,6+4,6) = 24,4</t>
  </si>
  <si>
    <t>2*(8,6+6,6) = 30,4</t>
  </si>
  <si>
    <t>DT trám bả</t>
  </si>
  <si>
    <t xml:space="preserve">Ngâm nước thử bể </t>
  </si>
  <si>
    <t>BỂ NƯỚC NGẦM</t>
  </si>
  <si>
    <t>Đào móng công trình, chiều rộng móng &lt;= 6m, bằng máy đào 1,25m3, đất cấp II</t>
  </si>
  <si>
    <t>Bể nước sinh hoạt:</t>
  </si>
  <si>
    <t>1/2*(3,6+8,83)*14,57*5,85/100 = 5,297</t>
  </si>
  <si>
    <t>5,3*5,5*5,85/100 = 1,705</t>
  </si>
  <si>
    <t>Bể nước PCCC:</t>
  </si>
  <si>
    <t>1/2*(4,61+6,32)*5,8*5,85/100 = 1,854</t>
  </si>
  <si>
    <t>1/2* (8,44+12,56)*10,37*5,85/100 = 6,37</t>
  </si>
  <si>
    <t>1/2*(3,8+9,03)*14,56*0,1/100 = 0,093</t>
  </si>
  <si>
    <t>5,3*5,5*5,85*0,1/100 = 0,171</t>
  </si>
  <si>
    <t>1/2*(4,81+6,52)*5,8*0,1/100 = 0,033</t>
  </si>
  <si>
    <t>1/2* (8,64+12,76)*10,37*0,1/100 = 0,111</t>
  </si>
  <si>
    <t>1. KL đào máy: 15,461 = 15,461</t>
  </si>
  <si>
    <t xml:space="preserve">2. Trừ KL chiếm chỗ: </t>
  </si>
  <si>
    <t>trừ KL BT lót 4x6: -26,63/100 = -0,266</t>
  </si>
  <si>
    <t>trừ KL BT đá 1x2: -91,58/100 = -0,916</t>
  </si>
  <si>
    <t>trừ thể tích bể sinh hoạt:</t>
  </si>
  <si>
    <t>-1/2*(2,74+4,8)*13,47*5,5/100 = -2,793</t>
  </si>
  <si>
    <t>-5,3*5,5*5,5/100 = -1,603</t>
  </si>
  <si>
    <t>trừ thể tích bể PCCC:</t>
  </si>
  <si>
    <t>-1/2*(3,29+5,32)*4,9*5,5*0,01 = -1,16</t>
  </si>
  <si>
    <t>-1/2*(7,44+11,56)*9,37*5,5*0,01 = -4,896</t>
  </si>
  <si>
    <t>Vận chuyển đất bằng ôtô tự đổ 7 tấn trong phạm vi &lt;= 1000m, đất cấp II</t>
  </si>
  <si>
    <t>2. Trừ kl đắp (K85, hệ số 1.07): -3,828*1,07 = -4,096</t>
  </si>
  <si>
    <t>Vận chuyển đất bằng ô tô tự đổ 7T 1km tiếp theo trong phạm vi &lt;=5km, đất cấp II (4km tiếp theo)</t>
  </si>
  <si>
    <t>1/2*(3,8+9,03)*14,56*0,1 = 9,34</t>
  </si>
  <si>
    <t>5,3*5,5*0,1 = 2,915</t>
  </si>
  <si>
    <t>1/2*(4,81+6,52)*5,8*0,1 = 3,286</t>
  </si>
  <si>
    <t>1/2* (8,64+12,76)*10,37*0,1 = 11,096</t>
  </si>
  <si>
    <t>1/2*(3,6+8,83)*14,56*0,35 = 31,672</t>
  </si>
  <si>
    <t>5,3*5,5*0,35 = 10,203</t>
  </si>
  <si>
    <t>1/2*(4,61+6,32)*5,8*0,35 = 11,094</t>
  </si>
  <si>
    <t>1/2* (8,44+12,56)*10,37*0,35 = 38,11</t>
  </si>
  <si>
    <t>1/2*(3,6+8,83)*14,56*0,35/100 = 0,317</t>
  </si>
  <si>
    <t>(2*5,3+5,5)*0,35/100 = 0,056</t>
  </si>
  <si>
    <t>1/2*(4,61+6,32)*5,8*0,35/100 = 0,111</t>
  </si>
  <si>
    <t>1/2* (8,44+12,56)*10,37*0,35/100 = 0,381</t>
  </si>
  <si>
    <t>V-01 ( vách bao)</t>
  </si>
  <si>
    <t>2,44*5,5*0,3 = 4,026</t>
  </si>
  <si>
    <t>18,77*5,5*0,3 = 30,971</t>
  </si>
  <si>
    <t>14,07*5,5*0,3 = 23,216</t>
  </si>
  <si>
    <t>5,3*5,5*0,3 = 8,745</t>
  </si>
  <si>
    <t>4,9*5,5*0,3 = 8,085</t>
  </si>
  <si>
    <t>V-02 ( vách ngăn)</t>
  </si>
  <si>
    <t>4,2*5,5*0,3 = 6,93</t>
  </si>
  <si>
    <t>6,87*5,5*0,3 = 11,336</t>
  </si>
  <si>
    <t>trừ lỗ thăm: -1,5*1,5*0,3 = -0,675</t>
  </si>
  <si>
    <t>nắp bể:</t>
  </si>
  <si>
    <t>1/2*(2,44+4,2)*6,285*0,2 = 4,173</t>
  </si>
  <si>
    <t>1/2*(4,2+6,87)*6,285*0,2 = 6,957</t>
  </si>
  <si>
    <t>5*4,9*0,2 = 4,9</t>
  </si>
  <si>
    <t>góc bể: ( đáy và nắp bể)</t>
  </si>
  <si>
    <t>2*(2,44+4,2+6,285+7,03)/2*0,2*0,2 = 0,798</t>
  </si>
  <si>
    <t>2*(4,2+6,285+6,87+7,03)/2*0,2*0,2 = 0,975</t>
  </si>
  <si>
    <t>2*2*(5,0+4,9)/2*0,2*0,2 = 0,792</t>
  </si>
  <si>
    <t>V-01 (vách bao)</t>
  </si>
  <si>
    <t>2,69*5,5*0,3 = 4,439</t>
  </si>
  <si>
    <t>11,56*5,5*0,3 = 19,074</t>
  </si>
  <si>
    <t>9,37*5,5*0,3 = 15,461</t>
  </si>
  <si>
    <t>16,91*5,5*0,3 = 27,902</t>
  </si>
  <si>
    <t>6,84*5,5*0,3 = 11,286</t>
  </si>
  <si>
    <t>10,34*5,5*0,3 = 17,061</t>
  </si>
  <si>
    <t>trừ lỗ thăm: -2*1,5*1,5*0,3 = -1,35</t>
  </si>
  <si>
    <t>1/2*(2,69+4,72)*4,6*0,2 = 3,409</t>
  </si>
  <si>
    <t>1/2*(4,72+6,84)*4,235*0,2 = 4,896</t>
  </si>
  <si>
    <t>1/2*(6,84+10,34)*4,235*0,2 = 7,276</t>
  </si>
  <si>
    <t>2*(2,69+4,6+4,72+6,8)/2*0,2*0,2 = 0,752</t>
  </si>
  <si>
    <t>2*(4,72+4,235+6,84+4,75)/2*0,2*0,2 = 0,822</t>
  </si>
  <si>
    <t>2*(6,84+4,235+10,96+5,05)/2*0,2*0,2 = 1,083</t>
  </si>
  <si>
    <t>2*2,44*5,5/100 = 0,268</t>
  </si>
  <si>
    <t>2*18,77*5,5/100 = 2,065</t>
  </si>
  <si>
    <t>2*14,07*5,5/100 = 1,548</t>
  </si>
  <si>
    <t>2*5,3*5,5/100 = 0,583</t>
  </si>
  <si>
    <t>2*4,9*5,5/100 = 0,539</t>
  </si>
  <si>
    <t>2*4,2*5,5/100 = 0,462</t>
  </si>
  <si>
    <t>2*6,87*5,5/100 = 0,756</t>
  </si>
  <si>
    <t>trừ lỗ thăm: -2*1,5*1,5/100 = -0,045</t>
  </si>
  <si>
    <t>(2,44+4,2)*6,285/2/100 = 0,209</t>
  </si>
  <si>
    <t>(4,2+6,87)*6,285/2/100 = 0,348</t>
  </si>
  <si>
    <t>5*4,9/100 = 0,245</t>
  </si>
  <si>
    <t>2*2,69*5,5/100 = 0,296</t>
  </si>
  <si>
    <t>2*11,56*5,5/100 = 1,272</t>
  </si>
  <si>
    <t>2*9,37*5,5/100 = 1,031</t>
  </si>
  <si>
    <t>2*16,91*5,5/100 = 1,86</t>
  </si>
  <si>
    <t>2*6,84*5,5/100 = 0,752</t>
  </si>
  <si>
    <t>2*10,34*5,5/100 = 1,137</t>
  </si>
  <si>
    <t>(2,69+4,72)*4,6/2/100 = 0,17</t>
  </si>
  <si>
    <t>(4,72+6,84)*4,235/2/100 = 0,245</t>
  </si>
  <si>
    <t>(6,84+10,34)*4,235/2/100 = 0,364</t>
  </si>
  <si>
    <t>- Bể nước sinh hoạt:</t>
  </si>
  <si>
    <t>V-01: 2*45,48 = 90,96</t>
  </si>
  <si>
    <t>V-02: 2*11,07 = 22,14</t>
  </si>
  <si>
    <t>- Bể nước PCCC:</t>
  </si>
  <si>
    <t>V-01: 2*45,83 = 91,66</t>
  </si>
  <si>
    <t>V-02: 2*17,18 = 34,36</t>
  </si>
  <si>
    <t>D-1: 9,37*0,3*0,6 = 1,687</t>
  </si>
  <si>
    <t>DB-01: 96,61*0,3*0,4 = 11,593</t>
  </si>
  <si>
    <t>D-1: 9,37*(0,3+0,6*2)/100 = 0,141</t>
  </si>
  <si>
    <t>DB-01: 96,61*(0,3+0,4*2)/100 = 1,063</t>
  </si>
  <si>
    <t>- Bể nước ngầm: 658,2/1000 = 0,658</t>
  </si>
  <si>
    <t>- Bể nước ngầm: 47804,1/1000 = 47,804</t>
  </si>
  <si>
    <t>I. Bể nước sinh hoạt:</t>
  </si>
  <si>
    <t>đáy:</t>
  </si>
  <si>
    <t>1/2*(2,44+4,2)*6,285 = 20,866</t>
  </si>
  <si>
    <t>1/2*(4,2+6,87)*6,285 = 34,787</t>
  </si>
  <si>
    <t>5*4,9 = 24,5</t>
  </si>
  <si>
    <t>thành bể:</t>
  </si>
  <si>
    <t>(2,44+6,285+4,2+7,03)*5,3 = 105,762</t>
  </si>
  <si>
    <t>(4,2+6,87+6,285+7,03)*5,3 = 129,241</t>
  </si>
  <si>
    <t>2*(5,0+4,9)*5,3 = 104,94</t>
  </si>
  <si>
    <t>II. Bể nước PCCC:</t>
  </si>
  <si>
    <t>1/2*(2,69+4,72)*4,6 = 17,043</t>
  </si>
  <si>
    <t>1/2*(4,72+6,84)*4,235 = 24,478</t>
  </si>
  <si>
    <t>1/2*(6,84+10,34)*4,235 = 36,379</t>
  </si>
  <si>
    <t>1/2*(2,69+4,72)*4,6*5,3 = 90,328</t>
  </si>
  <si>
    <t>1/2*(4,72+6,84)*4,235*5,3 = 129,735</t>
  </si>
  <si>
    <t>1/2*(6,84+10,34)*4,235*5,3 = 192,807</t>
  </si>
  <si>
    <t>(2,44+4,2+6,285+7,03)*0,3 = 5,987</t>
  </si>
  <si>
    <t>(4,2+6,285+6,87+7,03)*0,3 = 7,316</t>
  </si>
  <si>
    <t>2*(5,0+4,9)*0,3 = 5,94</t>
  </si>
  <si>
    <t>(2,69+4,6+4,72+6,8)*0,3 = 5,643</t>
  </si>
  <si>
    <t>(4,72+4,235+6,84+4,75)*0,3 = 6,164</t>
  </si>
  <si>
    <t>(6,84+4,235+10,96+5,05)*0,3 = 8,126</t>
  </si>
  <si>
    <t>1. Bể nước sinh hoạt:</t>
  </si>
  <si>
    <t>(2,44+4,2)*6,285/2 = 20,866</t>
  </si>
  <si>
    <t>(4,2+6,87)*6,285/2 = 34,787</t>
  </si>
  <si>
    <t>(5+4,9)*2*5,3 = 104,94</t>
  </si>
  <si>
    <t>2. Bể nước PCCC:</t>
  </si>
  <si>
    <t>(2,69+4,72)*4,6/2 = 17,043</t>
  </si>
  <si>
    <t>(4,72+6,84)*4,235/2 = 24,478</t>
  </si>
  <si>
    <t>(6,84+10,34)*4,235/2 = 36,379</t>
  </si>
  <si>
    <t>(2,69+4,72)*5,3/2 = 19,637</t>
  </si>
  <si>
    <t>(4,72+6,84)*5,3/2 = 30,634</t>
  </si>
  <si>
    <t>(6,84+10,34)*5,3/2 = 45,527</t>
  </si>
  <si>
    <t>Tổng: Chống thấm mặt trong bể:</t>
  </si>
  <si>
    <t>- Bể nước sinh hoạt: (2,74+18,77+5,5+5,3+2,95+14,07)*5,5 = 271,315</t>
  </si>
  <si>
    <t>- Bể nước PCCC: (3,29+5,3+2,0+9,37+11,56+16,91)*5,5 = 266,365</t>
  </si>
  <si>
    <t>- Dt trám bả:</t>
  </si>
  <si>
    <t>(2,44+6,29+4,2+7,03)*5,3 = 105,788</t>
  </si>
  <si>
    <t>(4,2+6,87+6,29+7,03)*5,3 = 129,267</t>
  </si>
  <si>
    <t>(2,69+4,72)*4,6*5,3/2 = 90,328</t>
  </si>
  <si>
    <t>(4,72+6,84)*4,235*5,3/2 = 129,735</t>
  </si>
  <si>
    <t>(6,84+10,34)*4,235*5,3/2 = 192,807</t>
  </si>
  <si>
    <t>Tổng: Chống thấm tường ngoài</t>
  </si>
  <si>
    <t>Tổng cộng: BỂ NƯỚC NGẦM</t>
  </si>
  <si>
    <t>Đào móng công trình, chiều rộng móng &lt;= 6m, bằng máy đào 0,8m3, đất cấp II</t>
  </si>
  <si>
    <t>Móng đơn: 10*1,2*1,2*1,15/100 = 0,166</t>
  </si>
  <si>
    <t>Giằng móng</t>
  </si>
  <si>
    <t>Trục A&amp;B/1-5: 2*(15,8-4*1,2)*0,4*0,6/100 = 0,053</t>
  </si>
  <si>
    <t>Trục A-B: 5*(5,4-1,2)*0,4*0,6/100 = 0,05</t>
  </si>
  <si>
    <t>Bậc cấp: 4,05*0,65*0,2/100 = 0,005</t>
  </si>
  <si>
    <t>Khối lượng đất đào: 0,274 = 0,274</t>
  </si>
  <si>
    <t>Trừ KL BT lót móng: -3,67/100 = -0,037</t>
  </si>
  <si>
    <t>Trừ móng chiếm chỗ: -4,238/100 = -0,042</t>
  </si>
  <si>
    <t>Giằng GM</t>
  </si>
  <si>
    <t>Trục A&amp;B/1-5: -2*(15,8-4*0,22)*0,2*0,5/100 = -0,03</t>
  </si>
  <si>
    <t>Trục A-B: -5*(5,4-0,22)*0,2*0,5/100 = -0,026</t>
  </si>
  <si>
    <t>Đắp cát công trình bằng máy đầm đất cầm tay 70kg, độ chặt yêu cầu K=0,85</t>
  </si>
  <si>
    <t>Đắp nền nhà</t>
  </si>
  <si>
    <t>(15,8-0,2)*(5,4-0,2)*0,35/100 = 0,284</t>
  </si>
  <si>
    <t>Trừ KL đắp tận dụng: -0,16 = -0,16</t>
  </si>
  <si>
    <t>Móng đơn: 10*1,2*1,2*0,1 = 1,44</t>
  </si>
  <si>
    <t>Trục A&amp;B/1-5: 2*(15,8-4*0,22)*0,4*0,1 = 1,194</t>
  </si>
  <si>
    <t>Trục A-B: 5*(5,4-0,22)*0,4*0,1 = 1,036</t>
  </si>
  <si>
    <t>Móng đơn (10ck)</t>
  </si>
  <si>
    <t>Đế móng: 10*1*1*0,25 = 2,5</t>
  </si>
  <si>
    <t>Phần vát: 10*0,25/6*(0,32*0,42+1*1+(0,32+1)*(0,42+1)) = 1,254</t>
  </si>
  <si>
    <t>Cổ móng: 10*0,22*0,22*1 = 0,484</t>
  </si>
  <si>
    <t>Đế móng: 10*4*0,25/100 = 0,1</t>
  </si>
  <si>
    <t>Cổ móng: 10*4*0,22*1/100 = 0,088</t>
  </si>
  <si>
    <t>Trừ diện tích tiếp xúc giằng: -26*0,2*0,5/100 = -0,026</t>
  </si>
  <si>
    <t>Trụ : 10*0,2*0,2*4,5 = 1,8</t>
  </si>
  <si>
    <t>Trụ : 10*4*0,2*4,5/100 = 0,36</t>
  </si>
  <si>
    <t>Trừ diện tích vk tiếp xúc dầm: -26*0,2*0,1/100 = -0,005</t>
  </si>
  <si>
    <t>Trục A&amp;B/1-5: 2*(15,8-4*0,22)*0,2*0,5 = 2,984</t>
  </si>
  <si>
    <t>Trục A-B: 5*(5,4-0,22)*0,2*0,5 = 2,59</t>
  </si>
  <si>
    <t>Trục A&amp;B/1-5: 2*(15,8-4*0,22)*1/100 = 0,298</t>
  </si>
  <si>
    <t>Trục A-B: 5*(5,4-0,22)*1/100 = 0,259</t>
  </si>
  <si>
    <t>Giằng GT</t>
  </si>
  <si>
    <t>Trục A&amp;B/1-5: 2*(15,8-4*0,22)*0,2*0,1 = 0,597</t>
  </si>
  <si>
    <t>Trục 1&amp;5/A-B: 2*(5,4-0,22)*0,2*0,1 = 0,207</t>
  </si>
  <si>
    <t>Dầm DM</t>
  </si>
  <si>
    <t>Trục A&amp;B/1-5: 2*(15,8-4*0,2)*0,2*0,4 = 2,4</t>
  </si>
  <si>
    <t>Trục A-B: 5*(5,4-0,2)*0,2*0,4 = 2,08</t>
  </si>
  <si>
    <t>Trục A&amp;B/1-5: 2*(15,8-4*0,22)*0,2/100 = 0,06</t>
  </si>
  <si>
    <t>Trục 1&amp;5/A-B: 5*(5,4-0,22)*0,2/100 = 0,052</t>
  </si>
  <si>
    <t>Trục A&amp;B/1-5: 2*(15,8-4*0,22)*0,8/100 = 0,239</t>
  </si>
  <si>
    <t>Trục A-B: 5*(5,4-0,22)*0,8/100 = 0,207</t>
  </si>
  <si>
    <t>Trừ diện tích tiếp xúc sàn</t>
  </si>
  <si>
    <t>-(8*(5,5-0,22)+2*(15,8-4*0,22))*0,12/100 = -0,086</t>
  </si>
  <si>
    <t>Trừ diện tích tiếp xúc sê nô</t>
  </si>
  <si>
    <t>-(2*(5,4-0,22)+2*(15,8-4*0,22))*0,12/100 = -0,048</t>
  </si>
  <si>
    <t>Sàn</t>
  </si>
  <si>
    <t>Trục A-B/1-5: (5,4-0,2)*(15,8-4*0,2)*0,12 = 9,36</t>
  </si>
  <si>
    <t>Sê nô</t>
  </si>
  <si>
    <t>Đáy</t>
  </si>
  <si>
    <t>(2*15,8+0,2+2*(5,4+0,2+2*0,7))*0,6*0,12 = 3,298</t>
  </si>
  <si>
    <t>Thành</t>
  </si>
  <si>
    <t>(2*15,8+0,2+2*(5,4+0,2+2*0,7))*(0,4*0,12)*0,1 = 0,22</t>
  </si>
  <si>
    <t>Trục A-B/1-5: (5,4-0,2)*(15,8-4*0,2)/100 = 0,78</t>
  </si>
  <si>
    <t>(2*15,8+0,2+2*(5,4+0,2+2*0,7))*0,6/100 = 0,275</t>
  </si>
  <si>
    <t>Thành trong</t>
  </si>
  <si>
    <t>(2*15,8+0,2+2*(5,4+0,2+2*0,7))*(0,4*0,12)/100 = 0,022</t>
  </si>
  <si>
    <t>Thành ngoài</t>
  </si>
  <si>
    <t>(2*15,8+0,2+2*(5,4+0,2+2*0,7))*0,4/100 = 0,183</t>
  </si>
  <si>
    <t>Bệ đặt máy: (2,3*1,4+4,2*2)*0,2 = 2,324</t>
  </si>
  <si>
    <t>Bệ đặt máy: (2*(2,3+1,4)+2*(4,2+2))*0,2/100 = 0,04</t>
  </si>
  <si>
    <t>Móng</t>
  </si>
  <si>
    <t>Phi 6: 2*70,9/1000 = 0,142</t>
  </si>
  <si>
    <t>Bệ đặt máy</t>
  </si>
  <si>
    <t>(28+55,242)/1000 = 0,083</t>
  </si>
  <si>
    <t>Phi 6: (61,75+53,38+54,38+10,4+52,25+18,1+27,1+55,9)/1000 = 0,333</t>
  </si>
  <si>
    <t>Phi 16: (103,73+213,1+284,1+211,9+39,5+59,2)/1000 = 0,912</t>
  </si>
  <si>
    <t>Phi 18: (44,3+133)/1000 = 0,177</t>
  </si>
  <si>
    <t>Phi 6: 55,93/1000 = 0,056</t>
  </si>
  <si>
    <t>Phi 16: 452,7/1000 = 0,453</t>
  </si>
  <si>
    <t>Phi 10: 1152,8/1000 = 1,153</t>
  </si>
  <si>
    <t>Phi 6+10: (41,51+12,68+5,13)/1000 = 0,059</t>
  </si>
  <si>
    <t>Phi 12: 25,25/1000 = 0,025</t>
  </si>
  <si>
    <t>Bê tông lót nền nhà</t>
  </si>
  <si>
    <t>(15,8-4*0,2)*5,2*0,1 = 7,8</t>
  </si>
  <si>
    <t>Bậc cấp</t>
  </si>
  <si>
    <t>2*(3,95+2*0,6)*0,3*0,2 = 0,618</t>
  </si>
  <si>
    <t>2*(2,7+2*0,3)*0,3*0,1 = 0,198</t>
  </si>
  <si>
    <t>2*2,1*0,3*0,1 = 0,126</t>
  </si>
  <si>
    <t>Xây trên sê nô:</t>
  </si>
  <si>
    <t>2*(17,2+6,8)*0,6*0,09 = 2,592</t>
  </si>
  <si>
    <t>Trục A&amp;B/1-5: 2*(15,8-4*0,2)*(4,5-0,4-0,1)*0,19 = 22,8</t>
  </si>
  <si>
    <t>Trục 1&amp;5/A-B: 2*(5,4-0,22)*(4,5-0,4-0,1)*0,19 = 7,874</t>
  </si>
  <si>
    <t>Trừ cửa</t>
  </si>
  <si>
    <t>D: -2*2*2,2*0,19 = -1,672</t>
  </si>
  <si>
    <t>D2: -2*1,3*2,2*0,19 = -1,087</t>
  </si>
  <si>
    <t>S: -4*1,5*1,7*0,19 = -1,938</t>
  </si>
  <si>
    <t>Chân móng: (2*16+2*5,6-2*3,3)*0,45 = 16,47</t>
  </si>
  <si>
    <t>Trục A&amp;B/1-5: 2*(15,8-4*0,2)*(4,5-0,4-0,1) = 120</t>
  </si>
  <si>
    <t>Trục 1&amp;5/A-B: 2*(5,4-0,22)*(4,5-0,4-0,1) = 41,44</t>
  </si>
  <si>
    <t>2*(17,2+6,8)*0,6*2 = 57,6</t>
  </si>
  <si>
    <t>Mặt trên: 2*(17,2+6,8)*0,1 = 4,8</t>
  </si>
  <si>
    <t>D: -2*2*2,2 = -8,8</t>
  </si>
  <si>
    <t>D2: -2*1,3*2,2 = -5,72</t>
  </si>
  <si>
    <t>S: -4*1,5*1,7 = -10,2</t>
  </si>
  <si>
    <t>Diện tích ván khuôn: 0,355*100 = 35,5</t>
  </si>
  <si>
    <t>Trừ diện tích tiếp xúc tường: -20*0,2*(4,5-0,4-0,1) = -16</t>
  </si>
  <si>
    <t>Diện tích ván khuôn trần *100</t>
  </si>
  <si>
    <t>0,78*100 = 78</t>
  </si>
  <si>
    <t>(2*15,8+0,2+2*(5,4+0,2+2*0,7))*0,6 = 27,48</t>
  </si>
  <si>
    <t>(2*15,8+0,2+2*(5,4+0,2+2*0,7))*0,4 = 18,32</t>
  </si>
  <si>
    <t>Mái: 5,6*16 = 89,6</t>
  </si>
  <si>
    <t>Nền nhà: 15,6*5,2 = 81,12</t>
  </si>
  <si>
    <t>Qua cửa: 2*2*0,2 = 0,8</t>
  </si>
  <si>
    <t>Diện tích ván khuôn dầm *100</t>
  </si>
  <si>
    <t>0,423*100 = 42,3</t>
  </si>
  <si>
    <t>Trừ diện tích tiếp xúc tường</t>
  </si>
  <si>
    <t>-2*(15,8-4*0,22)*0,2 = -5,968</t>
  </si>
  <si>
    <t>-2*(5,4-0,22)*0,2 = -2,072</t>
  </si>
  <si>
    <t>Đục nhám, vệ sinh mặt bê tông (trước khi chống thấm) (VD mã hiệu SA.11921)</t>
  </si>
  <si>
    <t>Diện tích đục nhám : 135,4 = 135,4</t>
  </si>
  <si>
    <t>D1: 2*2*2,2 = 8,8</t>
  </si>
  <si>
    <t>D2: 2*1,3*2,2 = 5,72</t>
  </si>
  <si>
    <t>S1: 4*1,5*1,7 = 10,2</t>
  </si>
  <si>
    <t>14,52+10,2 = 24,72</t>
  </si>
  <si>
    <t>Diện tích trát tường ngoài: 215,59 = 215,59</t>
  </si>
  <si>
    <t>Diện tích trát trong: 136,72 = 136,72</t>
  </si>
  <si>
    <t>Trụ: 19,5 = 19,5</t>
  </si>
  <si>
    <t>Dầm: 34,26 = 34,26</t>
  </si>
  <si>
    <t>Sê nô: 45,8 = 45,8</t>
  </si>
  <si>
    <t>Trần: 78 = 78</t>
  </si>
  <si>
    <t>Diện tích bả tường ngoài: 215,59 = 215,59</t>
  </si>
  <si>
    <t>Diện tích bả bê tông ngoài nhà: 99,56 = 99,56</t>
  </si>
  <si>
    <t>Diện tích bả tường trong nhà: 136,72 = 136,72</t>
  </si>
  <si>
    <t>Diện tích bả bê tông trong nhà: 78 = 78</t>
  </si>
  <si>
    <t>PHẦN ĐIỆN</t>
  </si>
  <si>
    <t>3 = 3</t>
  </si>
  <si>
    <t>2 = 2</t>
  </si>
  <si>
    <t>9 = 9</t>
  </si>
  <si>
    <t>20 = 20</t>
  </si>
  <si>
    <t>65 = 65</t>
  </si>
  <si>
    <t>100 = 100</t>
  </si>
  <si>
    <t>32,5 = 32,5</t>
  </si>
  <si>
    <t>50 = 50</t>
  </si>
  <si>
    <t>1 = 1</t>
  </si>
  <si>
    <r>
      <t xml:space="preserve">Tên dự án: </t>
    </r>
    <r>
      <rPr>
        <sz val="14"/>
        <rFont val="Times New Roman"/>
        <family val="1"/>
      </rPr>
      <t>Nhà khách Công an tỉnh Khánh Hòa;</t>
    </r>
    <r>
      <rPr>
        <b/>
        <sz val="14"/>
        <rFont val="Times New Roman"/>
        <family val="1"/>
      </rPr>
      <t xml:space="preserve">                                                                                                                                                            Mã dự án: 7004692</t>
    </r>
  </si>
  <si>
    <r>
      <t xml:space="preserve">Tên gói thầu XL01: </t>
    </r>
    <r>
      <rPr>
        <sz val="14"/>
        <rFont val="Times New Roman"/>
        <family val="1"/>
      </rPr>
      <t>Hợp đồng thi công xây dựng công trình</t>
    </r>
  </si>
  <si>
    <r>
      <t>Nhà thầu:</t>
    </r>
    <r>
      <rPr>
        <sz val="14"/>
        <rFont val="Times New Roman"/>
        <family val="1"/>
      </rPr>
      <t xml:space="preserve"> Liên danh thi công nhà khách Công an tỉnh Khánh Hoà</t>
    </r>
  </si>
  <si>
    <t xml:space="preserve">Ghi chú </t>
  </si>
  <si>
    <t>- Ông: Lương Duy Quốc Tuấn</t>
  </si>
  <si>
    <t>- Ông: Nguyễn Văn Nam</t>
  </si>
  <si>
    <t>- Ông: Đặng Thái Sơn</t>
  </si>
  <si>
    <t>- Ông: Ngô Chí</t>
  </si>
  <si>
    <t>Nam đã sửa từ 0,8 thành 0,7</t>
  </si>
  <si>
    <t>Lấy hết</t>
  </si>
  <si>
    <t>Lấy thêm</t>
  </si>
  <si>
    <t>lấy  thêm</t>
  </si>
  <si>
    <t xml:space="preserve"> Bằng: (3) + (5) + (6)</t>
  </si>
  <si>
    <t>Bằng:  (2)-(5)</t>
  </si>
  <si>
    <t xml:space="preserve">Căn cứ hợp đồng số: 2706/2024/HĐXD ngày 27 tháng 6 năm 2024; Phụ lục Hợp đồng số 2706A/2024/HĐXD ngày 06/11/2024 ;  Phụ lục Hợp đồng số 2706B/2024/HĐXD ngày….../12/2024 và  Phụ lục Hợp đồng số 2706C/2024/HĐXD ngày ….../12/2024 </t>
  </si>
  <si>
    <t>Chức vụ: Phó giám đốc</t>
  </si>
  <si>
    <t>Chức vụ: Trưởng phòng PH10</t>
  </si>
  <si>
    <t>Chức vụ: Đội trưởng đội XD-ĐT phòng PH10</t>
  </si>
  <si>
    <t>Chức vụ: Giám đốc</t>
  </si>
  <si>
    <t>Chức vụ: PGĐ QLDA</t>
  </si>
  <si>
    <t>Chức vụ: Giám sát trưởng</t>
  </si>
  <si>
    <t>Chức vụ: CB Giám sát</t>
  </si>
  <si>
    <t>Chức vụ: Chỉ huy trưởng</t>
  </si>
  <si>
    <t>Chức vụ: Giám đốc Công ty</t>
  </si>
  <si>
    <t>Thực hiện kỳ này công ty CP QL và XD Đường bộ KH</t>
  </si>
  <si>
    <t>Thực hiện kỳ này Công ty Cơ điện lạnh Đông Sapa</t>
  </si>
  <si>
    <t>Nghiệm thu thực tế</t>
  </si>
  <si>
    <t xml:space="preserve">Thực hiện   kỳ này </t>
  </si>
  <si>
    <t>Thành viên Liên danh: Công ty TNHH Cơ điện Khánh Hòa</t>
  </si>
  <si>
    <t>- Ông: Trương Sỹ Trường</t>
  </si>
  <si>
    <t>Thành viên Liên danh: Công ty cổ phần Quản lý và Xây dựng đường bộ Khánh Hòa</t>
  </si>
  <si>
    <t>- Ông: Lê Thuận Đoàn</t>
  </si>
  <si>
    <t>Thành viên Liên danh: Công ty cổ phần Cơ điện lạnh Đông Sapa</t>
  </si>
  <si>
    <t>- Ông: Nguyễn Phú Hữu</t>
  </si>
  <si>
    <t>Công ty TNHH Tân Khánh Hòa KH</t>
  </si>
  <si>
    <t>Công ty TNHH Cơ điện Khánh Hòa</t>
  </si>
  <si>
    <t>Công ty cổ phần Quản lý và Xây dựng đường bộ Khánh Hòa</t>
  </si>
  <si>
    <t>Công ty cổ phần Cơ điện lạnh Đông Sapa</t>
  </si>
  <si>
    <t>23</t>
  </si>
  <si>
    <t>THIẾT BỊ ĐIỀU HÒA KHÔNG KHÍ (hệ thống ĐHKK trung tâm VRV, máy nén khí Inverter, môi chất lạnh R410A)</t>
  </si>
  <si>
    <t>23.1</t>
  </si>
  <si>
    <t>Dàn nóng một chiều lạnh - Điện áp 3 pha: Tổ hợp dàn nóng RXQ60AMYM, bao gồm các model tương đương sau (công suất lạnh 168kW):</t>
  </si>
  <si>
    <t>23.1.1</t>
  </si>
  <si>
    <t>RXQ20AYM (hoặc tương đương) - công suất lạnh 56kW</t>
  </si>
  <si>
    <t>Dàn</t>
  </si>
  <si>
    <t>23.1.2</t>
  </si>
  <si>
    <t>23.1.3</t>
  </si>
  <si>
    <t>23.1.4</t>
  </si>
  <si>
    <t>Bộ nối ống gas dàn nóng BHFP22P151-8 hoặc tương đương</t>
  </si>
  <si>
    <t>23.2</t>
  </si>
  <si>
    <t>Dàn nóng một chiều lạnh - Điện áp 3 pha: Tổ hợp dàn nóng RXQ58AMYM, bao gồm các model tương đương sau (công suất lạnh 162kW):</t>
  </si>
  <si>
    <t>23.2.1</t>
  </si>
  <si>
    <t>RXQ18AYM (hoặc tương đương) - công suất lạnh 50kW</t>
  </si>
  <si>
    <t>23.2.2</t>
  </si>
  <si>
    <t>RXQ20AYM (hoặc tương đương)- công suất lạnh 56kW</t>
  </si>
  <si>
    <t>23.2.3</t>
  </si>
  <si>
    <t>23.2.4</t>
  </si>
  <si>
    <t>Bộ nối ống gas dàn nóng BHFP22P151-8 (hoặc tương đương)</t>
  </si>
  <si>
    <t>23.3</t>
  </si>
  <si>
    <t>Dàn nóng một chiều lạnh - Điện áp 3 pha: Tổ hợp dàn nóng RXQ56AMYM, bao gồm các model tương đương sau (công suất lạnh 156kW):</t>
  </si>
  <si>
    <t>23.3.1</t>
  </si>
  <si>
    <t>23.3.2</t>
  </si>
  <si>
    <t>23.3.3</t>
  </si>
  <si>
    <t>23.3.4</t>
  </si>
  <si>
    <t>23.4</t>
  </si>
  <si>
    <t>Dàn nóng một chiều lạnh - Điện áp 3 pha: Tổ hợp dàn nóng RXQ52AMYM, bao gồm các model tương đương sau (công suất lạnh 145kW):</t>
  </si>
  <si>
    <t>23.4.1</t>
  </si>
  <si>
    <t>RXQ16AYM (hoặc tương đương) - công suất lạnh 45kW</t>
  </si>
  <si>
    <t>23.4.2</t>
  </si>
  <si>
    <t>23.4.3</t>
  </si>
  <si>
    <t>23.4.4</t>
  </si>
  <si>
    <t>23.5</t>
  </si>
  <si>
    <t>Dàn nóng một chiều lạnh - Điện áp 3 pha: Tổ hợp dàn nóng RXQ48AMYM, bao gồm các model tương đương sau (công suất lạnh 135kW):</t>
  </si>
  <si>
    <t>23.5.1</t>
  </si>
  <si>
    <t>RXQ14AYM (hoặc tương đương) - công suất lạnh 40kW</t>
  </si>
  <si>
    <t>23.5.2</t>
  </si>
  <si>
    <t>23.5.3</t>
  </si>
  <si>
    <t>23.5.4</t>
  </si>
  <si>
    <t>23.6</t>
  </si>
  <si>
    <t>Dàn nóng một chiều lạnh - Điện áp 3 pha: Tổ hợp dàn nóng RXQ42AMYM, bao gồm các model tương đương sau:</t>
  </si>
  <si>
    <t>23.6.1</t>
  </si>
  <si>
    <t>RXQ12AYM (hoặc tương đương) - công suất lạnh 33,5kW</t>
  </si>
  <si>
    <t>23.6.2</t>
  </si>
  <si>
    <t>23.6.3</t>
  </si>
  <si>
    <t>23.6.4</t>
  </si>
  <si>
    <t>23.7</t>
  </si>
  <si>
    <t>Dàn nóng một chiều lạnh - Điện áp 3 pha: Tổ hợp dàn nóng RXQ34AMYM, bao gồm các model tương đương sau (công suất lạnh 95kW):</t>
  </si>
  <si>
    <t>23.7.1</t>
  </si>
  <si>
    <t>RXQ16AYM (hoặc tương đương)</t>
  </si>
  <si>
    <t>23.7.2</t>
  </si>
  <si>
    <t>RXQ18AYM (hoặc tương đương)</t>
  </si>
  <si>
    <t>23.7.3</t>
  </si>
  <si>
    <t>Bộ nối ống gas dàn nóng BHFP22P100-8 (hoặc tương đương)</t>
  </si>
  <si>
    <t>23.8</t>
  </si>
  <si>
    <t>Dàn nóng một chiều lạnh - Điện áp 3 pha: Tổ hợp dàn nóng RXQ32AMYM (công suất lạnh 90kW):</t>
  </si>
  <si>
    <t>23.8.1</t>
  </si>
  <si>
    <t>23.8.2</t>
  </si>
  <si>
    <t>23.8.3</t>
  </si>
  <si>
    <t>23.9</t>
  </si>
  <si>
    <t>Dàn lạnh VRV: Dàn lạnh giấu trần nối ống gió loại mỏng - Áp suất tĩnh trung bình - Kèm bơm nước ngưng (Không kèm lưới lọc bụi)</t>
  </si>
  <si>
    <t>23.9.1</t>
  </si>
  <si>
    <t>FXSQ20PAVE9 (hoặc tương đương) - công suất lạnh 2,2kW</t>
  </si>
  <si>
    <t>23.9.2</t>
  </si>
  <si>
    <t>FXSQ25PAVE9 (hoặc tương đương) - công suất lạnh 2,8kW</t>
  </si>
  <si>
    <t>23.9.3</t>
  </si>
  <si>
    <t>FXSQ32PAVE9 (hoặc tương đương) - công suất lạnh 3,6kW</t>
  </si>
  <si>
    <t>23.9.4</t>
  </si>
  <si>
    <t>FXSQ40PAVE9 (hoặc tương đương) - công suất lạnh 4,5kW</t>
  </si>
  <si>
    <t>23.9.5</t>
  </si>
  <si>
    <t>FXSQ50PAVE9 (hoặc tương đương) - công suất lạnh 5,6kW</t>
  </si>
  <si>
    <t>23.9.6</t>
  </si>
  <si>
    <t>FXSQ63PAVE9 (hoặc tương đương) - công suất lạnh 7,1kW</t>
  </si>
  <si>
    <t>23.9.7</t>
  </si>
  <si>
    <t>FXSQ80PAVE9 (hoặc tương đương) - công suất lạnh 9kW</t>
  </si>
  <si>
    <t>23.9.8</t>
  </si>
  <si>
    <t>FXSQ100PAVE9 (hoặc tương đương) - công suất lạnh 11,2kW</t>
  </si>
  <si>
    <t>23.9.9</t>
  </si>
  <si>
    <t>FXSQ125PAVE9 (hoặc tương đương) - công suất lạnh 14kW</t>
  </si>
  <si>
    <t>23.10</t>
  </si>
  <si>
    <t>Dàn lạnh VRV: Thiết bị xử lý không khí AHU</t>
  </si>
  <si>
    <t>23.10.1</t>
  </si>
  <si>
    <t>AHUR100DBBVJY1 (hoặc tương đương)</t>
  </si>
  <si>
    <t>23.11</t>
  </si>
  <si>
    <t>Phụ Kiện:</t>
  </si>
  <si>
    <t>23.11.1</t>
  </si>
  <si>
    <t>Bộ chia gas dàn lạnh (KHRP26A(22/33/72/73)T8 hoặc tương đương)</t>
  </si>
  <si>
    <t>23.11.2</t>
  </si>
  <si>
    <t>Bộ điều khiển trung tâm ITM (DCM601A51 hoặc tương đương)</t>
  </si>
  <si>
    <t>23.11.3</t>
  </si>
  <si>
    <t>Bộ mở rộng ITM Plus Adaptor (DCM601A52 hoặc tương đương)</t>
  </si>
  <si>
    <t>23.11.4</t>
  </si>
  <si>
    <t>Bộ khuếch đại tín hiệu (DTA109A51 hoặc tương đương)</t>
  </si>
  <si>
    <t>23.11.5</t>
  </si>
  <si>
    <t>Bộ điều khiển có dây kèm theo dàn lạnh (BRC1E63 hoặc tương đương)</t>
  </si>
  <si>
    <t>23.11.6</t>
  </si>
  <si>
    <t>Bộ điều khiển cho AHU (Bao gồm bộ VSD, tủ điện điều khiển…)</t>
  </si>
  <si>
    <t>23.12.1</t>
  </si>
  <si>
    <t>Phí xử lý chống ăn mòn muối biển dàn nóng RXQ12AYM (hoặc tương đương)</t>
  </si>
  <si>
    <t>23.12.2</t>
  </si>
  <si>
    <t>Phí xử lý chống ăn mòn muối biển dàn nóng RXQ14AYM (hoặc tương đương)</t>
  </si>
  <si>
    <t>23.12.3</t>
  </si>
  <si>
    <t>Phí xử lý chống ăn mòn muối biển dàn nóng RXQ16AYM (hoặc tương đương)</t>
  </si>
  <si>
    <t>23.12.4</t>
  </si>
  <si>
    <t>Phí xử lý chống ăn mòn muối biển dàn nóng RXQ18AYM (hoặc tương đương)</t>
  </si>
  <si>
    <t>23.12.5</t>
  </si>
  <si>
    <t>Phí xử lý chống ăn mòn muối biển dàn nóng RXQ20AYM (hoặc tương đương)</t>
  </si>
  <si>
    <t>23.13</t>
  </si>
  <si>
    <t>Quạt thông gió</t>
  </si>
  <si>
    <t>23.13.1</t>
  </si>
  <si>
    <t>Quạt thông gió kiểu hướng trục treo trần nối ống gió:- Lưu lượng: 900 m3/h;- Cột áp: 250 pa;- Công suất điện: 0.18 kw (1ph/220v/50hz)</t>
  </si>
  <si>
    <t>23.13.2</t>
  </si>
  <si>
    <t>Quạt thông gió kiểu hướng trục treo trần nối ống gió:- Lưu lượng: 1,000 m3/h;- Cột áp: 300 pa;- Công suất điện: 0.37 kw (3ph/380v/50hz)</t>
  </si>
  <si>
    <t>23.13.3</t>
  </si>
  <si>
    <t>Quạt thông gió kiểu hướng trục treo trần nối ống gió:- Lưu lượng: 1,050 m3/h;- Cột áp: 250 pa;- Công suất điện: 0.37 kw (3ph/380v/50hz)</t>
  </si>
  <si>
    <t>23.13.4</t>
  </si>
  <si>
    <t>Quạt thông gió kiểu hướng trục treo trần nối ống gió:- Lưu lượng: 1,200 m3/h;- Cột áp: 250 pa;- Công suất điện: 0.37 kw (3ph/380v/50hz)</t>
  </si>
  <si>
    <t>23.13.5</t>
  </si>
  <si>
    <t>Quạt thông gió kiểu hướng trục treo trần nối ống gió:- Lưu lượng: 1,300 m3/h;- Cột áp: 200 pa;- Công suất điện: 0.37 kw (3ph/380v/50hz)</t>
  </si>
  <si>
    <t>23.13.6</t>
  </si>
  <si>
    <t>Quạt thông gió kiểu hướng trục treo trần nối ống gió:- Lưu lượng: 1,700 m3/h;- Cột áp: 250 pa;- Công suất điện: 0.37 kw (3ph/380v/50hz)</t>
  </si>
  <si>
    <t>23.13.7</t>
  </si>
  <si>
    <t>Quạt thông gió kiểu hướng trục treo trần nối ống gió: Lưu lượng: 2,000 m3/h;- Cột áp: 300 pa;- Công suất điện: 0.37 kw (3ph/380v/50hz)</t>
  </si>
  <si>
    <t>23.13.8</t>
  </si>
  <si>
    <t>Quạt thông gió kiểu hướng trục treo trần nối ống gió:- Lưu lượng: 2,900 m3/h;- Cột áp: 300 pa;- Công suất điện: 1.5 kw (3ph/380v/50hz)</t>
  </si>
  <si>
    <t>23.13.9</t>
  </si>
  <si>
    <t>Quạt thông gió kiểu hướng trục treo trần nối ống gió:;- Lưu lượng: 4,000 m3/h;- Cột áp: 300 pa;- Công suất điện: 1.5 kw (3ph/380v/50hz)</t>
  </si>
  <si>
    <t>23.13.10</t>
  </si>
  <si>
    <t>Quạt thông gió kiểu hướng trục treo trần nối ống gió:- Lưu lượng: 4,200 m3/h;- Cột áp: 300 pa;- Công suất điện: 1.5 kw (3ph/380v/50hz)</t>
  </si>
  <si>
    <t>23.13.11</t>
  </si>
  <si>
    <t>Quạt thông gió kiểu hướng trục treo trần nối ống gió:- Lưu lượng: 4,600 m3/h;- Cột áp: 400 pa;- Công suất điện: 1.5 kw (3ph/380v/50hz)</t>
  </si>
  <si>
    <t>23.13.12</t>
  </si>
  <si>
    <t>Quạt thông gió kiểu hướng trục treo trần nối ống gió:- Lưu lượng: 4,800 m3/h;- Cột áp: 400 pa;- Công suất điện: 1.5 kw (3ph/380v/50hz)</t>
  </si>
  <si>
    <t>23.13.13</t>
  </si>
  <si>
    <t>Quạt thông gió kiểu hướng trục treo trần nối ống gió:- Lưu lượng: 5,100 m3/h;- Cột áp: 300 pa;- Công suất điện: 1.5 kw (3ph/380v/50hz)</t>
  </si>
  <si>
    <t>23.13.14</t>
  </si>
  <si>
    <t>Quạt thông gió kiểu hướng trục treo trần nối ống gió:- Lưu lượng: 9,700 m3/h;- Cột áp: 400 pa;- Công suất điện: 3.3 kw (3ph/380v/50hz)</t>
  </si>
  <si>
    <t>23.13.15</t>
  </si>
  <si>
    <t>Quạt thông gió kiểu hướng trục treo trần nối ống gió (cấp khí bếp):- Lưu lượng: 25,50 m3/h;- Cột áp: 400 pa;- Công suất điện: 11.0 kw (3ph/380v/50hz)</t>
  </si>
  <si>
    <t>23.13.16</t>
  </si>
  <si>
    <t>Quạt thông gió kiểu hướng trục treo trần nối ống gió (hút khí bếp):- Lưu lượng: 30,000 m3/h;- Cột áp: 500 pa;- Công suất điện: 16.5 kw (3ph/380v/50hz)</t>
  </si>
  <si>
    <t>23.13.17</t>
  </si>
  <si>
    <t>Quạt thông gió kiểu ly tâm đặt sàn:- Lưu lượng: 6,800 m3/h;- Cột áp: 500 pa;- Công suất điện: 5.5 kw (3ph/380v/50hz)</t>
  </si>
  <si>
    <t>23.13.18</t>
  </si>
  <si>
    <t>Quạt thông gió kiểu ly tâm đặt sàn:- Lưu lượng: 8,300 m3/h;- Cột áp: 500 pa;- Công suất điện: 5.5 kw (3ph/380v/50hz)</t>
  </si>
  <si>
    <t>23.13.19</t>
  </si>
  <si>
    <t>Quạt thông gió kiểu gắn tường (Wall mounted):- Lưu lượng: 350 m3/h;- Cột áp: -- pa;- Công suất điện: 0.09 kw (1ph/220v/50hz)</t>
  </si>
  <si>
    <t>23.13.20</t>
  </si>
  <si>
    <t>Quạt thông gió kiểu gắn tường - kèm van MFD:- Lưu lượng: 500 m3/h;- Cột áp: -- pa;- Công suất điện: 0.09 kw (1ph/220v/50hz)</t>
  </si>
  <si>
    <t>23.13.21</t>
  </si>
  <si>
    <t>Quạt thông gió kiểu gắn tường:- Lưu lượng: 1,500 m3/h;- Cột áp: -- pa;- Công suất điện: 0.18 kw (1ph/220v/50hz)</t>
  </si>
  <si>
    <t>23.13.22</t>
  </si>
  <si>
    <t>Quạt thông gió kiểu gắn trần:- Lưu lượng: 70 m3/h;- Cột áp: -- pa;- Công suất điện: 0.07 kw (1ph/220v/50hz)</t>
  </si>
  <si>
    <t>23.13.23</t>
  </si>
  <si>
    <t>Quạt thông gió kiểu hướng trục treo trần nối ống gió:- Lưu lượng: 2000 m3/h;- Cột áp: 250 pa;- Công suất điện: 1.5 kw (3ph/380v/50hz)</t>
  </si>
  <si>
    <t>18.2</t>
  </si>
  <si>
    <t>XÂY LẮP TRẠM BIẾN ÁP</t>
  </si>
  <si>
    <t>18.2.1</t>
  </si>
  <si>
    <t>Cáp hạ thế Cu/XLPE/PVC-1x300mm2 (máy biến áp đến tủ điện tổng và từ máy phát điện đến tủ ATS)</t>
  </si>
  <si>
    <t>18.2.2</t>
  </si>
  <si>
    <t>Lắp đặt cáp trên giá đỡ đặt ở tường trong hầm cáp, trọng lượng cáp &lt;= 3kg/ m</t>
  </si>
  <si>
    <t>18.2.3</t>
  </si>
  <si>
    <t>Đầu cốt đồng M300mm2</t>
  </si>
  <si>
    <t>18.2.4</t>
  </si>
  <si>
    <t>Ép đầu cốt đồng các loại (không tính đầu cốt), Tiết diện cáp &lt;=300 mm2</t>
  </si>
  <si>
    <t>10 cái</t>
  </si>
  <si>
    <t>18.2.5</t>
  </si>
  <si>
    <t>Cáp trung thế 24kV Cu/XLPE/PVC 1x70mm2</t>
  </si>
  <si>
    <t>18.2.6</t>
  </si>
  <si>
    <t>Lắp đặt cáp trên giá đỡ đặt ở tường, trong hầm cáp, Trọng lượng cáp &lt; =1kg/m</t>
  </si>
  <si>
    <t>18.2.7</t>
  </si>
  <si>
    <t>Hộp đầu cáp Elbow 24kV-1x70mm2</t>
  </si>
  <si>
    <t>18.2.8</t>
  </si>
  <si>
    <t>Làm đầu cáp khô 22kV 1 pha,  cáp có tiết diện &lt; =70mm2</t>
  </si>
  <si>
    <t>đầu</t>
  </si>
  <si>
    <t>18.2.9</t>
  </si>
  <si>
    <t>Hộp đầu cáp Tplug 24kV-3x70mm2</t>
  </si>
  <si>
    <t>18.2.10</t>
  </si>
  <si>
    <t>Làm đầu cáp khô 22kV 1 pha,  cáp có tiết diện &lt;= 70mm2</t>
  </si>
  <si>
    <t>18.2.11</t>
  </si>
  <si>
    <t>Làm hộp nối cáp khô 22kV, cáp có tiết diện &lt;= 240mm2</t>
  </si>
  <si>
    <t>18.2.12</t>
  </si>
  <si>
    <t>Thép dẹt 40x4 mạ kẽm nhúng nóng</t>
  </si>
  <si>
    <t>kg</t>
  </si>
  <si>
    <t>18.2.13</t>
  </si>
  <si>
    <t>Đóng cọc tiếp địa (cọc có sẵn) )</t>
  </si>
  <si>
    <t>18.2.14</t>
  </si>
  <si>
    <t>Sản xuất và kéo rải dây tiếp địa (dây tiếp địa có sẵn)</t>
  </si>
  <si>
    <t>18.2.15</t>
  </si>
  <si>
    <t>Đào đất rãnh tiếp địa, rộng &lt; = 3 m, sâu &lt; = 1 m, đất cấp III</t>
  </si>
  <si>
    <t>18.2.16</t>
  </si>
  <si>
    <t>Đắp đất rãnh tiếp địa, hào cáp ngầm, K = 0,95</t>
  </si>
  <si>
    <t>18.2.17</t>
  </si>
  <si>
    <t>Lắp đặt biển tên trạm, tên lộ, sơ đồ một sợi</t>
  </si>
  <si>
    <t>18.3</t>
  </si>
  <si>
    <t>TUYẾN CÁP TRUNG THẾ</t>
  </si>
  <si>
    <t>18.3.1</t>
  </si>
  <si>
    <t>Cáp Cu/XLPE/PVC/DSTA/PVC 3x70mm2</t>
  </si>
  <si>
    <t>18.3.2</t>
  </si>
  <si>
    <t>Lắp đặt cáp trong ống bảo vệ, trọng lượng cáp &lt;= 10kg/m</t>
  </si>
  <si>
    <t>18.3.3</t>
  </si>
  <si>
    <t>Kéo rải và lắp cố định đường cáp ngầm, trọng lượng cáp &lt;= 18kg/m</t>
  </si>
  <si>
    <t>18.3.4</t>
  </si>
  <si>
    <t>Đào đất đặt dường ống, đường cáp có mở mái taluy, đất cấp III</t>
  </si>
  <si>
    <t>18.3.5</t>
  </si>
  <si>
    <t>Lắp đặt ống nhựa bảo vệ cáp, ống có đường kính&lt; =200mm</t>
  </si>
  <si>
    <t>18.3.6</t>
  </si>
  <si>
    <t>Bảo vệ đường cáp ngầm bằng rải cát đệm</t>
  </si>
  <si>
    <t>18.3.7</t>
  </si>
  <si>
    <t>Bảo vệ đường cáp ngầm bằng xếp gạch chỉ</t>
  </si>
  <si>
    <t>1000viên</t>
  </si>
  <si>
    <t>18.3.8</t>
  </si>
  <si>
    <t>Bảo vệ đường cáp ngầm bằng rải băng báo cáp</t>
  </si>
  <si>
    <t>18.3.9</t>
  </si>
  <si>
    <t>Đắp đất rãnh tiếp địa,hào cáp ngầm,độ chặt yêu cầu K = 0,95</t>
  </si>
  <si>
    <t>18.3.10</t>
  </si>
  <si>
    <t>Lắp đặt máy căt Recloser 3 pha ngoài trời loại &lt;=35kV</t>
  </si>
  <si>
    <t>18.3.11</t>
  </si>
  <si>
    <t>Lắp đặt thiết bị chống sét cấp điện áp &lt;= 35 kV</t>
  </si>
  <si>
    <t>18.3.12</t>
  </si>
  <si>
    <t>Xà đỡ cầu dao trên cột LT đơn (TL: 72,84 kg/bộ)</t>
  </si>
  <si>
    <t>18.3.13</t>
  </si>
  <si>
    <t>Lắp đặt xà thép cho cột néo, TL xà =&lt; 100kg</t>
  </si>
  <si>
    <t>18.3.14</t>
  </si>
  <si>
    <t>Xà trung gian 3P 24kV trên cột LT đơn (TL: 33,03 kg/bộ)</t>
  </si>
  <si>
    <t>18.3.15</t>
  </si>
  <si>
    <t>Lắp đặt xà thép cho cột néo, TL xà =&lt; 50kg</t>
  </si>
  <si>
    <t>18.4</t>
  </si>
  <si>
    <t>THÍ NGHIỆM</t>
  </si>
  <si>
    <t>18.4.1</t>
  </si>
  <si>
    <t>Thí nghiệm tiếp đất trạm biến áp, điện áp &lt;=35kV</t>
  </si>
  <si>
    <t>18.4.2</t>
  </si>
  <si>
    <t>Thí nghiệm máy ngắt khí SF6, điện áp &lt;=35kV, 3 pha</t>
  </si>
  <si>
    <t>18.4.3</t>
  </si>
  <si>
    <t>Thí nghiệm dao cách ly thao tác bằng cơ khí, điện áp &lt;=35kV, 3 pha</t>
  </si>
  <si>
    <t>18.4.4</t>
  </si>
  <si>
    <t>Thí nghiệm chống sét van  điện áp 22- 35kV, 1 pha</t>
  </si>
  <si>
    <t>18.4.5</t>
  </si>
  <si>
    <t>Thí nghiệm cáp lực, điện áp 1- 35kV, cáp 1 ruột</t>
  </si>
  <si>
    <t>18.4.6</t>
  </si>
  <si>
    <t>Thí nghiệm máy biến áp: 22kV - 35kV, máy biến áp 3 pha &gt;100kVA</t>
  </si>
  <si>
    <t>18.4.7</t>
  </si>
  <si>
    <t>Thí nghiệm cáp lực, điện áp &lt;=1000kV, cáp 1 ruột</t>
  </si>
  <si>
    <t>18.4.8</t>
  </si>
  <si>
    <t>Thí nghiệm máy phát điện, động cơ điện không đồng bộ, U&lt;1000V, công suất máy &lt;= 1000kW</t>
  </si>
  <si>
    <t>18.4.9</t>
  </si>
  <si>
    <t>Thí nghiệm công tơ 3 pha kỹ thuật số lập trình</t>
  </si>
  <si>
    <t>18.4.10</t>
  </si>
  <si>
    <t>Thí nghiệm tiếp đất của cột điện, cột thu lôi bằng thép</t>
  </si>
  <si>
    <t>1 vị trí</t>
  </si>
  <si>
    <t>18.4.11</t>
  </si>
  <si>
    <t>Thí nghiệm biến dòng điện &lt;=1kV</t>
  </si>
  <si>
    <t>18.4.12</t>
  </si>
  <si>
    <t>Thí nghiệm cách điện đứng, điện áp 3 - 35kV</t>
  </si>
  <si>
    <t>18.4.13</t>
  </si>
  <si>
    <t>Thí nghiệm nấc máy biến áp đồng bộ kế</t>
  </si>
  <si>
    <t>18.4.14</t>
  </si>
  <si>
    <t>Thí nghiệm Recloser</t>
  </si>
  <si>
    <t>21</t>
  </si>
  <si>
    <t>THIẾT BỊ TRẠM BIẾN ÁP 1.600kVA</t>
  </si>
  <si>
    <t>21.1</t>
  </si>
  <si>
    <t>Máy biến áp khô 22/0,4kV 3P- 1600kVA</t>
  </si>
  <si>
    <t>21.2</t>
  </si>
  <si>
    <t>Tủ trung thế 3 ngăn (ngăn CDPT, ngăn CDCC, ngăn đo đếm) 24kV-630A-20kA bao gồm cấu chì trung thế, bộ báo sự cố, điện trở sấy…</t>
  </si>
  <si>
    <t>21.3</t>
  </si>
  <si>
    <t>Tủ điện hạ thế tổng TBA 500V-3P-2500A</t>
  </si>
  <si>
    <t>21.4</t>
  </si>
  <si>
    <t>Tủ tụ bù 415V-640kVAr</t>
  </si>
  <si>
    <t>21.5</t>
  </si>
  <si>
    <t>Tủ ATS 3P-1000A</t>
  </si>
  <si>
    <t>21.6</t>
  </si>
  <si>
    <t>Cầu chỉ tự rơi FCO</t>
  </si>
  <si>
    <t>21.7</t>
  </si>
  <si>
    <t>Máy cắt điện ngoài trời Recloser</t>
  </si>
  <si>
    <t>21.8</t>
  </si>
  <si>
    <t>Chống sét van 24kV</t>
  </si>
  <si>
    <t>8</t>
  </si>
  <si>
    <t>HỆ THỐNG ĐIỀU HÒA THÔNG GIÓ</t>
  </si>
  <si>
    <t>8.1</t>
  </si>
  <si>
    <t>Phần ống gió</t>
  </si>
  <si>
    <t>8.1.1</t>
  </si>
  <si>
    <t>Ống gió mềm không cách nhiệt D150</t>
  </si>
  <si>
    <t>8.1.2</t>
  </si>
  <si>
    <t>Ống gió mềm không cách nhiệt D200</t>
  </si>
  <si>
    <t>8.1.3</t>
  </si>
  <si>
    <t>Ống gió tole không cách nhiệt 150x100  tole tráng kẽm 0,58mm</t>
  </si>
  <si>
    <t>8.1.4</t>
  </si>
  <si>
    <t>Ống gió tole không cách nhiệt 150x150  tole tráng kẽm 0,58mm</t>
  </si>
  <si>
    <t>8.1.5</t>
  </si>
  <si>
    <t>Ống gió tole không cách nhiệt 200x150  tole tráng kẽm 0,58mm</t>
  </si>
  <si>
    <t>8.1.6</t>
  </si>
  <si>
    <t>Ống gió tole không cách nhiệt 200x200  tole tráng kẽm 0,58mm</t>
  </si>
  <si>
    <t>8.1.7</t>
  </si>
  <si>
    <t>Ống gió tole không cách nhiệt 250x200  tole tráng kẽm 0,58mm</t>
  </si>
  <si>
    <t>8.1.8</t>
  </si>
  <si>
    <t>Ống gió tole không cách nhiệt 400x200  tole tráng kẽm 0,75mm</t>
  </si>
  <si>
    <t>8.1.9</t>
  </si>
  <si>
    <t>Ống gió tole không cách nhiệt 500x250 tole tráng kẽm 0,75mm</t>
  </si>
  <si>
    <t>8.1.10</t>
  </si>
  <si>
    <t>Ống gió tole không cách nhiệt 700x250 tole tráng kẽm 0,75mm</t>
  </si>
  <si>
    <t>8.1.11</t>
  </si>
  <si>
    <t>Ống gió tole không cách nhiệt 700x300 tole tráng kẽm 0,75mm</t>
  </si>
  <si>
    <t>8.1.12</t>
  </si>
  <si>
    <t>Ống gió tole không cách nhiệt 800x400 tole tráng kẽm 0,75mm</t>
  </si>
  <si>
    <t>8.1.13</t>
  </si>
  <si>
    <t>Ống gió 1000x400 tole tráng kẽm 0,75mm bọc cách nhiệt tấm dán (xốp NBR/PVC dạng ô kín) dày 25mm</t>
  </si>
  <si>
    <t>8.1.14</t>
  </si>
  <si>
    <t>Ống gió 1500x500 tole tráng kẽm 0,75mm bọc cách nhiệt tấm dán (xốp NBR/PVC dạng ô kín) dày 25mm</t>
  </si>
  <si>
    <t>8.1.15</t>
  </si>
  <si>
    <t>Ống gió 1500x650 tole tráng kẽm 0,75mm bọc cách nhiệt tấm dán (xốp NBR/PVC dạng ô kín) dày 25mm</t>
  </si>
  <si>
    <t>8.1.16</t>
  </si>
  <si>
    <t>8.1.17</t>
  </si>
  <si>
    <t>8.1.18</t>
  </si>
  <si>
    <t>8.1.19</t>
  </si>
  <si>
    <t>Ống gió mềm không cách nhiệt D250</t>
  </si>
  <si>
    <t>8.1.20</t>
  </si>
  <si>
    <t>Ống gió mềm không cách nhiệt D300</t>
  </si>
  <si>
    <t>8.1.21</t>
  </si>
  <si>
    <t>Cửa cấp gió: nhôm sơn tĩnh điện kèm van điều tiết, hộp gió bọc cách nhiệt tấm Thermobreak LS/Foil/G60, dầy 15mm, 1200x150, kiểu khe, kèm hộp gió 1200x150xH250</t>
  </si>
  <si>
    <t>cửa</t>
  </si>
  <si>
    <t>8.1.22</t>
  </si>
  <si>
    <t>Ống ø200, ống mềm kèm cách nhiệt bông thủy tinh dày 25mm</t>
  </si>
  <si>
    <t>8.1.23</t>
  </si>
  <si>
    <t>Cửa hồi gió nhôm sơn tĩnh điện (RAG) 800x500, kiểu lưới grille, kèm lọc bụi</t>
  </si>
  <si>
    <t>8.1.24</t>
  </si>
  <si>
    <t>Bạt nối mềm FCU</t>
  </si>
  <si>
    <t>8.1.25</t>
  </si>
  <si>
    <t>Tiêu âm trước và sau dàn lạnh điều hòa âm trần nối ống gió (bao gồm cả chức năng cách nhiệt), tôn 0.75 mm, tiêu âm bằng tấm sekisui dầy 25mm</t>
  </si>
  <si>
    <t>8.1.26</t>
  </si>
  <si>
    <t>Ống gió tươi đi trong hầm trần điều hòa tôn tráng kẽm bọc cách nhiệt tấm Thermobreak LS/Foil/G60, dầy 15mm, 150x100, tôn dày 0,48mm</t>
  </si>
  <si>
    <t>8.1.27</t>
  </si>
  <si>
    <t>Ống gió tươi đi trong hầm trần điều hòa tôn tráng kẽm bọc cách nhiệt tấm Thermobreak LS/Foil/G60, dầy 15mm, 150x150, tôn dày 0,48mm</t>
  </si>
  <si>
    <t>8.1.28</t>
  </si>
  <si>
    <t>Ống gió tươi đi trong hầm trần điều hòa tôn tráng kẽm bọc cách nhiệt tấm Thermobreak LS/Foil/G60, dầy 15mm, 200x150, tôn dày 0,48mm</t>
  </si>
  <si>
    <t>8.1.29</t>
  </si>
  <si>
    <t>Ống gió tươi đi trong hầm trần điều hòa tôn tráng kẽm bọc cách nhiệt tấm Thermobreak LS/Foil/G60, dầy 15mm, 200x200, tôn dày 0,48mm</t>
  </si>
  <si>
    <t>8.1.30</t>
  </si>
  <si>
    <t>Ống gió tươi đi trong hầm trần điều hòa tôn tráng kẽm bọc cách nhiệt tấm Thermobreak LS/Foil/G60, dầy 15mm, 250x200, tôn dày 0,48mm</t>
  </si>
  <si>
    <t>8.1.31</t>
  </si>
  <si>
    <t>Ống gió tươi đi trong hầm trần điều hòa tôn tráng kẽm bọc cách nhiệt tấm Thermobreak LS/Foil/G60, dầy 15mm, 300x200, tôn dày 0,58mm</t>
  </si>
  <si>
    <t>8.1.32</t>
  </si>
  <si>
    <t>Ống gió tươi đi trong hầm trần điều hòa tôn tráng kẽm bọc cách nhiệt tấm Thermobreak LS/Foil/G60, dầy 15mm, 400x250, tôn dày 0,58mm</t>
  </si>
  <si>
    <t>8.1.33</t>
  </si>
  <si>
    <t>Ống gió tươi đi trong hầm trần điều hòa tôn tráng kẽm bọc cách nhiệt tấm Thermobreak LS/Foil/G60, dầy 15mm, 500x250, tôn dày 0,58mm</t>
  </si>
  <si>
    <t>8.1.34</t>
  </si>
  <si>
    <t>Ống gió tươi đi trong hầm trần điều hòa tôn tráng kẽm bọc cách nhiệt tấm Thermobreak LS/Foil/G60, dầy 15mm, 600x300, tôn dày 0,75mm</t>
  </si>
  <si>
    <t>8.1.35</t>
  </si>
  <si>
    <t>Ống gió tươi đi trong hầm trần điều hòa tôn tráng kẽm bọc cách nhiệt tấm Thermobreak LS/Foil/G60, dầy 15mm, 700x300, tôn dày 0,75mm</t>
  </si>
  <si>
    <t>8.1.36</t>
  </si>
  <si>
    <t>Ống gió tươi đi trong hầm trần điều hòa tôn tráng kẽm bọc cách nhiệt tấm Thermobreak LS/Foil/G60, dầy 15mm, 900x300, tôn dày 0,75mm</t>
  </si>
  <si>
    <t>8.1.37</t>
  </si>
  <si>
    <t>Ống gió tươi bằng tôn tráng kẽm dầy 0.58mm, 150x100, tôn dày 0,58mm</t>
  </si>
  <si>
    <t>8.1.38</t>
  </si>
  <si>
    <t>Ống gió tươi bằng tôn tráng kẽm dầy 0.58mm, 200x150, tôn dày 0,58mm</t>
  </si>
  <si>
    <t>8.1.39</t>
  </si>
  <si>
    <t>Ống gió tươi bằng tôn tráng kẽm dầy 0.58mm, 250x200, tôn dày 0,58mm</t>
  </si>
  <si>
    <t>8.1.40</t>
  </si>
  <si>
    <t>Ống gió tươi bằng tôn tráng kẽm dầy 0.58mm, 300x200, tôn dày 0,58mm</t>
  </si>
  <si>
    <t>8.1.41</t>
  </si>
  <si>
    <t>Ống gió tươi bằng tôn tráng kẽm dầy 0.58mm, 400x200, tôn dày 0.58mm</t>
  </si>
  <si>
    <t>8.1.42</t>
  </si>
  <si>
    <t>VCD D100 bằng tole dầy 0.58mm</t>
  </si>
  <si>
    <t>8.1.43</t>
  </si>
  <si>
    <t>Louver + LCCT, 1000x300</t>
  </si>
  <si>
    <t>8.1.44</t>
  </si>
  <si>
    <t>Ống hút khí khu bếp: bằng inox 304 bọc bảo ôn bông thủy tinh dày 25mm, 300x300</t>
  </si>
  <si>
    <t>8.1.45</t>
  </si>
  <si>
    <t>Ống hút khí khu bếp: bằng inox 304 bọc bảo ôn bông thủy tinh dày 25mm, 1200x300</t>
  </si>
  <si>
    <t>8.1.46</t>
  </si>
  <si>
    <t>Ống hút khí khu bếp: bằng inox 304 bọc bảo ôn bông thủy tinh dày 25mm, 1200x600</t>
  </si>
  <si>
    <t>8.1.47</t>
  </si>
  <si>
    <t>Ống cấp khí khu bếp: bằng tôn tráng kẽm, 300x300, tôn dày 0.75mm</t>
  </si>
  <si>
    <t>8.1.48</t>
  </si>
  <si>
    <t>Ống cấp khí khu bếp: bằng tôn tráng kẽm, 1000x300, tôn dày 0.75mm</t>
  </si>
  <si>
    <t>8.1.49</t>
  </si>
  <si>
    <t>Cửa cấp gió+ OBD (300x300), kiểu grille, kèm hộp gió 300x300xH250</t>
  </si>
  <si>
    <t>8.1.50</t>
  </si>
  <si>
    <t>Cửa cấp gió+ OBD (600x600), kiểu grille, kèm hộp gió 600x600xH250</t>
  </si>
  <si>
    <t>8.1.51</t>
  </si>
  <si>
    <t>Cửa cấp gió+ OBD (1200x150), kiểu grille, kèm hộp gió 1200x150xH250</t>
  </si>
  <si>
    <t>8.1.52</t>
  </si>
  <si>
    <t>Cửa cấp gió+ OBD (1200x200), kiểu grille, kèm hộp gió 1200x200xH250</t>
  </si>
  <si>
    <t>8.1.53</t>
  </si>
  <si>
    <t>Cửa gió hồi (1200x200), kiểu grille, kèm hộp gió 1200x200xH250</t>
  </si>
  <si>
    <t>8.1.54</t>
  </si>
  <si>
    <t>Cửa hồi gió nhôm sơn tĩnh điện (RAG) KT (1200x150), kèm lọc bụi</t>
  </si>
  <si>
    <t>8.1.55</t>
  </si>
  <si>
    <t>Cửa hồi gió nhôm sơn tĩnh điện (RAG) KT (600x600), kèm lọc bụi</t>
  </si>
  <si>
    <t>8.1.56</t>
  </si>
  <si>
    <t>Cửa hút gió, nhôm sơn tĩnh điện kèm van điều tiết (EAG+OBD) KT (300x300), kiểu grille,kèm hộp gió 300x300xH250</t>
  </si>
  <si>
    <t>8.1.57</t>
  </si>
  <si>
    <t>Cửa hút gió, nhôm sơn tĩnh điện kèm van điều tiết (EAG+OBD) KT (450x450), kiểu grille,kèm hộp gió 450x450xH250</t>
  </si>
  <si>
    <t>8.1.58</t>
  </si>
  <si>
    <t>Cửa hút gió, nhôm sơn tĩnh điện kèm van điều tiết (EAG+OBD) KT (600x600), kiểu grille,kèm hộp gió 600x600xH250</t>
  </si>
  <si>
    <t>8.1.59</t>
  </si>
  <si>
    <t>Cửa thải gió ngoài nhôm sơn tĩnh điện, kèm chớp chống hắt &amp; lưới chắn côn trùng (EAL), Louver - (500x300)</t>
  </si>
  <si>
    <t>8.1.60</t>
  </si>
  <si>
    <t>Cửa thải gió ngoài nhôm sơn tĩnh điện, kèm chớp chống hắt &amp; lưới chắn côn trùng (EAL), Louver - (1500x300)</t>
  </si>
  <si>
    <t>8.1.61</t>
  </si>
  <si>
    <t>Cửa thải gió ngoài nhôm sơn tĩnh điện, kèm chớp chống hắt &amp; lưới chắn côn trùng (EAL), Louver - (2000x500)</t>
  </si>
  <si>
    <t>8.1.62</t>
  </si>
  <si>
    <t>Cửa thải gió ngoài nhôm sơn tĩnh điện, kèm chớp chống hắt &amp; lưới chắn côn trùng (EAL), Louver - (2500x1800)</t>
  </si>
  <si>
    <t>8.1.63</t>
  </si>
  <si>
    <t>Miệng lấy gió ngoài Louver - (1000x400) nhôm sơn tĩnh điện , kèm chớp chống hắt &amp; lưới chắn côn trùng (OAL)</t>
  </si>
  <si>
    <t>8.1.64</t>
  </si>
  <si>
    <t>Miệng lấy gió ngoài Louver - (2000x400) nhôm sơn tĩnh điện , kèm chớp chống hắt &amp; lưới chắn côn trùng (OAL)</t>
  </si>
  <si>
    <t>8.1.65</t>
  </si>
  <si>
    <t>Miệng lấy gió ngoài Louver - (2400x800) nhôm sơn tĩnh điện , kèm chớp chống hắt &amp; lưới chắn côn trùng (OAL)</t>
  </si>
  <si>
    <t>8.1.66</t>
  </si>
  <si>
    <t>Miệng lấy gió ngoài Louver - (2400x1500) nhôm sơn tĩnh điện , kèm chớp chống hắt &amp; lưới chắn côn trùng (OAL)</t>
  </si>
  <si>
    <t>8.1.67</t>
  </si>
  <si>
    <t>Miệng lấy gió ngoài Louver - (2500x800) nhôm sơn tĩnh điện , kèm chớp chống hắt &amp; lưới chắn côn trùng (OAL)</t>
  </si>
  <si>
    <t>8.1.68</t>
  </si>
  <si>
    <t>Van gió điều chỉnh bằng tay (VD), KT (150x100)</t>
  </si>
  <si>
    <t>8.1.69</t>
  </si>
  <si>
    <t>Van gió điều chỉnh bằng tay (VD), KT (150x150)</t>
  </si>
  <si>
    <t>8.1.70</t>
  </si>
  <si>
    <t>Van gió điều chỉnh bằng tay (VD), KT (200x150)</t>
  </si>
  <si>
    <t>8.1.71</t>
  </si>
  <si>
    <t>Van gió điều chỉnh bằng tay (VD), KT (200x200)</t>
  </si>
  <si>
    <t>8.1.72</t>
  </si>
  <si>
    <t>Van gió điều chỉnh bằng tay (VD), KT (250x200)</t>
  </si>
  <si>
    <t>8.1.73</t>
  </si>
  <si>
    <t>Van gió điều chỉnh bằng tay (VD), KT (500x300)</t>
  </si>
  <si>
    <t>8.1.74</t>
  </si>
  <si>
    <t>Van gió điều chỉnh bằng tay (VD), KT (800x300)</t>
  </si>
  <si>
    <t>8.1.75</t>
  </si>
  <si>
    <t>Van chặn lửa kiểu cầu chì nóng chảy (FD), KT (150x100)</t>
  </si>
  <si>
    <t>8.1.76</t>
  </si>
  <si>
    <t>Van chặn lửa kiểu cầu chì nóng chảy (FD), KT (150x150)</t>
  </si>
  <si>
    <t>8.1.77</t>
  </si>
  <si>
    <t>Van chặn lửa kiểu cầu chì nóng chảy (FD), KT (1200x300)</t>
  </si>
  <si>
    <t>8.1.78</t>
  </si>
  <si>
    <t>Tiêu âm trên đường ống gió KT (300x200xL800), tôn dày 0.75mm, bông thủy tinh dày 50mm, kèm bích</t>
  </si>
  <si>
    <t>8.1.79</t>
  </si>
  <si>
    <t>Tiêu âm trên đường ống gió KT (400x200xL800), tôn dày 0.75mm, bông thủy tinh dày 50mm, kèm bích</t>
  </si>
  <si>
    <t>8.1.80</t>
  </si>
  <si>
    <t>Tiêu âm trên đường ống gió KT (500x200xL1000), tôn dày 0.75mm, bông thủy tinh dày 50mm, kèm bích</t>
  </si>
  <si>
    <t>8.1.81</t>
  </si>
  <si>
    <t>Tiêu âm trên đường ống gió KT (500x250xL1000), tôn dày 0.75mm, bông thủy tinh dày 50mm, kèm bích</t>
  </si>
  <si>
    <t>8.1.82</t>
  </si>
  <si>
    <t>Tiêu âm trên đường ống gió KT (600x300xL1000), tôn dày 0.75mm, bông thủy tinh dày 50mm, kèm bích</t>
  </si>
  <si>
    <t>8.1.83</t>
  </si>
  <si>
    <t>Tiêu âm trên đường ống gió KT (700x250xL1000), tôn dày 0.75mm, bông thủy tinh dày 50mm, kèm bích</t>
  </si>
  <si>
    <t>8.1.84</t>
  </si>
  <si>
    <t>Tiêu âm trên đường ống gió KT (800x250xL1000), tôn dày 0.75mm, bông thủy tinh dày 50mm, kèm bích</t>
  </si>
  <si>
    <t>8.1.85</t>
  </si>
  <si>
    <t>Tiêu âm trên đường ống gió KT (800x300xL1000), tôn dày 0.75mm, bông thủy tinh dày 50mm, kèm bích</t>
  </si>
  <si>
    <t>8.1.86</t>
  </si>
  <si>
    <t>Tiêu âm trên đường ống gió KT (1200x300xL1000), tôn dày 0.75mm, bông thủy tinh dày 50mm, kèm bích</t>
  </si>
  <si>
    <t>8.1.87</t>
  </si>
  <si>
    <t>Tiêu âm trên đường ống gió KT (1800x500xL1500), tôn dày 0.75mm, bông thủy tinh dày 50mm, kèm bích</t>
  </si>
  <si>
    <t>8.1.88</t>
  </si>
  <si>
    <t>Tiêu âm trước và sau dàn lạnh âm trần nối ông gió, tôn dày 0.95mm bông thủy tinh dày 50mm. Kích thước tham khảo: đầu cấp gió KT(950x300/700x300)xL600, đầu hồi gió KT(950x300xL600)</t>
  </si>
  <si>
    <t>8.1.89</t>
  </si>
  <si>
    <t>Giá treo dàn lạnh có chống rung</t>
  </si>
  <si>
    <t>8.1.90</t>
  </si>
  <si>
    <t>Lưới chắn côn trùng lắp ở đầu hồi phía đuôi máy</t>
  </si>
  <si>
    <t>8.1.91</t>
  </si>
  <si>
    <t>Nối mềm trước và sau quạt, kèm bích</t>
  </si>
  <si>
    <t>8.1.92</t>
  </si>
  <si>
    <t>Sắt thép làm giá đỡ phần ống gió, cửa gió (bao gồm giá đỡ, thanh treo, bulông, đai ốc, ...)</t>
  </si>
  <si>
    <t>8.2</t>
  </si>
  <si>
    <t>Phần ống nước</t>
  </si>
  <si>
    <t>8.2.1</t>
  </si>
  <si>
    <t>Ống uPVC PN6 D27</t>
  </si>
  <si>
    <t>8.2.2</t>
  </si>
  <si>
    <t>Ống uPVC PN6 D34</t>
  </si>
  <si>
    <t>8.2.3</t>
  </si>
  <si>
    <t>Ống uPVC PN6 D42</t>
  </si>
  <si>
    <t>8.2.4</t>
  </si>
  <si>
    <t>Ống uPVC PN6 D48</t>
  </si>
  <si>
    <t>8.2.5</t>
  </si>
  <si>
    <t>Ống uPVC PN6 D60</t>
  </si>
  <si>
    <t>8.2.6</t>
  </si>
  <si>
    <t>Ống uPVC PN8 D90</t>
  </si>
  <si>
    <t>8.2.7</t>
  </si>
  <si>
    <t>Cút 90° u.PVC, D27</t>
  </si>
  <si>
    <t>8.2.8</t>
  </si>
  <si>
    <t>Cút 90° u.PVC, D32</t>
  </si>
  <si>
    <t>8.2.9</t>
  </si>
  <si>
    <t>Cút 90° u.PVC, D42</t>
  </si>
  <si>
    <t>8.2.10</t>
  </si>
  <si>
    <t>Cút 90° u.PVC, D60</t>
  </si>
  <si>
    <t>8.2.11</t>
  </si>
  <si>
    <t>Cút 90° u.PVC, D90</t>
  </si>
  <si>
    <t>8.2.12</t>
  </si>
  <si>
    <t>Cút 45° u.PVC, D27</t>
  </si>
  <si>
    <t>8.2.13</t>
  </si>
  <si>
    <t>Cút 45° u.PVC, D32</t>
  </si>
  <si>
    <t>8.2.14</t>
  </si>
  <si>
    <t>Cút 45° u.PVC, D42</t>
  </si>
  <si>
    <t>8.2.15</t>
  </si>
  <si>
    <t>Cút 45° u.PVC, D60</t>
  </si>
  <si>
    <t>8.2.16</t>
  </si>
  <si>
    <t>Cút 45° u.PVC, D90</t>
  </si>
  <si>
    <t>8.2.17</t>
  </si>
  <si>
    <t>Côn u.PVC D34/27</t>
  </si>
  <si>
    <t>8.2.18</t>
  </si>
  <si>
    <t>Côn u.PVC D42/27</t>
  </si>
  <si>
    <t>8.2.19</t>
  </si>
  <si>
    <t>Côn u.PVC D42/34</t>
  </si>
  <si>
    <t>8.2.20</t>
  </si>
  <si>
    <t>Côn u.PVC D48/34</t>
  </si>
  <si>
    <t>8.2.21</t>
  </si>
  <si>
    <t>Côn u.PVC D48/42</t>
  </si>
  <si>
    <t>8.2.22</t>
  </si>
  <si>
    <t>Côn u.PVC D60/34</t>
  </si>
  <si>
    <t>8.2.23</t>
  </si>
  <si>
    <t>Côn u.PVC D60/42</t>
  </si>
  <si>
    <t>8.2.24</t>
  </si>
  <si>
    <t>Côn u.PVC D60/48</t>
  </si>
  <si>
    <t>8.2.25</t>
  </si>
  <si>
    <t>Tê u.PVC D34</t>
  </si>
  <si>
    <t>8.2.26</t>
  </si>
  <si>
    <t>Tê u.PVC D42</t>
  </si>
  <si>
    <t>8.2.27</t>
  </si>
  <si>
    <t>Tê u.PVC D60</t>
  </si>
  <si>
    <t>8.2.28</t>
  </si>
  <si>
    <t>Y 45° u.PVC D34</t>
  </si>
  <si>
    <t>8.2.29</t>
  </si>
  <si>
    <t>Y 45° u.PVC D42</t>
  </si>
  <si>
    <t>8.2.30</t>
  </si>
  <si>
    <t>Y 45° u.PVC D48</t>
  </si>
  <si>
    <t>8.2.31</t>
  </si>
  <si>
    <t>Y 45° u.PVC D60</t>
  </si>
  <si>
    <t>8.2.32</t>
  </si>
  <si>
    <t>Siphon u.PVC D34</t>
  </si>
  <si>
    <t>8.2.33</t>
  </si>
  <si>
    <t>Siphon u.PVC D42</t>
  </si>
  <si>
    <t>8.2.34</t>
  </si>
  <si>
    <t>Siphon u.PVC D48</t>
  </si>
  <si>
    <t>8.2.35</t>
  </si>
  <si>
    <t>Nút bịt u.PVC D34</t>
  </si>
  <si>
    <t>8.2.36</t>
  </si>
  <si>
    <t>Nút bịt u.PVC D42</t>
  </si>
  <si>
    <t>8.2.37</t>
  </si>
  <si>
    <t>Nút bịt u.PVC D48</t>
  </si>
  <si>
    <t>8.2.38</t>
  </si>
  <si>
    <t>Bộ treo đỡ ống nước ngưng D27</t>
  </si>
  <si>
    <t>8.2.39</t>
  </si>
  <si>
    <t>Bộ treo đỡ ống nước ngưng D34</t>
  </si>
  <si>
    <t>8.2.40</t>
  </si>
  <si>
    <t>Bộ treo đỡ ống nước ngưng D42</t>
  </si>
  <si>
    <t>8.2.41</t>
  </si>
  <si>
    <t>Bộ treo đỡ ống nước ngưng D48</t>
  </si>
  <si>
    <t>8.2.42</t>
  </si>
  <si>
    <t>Bộ treo đỡ ống nước ngưng D60</t>
  </si>
  <si>
    <t>8.2.43</t>
  </si>
  <si>
    <t>Bảo ôn dạng ống Thermobreak LS; đk ống 27mm dày 13mm</t>
  </si>
  <si>
    <t>8.2.44</t>
  </si>
  <si>
    <t>Bảo ôn dạng ống Thermobreak LS; đk ống 34mm dày 13mm</t>
  </si>
  <si>
    <t>8.2.45</t>
  </si>
  <si>
    <t>Bảo ôn dạng ống Thermobreak LS; đk ống 42mm dày 13mm</t>
  </si>
  <si>
    <t>8.2.46</t>
  </si>
  <si>
    <t>Bảo ôn dạng ống Thermobreak LS; đk ống 48mm dày 13mm</t>
  </si>
  <si>
    <t>8.2.47</t>
  </si>
  <si>
    <t>Bảo ôn dạng ống Thermobreak LS; đk ống 60mm dày 13mm</t>
  </si>
  <si>
    <t>8.2.48</t>
  </si>
  <si>
    <t>Bảo ôn dạng ống Thermobreak LS; đk ống 90mm dày 13mm</t>
  </si>
  <si>
    <t>8.3</t>
  </si>
  <si>
    <t>Vật tư phần gas/dịch (hệ cục bộ)</t>
  </si>
  <si>
    <t>8.3.1</t>
  </si>
  <si>
    <t>ống đồng dẫn tác nhân lạnh ø 6.35, t=0.81mm, bọc cách nhiệt dạng ống Thermobreak LS, dầy 20mm</t>
  </si>
  <si>
    <t>8.3.2</t>
  </si>
  <si>
    <t>ống đồng dẫn tác nhân lạnh ø 9.52, t=0.81mm, bọc cách nhiệt dạng ống Thermobreak LS, dầy 15mm</t>
  </si>
  <si>
    <t>8.3.3</t>
  </si>
  <si>
    <t>ống đồng dẫn tác nhân lạnh ø 12.7, t=0.81mm, bọc cách nhiệt dạng ống Thermobreak LS, dầy 20mm</t>
  </si>
  <si>
    <t>8.3.4</t>
  </si>
  <si>
    <t>ống đồng dẫn tác nhân lạnh ø 15.9, t=1.0mm, bọc cách nhiệt dạng ống Thermobreak LS, dầy 15mm</t>
  </si>
  <si>
    <t>8.3.5</t>
  </si>
  <si>
    <t>ống đồng dẫn tác nhân lạnh ø 19.1, t=1.0mm, bọc cách nhiệt dạng ống Thermobreak LS, dầy 20mm</t>
  </si>
  <si>
    <t>8.3.6</t>
  </si>
  <si>
    <t>ống đồng dẫn tác nhân lạnh ø 22.2, t=1.0mm, bọc cách nhiệt dạng ống Thermobreak LS, dầy 20mm</t>
  </si>
  <si>
    <t>8.3.7</t>
  </si>
  <si>
    <t>ống đồng dẫn tác nhân lạnh ø 28.6, t=1.0mm, bọc cách nhiệt dạng ống Thermobreak LS, dầy 20mm</t>
  </si>
  <si>
    <t>8.3.8</t>
  </si>
  <si>
    <t>ống đồng dẫn tác nhân lạnh ø 34.9, t=1.2mm, bọc cách nhiệt dạng ống Thermobreak LS, dầy 20mm</t>
  </si>
  <si>
    <t>8.3.9</t>
  </si>
  <si>
    <t>ống đồng dẫn tác nhân lạnh ø 41.2, t=1.2mm, bọc cách nhiệt dạng ống Thermobreak LS, dầy 20mm</t>
  </si>
  <si>
    <t>8.3.10</t>
  </si>
  <si>
    <t>Gas nạp bổ sung cho máy, nito thử kín</t>
  </si>
  <si>
    <t>8.4</t>
  </si>
  <si>
    <t>Phần điện</t>
  </si>
  <si>
    <t>8.4.1</t>
  </si>
  <si>
    <t>Cáp cấp nguồn cho dàn nóng lấy từ dàn nóng Cu/PVC (4x10)mm2</t>
  </si>
  <si>
    <t>8.4.2</t>
  </si>
  <si>
    <t>Cáp cấp nguồn cho dàn lạnh lấy từ dàn nóng tới Cu/PVC (3x2.5)mm2</t>
  </si>
  <si>
    <t>8.4.3</t>
  </si>
  <si>
    <t>Dây điện điều khiển 2xVcmo-1.0mm2</t>
  </si>
  <si>
    <t>8.4.4</t>
  </si>
  <si>
    <t>Dây điện kết nối bộ điều khiển trung tâm 2xVcmo-1.0mm2</t>
  </si>
  <si>
    <t>8.4.5</t>
  </si>
  <si>
    <t>Dây điện Remote 2xVcmo-0.75mm2</t>
  </si>
  <si>
    <t>8.4.6</t>
  </si>
  <si>
    <t>Ống luồn dây điện PVC D16</t>
  </si>
  <si>
    <t>8.4.7</t>
  </si>
  <si>
    <t>Ống ruột gà luồn dây điện D16</t>
  </si>
  <si>
    <t>8.4.8</t>
  </si>
  <si>
    <t>Ống nhựa luồn cáp điều khiển PVC - D20</t>
  </si>
  <si>
    <t>9.4</t>
  </si>
  <si>
    <t>HỆ THỐNG CHỮA CHÁY</t>
  </si>
  <si>
    <t>9.4.1</t>
  </si>
  <si>
    <t>Máy bơm chữa cháy ly tâm trục ngang động cơ điện Q=234m3/h, H=88m theo QCVN02-2020</t>
  </si>
  <si>
    <t>9.4.2</t>
  </si>
  <si>
    <t>Máy bơm chữa cháy ly tâm trục ngang động cơ diesel Q=234m3/h, H=88m theo QCVN02-2020</t>
  </si>
  <si>
    <t>9.4.3</t>
  </si>
  <si>
    <t>Máy bơm bù áp ly tâm trục đứng Q=3.6m3/h, H=93m theo QCVN02-2020</t>
  </si>
  <si>
    <t>9.4.4</t>
  </si>
  <si>
    <t>Tủ điều khiển bơm chữa cháy động cơ điện theo QCVN02-2020</t>
  </si>
  <si>
    <t>9.4.5</t>
  </si>
  <si>
    <t>Tủ điều khiển bơm chữa cháy động cơ diesel theo QCVN02-2020</t>
  </si>
  <si>
    <t>9.4.6</t>
  </si>
  <si>
    <t>Tủ điều khiển bơm bù áp theo QCVN02-2020</t>
  </si>
  <si>
    <t>9.4.7</t>
  </si>
  <si>
    <t>Bình tích áp 300l</t>
  </si>
  <si>
    <t>9.4.8</t>
  </si>
  <si>
    <t>Bể nước mồi 200l</t>
  </si>
  <si>
    <t>9.4.9</t>
  </si>
  <si>
    <t>Van cổng tín hiệu điện DN200</t>
  </si>
  <si>
    <t>9.4.10</t>
  </si>
  <si>
    <t>Van cổng tín hiệu điện DN150</t>
  </si>
  <si>
    <t>9.4.11</t>
  </si>
  <si>
    <t>Van cổng tín hiệu điện DN50</t>
  </si>
  <si>
    <t>9.4.12</t>
  </si>
  <si>
    <t>Van bướm tín hiệu DN150</t>
  </si>
  <si>
    <t>9.4.13</t>
  </si>
  <si>
    <t>Van bướm tín hiệu DN125</t>
  </si>
  <si>
    <t>9.4.14</t>
  </si>
  <si>
    <t>Van bướm tín hiệu DN100</t>
  </si>
  <si>
    <t>9.4.15</t>
  </si>
  <si>
    <t>Rọ hút DN200</t>
  </si>
  <si>
    <t>9.4.16</t>
  </si>
  <si>
    <t>Rọ hút DN50</t>
  </si>
  <si>
    <t>9.4.17</t>
  </si>
  <si>
    <t>Y lọc DN200</t>
  </si>
  <si>
    <t>9.4.18</t>
  </si>
  <si>
    <t>Y lọc DN50</t>
  </si>
  <si>
    <t>9.4.19</t>
  </si>
  <si>
    <t>Khớp nối mềm DN200</t>
  </si>
  <si>
    <t>9.4.20</t>
  </si>
  <si>
    <t>Khớp nối mềm DN150</t>
  </si>
  <si>
    <t>9.4.21</t>
  </si>
  <si>
    <t>Khớp nối mềm DN50</t>
  </si>
  <si>
    <t>9.4.22</t>
  </si>
  <si>
    <t>Lắp đặt công tắc áp lực 2 ngưỡng</t>
  </si>
  <si>
    <t>9.4.23</t>
  </si>
  <si>
    <t>Đồng hồ áp lực</t>
  </si>
  <si>
    <t>9.4.24</t>
  </si>
  <si>
    <t>Đồng hồ đo lưu lượng DN200</t>
  </si>
  <si>
    <t>9.4.25</t>
  </si>
  <si>
    <t>Van báo động DN125</t>
  </si>
  <si>
    <t>9.4.26</t>
  </si>
  <si>
    <t>Van 1 chiều DN150</t>
  </si>
  <si>
    <t>9.4.27</t>
  </si>
  <si>
    <t>Van 1 chiều DN50</t>
  </si>
  <si>
    <t>9.4.28</t>
  </si>
  <si>
    <t>Van 1 chiều DN15</t>
  </si>
  <si>
    <t>9.4.29</t>
  </si>
  <si>
    <t>Van bảo vệ vỏ bơm</t>
  </si>
  <si>
    <t>9.4.30</t>
  </si>
  <si>
    <t>Van an toàn DN100</t>
  </si>
  <si>
    <t>9.4.31</t>
  </si>
  <si>
    <t>Van an toàn DN50</t>
  </si>
  <si>
    <t>9.4.32</t>
  </si>
  <si>
    <t>Van chặn DN15</t>
  </si>
  <si>
    <t>9.4.33</t>
  </si>
  <si>
    <t>Van chặn DN32</t>
  </si>
  <si>
    <t>9.4.34</t>
  </si>
  <si>
    <t>Cút mạ kẽm DN200</t>
  </si>
  <si>
    <t>9.4.35</t>
  </si>
  <si>
    <t>Cút mạ kẽm DN150</t>
  </si>
  <si>
    <t>9.4.36</t>
  </si>
  <si>
    <t>Cút mạ kẽm DN100</t>
  </si>
  <si>
    <t>9.4.37</t>
  </si>
  <si>
    <t>Cút ren mạ kẽm DN50</t>
  </si>
  <si>
    <t>9.4.38</t>
  </si>
  <si>
    <t>Cút ren mạ kẽm DN32</t>
  </si>
  <si>
    <t>9.4.39</t>
  </si>
  <si>
    <t>Cút ren mạ kẽm DN25</t>
  </si>
  <si>
    <t>9.4.40</t>
  </si>
  <si>
    <t>T mạ kẽm DN200</t>
  </si>
  <si>
    <t>9.4.41</t>
  </si>
  <si>
    <t>T mạ kẽm DN150</t>
  </si>
  <si>
    <t>9.4.42</t>
  </si>
  <si>
    <t>T mạ kẽm DN150/125</t>
  </si>
  <si>
    <t>9.4.43</t>
  </si>
  <si>
    <t>T mạ kẽm DN150/100</t>
  </si>
  <si>
    <t>9.4.44</t>
  </si>
  <si>
    <t>T mạ kẽm DN100</t>
  </si>
  <si>
    <t>9.4.45</t>
  </si>
  <si>
    <t>Co ren DN50</t>
  </si>
  <si>
    <t>9.4.46</t>
  </si>
  <si>
    <t>Bích thép DN200</t>
  </si>
  <si>
    <t>cặp bích</t>
  </si>
  <si>
    <t>9.4.47</t>
  </si>
  <si>
    <t>Bích thép DN150</t>
  </si>
  <si>
    <t>9.4.48</t>
  </si>
  <si>
    <t>Bích thép DN125</t>
  </si>
  <si>
    <t>9.4.49</t>
  </si>
  <si>
    <t>Bích thép DN100</t>
  </si>
  <si>
    <t>9.4.50</t>
  </si>
  <si>
    <t>Ống thép tráng kẽm DN200</t>
  </si>
  <si>
    <t>9.4.51</t>
  </si>
  <si>
    <t>Ống thép tráng kẽm DN150</t>
  </si>
  <si>
    <t>9.4.52</t>
  </si>
  <si>
    <t>Ống thép tráng kẽm DN100</t>
  </si>
  <si>
    <t>9.4.53</t>
  </si>
  <si>
    <t>Ống thép tráng kẽm DN50</t>
  </si>
  <si>
    <t>9.4.54</t>
  </si>
  <si>
    <t>Ống thép tráng kẽm DN25</t>
  </si>
  <si>
    <t>9.4.55</t>
  </si>
  <si>
    <t>Kéo rải cáp loại 3x6+1x4 mm2 cho bơm chữa cháy</t>
  </si>
  <si>
    <t>9.4.56</t>
  </si>
  <si>
    <t>Kéo rải cáp loại 3x70+1x35 mm2 cho bơm chữa cháy</t>
  </si>
  <si>
    <t>9.4.57</t>
  </si>
  <si>
    <t>Kéo rải cáp loại 1x6mm2 cho bơm chữa cháy</t>
  </si>
  <si>
    <t>9.4.58</t>
  </si>
  <si>
    <t>Kéo rải cáp tiếp địa cho bơm chữa cháy loại 1x10mm2</t>
  </si>
  <si>
    <t>9.4.59</t>
  </si>
  <si>
    <t>Dây tín hiệu loại chống cháy 2x1,5mm2</t>
  </si>
  <si>
    <t>9.4.60</t>
  </si>
  <si>
    <t>Lắp đặt ống xoắn HDPE D85/65</t>
  </si>
  <si>
    <t>9.4.61</t>
  </si>
  <si>
    <t>Lắp đặt ống ghen mềm D32 luồn dây tín hiệu</t>
  </si>
  <si>
    <t>9.4.62</t>
  </si>
  <si>
    <t>Lắp đặt ống ghen mềm D20 luồn dây tín hiệu</t>
  </si>
  <si>
    <t>9.4.63</t>
  </si>
  <si>
    <t>Máy bơm chữa cháy ly tâm trục ngang động cơ điện Q=72m3/h, H=55m theo QCVN02-2020</t>
  </si>
  <si>
    <t>9.4.64</t>
  </si>
  <si>
    <t>Máy bơm chữa cháy ly tâm trục ngang động cơ diesel Q=72m3/h, H=55m theo QCVN02-2020</t>
  </si>
  <si>
    <t>9.4.65</t>
  </si>
  <si>
    <t>Máy bơm bù áp ly tâm trục đứng Q=2m3/h, H=60m theo QCVN02-2020</t>
  </si>
  <si>
    <t>9.4.66</t>
  </si>
  <si>
    <t>9.4.67</t>
  </si>
  <si>
    <t>9.4.68</t>
  </si>
  <si>
    <t>9.4.69</t>
  </si>
  <si>
    <t>9.4.70</t>
  </si>
  <si>
    <t>9.4.71</t>
  </si>
  <si>
    <t>Van cổng tín hiệu điện DN125</t>
  </si>
  <si>
    <t>9.4.72</t>
  </si>
  <si>
    <t>Van cổng tín hiệu điện DN65</t>
  </si>
  <si>
    <t>9.4.73</t>
  </si>
  <si>
    <t>9.4.74</t>
  </si>
  <si>
    <t>9.4.75</t>
  </si>
  <si>
    <t>Rọ hút DN125</t>
  </si>
  <si>
    <t>9.4.76</t>
  </si>
  <si>
    <t>9.4.77</t>
  </si>
  <si>
    <t>Y lọc DN125</t>
  </si>
  <si>
    <t>9.4.78</t>
  </si>
  <si>
    <t>9.4.79</t>
  </si>
  <si>
    <t>Khớp nối mềm DN125</t>
  </si>
  <si>
    <t>9.4.80</t>
  </si>
  <si>
    <t>9.4.81</t>
  </si>
  <si>
    <t>9.4.82</t>
  </si>
  <si>
    <t>9.4.83</t>
  </si>
  <si>
    <t>Đồng hồ đo lưu lượng DN100</t>
  </si>
  <si>
    <t>9.4.84</t>
  </si>
  <si>
    <t>9.4.85</t>
  </si>
  <si>
    <t>Van 1 chiều DN125</t>
  </si>
  <si>
    <t>9.4.86</t>
  </si>
  <si>
    <t>9.4.87</t>
  </si>
  <si>
    <t>9.4.88</t>
  </si>
  <si>
    <t>9.4.89</t>
  </si>
  <si>
    <t>9.4.90</t>
  </si>
  <si>
    <t>Van bi đồng DN32</t>
  </si>
  <si>
    <t>9.4.91</t>
  </si>
  <si>
    <t>Cút mạ kẽm DN125</t>
  </si>
  <si>
    <t>9.4.92</t>
  </si>
  <si>
    <t>9.4.93</t>
  </si>
  <si>
    <t>9.4.94</t>
  </si>
  <si>
    <t>9.4.95</t>
  </si>
  <si>
    <t>9.4.96</t>
  </si>
  <si>
    <t>T mạ kẽm DN125</t>
  </si>
  <si>
    <t>9.4.97</t>
  </si>
  <si>
    <t>T mạ kẽm DN125/65</t>
  </si>
  <si>
    <t>9.4.98</t>
  </si>
  <si>
    <t>9.4.99</t>
  </si>
  <si>
    <t>9.4.100</t>
  </si>
  <si>
    <t>9.4.101</t>
  </si>
  <si>
    <t>9.4.102</t>
  </si>
  <si>
    <t>Ống thép tráng kẽm DN125</t>
  </si>
  <si>
    <t>9.4.103</t>
  </si>
  <si>
    <t>9.4.104</t>
  </si>
  <si>
    <t>9.4.105</t>
  </si>
  <si>
    <t>Ống thép tráng kẽm DN32</t>
  </si>
  <si>
    <t>9.4.106</t>
  </si>
  <si>
    <t>9.4.107</t>
  </si>
  <si>
    <t>9.4.108</t>
  </si>
  <si>
    <t>9.4.109</t>
  </si>
  <si>
    <t>9.4.110</t>
  </si>
  <si>
    <t>9.4.111</t>
  </si>
  <si>
    <t>9.4.112</t>
  </si>
  <si>
    <t>9.4.113</t>
  </si>
  <si>
    <t>9.4.114</t>
  </si>
  <si>
    <t>9.4.115</t>
  </si>
  <si>
    <t>Đầu phun sprinkler 68°C, quay lên, K=8.0 (DN20)</t>
  </si>
  <si>
    <t>9.4.116</t>
  </si>
  <si>
    <t>Đầu phun sprinkler 68°C, quay lên, K=5.6</t>
  </si>
  <si>
    <t>9.4.117</t>
  </si>
  <si>
    <t>Đầu phun sprinkler 68°C, quay xuống, K=5.6</t>
  </si>
  <si>
    <t>9.4.118</t>
  </si>
  <si>
    <t>Đầu phun sprinkler 93°C, quay xuống, K=5.6</t>
  </si>
  <si>
    <t>9.4.119</t>
  </si>
  <si>
    <t>9.4.120</t>
  </si>
  <si>
    <t>9.4.121</t>
  </si>
  <si>
    <t>Ống thép tráng kẽm DN65</t>
  </si>
  <si>
    <t>9.4.122</t>
  </si>
  <si>
    <t>9.4.123</t>
  </si>
  <si>
    <t>Ống thép tráng kẽm DN40</t>
  </si>
  <si>
    <t>9.4.124</t>
  </si>
  <si>
    <t>9.4.125</t>
  </si>
  <si>
    <t>9.4.126</t>
  </si>
  <si>
    <t>Côn thu thép D50/25</t>
  </si>
  <si>
    <t>9.4.127</t>
  </si>
  <si>
    <t>Côn thu thép D50/32</t>
  </si>
  <si>
    <t>9.4.128</t>
  </si>
  <si>
    <t>Côn thu thép D50/40</t>
  </si>
  <si>
    <t>9.4.129</t>
  </si>
  <si>
    <t>Côn thu thép D40/25</t>
  </si>
  <si>
    <t>9.4.130</t>
  </si>
  <si>
    <t>Côn thu thép D40/32</t>
  </si>
  <si>
    <t>9.4.131</t>
  </si>
  <si>
    <t>Côn thu thép D32/15</t>
  </si>
  <si>
    <t>9.4.132</t>
  </si>
  <si>
    <t>Côn thu thép D32/20</t>
  </si>
  <si>
    <t>9.4.133</t>
  </si>
  <si>
    <t>Côn thu thép D25/15</t>
  </si>
  <si>
    <t>9.4.134</t>
  </si>
  <si>
    <t>Cút thép D125</t>
  </si>
  <si>
    <t>9.4.135</t>
  </si>
  <si>
    <t>Cút ren thép D65, mạ kẽm</t>
  </si>
  <si>
    <t>9.4.136</t>
  </si>
  <si>
    <t>Cút thép D50</t>
  </si>
  <si>
    <t>9.4.137</t>
  </si>
  <si>
    <t>Cút thu thép D50/32</t>
  </si>
  <si>
    <t>9.4.138</t>
  </si>
  <si>
    <t>Cút thép D40</t>
  </si>
  <si>
    <t>9.4.139</t>
  </si>
  <si>
    <t>Cút thép D32</t>
  </si>
  <si>
    <t>9.4.140</t>
  </si>
  <si>
    <t>Cút thép D25</t>
  </si>
  <si>
    <t>9.4.141</t>
  </si>
  <si>
    <t>Công tắc dòng chảy</t>
  </si>
  <si>
    <t>9.4.142</t>
  </si>
  <si>
    <t>Hộp cứu hỏa, kt 1200x180x700mm</t>
  </si>
  <si>
    <t>9.4.143</t>
  </si>
  <si>
    <t>Hộp chữa cháy ngoài nhà, inox, kt 800x600x200mm</t>
  </si>
  <si>
    <t>9.4.144</t>
  </si>
  <si>
    <t>Cuộn lăng vòi DN50 PN16</t>
  </si>
  <si>
    <t>9.4.145</t>
  </si>
  <si>
    <t>Cuộn lăng vòi DN65 PN16</t>
  </si>
  <si>
    <t>9.4.146</t>
  </si>
  <si>
    <t>Họng vách tường DN50, PN16</t>
  </si>
  <si>
    <t>9.4.147</t>
  </si>
  <si>
    <t>Họng vách tường DN65, PN16</t>
  </si>
  <si>
    <t>9.4.148</t>
  </si>
  <si>
    <t>Hộp đựng 3 bình chữa cháy</t>
  </si>
  <si>
    <t>9.4.149</t>
  </si>
  <si>
    <t>Hộp đựng dụng cụ, kt 1200x200x800mm</t>
  </si>
  <si>
    <t>9.4.150</t>
  </si>
  <si>
    <t>Măng xông thép D32</t>
  </si>
  <si>
    <t>9.4.151</t>
  </si>
  <si>
    <t>T thép D125</t>
  </si>
  <si>
    <t>9.4.152</t>
  </si>
  <si>
    <t>T thép D125/50</t>
  </si>
  <si>
    <t>9.4.153</t>
  </si>
  <si>
    <t>T thép hàn D100/65, mạ kẽm</t>
  </si>
  <si>
    <t>9.4.154</t>
  </si>
  <si>
    <t>T thép D50</t>
  </si>
  <si>
    <t>9.4.155</t>
  </si>
  <si>
    <t>T thép D50/40</t>
  </si>
  <si>
    <t>9.4.156</t>
  </si>
  <si>
    <t>T thép D50/32</t>
  </si>
  <si>
    <t>9.4.157</t>
  </si>
  <si>
    <t>T thép D50/25</t>
  </si>
  <si>
    <t>9.4.158</t>
  </si>
  <si>
    <t>T thép D40</t>
  </si>
  <si>
    <t>9.4.159</t>
  </si>
  <si>
    <t>T thép D40/25</t>
  </si>
  <si>
    <t>9.4.160</t>
  </si>
  <si>
    <t>T thép D40/32</t>
  </si>
  <si>
    <t>9.4.161</t>
  </si>
  <si>
    <t>T thép D32</t>
  </si>
  <si>
    <t>9.4.162</t>
  </si>
  <si>
    <t>T thép D25</t>
  </si>
  <si>
    <t>9.4.163</t>
  </si>
  <si>
    <t>Trụ chữa cháy 3 cửa</t>
  </si>
  <si>
    <t>9.4.164</t>
  </si>
  <si>
    <t>Họng tiếp nước 4 cửa</t>
  </si>
  <si>
    <t>9.4.165</t>
  </si>
  <si>
    <t>Van bướm kèm công tác giám sát DN125</t>
  </si>
  <si>
    <t>9.4.166</t>
  </si>
  <si>
    <t>Van giảm áp</t>
  </si>
  <si>
    <t>9.4.167</t>
  </si>
  <si>
    <t>Van khóa DN25</t>
  </si>
  <si>
    <t>9.4.168</t>
  </si>
  <si>
    <t>Van xả khí DN25</t>
  </si>
  <si>
    <t>9.4.169</t>
  </si>
  <si>
    <t>Bình chữa cháy tự động bằng khí FM200 loại 15kg</t>
  </si>
  <si>
    <t>9.4.170</t>
  </si>
  <si>
    <t>Bình chữa cháy cầm tay, ABC 8kg</t>
  </si>
  <si>
    <t>9.4.171</t>
  </si>
  <si>
    <t>Bình chữa cháy cầm tay, CO2 5kg</t>
  </si>
  <si>
    <t>9.4.172</t>
  </si>
  <si>
    <t>Nội quy tiêu lệnh chữa cháy</t>
  </si>
  <si>
    <t>9.4.173</t>
  </si>
  <si>
    <t>Ty treo giá đỡ, sơn phụ kiện ống chữa cháy (côn, cút,...)</t>
  </si>
  <si>
    <t>9.4.174</t>
  </si>
  <si>
    <t>9.4.175</t>
  </si>
  <si>
    <t>Giá đỡ ống bằng sắt U</t>
  </si>
  <si>
    <t>9.4.176</t>
  </si>
  <si>
    <t>Cùm treo ống DN125</t>
  </si>
  <si>
    <t>9.4.177</t>
  </si>
  <si>
    <t>Cùm treo ống DN100</t>
  </si>
  <si>
    <t>9.4.178</t>
  </si>
  <si>
    <t>Cùm treo ống DN65</t>
  </si>
  <si>
    <t>9.4.179</t>
  </si>
  <si>
    <t>Cùm treo ống DN50</t>
  </si>
  <si>
    <t>9.4.180</t>
  </si>
  <si>
    <t>Cùm treo ống DN40</t>
  </si>
  <si>
    <t>9.4.181</t>
  </si>
  <si>
    <t>Cùm treo ống DN32</t>
  </si>
  <si>
    <t>9.4.182</t>
  </si>
  <si>
    <t>Cùm treo ống DN25</t>
  </si>
  <si>
    <t>24</t>
  </si>
  <si>
    <t>THIẾT BỊ PHÒNG CHÁY CHỮA CHÁY</t>
  </si>
  <si>
    <t>24.1</t>
  </si>
  <si>
    <t>Hệ thống báo cháy</t>
  </si>
  <si>
    <t>24.1.1</t>
  </si>
  <si>
    <t>Tủ báo cháy địa chỉ 4 loops (kèm bộ cung cấp nguồn cho tủ)</t>
  </si>
  <si>
    <t>24.2</t>
  </si>
  <si>
    <t>Hệ thống chữa cháy</t>
  </si>
  <si>
    <t>24.2.1</t>
  </si>
  <si>
    <t>Máy bơm chữa cháy ly tâm trục ngang động cơ điện Q=234m3/h, H=88m</t>
  </si>
  <si>
    <t>24.2.2</t>
  </si>
  <si>
    <t>Máy bơm chữa cháy ly tâm trục ngang động cơ diesel Q=234m3/h, H=88m</t>
  </si>
  <si>
    <t>24.2.3</t>
  </si>
  <si>
    <t>Máy bơm bù áp ly tâm trục đứng Q=3.6m3/h, H=93m</t>
  </si>
  <si>
    <t>24.2.4</t>
  </si>
  <si>
    <t>Tủ điều khiển bơm chữa cháy động cơ điện</t>
  </si>
  <si>
    <t>24.2.5</t>
  </si>
  <si>
    <t>Tủ điều khiển bơm chữa cháy động cơ diesel</t>
  </si>
  <si>
    <t>24.2.6</t>
  </si>
  <si>
    <t>Tủ điều khiển bơm bù áp</t>
  </si>
  <si>
    <t>24.2.7</t>
  </si>
  <si>
    <t>Máy bơm chữa cháy ly tâm trục ngang động cơ điện Q=72m3/h, H=55m</t>
  </si>
  <si>
    <t>24.2.8</t>
  </si>
  <si>
    <t>Máy bơm chữa cháy ly tâm trục ngang động cơ diesel Q=72m3/h, H=55m</t>
  </si>
  <si>
    <t>24.2.9</t>
  </si>
  <si>
    <t>Máy bơm bù áp ly tâm trục đứng Q=2m3/h, H=60m</t>
  </si>
  <si>
    <t>24.2.10</t>
  </si>
  <si>
    <t>24.2.11</t>
  </si>
  <si>
    <t>24.2.12</t>
  </si>
  <si>
    <t>24.3</t>
  </si>
  <si>
    <t>Thông gió hút khói</t>
  </si>
  <si>
    <t>24.3.1</t>
  </si>
  <si>
    <t>Quạt hút khói hướng trục Q=15.000m3/h, H=450 Pa, chịu được 300 độ C trong 2h</t>
  </si>
  <si>
    <t>24.3.2</t>
  </si>
  <si>
    <t>Quạt hút khói hướng trục Q=22.000m3/h, H=350 Pa, chịu được 300 độ C trong 2h</t>
  </si>
  <si>
    <t>24.3.3</t>
  </si>
  <si>
    <t>Quạt tăng áp hướng trục Q=41.000m3/h, H=900 Pa, chịu được 300 độ C trong 2h</t>
  </si>
  <si>
    <t>24.3.4</t>
  </si>
  <si>
    <t>Quạt hút khói+bù khí ly tâm Q=35.000m3/h, H=800 Pa, chịu được 300 độ C trong 2h</t>
  </si>
  <si>
    <t>24.3.5</t>
  </si>
  <si>
    <t>Quạt hút khói hướng trục Q=39.000m3/h, H=550 Pa, chịu được 300 độ C trong 2h</t>
  </si>
  <si>
    <t>24.3.6</t>
  </si>
  <si>
    <t>Quạt bù khí ly tâm Q=39.000m3/h, H=550 Pa, chịu được 300 độ C trong 2h</t>
  </si>
  <si>
    <t>24.3.7</t>
  </si>
  <si>
    <t>Quạt tăng áp ly tâm Q=11.000m3/h, H=200 Pa, chịu được 300 độ C trong 2h</t>
  </si>
  <si>
    <t>24.3.8</t>
  </si>
  <si>
    <t>Quạt tăng áp ly tâm Q=15.000m3/h, H=350 Pa, chịu được 300 độ C trong 2h</t>
  </si>
  <si>
    <t>24.3.9</t>
  </si>
  <si>
    <t>Quạt tăng áp hướng trục Q=17.000m3/h, H=300 Pa, chịu được 300 độ C trong 2h</t>
  </si>
  <si>
    <t>24.3.10</t>
  </si>
  <si>
    <t>Quạt tăng áp ly tâm Q=17.000m3/h, H=500 Pa, chịu được 300 độ C trong 2h</t>
  </si>
  <si>
    <t>24.3.11</t>
  </si>
  <si>
    <t>Quạt tăng áp hướng trục Q=29.000m3/h, H=500 Pa, chịu được 300 độ C trong 2h</t>
  </si>
  <si>
    <t>24.3.12</t>
  </si>
  <si>
    <t>Quạt tăng áp hướng ly tâm Q=29.000m3/h, H=500 Pa, chịu được 300 độ C trong 2h</t>
  </si>
  <si>
    <t>24.3.13</t>
  </si>
  <si>
    <t>Quạt tăng áp ly tâm Q=19.000m3/h, H=550 Pa, chịu được 300 độ C trong 2h</t>
  </si>
  <si>
    <t>24.3.14</t>
  </si>
  <si>
    <t>Quạt tăng áp ly tâm Q=25.000m3/h, H=700 Pa, chịu được 300 độ C trong 2h</t>
  </si>
  <si>
    <t>24.3.15</t>
  </si>
  <si>
    <t>Quạt tăng áp ly tâm Q=39.000m3/h, H=600 Pa, chịu được 300 độ C trong 2h</t>
  </si>
  <si>
    <t>24.3.16</t>
  </si>
  <si>
    <t>Quạt tăng áp ly tâm Q=39.000m3/h, H=900 Pa, chịu được 300 độ C trong 2h</t>
  </si>
  <si>
    <t>24.3.17</t>
  </si>
  <si>
    <t>Quạt tăng áp ly tâm Q=21.000m3/h, H=400 Pa, chịu được 300 độ C trong 2h</t>
  </si>
  <si>
    <t>24.3.18</t>
  </si>
  <si>
    <t>Quạt hút khói+bù khí ly tâm Q=39.000m3/h, H=700 Pa, chịu được 300 độ C trong 2h</t>
  </si>
  <si>
    <t>24.3.19</t>
  </si>
  <si>
    <t>Tủ điện điều khiển quạt hút khói tầng hầm (3 quạt)</t>
  </si>
  <si>
    <t>24.3.20</t>
  </si>
  <si>
    <t>Tủ điện điều khiển quạt hút khói tầng kỹ thuật (4 quạt)</t>
  </si>
  <si>
    <t>24.3.21</t>
  </si>
  <si>
    <t>Tủ điện điều khiển quạt hút khói tầng Mái (2 quạt)</t>
  </si>
  <si>
    <t>24.3.22</t>
  </si>
  <si>
    <t>Tủ điện điều khiển quạt Tăng áp tầng kỹ thuật (6 quạt)</t>
  </si>
  <si>
    <t>24.3.23</t>
  </si>
  <si>
    <t>Tủ điện điều khiển quạt Tăng áp tầng mái và tầng tum (8 quạt)</t>
  </si>
  <si>
    <t>Căn cứ Hợp đồng số 2706/2024/HĐXD ngày 27 tháng 06 năm 2024,Phụ lục Hợp đồng số 2706A/2024/HĐXD ngày 06 tháng 11 năm 2024 và Phụ lục Hợp đồng số 2706B/2024/HĐXD ngày 12 tháng 12 năm 2024 v/v thực hiện thi công Gói thầu XL01: Thi công xây dựng toàn bộ các hạng mục công trình và lắp đặt thiết bị trạm biến áp 1.600KVA, máy phát điện dự phòng 500KVA, hệ thống điện nhẹ, hệ thống điều hòa thông gió, hệ thống PCCC, máy bơm nước sinh hoạt, hệ thống nước nóng thuộc dự án "Nhà khách Công an tỉnh Khánh Hòa";</t>
  </si>
  <si>
    <r>
      <t xml:space="preserve">Gói thầu: </t>
    </r>
    <r>
      <rPr>
        <sz val="14"/>
        <rFont val="Times New Roman"/>
        <family val="1"/>
      </rPr>
      <t>Thi công xây dựng toàn bộ các hạng mục công trình và lắp đặt thiết bị trạm biến áp 1.600KVA, máy phát điện dự phòng 670KVA, hệ thống điện nhẹ, hệ thống điều hòa thông gió, hệ thống PCCC, máy bơm nước sinh hoạt, hệ thống nước nóng</t>
    </r>
  </si>
  <si>
    <r>
      <t xml:space="preserve">Dự án: </t>
    </r>
    <r>
      <rPr>
        <sz val="14"/>
        <rFont val="Times New Roman"/>
        <family val="1"/>
      </rPr>
      <t>Nhà khách Công an tỉnh Khánh Hòa</t>
    </r>
  </si>
  <si>
    <r>
      <t xml:space="preserve">Địa điểm: </t>
    </r>
    <r>
      <rPr>
        <sz val="14"/>
        <rFont val="Times New Roman"/>
        <family val="1"/>
      </rPr>
      <t>78 Tuệ Tĩnh, phường Lộc Thọ, thành phố Nha Trang, Khánh Hòa</t>
    </r>
  </si>
  <si>
    <t>* Sau khi kiểm tra, hội đồng thống nhất nghiệm thu khối lượng xây lắp hoàn thành đợt 01 của Liên danh thi công Nhà khách Công an tỉnh Khánh Hòa thực hiện:</t>
  </si>
  <si>
    <t>Thực hiện   kỳ này Công ty TNHH Tân Khánh Hòa KH</t>
  </si>
  <si>
    <t>Thực hiện kỳ này Công ty TNHH Cơ điện  Khánh Hòa</t>
  </si>
  <si>
    <t>- Ông: Đặng Văn Bắc</t>
  </si>
  <si>
    <r>
      <rPr>
        <b/>
        <sz val="14"/>
        <color theme="1"/>
        <rFont val="Times New Roman"/>
        <family val="1"/>
      </rPr>
      <t>Thành viên Liên danh</t>
    </r>
    <r>
      <rPr>
        <sz val="14"/>
        <color theme="1"/>
        <rFont val="Times New Roman"/>
        <family val="1"/>
      </rPr>
      <t>: Công ty TNHH Tân Khánh Hòa KH</t>
    </r>
  </si>
  <si>
    <t xml:space="preserve">Chức vụ: Phó tổng giám đốc </t>
  </si>
  <si>
    <t>Thanh toán lần thứ: 01 ( Phần khối lượng do liên danh thi công Nhà khách Công an tỉnh Khánh Hòa thực hiện)</t>
  </si>
  <si>
    <t>9</t>
  </si>
  <si>
    <t>HỆ THỐNG PCCC TỰ ĐỘNG</t>
  </si>
  <si>
    <t>9.1</t>
  </si>
  <si>
    <t>BÁO CHÁY, THOÁT NẠN</t>
  </si>
  <si>
    <t>9.1.1</t>
  </si>
  <si>
    <t>Lắp đặt Tủ báo cháy địa chỉ 4 loops</t>
  </si>
  <si>
    <t>9.1.2</t>
  </si>
  <si>
    <t>Lắp đặt đầu báo cháy nhiệt địa chỉ</t>
  </si>
  <si>
    <t>9.1.3</t>
  </si>
  <si>
    <t>Lắp đặt đầu báo cháy nhiệt thường</t>
  </si>
  <si>
    <t>9.1.4</t>
  </si>
  <si>
    <t>Lắp đặt đầu báo cháy khói địa chỉ</t>
  </si>
  <si>
    <t>9.1.5</t>
  </si>
  <si>
    <t>Lắp đặt nút nhấn báo cháy địa chỉ</t>
  </si>
  <si>
    <t>9.1.6</t>
  </si>
  <si>
    <t>Lắp đặt còi đèn kết hợp thường</t>
  </si>
  <si>
    <t>9.1.7</t>
  </si>
  <si>
    <t>Lắp đặt chuông báo cháy thường</t>
  </si>
  <si>
    <t>9.1.8</t>
  </si>
  <si>
    <t>Lắp đặt Module cách ly</t>
  </si>
  <si>
    <t>9.1.9</t>
  </si>
  <si>
    <t>Lắp đặt Module giám sát</t>
  </si>
  <si>
    <t>9.1.10</t>
  </si>
  <si>
    <t>Lắp đặt Module điều khiển có điện áp</t>
  </si>
  <si>
    <t>9.1.11</t>
  </si>
  <si>
    <t>Lắp đặt Module cho đầu báo thường</t>
  </si>
  <si>
    <t>9.1.12</t>
  </si>
  <si>
    <t>Lắp đặt Module 1 đầu vào/ 1 đầu ra</t>
  </si>
  <si>
    <t>9.1.13</t>
  </si>
  <si>
    <t>Lắp đặt dây dẫn chống cháy, chống nhiểu 2x1mm2</t>
  </si>
  <si>
    <t>9.1.14</t>
  </si>
  <si>
    <t>Lắp đặt dây dẫn chống cháy 2x1mm2</t>
  </si>
  <si>
    <t>9.1.15</t>
  </si>
  <si>
    <t>Ống nhựa cứng đặt nổi bảo hộ dây dẫn, đk 20mm</t>
  </si>
  <si>
    <t>9.1.16</t>
  </si>
  <si>
    <t>Ống nhựa mềm đặt nổi bảo hộ dây dẫn, đk 20mm</t>
  </si>
  <si>
    <t>9.1.17</t>
  </si>
  <si>
    <t>Khớp nối trơn D20</t>
  </si>
  <si>
    <t>9.1.18</t>
  </si>
  <si>
    <t>Hộp chia ngả PVC D20</t>
  </si>
  <si>
    <t>9.1.19</t>
  </si>
  <si>
    <t>Cút PVC D20</t>
  </si>
  <si>
    <t>9.2</t>
  </si>
  <si>
    <t>ĐÈN BÁO CHÁY SỰ CỐ VÀ CHỈ DẪN THOÁT NẠN</t>
  </si>
  <si>
    <t>9.2.1</t>
  </si>
  <si>
    <t>Lắp đặt Đèn chiếu sáng sự cố gắn tường ( Có kiểm định)</t>
  </si>
  <si>
    <t>9.2.2</t>
  </si>
  <si>
    <t>Lắp đặt Đèn chiếu sáng sự cố âm trần</t>
  </si>
  <si>
    <t>9.2.3</t>
  </si>
  <si>
    <t>Lắp đặt Đèn chỉ dẫn thoát nạn 1 mặt không hướng</t>
  </si>
  <si>
    <t>9.2.4</t>
  </si>
  <si>
    <t>Lắp đặt Đèn chỉ dẫn thoát nạn 2 mặt 1 hướng</t>
  </si>
  <si>
    <t>9.2.5</t>
  </si>
  <si>
    <t>Biển báo an toàn tầm thấp</t>
  </si>
  <si>
    <t>9.2.6</t>
  </si>
  <si>
    <t>Lắp đặt đèn báo trạm bơm chữa cháy</t>
  </si>
  <si>
    <t>9.2.7</t>
  </si>
  <si>
    <t>9.2.8</t>
  </si>
  <si>
    <t>9.2.9</t>
  </si>
  <si>
    <t>9.2.10</t>
  </si>
  <si>
    <t>9.3</t>
  </si>
  <si>
    <t>HỆ THỐNG HÚT KHÓI TẠO ÁP</t>
  </si>
  <si>
    <t>9.3.1</t>
  </si>
  <si>
    <t>Ống gió hành lang EI 120 (1250x250)</t>
  </si>
  <si>
    <t>9.3.2</t>
  </si>
  <si>
    <t>Ống gió hành lang EI 120 (1000x400)</t>
  </si>
  <si>
    <t>9.3.3</t>
  </si>
  <si>
    <t>Ống gió hành lang EI 120 (1100x250)</t>
  </si>
  <si>
    <t>9.3.4</t>
  </si>
  <si>
    <t>Ống gió hành lang EI 120 (1000x250)</t>
  </si>
  <si>
    <t>9.3.5</t>
  </si>
  <si>
    <t>Ống gió hành lang EI 120 ( 900x500)</t>
  </si>
  <si>
    <t>9.3.6</t>
  </si>
  <si>
    <t>Ống gió hành lang EI 120 ( 900x400)</t>
  </si>
  <si>
    <t>9.3.7</t>
  </si>
  <si>
    <t>Ống gió hành lang EI 120 ( 900x250)</t>
  </si>
  <si>
    <t>9.3.8</t>
  </si>
  <si>
    <t>Ống gió hành lang EI 120 ( 800x250)</t>
  </si>
  <si>
    <t>9.3.9</t>
  </si>
  <si>
    <t>Ống gió hành lang EI 120 ( 700x250)</t>
  </si>
  <si>
    <t>9.3.10</t>
  </si>
  <si>
    <t>Ống gió hành lang EI 120 ( 400x300)</t>
  </si>
  <si>
    <t>9.3.11</t>
  </si>
  <si>
    <t>Ống trục đứng tăng áp ( 700x500)</t>
  </si>
  <si>
    <t>9.3.12</t>
  </si>
  <si>
    <t>Ống trục đứng tăng áp ( 800x600)</t>
  </si>
  <si>
    <t>9.3.13</t>
  </si>
  <si>
    <t>Ống trục đứng tăng áp (1000x400)</t>
  </si>
  <si>
    <t>9.3.14</t>
  </si>
  <si>
    <t>Ống trục đứng tăng áp ( 900x500)</t>
  </si>
  <si>
    <t>9.3.15</t>
  </si>
  <si>
    <t>Ống trục đứng tăng áp ( 600x350)</t>
  </si>
  <si>
    <t>9.3.16</t>
  </si>
  <si>
    <t>Co KT 1000x400</t>
  </si>
  <si>
    <t>9.3.17</t>
  </si>
  <si>
    <t>Co KT  900x500</t>
  </si>
  <si>
    <t>9.3.18</t>
  </si>
  <si>
    <t>Co KT 1100x250</t>
  </si>
  <si>
    <t>9.3.19</t>
  </si>
  <si>
    <t>Co KT  900x400</t>
  </si>
  <si>
    <t>9.3.20</t>
  </si>
  <si>
    <t>Co KT 1000x250</t>
  </si>
  <si>
    <t>9.3.21</t>
  </si>
  <si>
    <t>Co KT  900x250</t>
  </si>
  <si>
    <t>9.3.22</t>
  </si>
  <si>
    <t>Co KT  800x250</t>
  </si>
  <si>
    <t>9.3.23</t>
  </si>
  <si>
    <t>9.3.24</t>
  </si>
  <si>
    <t>Giảm KT 1250x250/900x250</t>
  </si>
  <si>
    <t>9.3.25</t>
  </si>
  <si>
    <t>Giảm KT 1100x250/900x250</t>
  </si>
  <si>
    <t>9.3.26</t>
  </si>
  <si>
    <t>Giảm KT  900x400/600x400</t>
  </si>
  <si>
    <t>9.3.27</t>
  </si>
  <si>
    <t>9.3.28</t>
  </si>
  <si>
    <t>Gót KT 1100x250</t>
  </si>
  <si>
    <t>9.3.29</t>
  </si>
  <si>
    <t>Gót KT  800x250</t>
  </si>
  <si>
    <t>9.3.30</t>
  </si>
  <si>
    <t>Gót KT  700x250</t>
  </si>
  <si>
    <t>9.3.31</t>
  </si>
  <si>
    <t>Louver 1000x500</t>
  </si>
  <si>
    <t>9.3.32</t>
  </si>
  <si>
    <t>Louver  900x500</t>
  </si>
  <si>
    <t>9.3.33</t>
  </si>
  <si>
    <t>Louver 1000x400</t>
  </si>
  <si>
    <t>9.3.34</t>
  </si>
  <si>
    <t>Louver  900x400</t>
  </si>
  <si>
    <t>9.3.35</t>
  </si>
  <si>
    <t>Louver 1500x1000</t>
  </si>
  <si>
    <t>9.3.36</t>
  </si>
  <si>
    <t>Louver 2000x1000</t>
  </si>
  <si>
    <t>9.3.37</t>
  </si>
  <si>
    <t>Miệng gió kèm van luu lượng OBD 600x600</t>
  </si>
  <si>
    <t>9.3.38</t>
  </si>
  <si>
    <t>Miệng gió kèm van luu lượng OBD 400x300</t>
  </si>
  <si>
    <t>9.3.39</t>
  </si>
  <si>
    <t>9.3.40</t>
  </si>
  <si>
    <t>9.3.41</t>
  </si>
  <si>
    <t>9.3.42</t>
  </si>
  <si>
    <t>9.3.43</t>
  </si>
  <si>
    <t>9.3.44</t>
  </si>
  <si>
    <t>9.3.45</t>
  </si>
  <si>
    <t>9.3.46</t>
  </si>
  <si>
    <t>9.3.47</t>
  </si>
  <si>
    <t>9.3.48</t>
  </si>
  <si>
    <t>9.3.49</t>
  </si>
  <si>
    <t>9.3.50</t>
  </si>
  <si>
    <t>9.3.51</t>
  </si>
  <si>
    <t>9.3.52</t>
  </si>
  <si>
    <t>9.3.53</t>
  </si>
  <si>
    <t>9.3.54</t>
  </si>
  <si>
    <t>9.3.55</t>
  </si>
  <si>
    <t>9.3.56</t>
  </si>
  <si>
    <t>9.3.57</t>
  </si>
  <si>
    <t>Van chặn lửa động cơ điện 400x300, EI30</t>
  </si>
  <si>
    <t>9.3.58</t>
  </si>
  <si>
    <t>Van chặn lửa động cơ điện 600x600, EI30</t>
  </si>
  <si>
    <t>9.3.59</t>
  </si>
  <si>
    <t>Van chặn lửa động cơ điện 900x400, EI30</t>
  </si>
  <si>
    <t>9.3.60</t>
  </si>
  <si>
    <t>Van chặn lửa động cơ điện 1000x400, EI30</t>
  </si>
  <si>
    <t>9.3.61</t>
  </si>
  <si>
    <t>Van chặn lửa động cơ điện 900x250, EI60</t>
  </si>
  <si>
    <t>9.3.62</t>
  </si>
  <si>
    <t>Van chặn lửa động cơ điện 800x250, EI90</t>
  </si>
  <si>
    <t>9.3.63</t>
  </si>
  <si>
    <t>Van chặn lửa động cơ điện 900x400, EI90</t>
  </si>
  <si>
    <t>9.3.64</t>
  </si>
  <si>
    <t>Van chặn lửa động cơ điện 1000x250, EI90</t>
  </si>
  <si>
    <t>9.3.65</t>
  </si>
  <si>
    <t>Van chặn lửa động cơ điện 1000x400, EI90</t>
  </si>
  <si>
    <t>9.3.66</t>
  </si>
  <si>
    <t>Van chặn lửa động cơ điện 1100x250, EI90</t>
  </si>
  <si>
    <t>9.3.67</t>
  </si>
  <si>
    <t>9.3.68</t>
  </si>
  <si>
    <t>Tủ điện điều khiển quạt hút khói tầng kỹ thuật ( 4 quạt)</t>
  </si>
  <si>
    <t>9.3.69</t>
  </si>
  <si>
    <t>Tủ điện điều khiển quạt hút khói tầng Mái ( 2 quạt)</t>
  </si>
  <si>
    <t>9.3.70</t>
  </si>
  <si>
    <t>Tủ điện điều khiển quạt Tăng áp tầng kỹ thuật ( 6 quạt)</t>
  </si>
  <si>
    <t>9.3.71</t>
  </si>
  <si>
    <t>Tủ điện điều khiển quạt Tăng áp tầng mái và tầng tum ( 8 quạt)</t>
  </si>
  <si>
    <t>9.3.72</t>
  </si>
  <si>
    <t>Dây cấp nguồn cho quạt Cu/PVC/PVC 4x16mm2</t>
  </si>
  <si>
    <t>9.3.73</t>
  </si>
  <si>
    <t>Dây cấp nguồn cho van MD -Cu/MICA/XLPE/PVC-Fr (3x1.5)mm2</t>
  </si>
  <si>
    <t>9.3.74</t>
  </si>
  <si>
    <t>Dây tín hiệu 2x1.5mm2</t>
  </si>
  <si>
    <t>9.3.75</t>
  </si>
  <si>
    <t>Ống luồn dây dẫn PVC D20</t>
  </si>
  <si>
    <t>9.3.76</t>
  </si>
  <si>
    <t>Vật liệu phụ</t>
  </si>
  <si>
    <t>18</t>
  </si>
  <si>
    <t>XÂY DỰNG TRẠM BIẾN ÁP</t>
  </si>
  <si>
    <t>18.1</t>
  </si>
  <si>
    <t>LẮP ĐẶT THIẾT BỊ TBA</t>
  </si>
  <si>
    <t>18.1.1</t>
  </si>
  <si>
    <t>Lắp đặt máy biến áp phân phối 3 pha 35; (22)/0,4kV Loại &gt;= 1500 kVA</t>
  </si>
  <si>
    <t>18.1.2</t>
  </si>
  <si>
    <t>Lắp đặt tổ máy phát điện</t>
  </si>
  <si>
    <t>18.1.3</t>
  </si>
  <si>
    <t>Lắp đặt tủ trung thế &lt;35 kV</t>
  </si>
  <si>
    <t>18.1.4</t>
  </si>
  <si>
    <t>Lắp đặt tủ điện hạ thế có điện áp &lt;1000V, xoay chiều 3 pha 2500A</t>
  </si>
  <si>
    <t>18.1.5</t>
  </si>
  <si>
    <t>Lắp đặt tụ bù</t>
  </si>
  <si>
    <t>18.1.6</t>
  </si>
  <si>
    <t>Lắp đặt tủ ATS 3P-1000A</t>
  </si>
  <si>
    <t>23.12</t>
  </si>
  <si>
    <t>XỬ LÝ CHỐNG ĂN MÒN MUỐI BIỂN DÀN NÓNG</t>
  </si>
  <si>
    <t>10 đầu</t>
  </si>
  <si>
    <t>5 nút</t>
  </si>
  <si>
    <t>5 chuông</t>
  </si>
  <si>
    <t>5 đèn</t>
  </si>
  <si>
    <t>TỔNG CỘNG</t>
  </si>
  <si>
    <t>TỔNG CỘNG LÀM TRÒN (VAT10%)</t>
  </si>
  <si>
    <t>TỔNG CỘNG LÀM TRÒN (VAT8%)</t>
  </si>
  <si>
    <t>1. Giá trị hợp đồng</t>
  </si>
  <si>
    <t>Khánh Hòa, ngày       tháng      năm 20</t>
  </si>
  <si>
    <t>HĐ</t>
  </si>
  <si>
    <t>Ttlần 1</t>
  </si>
  <si>
    <t>tạm ứng lần 1</t>
  </si>
  <si>
    <t>tạm ứng lần 2</t>
  </si>
  <si>
    <t>tổng tiền đã nhận</t>
  </si>
  <si>
    <t>Tân Khánh hoà</t>
  </si>
  <si>
    <t>Đường bộ</t>
  </si>
  <si>
    <t>Đường bộ - mua sắm</t>
  </si>
  <si>
    <t>tổng cộng</t>
  </si>
  <si>
    <t>Thương hiệu</t>
  </si>
  <si>
    <t>Quy cách kỹ thuật</t>
  </si>
  <si>
    <t>Đơn giá</t>
  </si>
  <si>
    <t>ICX 7550 24 port</t>
  </si>
  <si>
    <t>Ruckus</t>
  </si>
  <si>
    <t>Dell</t>
  </si>
  <si>
    <t>BLP-70</t>
  </si>
  <si>
    <t>P01-S144-UK00
S02-S144-3000
377*L09-0001-SG00
377*S02-0001-3LSG</t>
  </si>
  <si>
    <t>ICX8200-24P</t>
  </si>
  <si>
    <t>Legrand</t>
  </si>
  <si>
    <t>Yeastar S50</t>
  </si>
  <si>
    <t>YEASTAR</t>
  </si>
  <si>
    <t>Dahua</t>
  </si>
  <si>
    <t>ICX-8200-24P</t>
  </si>
  <si>
    <t>ICX-8200-24FX
ICX-8200-PREM-LIC</t>
  </si>
  <si>
    <t>XMAP4P</t>
  </si>
  <si>
    <t>Honeywell</t>
  </si>
  <si>
    <t>IXD-360V03NP-DC</t>
  </si>
  <si>
    <t>Comba</t>
  </si>
  <si>
    <t>PM-AS-IWH-979
V10NBJ-KT</t>
  </si>
  <si>
    <t>POI-CD62IDN1VN</t>
  </si>
  <si>
    <t>PS-R2-ON500C(H)</t>
  </si>
  <si>
    <t>PS-R3-ON500C(H)</t>
  </si>
  <si>
    <t>PS-R4-ON500C(H)</t>
  </si>
  <si>
    <t>UHF2-10E</t>
  </si>
  <si>
    <t>Ztekco</t>
  </si>
  <si>
    <t>MR101</t>
  </si>
  <si>
    <t>Bisen</t>
  </si>
  <si>
    <t>VN</t>
  </si>
  <si>
    <t>NST-IPA6092-NPSD</t>
  </si>
  <si>
    <t>Enster</t>
  </si>
  <si>
    <t>NST-IPH5842S</t>
  </si>
  <si>
    <t>TSW200</t>
  </si>
  <si>
    <t>Teltonika</t>
  </si>
  <si>
    <t>OptiPlex 3090 Tower 4GB</t>
  </si>
  <si>
    <t>UA864LO</t>
  </si>
  <si>
    <t>Shure</t>
  </si>
  <si>
    <t>DD085</t>
  </si>
  <si>
    <t>Soundking</t>
  </si>
  <si>
    <t>86UL5J-H</t>
  </si>
  <si>
    <t>ZPL-64/18-10</t>
  </si>
  <si>
    <t>KUPO</t>
  </si>
  <si>
    <t>LB230</t>
  </si>
  <si>
    <t>Big Dipper</t>
  </si>
  <si>
    <t>DP-81</t>
  </si>
  <si>
    <t>Lite Puter</t>
  </si>
  <si>
    <t>PR</t>
  </si>
  <si>
    <t>Lighting</t>
  </si>
  <si>
    <t>SL-1024</t>
  </si>
  <si>
    <t>Sunlite</t>
  </si>
  <si>
    <t>DMP128 Plus CAT</t>
  </si>
  <si>
    <t>NBNC75BTU11</t>
  </si>
  <si>
    <t>Neutrik</t>
  </si>
  <si>
    <t>NAV E 201 D</t>
  </si>
  <si>
    <t>Extron</t>
  </si>
  <si>
    <t xml:space="preserve">NAV E 101 </t>
  </si>
  <si>
    <t xml:space="preserve">NAV SD 101 </t>
  </si>
  <si>
    <t>Sharelink Pro 1100</t>
  </si>
  <si>
    <t>55UL3J</t>
  </si>
  <si>
    <t>LG</t>
  </si>
  <si>
    <t>RUIJIE REYEE RG-RAP2200€</t>
  </si>
  <si>
    <t>Bộ phát Wifi Ruijie Reyee RG-RAP6260(G) AX1800 Wi-Fi 6 Dual</t>
  </si>
  <si>
    <t>Switch POE 6 cổng 10/100/1000BASE-T Ruijie Reyee RG-ES206GC-P</t>
  </si>
  <si>
    <t>Switch 8 cổng 10/100/1000 BASE-T RUIJIE RG-NBS3100-8GT2SFP</t>
  </si>
  <si>
    <t>ICX7150-C12P-2X1G</t>
  </si>
  <si>
    <t>Switch POE 4 cổng RUIJIE REYEE RG-ES205GC-P</t>
  </si>
  <si>
    <t>ICX7150-24-4X1G</t>
  </si>
  <si>
    <t>Tổng đài Yeastar MyPBX S300</t>
  </si>
  <si>
    <t>Điện thoại IP Yealink SIP-T53W</t>
  </si>
  <si>
    <t>HL-L2321D Máy in Laser</t>
  </si>
  <si>
    <t>Camera IP 4MP Dome DAHUA DH-IPC-HDW2441T-S</t>
  </si>
  <si>
    <t>Camera IP thân trụ 4MP DAHUA DH-IPC-HFW2441TP-ZS</t>
  </si>
  <si>
    <t>Camera IP Speed Dome 2MP DAHUA DH-SD49225DB-HNY</t>
  </si>
  <si>
    <t>Đầu ghi hình IP 32 kênh DAHUA DHI-NVR5432-EI</t>
  </si>
  <si>
    <t>Ổ cứng gắn trong SEAGATE HDD SkyHawk 6TB, 5400 RPM, Cache 256MB (ST6000VX009)</t>
  </si>
  <si>
    <t>Màn hình quảng cáo LG 50UL3J</t>
  </si>
  <si>
    <t>Ổ Cắm Lọc Điện Clef PowerBRIDGE - 8</t>
  </si>
  <si>
    <t>Bộ xử lý trung tâm 8 vùng Honeywell HCU-2000</t>
  </si>
  <si>
    <t>Bộ mở rộng 8 vùng Honeywell HEX-8</t>
  </si>
  <si>
    <t>Micro chọn vùng Honeywell HMC-2000</t>
  </si>
  <si>
    <t>Bàn phím mở rộng 8 vùng Honeywell HMC-K8</t>
  </si>
  <si>
    <t>Bộ khuếch đại công suất 500W Honeywell HAM-2000</t>
  </si>
  <si>
    <t>Loa âm trần 6W/3W/1.5W Honeywell HN-CL06</t>
  </si>
  <si>
    <t>Loa hộp 6W/3W Honeywell L-PWP06B</t>
  </si>
  <si>
    <t>Loa còi 15W/7.5W Honeywell L-PHP15A</t>
  </si>
  <si>
    <t>Bộ dò vòng từ PD132</t>
  </si>
  <si>
    <t>Barrier tự động Road RD-101T</t>
  </si>
  <si>
    <t>ICX7150-24-4X1G Ruckus ICX 7150 24 Ports Switch with 1 GBE Uplinks</t>
  </si>
  <si>
    <t>Converter quang G-NET HHD-220G-20 tốc độ 10/100/1000</t>
  </si>
  <si>
    <t>Micro cổ ngỗng đơn hướng Shure MX418D/C</t>
  </si>
  <si>
    <t>SHURE SM58</t>
  </si>
  <si>
    <t>Bộ micro không dây SLX24A/SM58</t>
  </si>
  <si>
    <t>MICRO SHURE SLXD14A/85</t>
  </si>
  <si>
    <t>Loa toàn dải two-way Electro-Voice ZX5-60B (W)</t>
  </si>
  <si>
    <t>Loa toàn dải 4 tấc công suất EV EKX-15P</t>
  </si>
  <si>
    <t>Loa Sub 5 tấc công suất EV EKX-18SP</t>
  </si>
  <si>
    <t>Cục đẩy công suất Dynacord C2800FDI</t>
  </si>
  <si>
    <t>Mixer Dynacord CMS 2200-3</t>
  </si>
  <si>
    <t>Bộ xử lý tín hiệu âm thanh DBX DriveRack 260</t>
  </si>
  <si>
    <t>DBX 1046</t>
  </si>
  <si>
    <t>DBX 2231</t>
  </si>
  <si>
    <t>DBX AFS2 : Bộ xử lý phản hồi âm thanh</t>
  </si>
  <si>
    <t>Bộ điều chỉnh tần số DBX Db12</t>
  </si>
  <si>
    <t>Bộ xử lý âm thanh Yamaha SPX2000</t>
  </si>
  <si>
    <t>LED P3 Trong nhà GKGD</t>
  </si>
  <si>
    <t>Ruijie</t>
  </si>
  <si>
    <t>Yeastar</t>
  </si>
  <si>
    <t>Yealink</t>
  </si>
  <si>
    <t>Laser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</si>
</sst>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_-* #,##0.00_-;\-* #,##0.00_-;_-* &quot;-&quot;??_-;_-@_-"/>
    <numFmt numFmtId="165" formatCode="#,##0.000"/>
    <numFmt numFmtId="166" formatCode="_-* #,##0_-;\-* #,##0_-;_-* &quot;-&quot;??_-;_-@_-"/>
    <numFmt numFmtId="167" formatCode="_(* #,##0_);_(* \(#,##0\);_(* &quot;-&quot;??_);_(@_)"/>
    <numFmt numFmtId="168" formatCode="_(* #,##0.000_);_(* \(#,##0.000\);_(* &quot;-&quot;??_);_(@_)"/>
    <numFmt numFmtId="169" formatCode="_ * #,##0_ ;_ * \-#,##0_ ;_ * &quot;-&quot;??_ ;_ @_ "/>
    <numFmt numFmtId="170" formatCode="#,##0\ ;\ \-\ #,##0\ ;\ &quot;-&quot;"/>
    <numFmt numFmtId="171" formatCode="_-[$€]* #,##0.00_-;\-[$€]* #,##0.00_-;_-[$€]* &quot;-&quot;??_-;_-@_-"/>
    <numFmt numFmtId="172" formatCode="#,##0.0000"/>
    <numFmt numFmtId="173" formatCode="_-* #,##0.0000_-;\-* #,##0.0000_-;_-* &quot;-&quot;??_-;_-@_-"/>
    <numFmt numFmtId="174" formatCode="&quot;Khánh Hòa, ngày &quot;dd&quot; tháng &quot;mm&quot; năm &quot;yyyy"/>
    <numFmt numFmtId="175" formatCode="_(* #,##0.0000_);_(* \(#,##0.0000\);_(* &quot;-&quot;??_);_(@_)"/>
    <numFmt numFmtId="176" formatCode="#,##0.##0;\-#,##0.##0"/>
    <numFmt numFmtId="177" formatCode="#,##0.000_);\(#,##0.000\)"/>
    <numFmt numFmtId="178" formatCode="0.000"/>
  </numFmts>
  <fonts count="67" x14ac:knownFonts="1">
    <font>
      <sz val="11"/>
      <color theme="1"/>
      <name val="Calibri"/>
      <family val="2"/>
      <scheme val="minor"/>
    </font>
    <font>
      <b/>
      <sz val="12"/>
      <name val="Times New Roman"/>
      <family val="1"/>
    </font>
    <font>
      <b/>
      <sz val="14"/>
      <name val="Times New Roman"/>
      <family val="1"/>
    </font>
    <font>
      <sz val="11"/>
      <name val="Calibri"/>
      <family val="2"/>
      <scheme val="minor"/>
    </font>
    <font>
      <sz val="12"/>
      <name val="Times New Roman"/>
      <family val="1"/>
    </font>
    <font>
      <i/>
      <sz val="13"/>
      <name val="Times New Roman"/>
      <family val="1"/>
    </font>
    <font>
      <sz val="11"/>
      <name val="Times New Roman"/>
      <family val="1"/>
    </font>
    <font>
      <b/>
      <sz val="18"/>
      <name val="Times New Roman"/>
      <family val="1"/>
    </font>
    <font>
      <sz val="11"/>
      <color theme="1"/>
      <name val="Calibri"/>
      <family val="2"/>
      <scheme val="minor"/>
    </font>
    <font>
      <sz val="12"/>
      <name val="VNI-Times"/>
    </font>
    <font>
      <sz val="14"/>
      <name val="Times New Roman"/>
      <family val="1"/>
    </font>
    <font>
      <sz val="10"/>
      <name val="Arial"/>
      <family val="2"/>
    </font>
    <font>
      <i/>
      <sz val="14"/>
      <name val="Times New Roman"/>
      <family val="1"/>
    </font>
    <font>
      <b/>
      <i/>
      <sz val="14"/>
      <name val="Times New Roman"/>
      <family val="1"/>
    </font>
    <font>
      <sz val="13"/>
      <color theme="1"/>
      <name val="Calibri"/>
      <family val="2"/>
      <scheme val="minor"/>
    </font>
    <font>
      <sz val="13"/>
      <name val="Times New Roman"/>
      <family val="1"/>
    </font>
    <font>
      <sz val="13"/>
      <color theme="1"/>
      <name val="Times New Roman"/>
      <family val="1"/>
    </font>
    <font>
      <b/>
      <sz val="13"/>
      <color theme="1"/>
      <name val="Times New Roman"/>
      <family val="1"/>
    </font>
    <font>
      <sz val="11"/>
      <name val=".VnArial"/>
      <family val="2"/>
    </font>
    <font>
      <sz val="13"/>
      <color rgb="FFFF0000"/>
      <name val="Times New Roman"/>
      <family val="1"/>
    </font>
    <font>
      <b/>
      <sz val="13"/>
      <name val="Times New Roman"/>
      <family val="1"/>
    </font>
    <font>
      <b/>
      <u/>
      <sz val="13"/>
      <name val="Times New Roman"/>
      <family val="1"/>
    </font>
    <font>
      <b/>
      <sz val="16"/>
      <name val="Times New Roman"/>
      <family val="1"/>
    </font>
    <font>
      <sz val="12"/>
      <color theme="1"/>
      <name val=".VnTime"/>
      <family val="2"/>
    </font>
    <font>
      <b/>
      <i/>
      <sz val="13"/>
      <name val="Times New Roman"/>
      <family val="1"/>
    </font>
    <font>
      <sz val="10"/>
      <name val="VNI-Times"/>
    </font>
    <font>
      <sz val="14"/>
      <name val=".VnTime"/>
      <family val="2"/>
    </font>
    <font>
      <sz val="10"/>
      <color indexed="8"/>
      <name val="Times New Roman"/>
      <family val="1"/>
    </font>
    <font>
      <b/>
      <sz val="13"/>
      <color rgb="FFFF0000"/>
      <name val="Times New Roman"/>
      <family val="1"/>
    </font>
    <font>
      <sz val="11"/>
      <color theme="1"/>
      <name val="Times New Roman"/>
      <family val="1"/>
    </font>
    <font>
      <b/>
      <sz val="11"/>
      <color theme="1"/>
      <name val="Times New Roman"/>
      <family val="1"/>
    </font>
    <font>
      <sz val="11"/>
      <color rgb="FFFF0000"/>
      <name val="Calibri"/>
      <family val="2"/>
      <scheme val="minor"/>
    </font>
    <font>
      <b/>
      <sz val="16"/>
      <color rgb="FFFF0000"/>
      <name val="Times New Roman"/>
      <family val="1"/>
    </font>
    <font>
      <i/>
      <sz val="13"/>
      <color theme="1"/>
      <name val="Calibri"/>
      <family val="2"/>
      <scheme val="minor"/>
    </font>
    <font>
      <i/>
      <sz val="13"/>
      <color theme="1"/>
      <name val="Times New Roman"/>
      <family val="1"/>
    </font>
    <font>
      <b/>
      <sz val="12"/>
      <color theme="1"/>
      <name val="Times New Roman"/>
      <family val="1"/>
    </font>
    <font>
      <b/>
      <sz val="11"/>
      <name val="Times New Roman"/>
      <family val="1"/>
    </font>
    <font>
      <b/>
      <sz val="10"/>
      <color rgb="FF00008B"/>
      <name val="Times New Roman"/>
      <family val="1"/>
    </font>
    <font>
      <sz val="10"/>
      <color rgb="FF000000"/>
      <name val="Times New Roman"/>
      <family val="1"/>
    </font>
    <font>
      <sz val="10"/>
      <color rgb="FFA52A2A"/>
      <name val="Times New Roman"/>
      <family val="1"/>
    </font>
    <font>
      <sz val="10"/>
      <color rgb="FF0000FF"/>
      <name val="Times New Roman"/>
      <family val="1"/>
    </font>
    <font>
      <sz val="10"/>
      <color rgb="FFFF0000"/>
      <name val="Times New Roman"/>
      <family val="1"/>
    </font>
    <font>
      <b/>
      <sz val="10"/>
      <color rgb="FF800000"/>
      <name val="Arial"/>
      <family val="2"/>
    </font>
    <font>
      <b/>
      <sz val="10"/>
      <color rgb="FF800000"/>
      <name val="Times New Roman"/>
      <family val="1"/>
    </font>
    <font>
      <b/>
      <sz val="11"/>
      <color rgb="FFFF0000"/>
      <name val="Calibri"/>
      <family val="2"/>
      <scheme val="minor"/>
    </font>
    <font>
      <b/>
      <i/>
      <sz val="13"/>
      <color rgb="FFFF0000"/>
      <name val="Times New Roman"/>
      <family val="1"/>
    </font>
    <font>
      <b/>
      <i/>
      <sz val="13"/>
      <color rgb="FFFF0000"/>
      <name val="Calibri"/>
      <family val="2"/>
      <scheme val="minor"/>
    </font>
    <font>
      <sz val="14"/>
      <color rgb="FFFF0000"/>
      <name val="Times New Roman"/>
      <family val="1"/>
    </font>
    <font>
      <sz val="13"/>
      <color rgb="FFFF0000"/>
      <name val="Calibri"/>
      <family val="2"/>
      <scheme val="minor"/>
    </font>
    <font>
      <sz val="13"/>
      <name val="Calibri"/>
      <family val="2"/>
      <scheme val="minor"/>
    </font>
    <font>
      <i/>
      <sz val="13"/>
      <color rgb="FFFF0000"/>
      <name val="Calibri"/>
      <family val="2"/>
      <scheme val="minor"/>
    </font>
    <font>
      <sz val="12"/>
      <name val="Calibri"/>
      <family val="2"/>
      <scheme val="minor"/>
    </font>
    <font>
      <b/>
      <sz val="14"/>
      <color theme="1"/>
      <name val="Times New Roman"/>
      <family val="1"/>
    </font>
    <font>
      <sz val="8"/>
      <name val="Calibri"/>
      <family val="2"/>
      <scheme val="minor"/>
    </font>
    <font>
      <sz val="12"/>
      <color theme="1"/>
      <name val="Times New Roman"/>
      <family val="1"/>
    </font>
    <font>
      <sz val="12"/>
      <color theme="1"/>
      <name val="Calibri"/>
      <family val="2"/>
      <scheme val="minor"/>
    </font>
    <font>
      <b/>
      <i/>
      <sz val="12"/>
      <name val="Times New Roman"/>
      <family val="1"/>
    </font>
    <font>
      <sz val="12"/>
      <color rgb="FFFF0000"/>
      <name val="Calibri"/>
      <family val="2"/>
      <scheme val="minor"/>
    </font>
    <font>
      <b/>
      <i/>
      <sz val="11"/>
      <name val="Times New Roman"/>
      <family val="1"/>
    </font>
    <font>
      <sz val="11"/>
      <color rgb="FFFF0000"/>
      <name val="Times New Roman"/>
      <family val="1"/>
    </font>
    <font>
      <sz val="14"/>
      <color theme="1"/>
      <name val="Times New Roman"/>
      <family val="1"/>
    </font>
    <font>
      <sz val="14"/>
      <color indexed="8"/>
      <name val="Times New Roman"/>
      <family val="1"/>
    </font>
    <font>
      <b/>
      <sz val="16"/>
      <color theme="1"/>
      <name val="Times New Roman"/>
      <family val="1"/>
    </font>
    <font>
      <sz val="16"/>
      <color theme="1"/>
      <name val="Times New Roman"/>
      <family val="1"/>
    </font>
    <font>
      <b/>
      <i/>
      <sz val="14"/>
      <color theme="1"/>
      <name val="Times New Roman"/>
      <family val="1"/>
    </font>
    <font>
      <i/>
      <sz val="14"/>
      <color theme="1"/>
      <name val="Times New Roman"/>
      <family val="1"/>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thin">
        <color auto="1"/>
      </top>
      <bottom style="hair">
        <color rgb="FF000000"/>
      </bottom>
      <diagonal/>
    </border>
  </borders>
  <cellStyleXfs count="11">
    <xf numFmtId="0" fontId="0" fillId="0" borderId="0"/>
    <xf numFmtId="43" fontId="8" fillId="0" borderId="0" applyFont="0" applyFill="0" applyBorder="0" applyAlignment="0" applyProtection="0"/>
    <xf numFmtId="0" fontId="9" fillId="0" borderId="0"/>
    <xf numFmtId="43" fontId="11" fillId="0" borderId="0" applyFont="0" applyFill="0" applyBorder="0" applyAlignment="0" applyProtection="0"/>
    <xf numFmtId="0" fontId="18" fillId="0" borderId="0" applyNumberFormat="0" applyFill="0" applyBorder="0" applyAlignment="0" applyProtection="0"/>
    <xf numFmtId="9" fontId="8" fillId="0" borderId="0" applyFont="0" applyFill="0" applyBorder="0" applyAlignment="0" applyProtection="0"/>
    <xf numFmtId="0" fontId="23" fillId="0" borderId="0"/>
    <xf numFmtId="0" fontId="25" fillId="0" borderId="0"/>
    <xf numFmtId="0" fontId="11" fillId="0" borderId="0"/>
    <xf numFmtId="0" fontId="26" fillId="0" borderId="0"/>
    <xf numFmtId="164" fontId="27" fillId="0" borderId="0" applyFont="0" applyFill="0" applyBorder="0" applyAlignment="0" applyProtection="0"/>
  </cellStyleXfs>
  <cellXfs count="542">
    <xf numFmtId="0" fontId="0" fillId="0" borderId="0" xfId="0"/>
    <xf numFmtId="0" fontId="3" fillId="0" borderId="0" xfId="0" applyFont="1" applyAlignment="1">
      <alignment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165" fontId="1" fillId="0" borderId="4" xfId="0" applyNumberFormat="1" applyFont="1" applyBorder="1" applyAlignment="1">
      <alignment horizontal="right" vertical="center" wrapText="1"/>
    </xf>
    <xf numFmtId="3" fontId="1" fillId="0" borderId="4" xfId="0" applyNumberFormat="1" applyFont="1" applyBorder="1" applyAlignment="1" applyProtection="1">
      <alignment horizontal="right" vertical="center" wrapText="1"/>
      <protection locked="0"/>
    </xf>
    <xf numFmtId="0" fontId="4" fillId="0" borderId="4" xfId="0" applyFont="1" applyBorder="1" applyAlignment="1">
      <alignment horizontal="center" vertical="center" wrapText="1"/>
    </xf>
    <xf numFmtId="0" fontId="4" fillId="0" borderId="4" xfId="0" applyFont="1" applyBorder="1" applyAlignment="1">
      <alignment vertical="center" wrapText="1"/>
    </xf>
    <xf numFmtId="165" fontId="4" fillId="0" borderId="4" xfId="0" applyNumberFormat="1" applyFont="1" applyBorder="1" applyAlignment="1">
      <alignment horizontal="right" vertical="center" wrapText="1"/>
    </xf>
    <xf numFmtId="3" fontId="4" fillId="0" borderId="4" xfId="0" applyNumberFormat="1" applyFont="1" applyBorder="1" applyAlignment="1" applyProtection="1">
      <alignment horizontal="right" vertical="center" wrapText="1"/>
      <protection locked="0"/>
    </xf>
    <xf numFmtId="0" fontId="3" fillId="0" borderId="0" xfId="0" applyFont="1" applyAlignment="1">
      <alignment horizontal="right" vertical="center" wrapText="1"/>
    </xf>
    <xf numFmtId="3" fontId="3" fillId="0" borderId="0" xfId="0" applyNumberFormat="1" applyFont="1" applyAlignment="1" applyProtection="1">
      <alignment horizontal="right" vertical="center" wrapText="1"/>
      <protection locked="0"/>
    </xf>
    <xf numFmtId="3" fontId="3" fillId="0" borderId="0" xfId="0" applyNumberFormat="1" applyFont="1" applyAlignment="1">
      <alignment horizontal="right" vertical="center" wrapText="1"/>
    </xf>
    <xf numFmtId="0" fontId="3" fillId="0" borderId="0" xfId="0" applyFont="1" applyAlignment="1">
      <alignment vertical="center" wrapText="1"/>
    </xf>
    <xf numFmtId="168" fontId="10" fillId="0" borderId="0" xfId="3" applyNumberFormat="1" applyFont="1" applyFill="1" applyAlignment="1">
      <alignment vertical="center" wrapText="1"/>
    </xf>
    <xf numFmtId="168" fontId="10" fillId="0" borderId="0" xfId="3" applyNumberFormat="1" applyFont="1" applyFill="1" applyAlignment="1">
      <alignment horizontal="center" vertical="center"/>
    </xf>
    <xf numFmtId="43" fontId="10" fillId="0" borderId="0" xfId="1" applyFont="1" applyFill="1" applyAlignment="1">
      <alignment vertical="center" wrapText="1"/>
    </xf>
    <xf numFmtId="43" fontId="10" fillId="0" borderId="0" xfId="1" applyFont="1" applyFill="1" applyAlignment="1">
      <alignment horizontal="center" vertical="center"/>
    </xf>
    <xf numFmtId="3" fontId="4" fillId="0" borderId="0" xfId="0" applyNumberFormat="1" applyFont="1"/>
    <xf numFmtId="4" fontId="4" fillId="0" borderId="0" xfId="0" applyNumberFormat="1" applyFont="1"/>
    <xf numFmtId="4" fontId="4" fillId="0" borderId="0" xfId="0" applyNumberFormat="1" applyFont="1" applyAlignment="1">
      <alignment horizontal="centerContinuous"/>
    </xf>
    <xf numFmtId="4" fontId="4" fillId="0" borderId="7" xfId="0" applyNumberFormat="1" applyFont="1" applyBorder="1" applyAlignment="1">
      <alignment horizontal="centerContinuous"/>
    </xf>
    <xf numFmtId="3" fontId="4" fillId="2" borderId="8" xfId="4" applyNumberFormat="1" applyFont="1" applyFill="1" applyBorder="1" applyProtection="1">
      <protection hidden="1"/>
    </xf>
    <xf numFmtId="4" fontId="4" fillId="0" borderId="0" xfId="0" applyNumberFormat="1" applyFont="1" applyAlignment="1">
      <alignment horizontal="center"/>
    </xf>
    <xf numFmtId="171" fontId="4" fillId="0" borderId="0" xfId="0" applyNumberFormat="1" applyFont="1" applyAlignment="1">
      <alignment horizontal="center"/>
    </xf>
    <xf numFmtId="3" fontId="4" fillId="0" borderId="0" xfId="0" applyNumberFormat="1" applyFont="1" applyAlignment="1">
      <alignment horizontal="center"/>
    </xf>
    <xf numFmtId="3" fontId="4" fillId="0" borderId="0" xfId="4" applyNumberFormat="1" applyFont="1" applyFill="1" applyBorder="1" applyProtection="1">
      <protection hidden="1"/>
    </xf>
    <xf numFmtId="3" fontId="4" fillId="0" borderId="9" xfId="4" applyNumberFormat="1" applyFont="1" applyFill="1" applyBorder="1" applyProtection="1">
      <protection hidden="1"/>
    </xf>
    <xf numFmtId="3" fontId="4" fillId="0" borderId="10" xfId="4" applyNumberFormat="1" applyFont="1" applyFill="1" applyBorder="1" applyProtection="1">
      <protection hidden="1"/>
    </xf>
    <xf numFmtId="3" fontId="4" fillId="0" borderId="11" xfId="0" applyNumberFormat="1" applyFont="1" applyBorder="1"/>
    <xf numFmtId="3" fontId="4" fillId="0" borderId="12" xfId="4" applyNumberFormat="1" applyFont="1" applyFill="1" applyBorder="1" applyProtection="1">
      <protection hidden="1"/>
    </xf>
    <xf numFmtId="3" fontId="4" fillId="0" borderId="13" xfId="4" applyNumberFormat="1" applyFont="1" applyFill="1" applyBorder="1" applyProtection="1">
      <protection hidden="1"/>
    </xf>
    <xf numFmtId="3" fontId="0" fillId="0" borderId="14" xfId="0" applyNumberFormat="1" applyBorder="1"/>
    <xf numFmtId="3" fontId="4" fillId="0" borderId="13" xfId="4" applyNumberFormat="1" applyFont="1" applyFill="1" applyBorder="1" applyAlignment="1" applyProtection="1">
      <protection hidden="1"/>
    </xf>
    <xf numFmtId="3" fontId="4" fillId="0" borderId="15" xfId="4" applyNumberFormat="1" applyFont="1" applyFill="1" applyBorder="1" applyProtection="1">
      <protection hidden="1"/>
    </xf>
    <xf numFmtId="3" fontId="4" fillId="0" borderId="16" xfId="4" applyNumberFormat="1" applyFont="1" applyFill="1" applyBorder="1" applyProtection="1">
      <protection hidden="1"/>
    </xf>
    <xf numFmtId="3" fontId="4" fillId="0" borderId="17" xfId="4" applyNumberFormat="1" applyFont="1" applyFill="1" applyBorder="1" applyProtection="1">
      <protection hidden="1"/>
    </xf>
    <xf numFmtId="4" fontId="1" fillId="0" borderId="0" xfId="0" applyNumberFormat="1" applyFont="1" applyAlignment="1">
      <alignment horizontal="left" vertical="center"/>
    </xf>
    <xf numFmtId="4" fontId="1" fillId="0" borderId="0" xfId="0" applyNumberFormat="1" applyFont="1"/>
    <xf numFmtId="171" fontId="4" fillId="2" borderId="2" xfId="0" applyNumberFormat="1" applyFont="1" applyFill="1" applyBorder="1" applyAlignment="1">
      <alignment vertical="center" wrapText="1"/>
    </xf>
    <xf numFmtId="4" fontId="4" fillId="2" borderId="1" xfId="0" applyNumberFormat="1" applyFont="1" applyFill="1" applyBorder="1" applyAlignment="1">
      <alignment vertical="center"/>
    </xf>
    <xf numFmtId="3" fontId="4" fillId="2" borderId="0" xfId="0" applyNumberFormat="1" applyFont="1" applyFill="1"/>
    <xf numFmtId="4" fontId="0" fillId="0" borderId="0" xfId="0" applyNumberFormat="1"/>
    <xf numFmtId="0" fontId="16" fillId="0" borderId="0" xfId="0" applyFont="1"/>
    <xf numFmtId="172" fontId="16" fillId="0" borderId="0" xfId="0" applyNumberFormat="1" applyFont="1"/>
    <xf numFmtId="9" fontId="16" fillId="0" borderId="0" xfId="5" applyFont="1" applyAlignment="1">
      <alignment vertical="center"/>
    </xf>
    <xf numFmtId="49" fontId="15" fillId="0" borderId="0" xfId="3" applyNumberFormat="1" applyFont="1" applyFill="1" applyBorder="1" applyAlignment="1">
      <alignment vertical="center" wrapText="1"/>
    </xf>
    <xf numFmtId="43" fontId="10" fillId="0" borderId="0" xfId="1" applyFont="1" applyFill="1" applyBorder="1" applyAlignment="1">
      <alignment horizontal="centerContinuous" vertical="center" wrapText="1"/>
    </xf>
    <xf numFmtId="168" fontId="10" fillId="0" borderId="0" xfId="3" applyNumberFormat="1" applyFont="1" applyFill="1" applyBorder="1" applyAlignment="1">
      <alignment horizontal="centerContinuous" vertical="center" wrapText="1"/>
    </xf>
    <xf numFmtId="0" fontId="31" fillId="0" borderId="0" xfId="0" applyFont="1"/>
    <xf numFmtId="0" fontId="35" fillId="0" borderId="4" xfId="0" applyFont="1" applyBorder="1" applyAlignment="1">
      <alignment horizontal="center" vertical="center"/>
    </xf>
    <xf numFmtId="165" fontId="1" fillId="0" borderId="4" xfId="2" applyNumberFormat="1" applyFont="1" applyBorder="1" applyAlignment="1" applyProtection="1">
      <alignment horizontal="center" vertical="center" readingOrder="1"/>
      <protection locked="0"/>
    </xf>
    <xf numFmtId="165" fontId="35" fillId="0" borderId="4" xfId="0" applyNumberFormat="1" applyFont="1" applyBorder="1" applyAlignment="1">
      <alignment horizontal="center" vertical="center" wrapText="1"/>
    </xf>
    <xf numFmtId="0" fontId="35" fillId="0" borderId="4" xfId="0" applyFont="1" applyBorder="1" applyAlignment="1">
      <alignment horizontal="center" vertical="center" wrapText="1"/>
    </xf>
    <xf numFmtId="168" fontId="35" fillId="0" borderId="4" xfId="1" applyNumberFormat="1" applyFont="1" applyFill="1" applyBorder="1" applyAlignment="1">
      <alignment horizontal="center" vertical="center" wrapText="1"/>
    </xf>
    <xf numFmtId="0" fontId="36" fillId="0" borderId="4" xfId="7" applyFont="1" applyBorder="1" applyAlignment="1" applyProtection="1">
      <alignment horizontal="center" vertical="center" wrapText="1"/>
      <protection locked="0"/>
    </xf>
    <xf numFmtId="0" fontId="1" fillId="0" borderId="4" xfId="2" applyFont="1" applyBorder="1" applyAlignment="1" applyProtection="1">
      <alignment horizontal="center" vertical="center" wrapText="1" readingOrder="1"/>
      <protection locked="0"/>
    </xf>
    <xf numFmtId="0" fontId="37" fillId="0" borderId="24" xfId="0" applyFont="1" applyBorder="1" applyAlignment="1" applyProtection="1">
      <alignment horizontal="center" vertical="center" wrapText="1"/>
      <protection locked="0"/>
    </xf>
    <xf numFmtId="176" fontId="38" fillId="0" borderId="24" xfId="0" applyNumberFormat="1" applyFont="1" applyBorder="1" applyAlignment="1" applyProtection="1">
      <alignment horizontal="right" vertical="center" wrapText="1"/>
      <protection locked="0"/>
    </xf>
    <xf numFmtId="0" fontId="39" fillId="0" borderId="13" xfId="0" applyFont="1" applyBorder="1" applyAlignment="1" applyProtection="1">
      <alignment horizontal="left" vertical="center" wrapText="1"/>
      <protection locked="0"/>
    </xf>
    <xf numFmtId="0" fontId="39" fillId="0" borderId="13" xfId="0" applyFont="1" applyBorder="1" applyAlignment="1" applyProtection="1">
      <alignment horizontal="center" vertical="center" wrapText="1"/>
      <protection locked="0"/>
    </xf>
    <xf numFmtId="176" fontId="39" fillId="0" borderId="13" xfId="0" applyNumberFormat="1" applyFont="1" applyBorder="1" applyAlignment="1" applyProtection="1">
      <alignment horizontal="right" vertical="center" wrapText="1"/>
      <protection locked="0"/>
    </xf>
    <xf numFmtId="0" fontId="40" fillId="0" borderId="13" xfId="0" applyFont="1" applyBorder="1" applyAlignment="1" applyProtection="1">
      <alignment horizontal="left" vertical="center" wrapText="1"/>
      <protection locked="0"/>
    </xf>
    <xf numFmtId="0" fontId="38" fillId="0" borderId="13" xfId="0" applyFont="1" applyBorder="1" applyAlignment="1" applyProtection="1">
      <alignment horizontal="center" vertical="center" wrapText="1"/>
      <protection locked="0"/>
    </xf>
    <xf numFmtId="176" fontId="38" fillId="0" borderId="13" xfId="0" applyNumberFormat="1" applyFont="1" applyBorder="1" applyAlignment="1" applyProtection="1">
      <alignment horizontal="right" vertical="center" wrapText="1"/>
      <protection locked="0"/>
    </xf>
    <xf numFmtId="0" fontId="38" fillId="0" borderId="13" xfId="0" applyFont="1" applyBorder="1" applyAlignment="1" applyProtection="1">
      <alignment horizontal="left" vertical="center" wrapText="1"/>
      <protection locked="0"/>
    </xf>
    <xf numFmtId="0" fontId="41" fillId="0" borderId="13" xfId="0" applyFont="1" applyBorder="1" applyAlignment="1" applyProtection="1">
      <alignment horizontal="left" vertical="center" wrapText="1"/>
      <protection locked="0"/>
    </xf>
    <xf numFmtId="0" fontId="40" fillId="0" borderId="25" xfId="0" applyFont="1" applyBorder="1" applyAlignment="1" applyProtection="1">
      <alignment horizontal="left" vertical="center" wrapText="1"/>
      <protection locked="0"/>
    </xf>
    <xf numFmtId="0" fontId="38" fillId="0" borderId="25" xfId="0" applyFont="1" applyBorder="1" applyAlignment="1" applyProtection="1">
      <alignment horizontal="center" vertical="center" wrapText="1"/>
      <protection locked="0"/>
    </xf>
    <xf numFmtId="176" fontId="38" fillId="0" borderId="25" xfId="0" applyNumberFormat="1" applyFont="1" applyBorder="1" applyAlignment="1" applyProtection="1">
      <alignment horizontal="right" vertical="center" wrapText="1"/>
      <protection locked="0"/>
    </xf>
    <xf numFmtId="168" fontId="35" fillId="2" borderId="4" xfId="1" applyNumberFormat="1" applyFont="1" applyFill="1" applyBorder="1" applyAlignment="1">
      <alignment horizontal="center" vertical="center"/>
    </xf>
    <xf numFmtId="0" fontId="30" fillId="2" borderId="4" xfId="1" applyNumberFormat="1" applyFont="1" applyFill="1" applyBorder="1" applyAlignment="1">
      <alignment horizontal="center" vertical="center"/>
    </xf>
    <xf numFmtId="176" fontId="38" fillId="2" borderId="13" xfId="0" applyNumberFormat="1" applyFont="1" applyFill="1" applyBorder="1" applyAlignment="1" applyProtection="1">
      <alignment horizontal="right" vertical="center" wrapText="1"/>
      <protection locked="0"/>
    </xf>
    <xf numFmtId="3" fontId="38" fillId="0" borderId="13" xfId="0" applyNumberFormat="1" applyFont="1" applyBorder="1" applyAlignment="1" applyProtection="1">
      <alignment horizontal="center" vertical="center" wrapText="1"/>
      <protection locked="0"/>
    </xf>
    <xf numFmtId="3" fontId="39" fillId="0" borderId="13" xfId="0" applyNumberFormat="1" applyFont="1" applyBorder="1" applyAlignment="1" applyProtection="1">
      <alignment horizontal="center" vertical="center" wrapText="1"/>
      <protection locked="0"/>
    </xf>
    <xf numFmtId="3" fontId="38" fillId="0" borderId="25" xfId="0" applyNumberFormat="1" applyFont="1" applyBorder="1" applyAlignment="1" applyProtection="1">
      <alignment horizontal="center" vertical="center" wrapText="1"/>
      <protection locked="0"/>
    </xf>
    <xf numFmtId="168" fontId="38" fillId="0" borderId="13" xfId="1" applyNumberFormat="1" applyFont="1" applyBorder="1" applyAlignment="1" applyProtection="1">
      <alignment horizontal="right" vertical="center" wrapText="1"/>
      <protection locked="0"/>
    </xf>
    <xf numFmtId="168" fontId="38" fillId="0" borderId="25" xfId="1" applyNumberFormat="1" applyFont="1" applyBorder="1" applyAlignment="1" applyProtection="1">
      <alignment horizontal="right" vertical="center" wrapText="1"/>
      <protection locked="0"/>
    </xf>
    <xf numFmtId="0" fontId="30" fillId="0" borderId="4" xfId="0" applyFont="1" applyBorder="1" applyAlignment="1">
      <alignment horizontal="center" vertical="center"/>
    </xf>
    <xf numFmtId="0" fontId="29" fillId="0" borderId="0" xfId="0" applyFont="1" applyAlignment="1">
      <alignment vertical="center"/>
    </xf>
    <xf numFmtId="0" fontId="29" fillId="0" borderId="24" xfId="0" applyFont="1" applyBorder="1" applyAlignment="1">
      <alignment vertical="center"/>
    </xf>
    <xf numFmtId="0" fontId="29" fillId="2" borderId="24" xfId="0" applyFont="1" applyFill="1" applyBorder="1" applyAlignment="1">
      <alignment vertical="center"/>
    </xf>
    <xf numFmtId="0" fontId="29" fillId="0" borderId="13" xfId="0" applyFont="1" applyBorder="1" applyAlignment="1">
      <alignment horizontal="center" vertical="center"/>
    </xf>
    <xf numFmtId="0" fontId="29" fillId="2" borderId="13" xfId="0" applyFont="1" applyFill="1" applyBorder="1" applyAlignment="1">
      <alignment vertical="center"/>
    </xf>
    <xf numFmtId="176" fontId="29" fillId="0" borderId="13" xfId="0" applyNumberFormat="1" applyFont="1" applyBorder="1" applyAlignment="1">
      <alignment vertical="center"/>
    </xf>
    <xf numFmtId="0" fontId="29" fillId="0" borderId="13" xfId="0" applyFont="1" applyBorder="1" applyAlignment="1">
      <alignment vertical="center"/>
    </xf>
    <xf numFmtId="177" fontId="29" fillId="0" borderId="13" xfId="0" applyNumberFormat="1" applyFont="1" applyBorder="1" applyAlignment="1">
      <alignment vertical="center"/>
    </xf>
    <xf numFmtId="0" fontId="29" fillId="0" borderId="25" xfId="0" applyFont="1" applyBorder="1" applyAlignment="1">
      <alignment vertical="center"/>
    </xf>
    <xf numFmtId="0" fontId="29" fillId="2" borderId="25" xfId="0" applyFont="1" applyFill="1" applyBorder="1" applyAlignment="1">
      <alignment vertical="center"/>
    </xf>
    <xf numFmtId="0" fontId="43" fillId="0" borderId="13" xfId="0" applyFont="1" applyBorder="1" applyAlignment="1" applyProtection="1">
      <alignment horizontal="center" vertical="center" wrapText="1"/>
      <protection locked="0"/>
    </xf>
    <xf numFmtId="0" fontId="29" fillId="2" borderId="0" xfId="0" applyFont="1" applyFill="1" applyAlignment="1">
      <alignment vertical="center"/>
    </xf>
    <xf numFmtId="43" fontId="29" fillId="2" borderId="13" xfId="1" applyFont="1" applyFill="1" applyBorder="1" applyAlignment="1">
      <alignment vertical="center"/>
    </xf>
    <xf numFmtId="0" fontId="0" fillId="3" borderId="0" xfId="0" applyFill="1"/>
    <xf numFmtId="3" fontId="38" fillId="0" borderId="26" xfId="0" applyNumberFormat="1" applyFont="1" applyBorder="1" applyAlignment="1" applyProtection="1">
      <alignment horizontal="center" vertical="center" wrapText="1"/>
      <protection locked="0"/>
    </xf>
    <xf numFmtId="0" fontId="37" fillId="0" borderId="26" xfId="0" applyFont="1" applyBorder="1" applyAlignment="1" applyProtection="1">
      <alignment horizontal="center" vertical="center" wrapText="1"/>
      <protection locked="0"/>
    </xf>
    <xf numFmtId="176" fontId="38" fillId="0" borderId="26" xfId="0" applyNumberFormat="1" applyFont="1" applyBorder="1" applyAlignment="1" applyProtection="1">
      <alignment horizontal="right" vertical="center" wrapText="1"/>
      <protection locked="0"/>
    </xf>
    <xf numFmtId="0" fontId="29" fillId="0" borderId="26" xfId="0" applyFont="1" applyBorder="1" applyAlignment="1">
      <alignment vertical="center"/>
    </xf>
    <xf numFmtId="3" fontId="38" fillId="0" borderId="27" xfId="0" applyNumberFormat="1" applyFont="1" applyBorder="1" applyAlignment="1" applyProtection="1">
      <alignment horizontal="center" vertical="center" wrapText="1"/>
      <protection locked="0"/>
    </xf>
    <xf numFmtId="0" fontId="38" fillId="0" borderId="27" xfId="0" applyFont="1" applyBorder="1" applyAlignment="1" applyProtection="1">
      <alignment horizontal="left" vertical="center" wrapText="1"/>
      <protection locked="0"/>
    </xf>
    <xf numFmtId="0" fontId="38" fillId="0" borderId="27" xfId="0" applyFont="1" applyBorder="1" applyAlignment="1" applyProtection="1">
      <alignment horizontal="center" vertical="center" wrapText="1"/>
      <protection locked="0"/>
    </xf>
    <xf numFmtId="176" fontId="38" fillId="0" borderId="27" xfId="0" applyNumberFormat="1" applyFont="1" applyBorder="1" applyAlignment="1" applyProtection="1">
      <alignment horizontal="right" vertical="center" wrapText="1"/>
      <protection locked="0"/>
    </xf>
    <xf numFmtId="0" fontId="29" fillId="0" borderId="27" xfId="0" applyFont="1" applyBorder="1" applyAlignment="1">
      <alignment vertical="center"/>
    </xf>
    <xf numFmtId="0" fontId="40" fillId="0" borderId="27" xfId="0" applyFont="1" applyBorder="1" applyAlignment="1" applyProtection="1">
      <alignment horizontal="left" vertical="center" wrapText="1"/>
      <protection locked="0"/>
    </xf>
    <xf numFmtId="0" fontId="41" fillId="0" borderId="27" xfId="0" applyFont="1" applyBorder="1" applyAlignment="1" applyProtection="1">
      <alignment horizontal="left" vertical="center" wrapText="1"/>
      <protection locked="0"/>
    </xf>
    <xf numFmtId="3" fontId="39" fillId="0" borderId="27" xfId="0" applyNumberFormat="1" applyFont="1" applyBorder="1" applyAlignment="1" applyProtection="1">
      <alignment horizontal="center" vertical="center" wrapText="1"/>
      <protection locked="0"/>
    </xf>
    <xf numFmtId="0" fontId="39" fillId="0" borderId="27" xfId="0" applyFont="1" applyBorder="1" applyAlignment="1" applyProtection="1">
      <alignment horizontal="left" vertical="center" wrapText="1"/>
      <protection locked="0"/>
    </xf>
    <xf numFmtId="0" fontId="39" fillId="0" borderId="27" xfId="0" applyFont="1" applyBorder="1" applyAlignment="1" applyProtection="1">
      <alignment horizontal="center" vertical="center" wrapText="1"/>
      <protection locked="0"/>
    </xf>
    <xf numFmtId="176" fontId="39" fillId="0" borderId="27" xfId="0" applyNumberFormat="1" applyFont="1" applyBorder="1" applyAlignment="1" applyProtection="1">
      <alignment horizontal="right" vertical="center" wrapText="1"/>
      <protection locked="0"/>
    </xf>
    <xf numFmtId="3" fontId="38" fillId="0" borderId="28" xfId="0" applyNumberFormat="1" applyFont="1" applyBorder="1" applyAlignment="1" applyProtection="1">
      <alignment horizontal="center" vertical="center" wrapText="1"/>
      <protection locked="0"/>
    </xf>
    <xf numFmtId="0" fontId="40" fillId="0" borderId="28" xfId="0" applyFont="1" applyBorder="1" applyAlignment="1" applyProtection="1">
      <alignment horizontal="left" vertical="center" wrapText="1"/>
      <protection locked="0"/>
    </xf>
    <xf numFmtId="0" fontId="38" fillId="0" borderId="28" xfId="0" applyFont="1" applyBorder="1" applyAlignment="1" applyProtection="1">
      <alignment horizontal="center" vertical="center" wrapText="1"/>
      <protection locked="0"/>
    </xf>
    <xf numFmtId="176" fontId="38" fillId="0" borderId="28" xfId="0" applyNumberFormat="1" applyFont="1" applyBorder="1" applyAlignment="1" applyProtection="1">
      <alignment horizontal="right" vertical="center" wrapText="1"/>
      <protection locked="0"/>
    </xf>
    <xf numFmtId="0" fontId="29" fillId="0" borderId="28" xfId="0" applyFont="1" applyBorder="1" applyAlignment="1">
      <alignment vertical="center"/>
    </xf>
    <xf numFmtId="3" fontId="38" fillId="0" borderId="29" xfId="0" applyNumberFormat="1" applyFont="1" applyBorder="1" applyAlignment="1" applyProtection="1">
      <alignment horizontal="center" vertical="center" wrapText="1"/>
      <protection locked="0"/>
    </xf>
    <xf numFmtId="0" fontId="37" fillId="0" borderId="29" xfId="0" applyFont="1" applyBorder="1" applyAlignment="1" applyProtection="1">
      <alignment horizontal="center" vertical="center" wrapText="1"/>
      <protection locked="0"/>
    </xf>
    <xf numFmtId="176" fontId="38" fillId="0" borderId="29" xfId="0" applyNumberFormat="1" applyFont="1" applyBorder="1" applyAlignment="1" applyProtection="1">
      <alignment horizontal="right" vertical="center" wrapText="1"/>
      <protection locked="0"/>
    </xf>
    <xf numFmtId="0" fontId="29" fillId="0" borderId="29" xfId="0" applyFont="1" applyBorder="1" applyAlignment="1">
      <alignment vertical="center"/>
    </xf>
    <xf numFmtId="0" fontId="42" fillId="0" borderId="27" xfId="0" applyFont="1" applyBorder="1" applyAlignment="1" applyProtection="1">
      <alignment horizontal="center" vertical="center" wrapText="1"/>
      <protection locked="0"/>
    </xf>
    <xf numFmtId="0" fontId="37" fillId="0" borderId="28" xfId="0" applyFont="1" applyBorder="1" applyAlignment="1" applyProtection="1">
      <alignment horizontal="center" vertical="center" wrapText="1"/>
      <protection locked="0"/>
    </xf>
    <xf numFmtId="176" fontId="38" fillId="2" borderId="29" xfId="0" applyNumberFormat="1" applyFont="1" applyFill="1" applyBorder="1" applyAlignment="1" applyProtection="1">
      <alignment horizontal="right" vertical="center" wrapText="1"/>
      <protection locked="0"/>
    </xf>
    <xf numFmtId="176" fontId="38" fillId="2" borderId="27" xfId="0" applyNumberFormat="1" applyFont="1" applyFill="1" applyBorder="1" applyAlignment="1" applyProtection="1">
      <alignment horizontal="right" vertical="center" wrapText="1"/>
      <protection locked="0"/>
    </xf>
    <xf numFmtId="176" fontId="39" fillId="2" borderId="27" xfId="0" applyNumberFormat="1" applyFont="1" applyFill="1" applyBorder="1" applyAlignment="1" applyProtection="1">
      <alignment horizontal="right" vertical="center" wrapText="1"/>
      <protection locked="0"/>
    </xf>
    <xf numFmtId="176" fontId="38" fillId="2" borderId="28" xfId="0" applyNumberFormat="1" applyFont="1" applyFill="1" applyBorder="1" applyAlignment="1" applyProtection="1">
      <alignment horizontal="right" vertical="center" wrapText="1"/>
      <protection locked="0"/>
    </xf>
    <xf numFmtId="176" fontId="38" fillId="2" borderId="26" xfId="0" applyNumberFormat="1" applyFont="1" applyFill="1" applyBorder="1" applyAlignment="1" applyProtection="1">
      <alignment horizontal="right" vertical="center" wrapText="1"/>
      <protection locked="0"/>
    </xf>
    <xf numFmtId="43" fontId="1" fillId="0" borderId="4" xfId="1" applyFont="1" applyFill="1" applyBorder="1" applyAlignment="1">
      <alignment horizontal="center" vertical="center" wrapText="1"/>
    </xf>
    <xf numFmtId="168" fontId="1" fillId="0" borderId="4" xfId="0" applyNumberFormat="1" applyFont="1" applyBorder="1" applyAlignment="1">
      <alignment horizontal="center" vertical="center" wrapText="1"/>
    </xf>
    <xf numFmtId="0" fontId="10" fillId="0" borderId="0" xfId="2" applyFont="1" applyAlignment="1">
      <alignment vertical="center" wrapText="1"/>
    </xf>
    <xf numFmtId="0" fontId="10" fillId="0" borderId="0" xfId="2" applyFont="1" applyAlignment="1">
      <alignment horizontal="justify" vertical="center" wrapText="1"/>
    </xf>
    <xf numFmtId="169" fontId="10" fillId="0" borderId="0" xfId="2" applyNumberFormat="1" applyFont="1" applyAlignment="1">
      <alignment vertical="center"/>
    </xf>
    <xf numFmtId="0" fontId="2" fillId="0" borderId="0" xfId="2" applyFont="1" applyAlignment="1">
      <alignment horizontal="justify" vertical="center"/>
    </xf>
    <xf numFmtId="43" fontId="2" fillId="0" borderId="0" xfId="1" applyFont="1" applyFill="1" applyAlignment="1">
      <alignment horizontal="left" vertical="center"/>
    </xf>
    <xf numFmtId="43" fontId="2" fillId="0" borderId="0" xfId="1" applyFont="1" applyFill="1" applyBorder="1" applyAlignment="1">
      <alignment horizontal="left" vertical="center"/>
    </xf>
    <xf numFmtId="0" fontId="2" fillId="0" borderId="0" xfId="2" applyFont="1" applyAlignment="1">
      <alignment vertical="center"/>
    </xf>
    <xf numFmtId="43" fontId="2" fillId="0" borderId="0" xfId="1" applyFont="1" applyFill="1" applyBorder="1" applyAlignment="1">
      <alignment vertical="center"/>
    </xf>
    <xf numFmtId="169" fontId="10" fillId="0" borderId="0" xfId="2" applyNumberFormat="1" applyFont="1" applyAlignment="1">
      <alignment horizontal="centerContinuous" vertical="center"/>
    </xf>
    <xf numFmtId="0" fontId="14" fillId="0" borderId="0" xfId="0" applyFont="1"/>
    <xf numFmtId="0" fontId="15" fillId="0" borderId="0" xfId="2" applyFont="1" applyAlignment="1">
      <alignment horizontal="justify" vertical="center"/>
    </xf>
    <xf numFmtId="0" fontId="15" fillId="0" borderId="0" xfId="2" applyFont="1" applyAlignment="1">
      <alignment vertical="center"/>
    </xf>
    <xf numFmtId="0" fontId="15" fillId="0" borderId="0" xfId="2" applyFont="1"/>
    <xf numFmtId="0" fontId="15" fillId="0" borderId="0" xfId="0" applyFont="1" applyAlignment="1">
      <alignment horizontal="right" vertical="center"/>
    </xf>
    <xf numFmtId="170" fontId="15" fillId="0" borderId="0" xfId="2" applyNumberFormat="1" applyFont="1" applyAlignment="1">
      <alignment vertical="center"/>
    </xf>
    <xf numFmtId="0" fontId="15" fillId="0" borderId="0" xfId="2" applyFont="1" applyAlignment="1">
      <alignment horizontal="right" vertical="center"/>
    </xf>
    <xf numFmtId="170" fontId="28" fillId="0" borderId="0" xfId="2" applyNumberFormat="1" applyFont="1" applyAlignment="1">
      <alignment vertical="center"/>
    </xf>
    <xf numFmtId="0" fontId="5" fillId="0" borderId="0" xfId="2" applyFont="1" applyAlignment="1">
      <alignment horizontal="right" vertical="center"/>
    </xf>
    <xf numFmtId="4" fontId="5" fillId="0" borderId="0" xfId="2" applyNumberFormat="1" applyFont="1" applyAlignment="1">
      <alignment vertical="center"/>
    </xf>
    <xf numFmtId="0" fontId="5" fillId="0" borderId="0" xfId="2" applyFont="1" applyAlignment="1">
      <alignment vertical="center"/>
    </xf>
    <xf numFmtId="0" fontId="15" fillId="0" borderId="0" xfId="2" applyFont="1" applyAlignment="1">
      <alignment vertical="center" wrapText="1"/>
    </xf>
    <xf numFmtId="170" fontId="19" fillId="0" borderId="0" xfId="2" applyNumberFormat="1" applyFont="1" applyAlignment="1">
      <alignment vertical="center"/>
    </xf>
    <xf numFmtId="0" fontId="33" fillId="0" borderId="0" xfId="0" applyFont="1"/>
    <xf numFmtId="0" fontId="17" fillId="0" borderId="0" xfId="0" applyFont="1"/>
    <xf numFmtId="43" fontId="3" fillId="0" borderId="0" xfId="1" applyFont="1" applyFill="1" applyAlignment="1">
      <alignment horizontal="center" vertical="center" wrapText="1"/>
    </xf>
    <xf numFmtId="168" fontId="44" fillId="0" borderId="0" xfId="1" applyNumberFormat="1" applyFont="1" applyFill="1" applyAlignment="1">
      <alignment horizontal="center" vertical="center" wrapText="1"/>
    </xf>
    <xf numFmtId="0" fontId="5" fillId="0" borderId="0" xfId="0" applyFont="1" applyAlignment="1" applyProtection="1">
      <alignment horizontal="center" vertical="center" wrapText="1"/>
      <protection locked="0"/>
    </xf>
    <xf numFmtId="4" fontId="1" fillId="0" borderId="4" xfId="0" applyNumberFormat="1" applyFont="1" applyBorder="1" applyAlignment="1">
      <alignment horizontal="center" vertical="center" wrapText="1"/>
    </xf>
    <xf numFmtId="4" fontId="10" fillId="0" borderId="0" xfId="2" applyNumberFormat="1" applyFont="1" applyAlignment="1">
      <alignment horizontal="center" vertical="center"/>
    </xf>
    <xf numFmtId="4" fontId="10" fillId="0" borderId="0" xfId="2" applyNumberFormat="1" applyFont="1" applyAlignment="1">
      <alignment horizontal="center" vertical="center" wrapText="1"/>
    </xf>
    <xf numFmtId="4" fontId="2" fillId="0" borderId="0" xfId="2" applyNumberFormat="1" applyFont="1" applyAlignment="1">
      <alignment horizontal="center" vertical="center"/>
    </xf>
    <xf numFmtId="4" fontId="1" fillId="0" borderId="2" xfId="1" applyNumberFormat="1" applyFont="1" applyFill="1" applyBorder="1" applyAlignment="1">
      <alignment horizontal="center" vertical="center" wrapText="1"/>
    </xf>
    <xf numFmtId="4" fontId="3" fillId="0" borderId="0" xfId="0" applyNumberFormat="1" applyFont="1" applyAlignment="1">
      <alignment horizontal="center" vertical="center" wrapText="1"/>
    </xf>
    <xf numFmtId="4" fontId="5" fillId="0" borderId="0" xfId="0" applyNumberFormat="1" applyFont="1" applyAlignment="1" applyProtection="1">
      <alignment horizontal="center" vertical="center" wrapText="1"/>
      <protection locked="0"/>
    </xf>
    <xf numFmtId="0" fontId="5" fillId="0" borderId="23" xfId="0" applyFont="1" applyBorder="1" applyAlignment="1" applyProtection="1">
      <alignment horizontal="center" vertical="center" wrapText="1"/>
      <protection locked="0"/>
    </xf>
    <xf numFmtId="0" fontId="0" fillId="0" borderId="0" xfId="0" applyAlignment="1">
      <alignment vertical="center"/>
    </xf>
    <xf numFmtId="0" fontId="17" fillId="0" borderId="0" xfId="0" applyFont="1" applyAlignment="1">
      <alignment horizontal="center"/>
    </xf>
    <xf numFmtId="0" fontId="10" fillId="0" borderId="0" xfId="2" applyFont="1" applyAlignment="1">
      <alignment horizontal="left" vertical="center" wrapText="1"/>
    </xf>
    <xf numFmtId="0" fontId="2" fillId="0" borderId="0" xfId="2" applyFont="1" applyAlignment="1">
      <alignment horizontal="left" vertical="center"/>
    </xf>
    <xf numFmtId="0" fontId="29" fillId="0" borderId="0" xfId="0" applyFont="1"/>
    <xf numFmtId="0" fontId="19" fillId="0" borderId="0" xfId="0" applyFont="1"/>
    <xf numFmtId="0" fontId="3" fillId="0" borderId="0" xfId="0" applyFont="1"/>
    <xf numFmtId="168" fontId="2" fillId="0" borderId="0" xfId="1" applyNumberFormat="1" applyFont="1" applyFill="1" applyAlignment="1">
      <alignment vertical="center" wrapText="1"/>
    </xf>
    <xf numFmtId="168" fontId="2" fillId="0" borderId="0" xfId="1" applyNumberFormat="1" applyFont="1" applyFill="1" applyAlignment="1">
      <alignment horizontal="left" vertical="center"/>
    </xf>
    <xf numFmtId="168" fontId="2" fillId="0" borderId="0" xfId="1" applyNumberFormat="1" applyFont="1" applyFill="1" applyAlignment="1">
      <alignment vertical="center"/>
    </xf>
    <xf numFmtId="168" fontId="24" fillId="0" borderId="0" xfId="1" applyNumberFormat="1" applyFont="1" applyFill="1" applyAlignment="1" applyProtection="1">
      <alignment horizontal="center" vertical="center" wrapText="1"/>
      <protection locked="0"/>
    </xf>
    <xf numFmtId="0" fontId="48" fillId="0" borderId="0" xfId="0" applyFont="1"/>
    <xf numFmtId="0" fontId="49" fillId="0" borderId="0" xfId="0" applyFont="1"/>
    <xf numFmtId="170" fontId="20" fillId="0" borderId="0" xfId="2" applyNumberFormat="1" applyFont="1" applyAlignment="1">
      <alignment vertical="center"/>
    </xf>
    <xf numFmtId="4" fontId="14" fillId="0" borderId="0" xfId="0" applyNumberFormat="1" applyFont="1" applyAlignment="1">
      <alignment horizontal="center"/>
    </xf>
    <xf numFmtId="4" fontId="49" fillId="0" borderId="0" xfId="0" applyNumberFormat="1" applyFont="1" applyAlignment="1">
      <alignment horizontal="center"/>
    </xf>
    <xf numFmtId="49" fontId="15" fillId="0" borderId="0" xfId="3" applyNumberFormat="1" applyFont="1" applyFill="1" applyBorder="1" applyAlignment="1">
      <alignment horizontal="center" vertical="center" wrapText="1"/>
    </xf>
    <xf numFmtId="170" fontId="15" fillId="3" borderId="0" xfId="2" applyNumberFormat="1" applyFont="1" applyFill="1" applyAlignment="1">
      <alignment vertical="center"/>
    </xf>
    <xf numFmtId="0" fontId="16" fillId="0" borderId="0" xfId="0" applyFont="1" applyAlignment="1">
      <alignment horizontal="center"/>
    </xf>
    <xf numFmtId="0" fontId="29" fillId="0" borderId="0" xfId="0" applyFont="1" applyAlignment="1">
      <alignment horizontal="center"/>
    </xf>
    <xf numFmtId="0" fontId="19" fillId="0" borderId="0" xfId="0" applyFont="1" applyAlignment="1">
      <alignment horizontal="center"/>
    </xf>
    <xf numFmtId="0" fontId="0" fillId="0" borderId="0" xfId="0" applyAlignment="1">
      <alignment horizontal="center"/>
    </xf>
    <xf numFmtId="0" fontId="44" fillId="0" borderId="0" xfId="0" applyFont="1"/>
    <xf numFmtId="168" fontId="1" fillId="0" borderId="3" xfId="1" applyNumberFormat="1" applyFont="1" applyFill="1" applyBorder="1" applyAlignment="1">
      <alignment horizontal="center" vertical="center" wrapText="1"/>
    </xf>
    <xf numFmtId="0" fontId="8" fillId="0" borderId="0" xfId="0" applyFont="1"/>
    <xf numFmtId="43" fontId="5" fillId="0" borderId="0" xfId="1" applyFont="1" applyFill="1" applyBorder="1" applyAlignment="1" applyProtection="1">
      <alignment horizontal="center" vertical="center" wrapText="1"/>
      <protection locked="0"/>
    </xf>
    <xf numFmtId="167" fontId="2" fillId="0" borderId="0" xfId="2" applyNumberFormat="1" applyFont="1" applyAlignment="1">
      <alignment horizontal="right"/>
    </xf>
    <xf numFmtId="167" fontId="10" fillId="0" borderId="0" xfId="2" applyNumberFormat="1" applyFont="1" applyAlignment="1">
      <alignment horizontal="right" vertical="center"/>
    </xf>
    <xf numFmtId="167" fontId="10" fillId="0" borderId="0" xfId="2" applyNumberFormat="1" applyFont="1" applyAlignment="1">
      <alignment horizontal="left" vertical="center" wrapText="1"/>
    </xf>
    <xf numFmtId="167" fontId="2" fillId="0" borderId="0" xfId="2" applyNumberFormat="1" applyFont="1" applyAlignment="1">
      <alignment horizontal="right" vertical="center"/>
    </xf>
    <xf numFmtId="167" fontId="12" fillId="0" borderId="0" xfId="2" applyNumberFormat="1" applyFont="1" applyAlignment="1">
      <alignment horizontal="right" vertical="center"/>
    </xf>
    <xf numFmtId="167" fontId="1" fillId="0" borderId="4" xfId="0" applyNumberFormat="1" applyFont="1" applyBorder="1" applyAlignment="1">
      <alignment horizontal="center" vertical="center" wrapText="1"/>
    </xf>
    <xf numFmtId="167" fontId="14" fillId="0" borderId="0" xfId="0" applyNumberFormat="1" applyFont="1" applyAlignment="1">
      <alignment horizontal="right"/>
    </xf>
    <xf numFmtId="167" fontId="49" fillId="0" borderId="0" xfId="0" applyNumberFormat="1" applyFont="1" applyAlignment="1">
      <alignment horizontal="right"/>
    </xf>
    <xf numFmtId="167" fontId="3" fillId="0" borderId="0" xfId="0" applyNumberFormat="1" applyFont="1" applyAlignment="1">
      <alignment horizontal="right" vertical="center" wrapText="1"/>
    </xf>
    <xf numFmtId="175" fontId="16" fillId="0" borderId="0" xfId="1" applyNumberFormat="1" applyFont="1"/>
    <xf numFmtId="175" fontId="29" fillId="0" borderId="0" xfId="1" applyNumberFormat="1" applyFont="1"/>
    <xf numFmtId="175" fontId="0" fillId="0" borderId="0" xfId="1" applyNumberFormat="1" applyFont="1"/>
    <xf numFmtId="175" fontId="16" fillId="0" borderId="0" xfId="1" applyNumberFormat="1" applyFont="1" applyFill="1" applyAlignment="1">
      <alignment horizontal="center" vertical="center"/>
    </xf>
    <xf numFmtId="9" fontId="54" fillId="0" borderId="0" xfId="5" applyFont="1" applyAlignment="1">
      <alignment vertical="center"/>
    </xf>
    <xf numFmtId="0" fontId="55" fillId="0" borderId="0" xfId="0" applyFont="1"/>
    <xf numFmtId="0" fontId="55" fillId="0" borderId="0" xfId="0" applyFont="1" applyAlignment="1">
      <alignment vertical="center"/>
    </xf>
    <xf numFmtId="2" fontId="56" fillId="0" borderId="4" xfId="3" applyNumberFormat="1" applyFont="1" applyFill="1" applyBorder="1" applyAlignment="1">
      <alignment horizontal="center" vertical="center"/>
    </xf>
    <xf numFmtId="2" fontId="4" fillId="0" borderId="4" xfId="3" quotePrefix="1" applyNumberFormat="1" applyFont="1" applyFill="1" applyBorder="1" applyAlignment="1">
      <alignment vertical="center" wrapText="1"/>
    </xf>
    <xf numFmtId="9" fontId="57" fillId="0" borderId="0" xfId="0" applyNumberFormat="1" applyFont="1"/>
    <xf numFmtId="9" fontId="57" fillId="0" borderId="0" xfId="0" applyNumberFormat="1" applyFont="1" applyAlignment="1">
      <alignment vertical="center"/>
    </xf>
    <xf numFmtId="0" fontId="57" fillId="0" borderId="0" xfId="0" applyFont="1"/>
    <xf numFmtId="2" fontId="4" fillId="0" borderId="4" xfId="3" quotePrefix="1" applyNumberFormat="1" applyFont="1" applyFill="1" applyBorder="1" applyAlignment="1">
      <alignment horizontal="left" vertical="center" wrapText="1"/>
    </xf>
    <xf numFmtId="2" fontId="4" fillId="0" borderId="4" xfId="10" applyNumberFormat="1" applyFont="1" applyFill="1" applyBorder="1" applyAlignment="1" applyProtection="1">
      <alignment vertical="center"/>
    </xf>
    <xf numFmtId="2" fontId="4" fillId="0" borderId="4" xfId="3" applyNumberFormat="1" applyFont="1" applyFill="1" applyBorder="1" applyAlignment="1">
      <alignment vertical="center" wrapText="1"/>
    </xf>
    <xf numFmtId="0" fontId="55" fillId="3" borderId="0" xfId="0" applyFont="1" applyFill="1"/>
    <xf numFmtId="0" fontId="55" fillId="2" borderId="0" xfId="0" applyFont="1" applyFill="1"/>
    <xf numFmtId="0" fontId="57" fillId="2" borderId="0" xfId="0" applyFont="1" applyFill="1" applyAlignment="1">
      <alignment horizontal="center" vertical="center"/>
    </xf>
    <xf numFmtId="0" fontId="57" fillId="0" borderId="0" xfId="0" applyFont="1" applyAlignment="1">
      <alignment horizontal="center" vertical="center" wrapText="1"/>
    </xf>
    <xf numFmtId="0" fontId="51" fillId="0" borderId="0" xfId="0" applyFont="1"/>
    <xf numFmtId="0" fontId="51" fillId="0" borderId="0" xfId="0" applyFont="1" applyAlignment="1">
      <alignment horizontal="center"/>
    </xf>
    <xf numFmtId="0" fontId="55" fillId="2" borderId="0" xfId="0" applyFont="1" applyFill="1" applyAlignment="1">
      <alignment horizontal="center"/>
    </xf>
    <xf numFmtId="0" fontId="57" fillId="0" borderId="0" xfId="0" applyFont="1" applyAlignment="1">
      <alignment horizontal="center"/>
    </xf>
    <xf numFmtId="0" fontId="57" fillId="0" borderId="0" xfId="0" applyFont="1" applyAlignment="1">
      <alignment vertical="center"/>
    </xf>
    <xf numFmtId="0" fontId="54" fillId="0" borderId="0" xfId="0" applyFont="1" applyAlignment="1">
      <alignment horizontal="center"/>
    </xf>
    <xf numFmtId="0" fontId="54" fillId="0" borderId="0" xfId="0" applyFont="1"/>
    <xf numFmtId="175" fontId="54" fillId="0" borderId="0" xfId="1" applyNumberFormat="1" applyFont="1"/>
    <xf numFmtId="175" fontId="36" fillId="0" borderId="4" xfId="1" applyNumberFormat="1" applyFont="1" applyFill="1" applyBorder="1" applyAlignment="1">
      <alignment horizontal="center" vertical="center" wrapText="1"/>
    </xf>
    <xf numFmtId="173" fontId="36" fillId="0" borderId="4" xfId="1" applyNumberFormat="1" applyFont="1" applyFill="1" applyBorder="1" applyAlignment="1">
      <alignment horizontal="center" vertical="center" wrapText="1"/>
    </xf>
    <xf numFmtId="175" fontId="36" fillId="0" borderId="21" xfId="1" applyNumberFormat="1" applyFont="1" applyFill="1" applyBorder="1" applyAlignment="1">
      <alignment horizontal="center" vertical="center" wrapText="1"/>
    </xf>
    <xf numFmtId="175" fontId="6" fillId="0" borderId="4" xfId="1" applyNumberFormat="1" applyFont="1" applyFill="1" applyBorder="1" applyAlignment="1">
      <alignment vertical="center"/>
    </xf>
    <xf numFmtId="175" fontId="58" fillId="0" borderId="4" xfId="1" applyNumberFormat="1" applyFont="1" applyFill="1" applyBorder="1" applyAlignment="1">
      <alignment horizontal="center" vertical="center"/>
    </xf>
    <xf numFmtId="168" fontId="6" fillId="0" borderId="4" xfId="1" quotePrefix="1" applyNumberFormat="1" applyFont="1" applyFill="1" applyBorder="1" applyAlignment="1">
      <alignment horizontal="center" vertical="center" wrapText="1"/>
    </xf>
    <xf numFmtId="173" fontId="36" fillId="0" borderId="4" xfId="7" applyNumberFormat="1" applyFont="1" applyBorder="1" applyAlignment="1">
      <alignment horizontal="center" vertical="center" wrapText="1"/>
    </xf>
    <xf numFmtId="0" fontId="36" fillId="0" borderId="4" xfId="0" applyFont="1" applyBorder="1" applyAlignment="1">
      <alignment horizontal="center" vertical="center" wrapText="1"/>
    </xf>
    <xf numFmtId="0" fontId="36" fillId="0" borderId="4" xfId="0" applyFont="1" applyBorder="1" applyAlignment="1">
      <alignment vertical="center" wrapText="1"/>
    </xf>
    <xf numFmtId="0" fontId="36" fillId="0" borderId="4" xfId="0" applyFont="1" applyBorder="1" applyAlignment="1">
      <alignment horizontal="right" vertical="center" wrapText="1"/>
    </xf>
    <xf numFmtId="175" fontId="36" fillId="0" borderId="4" xfId="1" applyNumberFormat="1" applyFont="1" applyFill="1" applyBorder="1" applyAlignment="1">
      <alignment horizontal="right" vertical="center" wrapText="1"/>
    </xf>
    <xf numFmtId="0" fontId="6" fillId="0" borderId="4" xfId="0" applyFont="1" applyBorder="1" applyAlignment="1">
      <alignment horizontal="center" vertical="center" wrapText="1"/>
    </xf>
    <xf numFmtId="0" fontId="6" fillId="0" borderId="4" xfId="0" applyFont="1" applyBorder="1" applyAlignment="1">
      <alignment vertical="center" wrapText="1"/>
    </xf>
    <xf numFmtId="165" fontId="6" fillId="0" borderId="4" xfId="0" applyNumberFormat="1" applyFont="1" applyBorder="1" applyAlignment="1">
      <alignment horizontal="right" vertical="center" wrapText="1"/>
    </xf>
    <xf numFmtId="2" fontId="4" fillId="0" borderId="4" xfId="8" applyNumberFormat="1" applyFont="1" applyBorder="1" applyAlignment="1">
      <alignment vertical="center" wrapText="1"/>
    </xf>
    <xf numFmtId="2" fontId="4" fillId="0" borderId="4" xfId="8" quotePrefix="1" applyNumberFormat="1" applyFont="1" applyBorder="1" applyAlignment="1">
      <alignment vertical="center" wrapText="1"/>
    </xf>
    <xf numFmtId="2" fontId="55" fillId="0" borderId="4" xfId="0" applyNumberFormat="1" applyFont="1" applyBorder="1"/>
    <xf numFmtId="0" fontId="55" fillId="0" borderId="4" xfId="0" applyFont="1" applyBorder="1"/>
    <xf numFmtId="0" fontId="59" fillId="0" borderId="4" xfId="0" applyFont="1" applyBorder="1" applyAlignment="1">
      <alignment horizontal="center" vertical="center" wrapText="1"/>
    </xf>
    <xf numFmtId="0" fontId="59" fillId="0" borderId="4" xfId="0" applyFont="1" applyBorder="1" applyAlignment="1">
      <alignment vertical="center" wrapText="1"/>
    </xf>
    <xf numFmtId="0" fontId="57" fillId="0" borderId="4" xfId="0" applyFont="1" applyBorder="1"/>
    <xf numFmtId="165" fontId="36" fillId="0" borderId="4" xfId="0" applyNumberFormat="1" applyFont="1" applyBorder="1" applyAlignment="1">
      <alignment horizontal="right" vertical="center" wrapText="1"/>
    </xf>
    <xf numFmtId="0" fontId="51" fillId="0" borderId="4" xfId="0" applyFont="1" applyBorder="1"/>
    <xf numFmtId="0" fontId="29" fillId="0" borderId="4" xfId="0" applyFont="1" applyBorder="1" applyAlignment="1">
      <alignment horizontal="center" vertical="center" wrapText="1"/>
    </xf>
    <xf numFmtId="0" fontId="29" fillId="0" borderId="4" xfId="0" applyFont="1" applyBorder="1" applyAlignment="1">
      <alignment vertical="center" wrapText="1"/>
    </xf>
    <xf numFmtId="168" fontId="6" fillId="0" borderId="4" xfId="1" applyNumberFormat="1" applyFont="1" applyFill="1" applyBorder="1" applyAlignment="1">
      <alignment horizontal="right" vertical="center" wrapText="1"/>
    </xf>
    <xf numFmtId="173" fontId="1" fillId="0" borderId="4" xfId="1" applyNumberFormat="1" applyFont="1" applyFill="1" applyBorder="1" applyAlignment="1">
      <alignment horizontal="center" vertical="center" wrapText="1"/>
    </xf>
    <xf numFmtId="168" fontId="28" fillId="0" borderId="0" xfId="2" applyNumberFormat="1" applyFont="1"/>
    <xf numFmtId="168" fontId="45" fillId="0" borderId="0" xfId="2" applyNumberFormat="1" applyFont="1" applyAlignment="1">
      <alignment vertical="center"/>
    </xf>
    <xf numFmtId="168" fontId="28" fillId="0" borderId="0" xfId="2" applyNumberFormat="1" applyFont="1" applyAlignment="1">
      <alignment vertical="center"/>
    </xf>
    <xf numFmtId="168" fontId="46" fillId="0" borderId="0" xfId="0" applyNumberFormat="1" applyFont="1"/>
    <xf numFmtId="168" fontId="28" fillId="0" borderId="0" xfId="0" applyNumberFormat="1" applyFont="1"/>
    <xf numFmtId="166" fontId="10" fillId="0" borderId="0" xfId="2" applyNumberFormat="1" applyFont="1" applyAlignment="1">
      <alignment horizontal="right" vertical="center"/>
    </xf>
    <xf numFmtId="166" fontId="10" fillId="0" borderId="0" xfId="2" applyNumberFormat="1" applyFont="1" applyAlignment="1">
      <alignment horizontal="left" vertical="center" wrapText="1"/>
    </xf>
    <xf numFmtId="166" fontId="2" fillId="0" borderId="0" xfId="2" applyNumberFormat="1" applyFont="1" applyAlignment="1">
      <alignment horizontal="right" vertical="center"/>
    </xf>
    <xf numFmtId="166" fontId="5" fillId="0" borderId="0" xfId="0" applyNumberFormat="1" applyFont="1" applyAlignment="1" applyProtection="1">
      <alignment horizontal="center" vertical="center" wrapText="1"/>
      <protection locked="0"/>
    </xf>
    <xf numFmtId="166" fontId="1" fillId="0" borderId="4" xfId="1" applyNumberFormat="1" applyFont="1" applyFill="1" applyBorder="1" applyAlignment="1">
      <alignment horizontal="center" vertical="center" wrapText="1"/>
    </xf>
    <xf numFmtId="166" fontId="15" fillId="0" borderId="0" xfId="2" applyNumberFormat="1" applyFont="1" applyAlignment="1">
      <alignment horizontal="right" vertical="center"/>
    </xf>
    <xf numFmtId="166" fontId="19" fillId="0" borderId="0" xfId="2" applyNumberFormat="1" applyFont="1" applyAlignment="1">
      <alignment horizontal="right" vertical="center"/>
    </xf>
    <xf numFmtId="166" fontId="14" fillId="0" borderId="0" xfId="0" applyNumberFormat="1" applyFont="1" applyAlignment="1">
      <alignment horizontal="right"/>
    </xf>
    <xf numFmtId="166" fontId="3" fillId="0" borderId="0" xfId="0" applyNumberFormat="1" applyFont="1" applyAlignment="1">
      <alignment horizontal="right" vertical="center" wrapText="1"/>
    </xf>
    <xf numFmtId="9" fontId="60" fillId="0" borderId="0" xfId="5" applyFont="1" applyAlignment="1">
      <alignment vertical="center"/>
    </xf>
    <xf numFmtId="49" fontId="10" fillId="0" borderId="0" xfId="3" applyNumberFormat="1" applyFont="1" applyFill="1" applyAlignment="1">
      <alignment horizontal="center" vertical="center"/>
    </xf>
    <xf numFmtId="49" fontId="10" fillId="0" borderId="0" xfId="3" applyNumberFormat="1" applyFont="1" applyFill="1" applyAlignment="1">
      <alignment vertical="center"/>
    </xf>
    <xf numFmtId="172" fontId="10" fillId="0" borderId="0" xfId="3" applyNumberFormat="1" applyFont="1" applyFill="1" applyAlignment="1">
      <alignment horizontal="center" vertical="center"/>
    </xf>
    <xf numFmtId="175" fontId="10" fillId="0" borderId="0" xfId="1" applyNumberFormat="1" applyFont="1" applyFill="1" applyAlignment="1">
      <alignment horizontal="center" vertical="center"/>
    </xf>
    <xf numFmtId="165" fontId="10" fillId="0" borderId="0" xfId="3" applyNumberFormat="1" applyFont="1" applyFill="1" applyAlignment="1">
      <alignment horizontal="center" vertical="center"/>
    </xf>
    <xf numFmtId="172" fontId="60" fillId="3" borderId="0" xfId="0" applyNumberFormat="1" applyFont="1" applyFill="1"/>
    <xf numFmtId="175" fontId="60" fillId="0" borderId="0" xfId="1" applyNumberFormat="1" applyFont="1"/>
    <xf numFmtId="172" fontId="60" fillId="0" borderId="0" xfId="0" applyNumberFormat="1" applyFont="1"/>
    <xf numFmtId="175" fontId="10" fillId="0" borderId="0" xfId="1" applyNumberFormat="1" applyFont="1" applyFill="1" applyBorder="1" applyAlignment="1">
      <alignment vertical="center"/>
    </xf>
    <xf numFmtId="49" fontId="2" fillId="0" borderId="0" xfId="3" applyNumberFormat="1" applyFont="1" applyFill="1" applyAlignment="1">
      <alignment horizontal="center" vertical="center"/>
    </xf>
    <xf numFmtId="49" fontId="2" fillId="0" borderId="0" xfId="3" applyNumberFormat="1" applyFont="1" applyFill="1" applyAlignment="1">
      <alignment vertical="center"/>
    </xf>
    <xf numFmtId="49" fontId="10" fillId="0" borderId="0" xfId="3" applyNumberFormat="1" applyFont="1" applyFill="1" applyBorder="1" applyAlignment="1">
      <alignment vertical="center"/>
    </xf>
    <xf numFmtId="172" fontId="10" fillId="0" borderId="0" xfId="3" applyNumberFormat="1" applyFont="1" applyFill="1" applyBorder="1" applyAlignment="1">
      <alignment vertical="center"/>
    </xf>
    <xf numFmtId="175" fontId="13" fillId="0" borderId="0" xfId="1" applyNumberFormat="1" applyFont="1" applyFill="1" applyBorder="1" applyAlignment="1">
      <alignment horizontal="center" vertical="center"/>
    </xf>
    <xf numFmtId="165" fontId="13" fillId="0" borderId="0" xfId="3" applyNumberFormat="1" applyFont="1" applyFill="1" applyBorder="1" applyAlignment="1">
      <alignment horizontal="center" vertical="center"/>
    </xf>
    <xf numFmtId="49" fontId="10" fillId="0" borderId="0" xfId="3" quotePrefix="1" applyNumberFormat="1" applyFont="1" applyFill="1" applyAlignment="1">
      <alignment vertical="center"/>
    </xf>
    <xf numFmtId="0" fontId="61" fillId="0" borderId="0" xfId="7" applyFont="1"/>
    <xf numFmtId="175" fontId="10" fillId="0" borderId="0" xfId="1" applyNumberFormat="1" applyFont="1" applyAlignment="1">
      <alignment horizontal="justify" vertical="center" wrapText="1"/>
    </xf>
    <xf numFmtId="175" fontId="10" fillId="0" borderId="0" xfId="1" applyNumberFormat="1" applyFont="1" applyFill="1" applyBorder="1" applyAlignment="1">
      <alignment horizontal="center" vertical="center" wrapText="1"/>
    </xf>
    <xf numFmtId="0" fontId="10" fillId="0" borderId="0" xfId="8" applyFont="1" applyAlignment="1">
      <alignment vertical="center" wrapText="1"/>
    </xf>
    <xf numFmtId="0" fontId="61" fillId="3" borderId="0" xfId="7" applyFont="1" applyFill="1" applyAlignment="1">
      <alignment wrapText="1"/>
    </xf>
    <xf numFmtId="49" fontId="10" fillId="3" borderId="0" xfId="3" quotePrefix="1" applyNumberFormat="1" applyFont="1" applyFill="1" applyAlignment="1">
      <alignment horizontal="left" vertical="center" wrapText="1"/>
    </xf>
    <xf numFmtId="172" fontId="10" fillId="3" borderId="0" xfId="3" quotePrefix="1" applyNumberFormat="1" applyFont="1" applyFill="1" applyAlignment="1">
      <alignment horizontal="left" vertical="center" wrapText="1"/>
    </xf>
    <xf numFmtId="175" fontId="10" fillId="0" borderId="0" xfId="1" quotePrefix="1" applyNumberFormat="1" applyFont="1" applyFill="1" applyAlignment="1">
      <alignment horizontal="left" vertical="center" wrapText="1"/>
    </xf>
    <xf numFmtId="172" fontId="10" fillId="0" borderId="0" xfId="3" quotePrefix="1" applyNumberFormat="1" applyFont="1" applyFill="1" applyAlignment="1">
      <alignment horizontal="left" vertical="center" wrapText="1"/>
    </xf>
    <xf numFmtId="175" fontId="10" fillId="0" borderId="0" xfId="1" quotePrefix="1" applyNumberFormat="1" applyFont="1" applyFill="1" applyAlignment="1">
      <alignment horizontal="center" vertical="center" wrapText="1"/>
    </xf>
    <xf numFmtId="49" fontId="10" fillId="0" borderId="0" xfId="3" applyNumberFormat="1" applyFont="1" applyFill="1" applyAlignment="1">
      <alignment horizontal="center" vertical="center" wrapText="1"/>
    </xf>
    <xf numFmtId="0" fontId="10" fillId="3" borderId="0" xfId="9" quotePrefix="1" applyFont="1" applyFill="1" applyAlignment="1">
      <alignment horizontal="left" vertical="center"/>
    </xf>
    <xf numFmtId="0" fontId="2" fillId="3" borderId="0" xfId="9" applyFont="1" applyFill="1" applyAlignment="1">
      <alignment horizontal="center" vertical="center"/>
    </xf>
    <xf numFmtId="172" fontId="2" fillId="3" borderId="0" xfId="9" applyNumberFormat="1" applyFont="1" applyFill="1" applyAlignment="1">
      <alignment vertical="center"/>
    </xf>
    <xf numFmtId="175" fontId="2" fillId="0" borderId="0" xfId="1" applyNumberFormat="1" applyFont="1" applyAlignment="1">
      <alignment vertical="center"/>
    </xf>
    <xf numFmtId="172" fontId="2" fillId="0" borderId="0" xfId="9" applyNumberFormat="1" applyFont="1" applyAlignment="1">
      <alignment vertical="center"/>
    </xf>
    <xf numFmtId="175" fontId="2" fillId="0" borderId="0" xfId="1" applyNumberFormat="1" applyFont="1" applyFill="1" applyAlignment="1" applyProtection="1">
      <alignment horizontal="right" vertical="center"/>
    </xf>
    <xf numFmtId="175" fontId="10" fillId="0" borderId="0" xfId="1" applyNumberFormat="1" applyFont="1" applyFill="1" applyAlignment="1" applyProtection="1">
      <alignment horizontal="center" vertical="center"/>
    </xf>
    <xf numFmtId="164" fontId="10" fillId="3" borderId="0" xfId="10" applyFont="1" applyFill="1" applyAlignment="1" applyProtection="1">
      <alignment vertical="center"/>
    </xf>
    <xf numFmtId="0" fontId="61" fillId="3" borderId="0" xfId="7" applyFont="1" applyFill="1"/>
    <xf numFmtId="49" fontId="10" fillId="3" borderId="0" xfId="3" applyNumberFormat="1" applyFont="1" applyFill="1" applyBorder="1" applyAlignment="1">
      <alignment vertical="center"/>
    </xf>
    <xf numFmtId="172" fontId="10" fillId="3" borderId="0" xfId="3" applyNumberFormat="1" applyFont="1" applyFill="1" applyBorder="1" applyAlignment="1">
      <alignment vertical="center"/>
    </xf>
    <xf numFmtId="165" fontId="13" fillId="3" borderId="0" xfId="3" applyNumberFormat="1" applyFont="1" applyFill="1" applyBorder="1" applyAlignment="1">
      <alignment horizontal="center" vertical="center"/>
    </xf>
    <xf numFmtId="49" fontId="10" fillId="0" borderId="0" xfId="3" applyNumberFormat="1" applyFont="1" applyFill="1" applyBorder="1" applyAlignment="1">
      <alignment horizontal="center" vertical="center" wrapText="1"/>
    </xf>
    <xf numFmtId="0" fontId="22" fillId="0" borderId="0" xfId="0" applyFont="1" applyAlignment="1">
      <alignment horizontal="center" vertical="center" wrapText="1"/>
    </xf>
    <xf numFmtId="0" fontId="62" fillId="0" borderId="0" xfId="0" applyFont="1"/>
    <xf numFmtId="175" fontId="62" fillId="0" borderId="0" xfId="1" applyNumberFormat="1" applyFont="1"/>
    <xf numFmtId="0" fontId="63" fillId="0" borderId="0" xfId="0" applyFont="1"/>
    <xf numFmtId="0" fontId="62" fillId="0" borderId="0" xfId="0" applyFont="1" applyAlignment="1">
      <alignment horizontal="center"/>
    </xf>
    <xf numFmtId="175" fontId="62" fillId="0" borderId="0" xfId="1" applyNumberFormat="1" applyFont="1" applyAlignment="1">
      <alignment horizontal="center"/>
    </xf>
    <xf numFmtId="165" fontId="6" fillId="0" borderId="4" xfId="1" applyNumberFormat="1" applyFont="1" applyFill="1" applyBorder="1" applyAlignment="1">
      <alignment horizontal="right" vertical="center" wrapText="1"/>
    </xf>
    <xf numFmtId="168" fontId="6" fillId="0" borderId="4" xfId="1" applyNumberFormat="1" applyFont="1" applyBorder="1" applyAlignment="1">
      <alignment horizontal="right" vertical="center" wrapText="1"/>
    </xf>
    <xf numFmtId="168" fontId="6" fillId="0" borderId="4" xfId="1" applyNumberFormat="1" applyFont="1" applyFill="1" applyBorder="1" applyAlignment="1">
      <alignment horizontal="center" vertical="center" wrapText="1"/>
    </xf>
    <xf numFmtId="168" fontId="36" fillId="0" borderId="4" xfId="1" applyNumberFormat="1" applyFont="1" applyFill="1" applyBorder="1" applyAlignment="1" applyProtection="1">
      <alignment horizontal="center" vertical="center"/>
    </xf>
    <xf numFmtId="168" fontId="6" fillId="0" borderId="4" xfId="1" applyNumberFormat="1" applyFont="1" applyFill="1" applyBorder="1" applyAlignment="1">
      <alignment horizontal="center" vertical="center"/>
    </xf>
    <xf numFmtId="168" fontId="36" fillId="0" borderId="4" xfId="1" applyNumberFormat="1" applyFont="1" applyBorder="1" applyAlignment="1">
      <alignment horizontal="right" vertical="center" wrapText="1"/>
    </xf>
    <xf numFmtId="168" fontId="36" fillId="0" borderId="4" xfId="1" applyNumberFormat="1" applyFont="1" applyFill="1" applyBorder="1" applyAlignment="1">
      <alignment horizontal="right" vertical="center" wrapText="1"/>
    </xf>
    <xf numFmtId="168" fontId="36" fillId="0" borderId="4" xfId="1" applyNumberFormat="1" applyFont="1" applyFill="1" applyBorder="1" applyAlignment="1">
      <alignment horizontal="center" vertical="center" wrapText="1"/>
    </xf>
    <xf numFmtId="168" fontId="59" fillId="0" borderId="4" xfId="1" applyNumberFormat="1" applyFont="1" applyBorder="1" applyAlignment="1">
      <alignment horizontal="right" vertical="center" wrapText="1"/>
    </xf>
    <xf numFmtId="168" fontId="59" fillId="0" borderId="4" xfId="1" applyNumberFormat="1" applyFont="1" applyFill="1" applyBorder="1" applyAlignment="1">
      <alignment horizontal="center" vertical="center" wrapText="1"/>
    </xf>
    <xf numFmtId="168" fontId="59" fillId="0" borderId="4" xfId="1" applyNumberFormat="1" applyFont="1" applyFill="1" applyBorder="1" applyAlignment="1">
      <alignment horizontal="right" vertical="center" wrapText="1"/>
    </xf>
    <xf numFmtId="168" fontId="29" fillId="0" borderId="4" xfId="1" applyNumberFormat="1" applyFont="1" applyBorder="1" applyAlignment="1">
      <alignment horizontal="right" vertical="center" wrapText="1"/>
    </xf>
    <xf numFmtId="168" fontId="4" fillId="0" borderId="4" xfId="1" applyNumberFormat="1" applyFont="1" applyBorder="1" applyAlignment="1">
      <alignment horizontal="right" vertical="center" wrapText="1"/>
    </xf>
    <xf numFmtId="168" fontId="1" fillId="0" borderId="4" xfId="1" applyNumberFormat="1" applyFont="1" applyBorder="1" applyAlignment="1">
      <alignment horizontal="right" vertical="center" wrapText="1"/>
    </xf>
    <xf numFmtId="178" fontId="10" fillId="0" borderId="0" xfId="1" applyNumberFormat="1" applyFont="1" applyFill="1" applyAlignment="1">
      <alignment horizontal="center" vertical="center"/>
    </xf>
    <xf numFmtId="178" fontId="10" fillId="0" borderId="0" xfId="1" applyNumberFormat="1" applyFont="1" applyFill="1" applyBorder="1" applyAlignment="1">
      <alignment vertical="center"/>
    </xf>
    <xf numFmtId="178" fontId="10" fillId="0" borderId="0" xfId="1" quotePrefix="1" applyNumberFormat="1" applyFont="1" applyFill="1" applyAlignment="1">
      <alignment horizontal="left" vertical="center" wrapText="1"/>
    </xf>
    <xf numFmtId="178" fontId="36" fillId="0" borderId="4" xfId="1" applyNumberFormat="1" applyFont="1" applyFill="1" applyBorder="1" applyAlignment="1">
      <alignment horizontal="center" vertical="center" wrapText="1"/>
    </xf>
    <xf numFmtId="178" fontId="36" fillId="0" borderId="4" xfId="1" applyNumberFormat="1" applyFont="1" applyFill="1" applyBorder="1" applyAlignment="1">
      <alignment horizontal="right" vertical="center" wrapText="1"/>
    </xf>
    <xf numFmtId="178" fontId="6" fillId="0" borderId="4" xfId="1" applyNumberFormat="1" applyFont="1" applyFill="1" applyBorder="1" applyAlignment="1">
      <alignment horizontal="right" vertical="center" wrapText="1"/>
    </xf>
    <xf numFmtId="178" fontId="54" fillId="0" borderId="0" xfId="1" applyNumberFormat="1" applyFont="1"/>
    <xf numFmtId="178" fontId="62" fillId="0" borderId="0" xfId="1" applyNumberFormat="1" applyFont="1"/>
    <xf numFmtId="178" fontId="62" fillId="0" borderId="0" xfId="1" applyNumberFormat="1" applyFont="1" applyAlignment="1">
      <alignment horizontal="center"/>
    </xf>
    <xf numFmtId="178" fontId="29" fillId="0" borderId="0" xfId="1" applyNumberFormat="1" applyFont="1"/>
    <xf numFmtId="178" fontId="0" fillId="0" borderId="0" xfId="1" applyNumberFormat="1" applyFont="1"/>
    <xf numFmtId="178" fontId="16" fillId="0" borderId="0" xfId="1" applyNumberFormat="1" applyFont="1" applyFill="1" applyAlignment="1">
      <alignment horizontal="center" vertical="center"/>
    </xf>
    <xf numFmtId="178" fontId="13" fillId="0" borderId="0" xfId="1" applyNumberFormat="1" applyFont="1" applyFill="1" applyBorder="1" applyAlignment="1">
      <alignment horizontal="center" vertical="center"/>
    </xf>
    <xf numFmtId="178" fontId="10" fillId="0" borderId="0" xfId="1" applyNumberFormat="1" applyFont="1" applyFill="1" applyBorder="1" applyAlignment="1">
      <alignment horizontal="center" vertical="center" wrapText="1"/>
    </xf>
    <xf numFmtId="178" fontId="10" fillId="0" borderId="0" xfId="1" quotePrefix="1" applyNumberFormat="1" applyFont="1" applyFill="1" applyAlignment="1">
      <alignment horizontal="center" vertical="center" wrapText="1"/>
    </xf>
    <xf numFmtId="178" fontId="10" fillId="0" borderId="0" xfId="1" applyNumberFormat="1" applyFont="1" applyFill="1" applyAlignment="1" applyProtection="1">
      <alignment horizontal="center" vertical="center"/>
    </xf>
    <xf numFmtId="178" fontId="36" fillId="0" borderId="6" xfId="1" applyNumberFormat="1" applyFont="1" applyFill="1" applyBorder="1" applyAlignment="1">
      <alignment horizontal="center" vertical="center" wrapText="1"/>
    </xf>
    <xf numFmtId="178" fontId="58" fillId="0" borderId="4" xfId="1" applyNumberFormat="1" applyFont="1" applyFill="1" applyBorder="1" applyAlignment="1">
      <alignment horizontal="center" vertical="center"/>
    </xf>
    <xf numFmtId="178" fontId="6" fillId="0" borderId="4" xfId="1" quotePrefix="1" applyNumberFormat="1" applyFont="1" applyFill="1" applyBorder="1" applyAlignment="1">
      <alignment horizontal="center" vertical="center" wrapText="1"/>
    </xf>
    <xf numFmtId="49" fontId="60" fillId="3" borderId="0" xfId="3" applyNumberFormat="1" applyFont="1" applyFill="1" applyBorder="1" applyAlignment="1">
      <alignment horizontal="center" vertical="center"/>
    </xf>
    <xf numFmtId="49" fontId="60" fillId="3" borderId="0" xfId="3" quotePrefix="1" applyNumberFormat="1" applyFont="1" applyFill="1" applyBorder="1" applyAlignment="1">
      <alignment horizontal="left" vertical="center"/>
    </xf>
    <xf numFmtId="49" fontId="60" fillId="3" borderId="0" xfId="3" applyNumberFormat="1" applyFont="1" applyFill="1" applyAlignment="1">
      <alignment horizontal="left" vertical="center"/>
    </xf>
    <xf numFmtId="175" fontId="60" fillId="0" borderId="0" xfId="1" applyNumberFormat="1" applyFont="1" applyFill="1" applyBorder="1" applyAlignment="1">
      <alignment vertical="center"/>
    </xf>
    <xf numFmtId="175" fontId="60" fillId="0" borderId="0" xfId="1" applyNumberFormat="1" applyFont="1" applyFill="1" applyBorder="1" applyAlignment="1">
      <alignment horizontal="center" vertical="center"/>
    </xf>
    <xf numFmtId="178" fontId="60" fillId="0" borderId="0" xfId="1" applyNumberFormat="1" applyFont="1" applyFill="1" applyBorder="1" applyAlignment="1">
      <alignment horizontal="center" vertical="center"/>
    </xf>
    <xf numFmtId="175" fontId="64" fillId="3" borderId="0" xfId="1" applyNumberFormat="1" applyFont="1" applyFill="1" applyBorder="1" applyAlignment="1">
      <alignment horizontal="center" vertical="center"/>
    </xf>
    <xf numFmtId="9" fontId="64" fillId="3" borderId="0" xfId="5" applyFont="1" applyFill="1" applyBorder="1" applyAlignment="1">
      <alignment horizontal="center" vertical="center"/>
    </xf>
    <xf numFmtId="49" fontId="60" fillId="3" borderId="0" xfId="3" quotePrefix="1" applyNumberFormat="1" applyFont="1" applyFill="1" applyBorder="1" applyAlignment="1">
      <alignment vertical="center"/>
    </xf>
    <xf numFmtId="172" fontId="60" fillId="3" borderId="0" xfId="0" applyNumberFormat="1" applyFont="1" applyFill="1" applyAlignment="1">
      <alignment horizontal="left"/>
    </xf>
    <xf numFmtId="49" fontId="60" fillId="3" borderId="0" xfId="3" applyNumberFormat="1" applyFont="1" applyFill="1" applyAlignment="1">
      <alignment vertical="center"/>
    </xf>
    <xf numFmtId="49" fontId="52" fillId="0" borderId="0" xfId="3" applyNumberFormat="1" applyFont="1" applyFill="1" applyBorder="1" applyAlignment="1">
      <alignment horizontal="center" vertical="center" wrapText="1"/>
    </xf>
    <xf numFmtId="49" fontId="60" fillId="0" borderId="0" xfId="3" applyNumberFormat="1" applyFont="1" applyFill="1" applyBorder="1" applyAlignment="1">
      <alignment horizontal="center" vertical="center"/>
    </xf>
    <xf numFmtId="49" fontId="60" fillId="0" borderId="0" xfId="3" quotePrefix="1" applyNumberFormat="1" applyFont="1" applyFill="1" applyBorder="1" applyAlignment="1">
      <alignment vertical="center"/>
    </xf>
    <xf numFmtId="175" fontId="64" fillId="0" borderId="0" xfId="1" applyNumberFormat="1" applyFont="1" applyFill="1" applyBorder="1" applyAlignment="1">
      <alignment horizontal="center" vertical="center"/>
    </xf>
    <xf numFmtId="9" fontId="64" fillId="0" borderId="0" xfId="5" applyFont="1" applyFill="1" applyBorder="1" applyAlignment="1">
      <alignment horizontal="center" vertical="center"/>
    </xf>
    <xf numFmtId="49" fontId="52" fillId="0" borderId="0" xfId="3" quotePrefix="1" applyNumberFormat="1" applyFont="1" applyFill="1" applyBorder="1" applyAlignment="1">
      <alignment horizontal="left" vertical="center"/>
    </xf>
    <xf numFmtId="178" fontId="64" fillId="0" borderId="0" xfId="1" applyNumberFormat="1" applyFont="1" applyFill="1" applyBorder="1" applyAlignment="1">
      <alignment horizontal="center" vertical="center"/>
    </xf>
    <xf numFmtId="165" fontId="64" fillId="0" borderId="0" xfId="3" applyNumberFormat="1" applyFont="1" applyFill="1" applyBorder="1" applyAlignment="1">
      <alignment horizontal="center" vertical="center"/>
    </xf>
    <xf numFmtId="175" fontId="60" fillId="0" borderId="0" xfId="1" quotePrefix="1" applyNumberFormat="1" applyFont="1" applyFill="1" applyBorder="1" applyAlignment="1">
      <alignment vertical="center"/>
    </xf>
    <xf numFmtId="49" fontId="52" fillId="0" borderId="0" xfId="3" applyNumberFormat="1" applyFont="1" applyFill="1" applyBorder="1" applyAlignment="1">
      <alignment horizontal="center" vertical="center"/>
    </xf>
    <xf numFmtId="49" fontId="60" fillId="0" borderId="0" xfId="3" quotePrefix="1" applyNumberFormat="1" applyFont="1" applyFill="1" applyBorder="1" applyAlignment="1">
      <alignment horizontal="left" vertical="center"/>
    </xf>
    <xf numFmtId="175" fontId="60" fillId="0" borderId="0" xfId="1" quotePrefix="1" applyNumberFormat="1" applyFont="1" applyFill="1" applyBorder="1" applyAlignment="1">
      <alignment horizontal="left" vertical="center"/>
    </xf>
    <xf numFmtId="175" fontId="52" fillId="0" borderId="0" xfId="1" applyNumberFormat="1" applyFont="1" applyFill="1" applyBorder="1" applyAlignment="1">
      <alignment vertical="center"/>
    </xf>
    <xf numFmtId="9" fontId="52" fillId="0" borderId="0" xfId="5" applyFont="1" applyAlignment="1">
      <alignment vertical="center"/>
    </xf>
    <xf numFmtId="172" fontId="60" fillId="0" borderId="0" xfId="0" applyNumberFormat="1" applyFont="1" applyAlignment="1">
      <alignment horizontal="left"/>
    </xf>
    <xf numFmtId="175" fontId="60" fillId="0" borderId="0" xfId="1" applyNumberFormat="1" applyFont="1" applyAlignment="1">
      <alignment horizontal="left"/>
    </xf>
    <xf numFmtId="49" fontId="52" fillId="0" borderId="0" xfId="3" quotePrefix="1" applyNumberFormat="1" applyFont="1" applyFill="1" applyBorder="1" applyAlignment="1">
      <alignment horizontal="center" vertical="center"/>
    </xf>
    <xf numFmtId="175" fontId="52" fillId="0" borderId="0" xfId="1" quotePrefix="1" applyNumberFormat="1" applyFont="1" applyFill="1" applyBorder="1" applyAlignment="1">
      <alignment horizontal="center" vertical="center"/>
    </xf>
    <xf numFmtId="175" fontId="16" fillId="0" borderId="0" xfId="1" applyNumberFormat="1" applyFont="1" applyFill="1"/>
    <xf numFmtId="175" fontId="60" fillId="0" borderId="0" xfId="1" applyNumberFormat="1" applyFont="1" applyFill="1"/>
    <xf numFmtId="175" fontId="60" fillId="0" borderId="0" xfId="1" applyNumberFormat="1" applyFont="1" applyFill="1" applyAlignment="1">
      <alignment horizontal="left"/>
    </xf>
    <xf numFmtId="175" fontId="2" fillId="0" borderId="0" xfId="1" applyNumberFormat="1" applyFont="1" applyFill="1" applyAlignment="1">
      <alignment vertical="center"/>
    </xf>
    <xf numFmtId="175" fontId="54" fillId="0" borderId="0" xfId="1" applyNumberFormat="1" applyFont="1" applyFill="1"/>
    <xf numFmtId="175" fontId="62" fillId="0" borderId="0" xfId="1" applyNumberFormat="1" applyFont="1" applyFill="1"/>
    <xf numFmtId="175" fontId="62" fillId="0" borderId="0" xfId="1" applyNumberFormat="1" applyFont="1" applyFill="1" applyAlignment="1">
      <alignment horizontal="center"/>
    </xf>
    <xf numFmtId="175" fontId="29" fillId="0" borderId="0" xfId="1" applyNumberFormat="1" applyFont="1" applyFill="1"/>
    <xf numFmtId="175" fontId="0" fillId="0" borderId="0" xfId="1" applyNumberFormat="1" applyFont="1" applyFill="1"/>
    <xf numFmtId="178" fontId="16" fillId="0" borderId="0" xfId="1" applyNumberFormat="1" applyFont="1" applyFill="1"/>
    <xf numFmtId="178" fontId="60" fillId="0" borderId="0" xfId="1" applyNumberFormat="1" applyFont="1" applyFill="1"/>
    <xf numFmtId="178" fontId="52" fillId="0" borderId="0" xfId="1" applyNumberFormat="1" applyFont="1" applyFill="1"/>
    <xf numFmtId="178" fontId="2" fillId="0" borderId="0" xfId="1" applyNumberFormat="1" applyFont="1" applyFill="1" applyAlignment="1">
      <alignment vertical="center"/>
    </xf>
    <xf numFmtId="178" fontId="54" fillId="0" borderId="0" xfId="1" applyNumberFormat="1" applyFont="1" applyFill="1"/>
    <xf numFmtId="178" fontId="62" fillId="0" borderId="0" xfId="1" applyNumberFormat="1" applyFont="1" applyFill="1"/>
    <xf numFmtId="178" fontId="62" fillId="0" borderId="0" xfId="1" applyNumberFormat="1" applyFont="1" applyFill="1" applyAlignment="1">
      <alignment horizontal="center"/>
    </xf>
    <xf numFmtId="178" fontId="29" fillId="0" borderId="0" xfId="1" applyNumberFormat="1" applyFont="1" applyFill="1"/>
    <xf numFmtId="178" fontId="0" fillId="0" borderId="0" xfId="1" applyNumberFormat="1" applyFont="1" applyFill="1"/>
    <xf numFmtId="0" fontId="4" fillId="2" borderId="4" xfId="0" applyFont="1" applyFill="1" applyBorder="1" applyAlignment="1">
      <alignment horizontal="center" vertical="center" wrapText="1"/>
    </xf>
    <xf numFmtId="0" fontId="4" fillId="2" borderId="4" xfId="0" applyFont="1" applyFill="1" applyBorder="1" applyAlignment="1">
      <alignment vertical="center" wrapText="1"/>
    </xf>
    <xf numFmtId="165" fontId="4" fillId="2" borderId="4" xfId="0" applyNumberFormat="1" applyFont="1" applyFill="1" applyBorder="1" applyAlignment="1">
      <alignment horizontal="right" vertical="center" wrapText="1"/>
    </xf>
    <xf numFmtId="3" fontId="4" fillId="2" borderId="4" xfId="0" applyNumberFormat="1" applyFont="1" applyFill="1" applyBorder="1" applyAlignment="1" applyProtection="1">
      <alignment horizontal="right" vertical="center" wrapText="1"/>
      <protection locked="0"/>
    </xf>
    <xf numFmtId="167" fontId="10" fillId="0" borderId="0" xfId="1" applyNumberFormat="1" applyFont="1" applyFill="1" applyAlignment="1">
      <alignment horizontal="right" vertical="center" wrapText="1"/>
    </xf>
    <xf numFmtId="167" fontId="10" fillId="0" borderId="0" xfId="1" applyNumberFormat="1" applyFont="1" applyFill="1" applyAlignment="1">
      <alignment horizontal="right" vertical="center"/>
    </xf>
    <xf numFmtId="167" fontId="2" fillId="0" borderId="0" xfId="1" applyNumberFormat="1" applyFont="1" applyAlignment="1">
      <alignment horizontal="right" vertical="center"/>
    </xf>
    <xf numFmtId="167" fontId="10" fillId="0" borderId="0" xfId="1" applyNumberFormat="1" applyFont="1" applyAlignment="1">
      <alignment horizontal="right" vertical="center"/>
    </xf>
    <xf numFmtId="167" fontId="5" fillId="0" borderId="23" xfId="1" applyNumberFormat="1" applyFont="1" applyBorder="1" applyAlignment="1" applyProtection="1">
      <alignment horizontal="center" vertical="center" wrapText="1"/>
      <protection locked="0"/>
    </xf>
    <xf numFmtId="167" fontId="0" fillId="0" borderId="0" xfId="1" applyNumberFormat="1" applyFont="1"/>
    <xf numFmtId="0" fontId="0" fillId="0" borderId="4" xfId="0" applyBorder="1"/>
    <xf numFmtId="167" fontId="0" fillId="0" borderId="4" xfId="1" applyNumberFormat="1" applyFont="1" applyBorder="1"/>
    <xf numFmtId="0" fontId="29" fillId="0" borderId="4" xfId="0" applyFont="1" applyBorder="1" applyAlignment="1">
      <alignment vertical="center"/>
    </xf>
    <xf numFmtId="167" fontId="29" fillId="0" borderId="4" xfId="1" applyNumberFormat="1" applyFont="1" applyBorder="1" applyAlignment="1">
      <alignment vertical="center"/>
    </xf>
    <xf numFmtId="167" fontId="29" fillId="0" borderId="4" xfId="0" applyNumberFormat="1" applyFont="1" applyBorder="1" applyAlignment="1">
      <alignment vertical="center"/>
    </xf>
    <xf numFmtId="167" fontId="29" fillId="0" borderId="0" xfId="1" applyNumberFormat="1" applyFont="1" applyAlignment="1">
      <alignment vertical="center"/>
    </xf>
    <xf numFmtId="167" fontId="30" fillId="0" borderId="4" xfId="1" applyNumberFormat="1" applyFont="1" applyBorder="1" applyAlignment="1">
      <alignment vertical="center"/>
    </xf>
    <xf numFmtId="0" fontId="62" fillId="0" borderId="0" xfId="0" applyFont="1" applyAlignment="1">
      <alignment vertical="top" wrapText="1"/>
    </xf>
    <xf numFmtId="0" fontId="62" fillId="0" borderId="0" xfId="0" applyFont="1" applyAlignment="1">
      <alignment vertical="top"/>
    </xf>
    <xf numFmtId="0" fontId="52" fillId="0" borderId="0" xfId="0" applyFont="1"/>
    <xf numFmtId="0" fontId="52" fillId="0" borderId="0" xfId="0" applyFont="1" applyAlignment="1">
      <alignment horizontal="center"/>
    </xf>
    <xf numFmtId="175" fontId="52" fillId="0" borderId="0" xfId="1" applyNumberFormat="1" applyFont="1" applyFill="1" applyAlignment="1">
      <alignment horizontal="center"/>
    </xf>
    <xf numFmtId="175" fontId="52" fillId="0" borderId="0" xfId="1" applyNumberFormat="1" applyFont="1" applyAlignment="1">
      <alignment horizontal="center"/>
    </xf>
    <xf numFmtId="178" fontId="52" fillId="0" borderId="0" xfId="1" applyNumberFormat="1" applyFont="1" applyFill="1" applyAlignment="1">
      <alignment horizontal="center"/>
    </xf>
    <xf numFmtId="0" fontId="2" fillId="0" borderId="0" xfId="0" applyFont="1" applyAlignment="1">
      <alignment wrapText="1"/>
    </xf>
    <xf numFmtId="175" fontId="52" fillId="0" borderId="0" xfId="1" applyNumberFormat="1" applyFont="1" applyFill="1"/>
    <xf numFmtId="175" fontId="52" fillId="0" borderId="0" xfId="1" applyNumberFormat="1" applyFont="1"/>
    <xf numFmtId="0" fontId="52" fillId="0" borderId="0" xfId="0" applyFont="1" applyAlignment="1">
      <alignment wrapText="1"/>
    </xf>
    <xf numFmtId="0" fontId="52" fillId="0" borderId="0" xfId="0" applyFont="1" applyAlignment="1">
      <alignment vertical="top" wrapText="1"/>
    </xf>
    <xf numFmtId="0" fontId="60" fillId="0" borderId="0" xfId="0" applyFont="1"/>
    <xf numFmtId="0" fontId="65" fillId="0" borderId="0" xfId="0" applyFont="1" applyAlignment="1">
      <alignment horizontal="center" vertical="center"/>
    </xf>
    <xf numFmtId="0" fontId="10" fillId="0" borderId="0" xfId="0" applyFont="1" applyAlignment="1">
      <alignment wrapText="1"/>
    </xf>
    <xf numFmtId="0" fontId="6" fillId="0" borderId="0" xfId="0" applyFont="1" applyAlignment="1">
      <alignment wrapText="1"/>
    </xf>
    <xf numFmtId="0" fontId="4" fillId="0" borderId="0" xfId="0" applyFont="1" applyAlignment="1">
      <alignment wrapText="1"/>
    </xf>
    <xf numFmtId="0" fontId="1" fillId="0" borderId="4" xfId="0" applyFont="1" applyBorder="1" applyAlignment="1">
      <alignment horizontal="right" vertical="center" wrapText="1"/>
    </xf>
    <xf numFmtId="4" fontId="4" fillId="0" borderId="4" xfId="0" applyNumberFormat="1" applyFont="1" applyBorder="1" applyAlignment="1">
      <alignment horizontal="center" vertical="center" wrapText="1"/>
    </xf>
    <xf numFmtId="0" fontId="36" fillId="0" borderId="0" xfId="0" applyFont="1" applyAlignment="1">
      <alignment wrapText="1"/>
    </xf>
    <xf numFmtId="4" fontId="1" fillId="0" borderId="4" xfId="0" applyNumberFormat="1" applyFont="1" applyBorder="1" applyAlignment="1" applyProtection="1">
      <alignment horizontal="center" vertical="center" wrapText="1"/>
      <protection locked="0"/>
    </xf>
    <xf numFmtId="4" fontId="10" fillId="0" borderId="4" xfId="0" applyNumberFormat="1" applyFont="1" applyBorder="1" applyAlignment="1">
      <alignment horizontal="center" vertical="center" wrapText="1"/>
    </xf>
    <xf numFmtId="0" fontId="6" fillId="0" borderId="0" xfId="0" applyFont="1" applyAlignment="1">
      <alignment vertical="center" wrapText="1"/>
    </xf>
    <xf numFmtId="0" fontId="6" fillId="0" borderId="0" xfId="0" applyFont="1" applyAlignment="1">
      <alignment horizontal="right" vertical="center" wrapText="1"/>
    </xf>
    <xf numFmtId="3" fontId="6" fillId="0" borderId="0" xfId="0" applyNumberFormat="1" applyFont="1" applyAlignment="1" applyProtection="1">
      <alignment horizontal="right" vertical="center" wrapText="1"/>
      <protection locked="0"/>
    </xf>
    <xf numFmtId="4" fontId="6" fillId="0" borderId="0" xfId="0" applyNumberFormat="1" applyFont="1" applyAlignment="1">
      <alignment horizontal="center" vertical="center" wrapText="1"/>
    </xf>
    <xf numFmtId="3" fontId="0" fillId="0" borderId="4" xfId="0" applyNumberFormat="1" applyBorder="1"/>
    <xf numFmtId="167" fontId="0" fillId="0" borderId="4" xfId="0" applyNumberFormat="1" applyBorder="1"/>
    <xf numFmtId="3" fontId="66" fillId="0" borderId="4" xfId="0" applyNumberFormat="1" applyFont="1" applyBorder="1"/>
    <xf numFmtId="167" fontId="1" fillId="0" borderId="2" xfId="1" applyNumberFormat="1" applyFont="1" applyFill="1" applyBorder="1" applyAlignment="1">
      <alignment horizontal="center" vertical="center" wrapText="1"/>
    </xf>
    <xf numFmtId="168" fontId="1" fillId="0" borderId="1" xfId="1" applyNumberFormat="1" applyFont="1" applyFill="1" applyBorder="1" applyAlignment="1">
      <alignment horizontal="center" vertical="center" wrapText="1"/>
    </xf>
    <xf numFmtId="0" fontId="7" fillId="0" borderId="0" xfId="2" applyFont="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167" fontId="1" fillId="0" borderId="22" xfId="1" applyNumberFormat="1" applyFont="1" applyFill="1" applyBorder="1" applyAlignment="1">
      <alignment horizontal="center" vertical="center" wrapText="1"/>
    </xf>
    <xf numFmtId="167" fontId="1" fillId="0" borderId="23" xfId="1" applyNumberFormat="1" applyFont="1" applyFill="1" applyBorder="1" applyAlignment="1">
      <alignment horizontal="center" vertical="center" wrapText="1"/>
    </xf>
    <xf numFmtId="167" fontId="1" fillId="0" borderId="2" xfId="1" applyNumberFormat="1" applyFont="1" applyFill="1" applyBorder="1" applyAlignment="1">
      <alignment horizontal="center" vertical="center" wrapText="1"/>
    </xf>
    <xf numFmtId="167" fontId="1" fillId="0" borderId="4" xfId="1" applyNumberFormat="1"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6" xfId="0" applyFont="1" applyBorder="1" applyAlignment="1">
      <alignment horizontal="center" vertical="center" wrapText="1"/>
    </xf>
    <xf numFmtId="167" fontId="1" fillId="0" borderId="21" xfId="1" applyNumberFormat="1" applyFont="1" applyFill="1" applyBorder="1" applyAlignment="1" applyProtection="1">
      <alignment horizontal="center" vertical="center" wrapText="1"/>
      <protection locked="0"/>
    </xf>
    <xf numFmtId="167" fontId="1" fillId="0" borderId="6" xfId="1" applyNumberFormat="1" applyFont="1" applyFill="1" applyBorder="1" applyAlignment="1" applyProtection="1">
      <alignment horizontal="center" vertical="center" wrapText="1"/>
      <protection locked="0"/>
    </xf>
    <xf numFmtId="43" fontId="1" fillId="0" borderId="5" xfId="1" applyFont="1" applyFill="1" applyBorder="1" applyAlignment="1">
      <alignment horizontal="center" vertical="center" wrapText="1"/>
    </xf>
    <xf numFmtId="43" fontId="1" fillId="0" borderId="21" xfId="1" applyFont="1" applyFill="1" applyBorder="1" applyAlignment="1">
      <alignment horizontal="center" vertical="center" wrapText="1"/>
    </xf>
    <xf numFmtId="43" fontId="1" fillId="0" borderId="6" xfId="1" applyFont="1" applyFill="1" applyBorder="1" applyAlignment="1">
      <alignment horizontal="center" vertical="center" wrapText="1"/>
    </xf>
    <xf numFmtId="168" fontId="1" fillId="0" borderId="1" xfId="1" applyNumberFormat="1" applyFont="1" applyFill="1" applyBorder="1" applyAlignment="1">
      <alignment horizontal="center" vertical="center" wrapText="1"/>
    </xf>
    <xf numFmtId="168" fontId="1" fillId="0" borderId="2" xfId="1" applyNumberFormat="1" applyFont="1" applyFill="1" applyBorder="1" applyAlignment="1">
      <alignment horizontal="center" vertical="center" wrapText="1"/>
    </xf>
    <xf numFmtId="168" fontId="1" fillId="0" borderId="3" xfId="1" applyNumberFormat="1" applyFont="1" applyFill="1" applyBorder="1" applyAlignment="1">
      <alignment horizontal="center" vertical="center" wrapText="1"/>
    </xf>
    <xf numFmtId="168" fontId="1" fillId="0" borderId="4" xfId="1" applyNumberFormat="1" applyFont="1" applyFill="1" applyBorder="1" applyAlignment="1">
      <alignment horizontal="center" vertical="center" wrapText="1"/>
    </xf>
    <xf numFmtId="0" fontId="52" fillId="0" borderId="0" xfId="0" applyFont="1" applyAlignment="1">
      <alignment horizontal="center"/>
    </xf>
    <xf numFmtId="0" fontId="52" fillId="0" borderId="0" xfId="0" applyFont="1" applyAlignment="1">
      <alignment horizontal="center" vertical="top" wrapText="1"/>
    </xf>
    <xf numFmtId="0" fontId="65" fillId="0" borderId="0" xfId="0" applyFont="1" applyAlignment="1">
      <alignment horizontal="center" vertical="center"/>
    </xf>
    <xf numFmtId="0" fontId="2" fillId="0" borderId="0" xfId="0" applyFont="1" applyAlignment="1">
      <alignment horizontal="center" vertical="top" wrapText="1"/>
    </xf>
    <xf numFmtId="49" fontId="60" fillId="0" borderId="0" xfId="3" applyNumberFormat="1" applyFont="1" applyFill="1" applyAlignment="1">
      <alignment horizontal="left" vertical="center"/>
    </xf>
    <xf numFmtId="49" fontId="52" fillId="0" borderId="0" xfId="3" quotePrefix="1" applyNumberFormat="1" applyFont="1" applyFill="1" applyBorder="1" applyAlignment="1">
      <alignment horizontal="left" vertical="center"/>
    </xf>
    <xf numFmtId="49" fontId="52" fillId="0" borderId="0" xfId="3" quotePrefix="1" applyNumberFormat="1" applyFont="1" applyFill="1" applyBorder="1" applyAlignment="1">
      <alignment horizontal="left" vertical="center" wrapText="1"/>
    </xf>
    <xf numFmtId="175" fontId="62" fillId="0" borderId="0" xfId="1" applyNumberFormat="1" applyFont="1"/>
    <xf numFmtId="0" fontId="32" fillId="0" borderId="0" xfId="0" applyFont="1" applyAlignment="1">
      <alignment horizontal="center"/>
    </xf>
    <xf numFmtId="49" fontId="10" fillId="0" borderId="0" xfId="3" quotePrefix="1" applyNumberFormat="1" applyFont="1" applyFill="1" applyAlignment="1">
      <alignment horizontal="left" vertical="center" wrapText="1"/>
    </xf>
    <xf numFmtId="0" fontId="10" fillId="0" borderId="0" xfId="8" quotePrefix="1" applyFont="1" applyAlignment="1">
      <alignment horizontal="left" vertical="center" wrapText="1"/>
    </xf>
    <xf numFmtId="0" fontId="10" fillId="0" borderId="0" xfId="8" applyFont="1" applyAlignment="1">
      <alignment horizontal="left" vertical="center" wrapText="1"/>
    </xf>
    <xf numFmtId="0" fontId="10" fillId="0" borderId="0" xfId="8" applyFont="1" applyAlignment="1">
      <alignment horizontal="justify" vertical="center" wrapText="1"/>
    </xf>
    <xf numFmtId="49" fontId="10" fillId="3" borderId="0" xfId="3" quotePrefix="1" applyNumberFormat="1" applyFont="1" applyFill="1" applyAlignment="1">
      <alignment horizontal="left" vertical="center" wrapText="1"/>
    </xf>
    <xf numFmtId="49" fontId="10" fillId="3" borderId="0" xfId="3" applyNumberFormat="1" applyFont="1" applyFill="1" applyBorder="1" applyAlignment="1">
      <alignment horizontal="justify" vertical="center" wrapText="1"/>
    </xf>
    <xf numFmtId="0" fontId="36" fillId="0" borderId="4" xfId="7" applyFont="1" applyBorder="1" applyAlignment="1">
      <alignment horizontal="center" vertical="center" wrapText="1"/>
    </xf>
    <xf numFmtId="0" fontId="36" fillId="0" borderId="5" xfId="7" applyFont="1" applyBorder="1" applyAlignment="1">
      <alignment horizontal="center" vertical="center" wrapText="1"/>
    </xf>
    <xf numFmtId="3" fontId="1" fillId="0" borderId="5" xfId="7" applyNumberFormat="1" applyFont="1" applyBorder="1" applyAlignment="1">
      <alignment horizontal="center" vertical="center" wrapText="1"/>
    </xf>
    <xf numFmtId="3" fontId="1" fillId="0" borderId="21" xfId="7" applyNumberFormat="1" applyFont="1" applyBorder="1" applyAlignment="1">
      <alignment horizontal="center" vertical="center" wrapText="1"/>
    </xf>
    <xf numFmtId="0" fontId="57" fillId="0" borderId="0" xfId="0" applyFont="1" applyAlignment="1">
      <alignment horizontal="center" vertical="center"/>
    </xf>
    <xf numFmtId="0" fontId="36" fillId="0" borderId="18" xfId="7" applyFont="1" applyBorder="1" applyAlignment="1">
      <alignment horizontal="center" vertical="center" wrapText="1"/>
    </xf>
    <xf numFmtId="0" fontId="36" fillId="0" borderId="19" xfId="7" applyFont="1" applyBorder="1" applyAlignment="1">
      <alignment horizontal="center" vertical="center" wrapText="1"/>
    </xf>
    <xf numFmtId="0" fontId="36" fillId="0" borderId="20" xfId="7" applyFont="1" applyBorder="1" applyAlignment="1">
      <alignment horizontal="center" vertical="center" wrapText="1"/>
    </xf>
    <xf numFmtId="175" fontId="36" fillId="0" borderId="4" xfId="1" applyNumberFormat="1" applyFont="1" applyFill="1" applyBorder="1" applyAlignment="1">
      <alignment horizontal="center" vertical="center" wrapText="1"/>
    </xf>
    <xf numFmtId="172" fontId="36" fillId="0" borderId="5" xfId="7" applyNumberFormat="1" applyFont="1" applyBorder="1" applyAlignment="1">
      <alignment horizontal="center" vertical="center" wrapText="1"/>
    </xf>
    <xf numFmtId="172" fontId="36" fillId="0" borderId="21" xfId="7" applyNumberFormat="1" applyFont="1" applyBorder="1" applyAlignment="1">
      <alignment horizontal="center" vertical="center" wrapText="1"/>
    </xf>
    <xf numFmtId="49" fontId="20" fillId="0" borderId="0" xfId="3" applyNumberFormat="1" applyFont="1" applyFill="1" applyAlignment="1">
      <alignment horizontal="center" vertical="center"/>
    </xf>
    <xf numFmtId="49" fontId="21" fillId="0" borderId="0" xfId="3" applyNumberFormat="1" applyFont="1" applyFill="1" applyBorder="1" applyAlignment="1">
      <alignment horizontal="center" vertical="center"/>
    </xf>
    <xf numFmtId="174" fontId="5" fillId="0" borderId="0" xfId="3" applyNumberFormat="1" applyFont="1" applyFill="1" applyBorder="1" applyAlignment="1">
      <alignment horizontal="right" vertical="center" wrapText="1"/>
    </xf>
    <xf numFmtId="49" fontId="32" fillId="0" borderId="0" xfId="3" applyNumberFormat="1" applyFont="1" applyFill="1" applyBorder="1" applyAlignment="1">
      <alignment horizontal="center" vertical="center" wrapText="1"/>
    </xf>
    <xf numFmtId="49" fontId="15" fillId="0" borderId="0" xfId="3" applyNumberFormat="1" applyFont="1" applyFill="1" applyBorder="1" applyAlignment="1">
      <alignment horizontal="center" vertical="center" wrapText="1"/>
    </xf>
    <xf numFmtId="49" fontId="2" fillId="0" borderId="0" xfId="3" applyNumberFormat="1" applyFont="1" applyFill="1" applyAlignment="1">
      <alignment horizontal="justify" vertical="center" wrapText="1"/>
    </xf>
    <xf numFmtId="49" fontId="10" fillId="0" borderId="0" xfId="3" applyNumberFormat="1" applyFont="1" applyFill="1" applyAlignment="1">
      <alignment horizontal="justify" vertical="center" wrapText="1"/>
    </xf>
    <xf numFmtId="49" fontId="2" fillId="0" borderId="0" xfId="3" applyNumberFormat="1" applyFont="1" applyFill="1" applyAlignment="1">
      <alignment horizontal="justify" vertical="center"/>
    </xf>
    <xf numFmtId="49" fontId="10" fillId="0" borderId="0" xfId="3" applyNumberFormat="1" applyFont="1" applyFill="1" applyAlignment="1">
      <alignment horizontal="justify" vertical="center"/>
    </xf>
    <xf numFmtId="0" fontId="2" fillId="0" borderId="0" xfId="6" applyFont="1" applyAlignment="1">
      <alignment horizontal="left" vertical="center"/>
    </xf>
    <xf numFmtId="49" fontId="60" fillId="3" borderId="0" xfId="3" applyNumberFormat="1" applyFont="1" applyFill="1" applyAlignment="1">
      <alignment horizontal="left" vertical="center"/>
    </xf>
    <xf numFmtId="172" fontId="36" fillId="0" borderId="18" xfId="7" applyNumberFormat="1" applyFont="1" applyBorder="1" applyAlignment="1">
      <alignment horizontal="center" vertical="center" wrapText="1"/>
    </xf>
    <xf numFmtId="172" fontId="36" fillId="0" borderId="19" xfId="7" applyNumberFormat="1" applyFont="1" applyBorder="1" applyAlignment="1">
      <alignment horizontal="center" vertical="center" wrapText="1"/>
    </xf>
    <xf numFmtId="172" fontId="36" fillId="0" borderId="20" xfId="7" applyNumberFormat="1" applyFont="1" applyBorder="1" applyAlignment="1">
      <alignment horizontal="center" vertical="center" wrapText="1"/>
    </xf>
    <xf numFmtId="9" fontId="2" fillId="0" borderId="0" xfId="5" applyFont="1" applyAlignment="1">
      <alignment horizontal="left" vertical="center"/>
    </xf>
    <xf numFmtId="49" fontId="52" fillId="3" borderId="0" xfId="3" applyNumberFormat="1" applyFont="1" applyFill="1" applyBorder="1" applyAlignment="1">
      <alignment horizontal="left" vertical="center" wrapText="1"/>
    </xf>
    <xf numFmtId="9" fontId="52" fillId="3" borderId="0" xfId="5" applyFont="1" applyFill="1" applyBorder="1" applyAlignment="1">
      <alignment horizontal="left" vertical="center" wrapText="1"/>
    </xf>
    <xf numFmtId="49" fontId="52" fillId="0" borderId="0" xfId="3" applyNumberFormat="1" applyFont="1" applyFill="1" applyBorder="1" applyAlignment="1">
      <alignment horizontal="justify" vertical="center" wrapText="1"/>
    </xf>
    <xf numFmtId="9" fontId="52" fillId="0" borderId="0" xfId="5" applyFont="1" applyFill="1" applyBorder="1" applyAlignment="1">
      <alignment horizontal="justify" vertical="center" wrapText="1"/>
    </xf>
    <xf numFmtId="49" fontId="60" fillId="0" borderId="0" xfId="3" applyNumberFormat="1" applyFont="1" applyFill="1" applyBorder="1" applyAlignment="1">
      <alignment horizontal="left" vertical="center" wrapText="1"/>
    </xf>
    <xf numFmtId="9" fontId="60" fillId="0" borderId="0" xfId="5" applyFont="1" applyFill="1" applyBorder="1" applyAlignment="1">
      <alignment horizontal="left" vertical="center" wrapText="1"/>
    </xf>
    <xf numFmtId="0" fontId="62" fillId="0" borderId="0" xfId="0" applyFont="1" applyAlignment="1">
      <alignment horizontal="center"/>
    </xf>
    <xf numFmtId="0" fontId="22" fillId="0" borderId="0" xfId="0" applyFont="1" applyAlignment="1">
      <alignment horizontal="center"/>
    </xf>
    <xf numFmtId="0" fontId="62" fillId="0" borderId="0" xfId="0" applyFont="1" applyAlignment="1">
      <alignment horizontal="center" vertical="top" wrapText="1"/>
    </xf>
    <xf numFmtId="0" fontId="62" fillId="0" borderId="0" xfId="0" applyFont="1" applyAlignment="1">
      <alignment horizontal="center" vertical="top"/>
    </xf>
    <xf numFmtId="0" fontId="2" fillId="0" borderId="0" xfId="2" applyFont="1" applyAlignment="1">
      <alignment horizontal="left" vertical="center" wrapText="1"/>
    </xf>
    <xf numFmtId="0" fontId="7" fillId="0" borderId="0" xfId="2" applyFont="1" applyAlignment="1">
      <alignment horizontal="center" vertical="center"/>
    </xf>
    <xf numFmtId="0" fontId="10" fillId="0" borderId="0" xfId="2" applyFont="1" applyAlignment="1">
      <alignment horizontal="left" vertical="center" wrapText="1"/>
    </xf>
    <xf numFmtId="3" fontId="10" fillId="0" borderId="0" xfId="2" applyNumberFormat="1" applyFont="1" applyAlignment="1">
      <alignment horizontal="left" vertical="top"/>
    </xf>
    <xf numFmtId="0" fontId="2" fillId="0" borderId="0" xfId="2" applyFont="1" applyAlignment="1">
      <alignment horizontal="left" vertical="center"/>
    </xf>
    <xf numFmtId="0" fontId="47" fillId="0" borderId="0" xfId="2" applyFont="1" applyAlignment="1">
      <alignment horizontal="left" vertical="center" wrapText="1"/>
    </xf>
    <xf numFmtId="0" fontId="2" fillId="0" borderId="0" xfId="2" quotePrefix="1" applyFont="1" applyAlignment="1">
      <alignment horizontal="left" vertical="center"/>
    </xf>
    <xf numFmtId="167" fontId="1" fillId="0" borderId="5" xfId="1" applyNumberFormat="1" applyFont="1" applyBorder="1" applyAlignment="1">
      <alignment horizontal="center" vertical="center" wrapText="1"/>
    </xf>
    <xf numFmtId="167" fontId="1" fillId="0" borderId="6" xfId="1" applyNumberFormat="1" applyFont="1" applyBorder="1" applyAlignment="1">
      <alignment horizontal="center" vertical="center" wrapText="1"/>
    </xf>
    <xf numFmtId="0" fontId="15" fillId="0" borderId="0" xfId="2" applyFont="1" applyAlignment="1">
      <alignment horizontal="left" vertical="center"/>
    </xf>
    <xf numFmtId="0" fontId="19" fillId="0" borderId="0" xfId="2" applyFont="1" applyAlignment="1">
      <alignment horizontal="left" vertical="center"/>
    </xf>
    <xf numFmtId="0" fontId="50" fillId="0" borderId="0" xfId="0" applyFont="1" applyAlignment="1">
      <alignment horizontal="center"/>
    </xf>
    <xf numFmtId="4" fontId="50" fillId="0" borderId="0" xfId="0" applyNumberFormat="1" applyFont="1" applyAlignment="1">
      <alignment horizontal="center"/>
    </xf>
    <xf numFmtId="0" fontId="29" fillId="0" borderId="1" xfId="0" applyFont="1" applyBorder="1" applyAlignment="1">
      <alignment horizontal="center" vertical="center"/>
    </xf>
    <xf numFmtId="0" fontId="29" fillId="0" borderId="2" xfId="0" applyFont="1" applyBorder="1" applyAlignment="1">
      <alignment horizontal="center" vertical="center"/>
    </xf>
    <xf numFmtId="0" fontId="29" fillId="0" borderId="3" xfId="0" applyFont="1" applyBorder="1" applyAlignment="1">
      <alignment horizontal="center" vertical="center"/>
    </xf>
    <xf numFmtId="0" fontId="17" fillId="0" borderId="0" xfId="0" applyFont="1" applyAlignment="1">
      <alignment horizontal="center"/>
    </xf>
    <xf numFmtId="0" fontId="15" fillId="0" borderId="0" xfId="2" quotePrefix="1" applyFont="1" applyAlignment="1">
      <alignment horizontal="left" vertical="center"/>
    </xf>
    <xf numFmtId="0" fontId="33" fillId="0" borderId="0" xfId="0" applyFont="1" applyAlignment="1">
      <alignment horizontal="center"/>
    </xf>
    <xf numFmtId="0" fontId="34" fillId="0" borderId="0" xfId="0" applyFont="1" applyAlignment="1">
      <alignment horizontal="center"/>
    </xf>
    <xf numFmtId="0" fontId="35" fillId="0" borderId="4" xfId="0" applyFont="1" applyBorder="1" applyAlignment="1">
      <alignment horizontal="center" vertical="center"/>
    </xf>
    <xf numFmtId="0" fontId="1" fillId="0" borderId="5" xfId="2" applyFont="1" applyBorder="1" applyAlignment="1" applyProtection="1">
      <alignment horizontal="center" vertical="center" readingOrder="1"/>
      <protection locked="0"/>
    </xf>
    <xf numFmtId="0" fontId="1" fillId="0" borderId="6" xfId="2" applyFont="1" applyBorder="1" applyAlignment="1" applyProtection="1">
      <alignment horizontal="center" vertical="center" readingOrder="1"/>
      <protection locked="0"/>
    </xf>
    <xf numFmtId="0" fontId="1" fillId="0" borderId="5" xfId="2" applyFont="1" applyBorder="1" applyAlignment="1" applyProtection="1">
      <alignment horizontal="center" vertical="center" wrapText="1" readingOrder="1"/>
      <protection locked="0"/>
    </xf>
    <xf numFmtId="0" fontId="1" fillId="0" borderId="6" xfId="2" applyFont="1" applyBorder="1" applyAlignment="1" applyProtection="1">
      <alignment horizontal="center" vertical="center" wrapText="1" readingOrder="1"/>
      <protection locked="0"/>
    </xf>
    <xf numFmtId="165" fontId="1" fillId="0" borderId="5" xfId="2" applyNumberFormat="1" applyFont="1" applyBorder="1" applyAlignment="1" applyProtection="1">
      <alignment horizontal="center" vertical="center" wrapText="1" readingOrder="1"/>
      <protection locked="0"/>
    </xf>
    <xf numFmtId="165" fontId="1" fillId="0" borderId="6" xfId="2" applyNumberFormat="1" applyFont="1" applyBorder="1" applyAlignment="1" applyProtection="1">
      <alignment horizontal="center" vertical="center" wrapText="1" readingOrder="1"/>
      <protection locked="0"/>
    </xf>
    <xf numFmtId="165" fontId="1" fillId="0" borderId="1" xfId="2" applyNumberFormat="1" applyFont="1" applyBorder="1" applyAlignment="1" applyProtection="1">
      <alignment horizontal="center" vertical="center" readingOrder="1"/>
      <protection locked="0"/>
    </xf>
    <xf numFmtId="165" fontId="1" fillId="0" borderId="2" xfId="2" applyNumberFormat="1" applyFont="1" applyBorder="1" applyAlignment="1" applyProtection="1">
      <alignment horizontal="center" vertical="center" readingOrder="1"/>
      <protection locked="0"/>
    </xf>
    <xf numFmtId="165" fontId="1" fillId="0" borderId="3" xfId="2" applyNumberFormat="1" applyFont="1" applyBorder="1" applyAlignment="1" applyProtection="1">
      <alignment horizontal="center" vertical="center" readingOrder="1"/>
      <protection locked="0"/>
    </xf>
    <xf numFmtId="165" fontId="1" fillId="0" borderId="5" xfId="2" applyNumberFormat="1" applyFont="1" applyBorder="1" applyAlignment="1" applyProtection="1">
      <alignment horizontal="center" vertical="center" readingOrder="1"/>
      <protection locked="0"/>
    </xf>
    <xf numFmtId="165" fontId="1" fillId="0" borderId="6" xfId="2" applyNumberFormat="1" applyFont="1" applyBorder="1" applyAlignment="1" applyProtection="1">
      <alignment horizontal="center" vertical="center" readingOrder="1"/>
      <protection locked="0"/>
    </xf>
  </cellXfs>
  <cellStyles count="11">
    <cellStyle name="Comma" xfId="1" builtinId="3"/>
    <cellStyle name="Comma 2 2" xfId="3" xr:uid="{00000000-0005-0000-0000-000001000000}"/>
    <cellStyle name="Comma 3 2" xfId="10" xr:uid="{00000000-0005-0000-0000-000002000000}"/>
    <cellStyle name="Normal" xfId="0" builtinId="0"/>
    <cellStyle name="Normal 2" xfId="2" xr:uid="{00000000-0005-0000-0000-000004000000}"/>
    <cellStyle name="Normal 2 2" xfId="7" xr:uid="{00000000-0005-0000-0000-000005000000}"/>
    <cellStyle name="Normal 2 3 2" xfId="8" xr:uid="{00000000-0005-0000-0000-000006000000}"/>
    <cellStyle name="Normal 5 2" xfId="6" xr:uid="{00000000-0005-0000-0000-000007000000}"/>
    <cellStyle name="Normal 8" xfId="9" xr:uid="{00000000-0005-0000-0000-000008000000}"/>
    <cellStyle name="Normal_Mau-QuyetToan" xfId="4" xr:uid="{00000000-0005-0000-0000-000009000000}"/>
    <cellStyle name="Percent" xfId="5"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163"/>
  <sheetViews>
    <sheetView tabSelected="1" view="pageBreakPreview" zoomScale="80" zoomScaleNormal="85" zoomScaleSheetLayoutView="80" workbookViewId="0">
      <selection activeCell="E132" sqref="E132:E139"/>
    </sheetView>
  </sheetViews>
  <sheetFormatPr defaultColWidth="9.140625" defaultRowHeight="15" x14ac:dyDescent="0.25"/>
  <cols>
    <col min="1" max="1" width="10.42578125" style="423" customWidth="1"/>
    <col min="2" max="2" width="45.42578125" style="430" customWidth="1"/>
    <col min="3" max="3" width="11" style="430" customWidth="1"/>
    <col min="4" max="4" width="19.85546875" style="430" bestFit="1" customWidth="1"/>
    <col min="5" max="5" width="20.42578125" style="430" customWidth="1"/>
    <col min="6" max="6" width="14.5703125" style="431" customWidth="1"/>
    <col min="7" max="7" width="15.28515625" style="432" customWidth="1"/>
    <col min="8" max="8" width="27.140625" style="433" customWidth="1"/>
    <col min="9" max="9" width="15.85546875" style="423" bestFit="1" customWidth="1"/>
    <col min="10" max="16384" width="9.140625" style="423"/>
  </cols>
  <sheetData>
    <row r="1" spans="1:8" ht="18.75" x14ac:dyDescent="0.25">
      <c r="A1" s="126"/>
      <c r="B1" s="127"/>
      <c r="C1" s="126"/>
      <c r="D1" s="126"/>
      <c r="E1" s="126"/>
      <c r="F1" s="14"/>
      <c r="G1" s="14"/>
      <c r="H1" s="154"/>
    </row>
    <row r="2" spans="1:8" ht="22.5" customHeight="1" x14ac:dyDescent="0.25">
      <c r="A2" s="439" t="s">
        <v>2663</v>
      </c>
      <c r="B2" s="439"/>
      <c r="C2" s="439"/>
      <c r="D2" s="439"/>
      <c r="E2" s="439"/>
      <c r="F2" s="439"/>
      <c r="G2" s="439"/>
      <c r="H2" s="439"/>
    </row>
    <row r="3" spans="1:8" ht="21.95" customHeight="1" x14ac:dyDescent="0.25">
      <c r="A3" s="152"/>
      <c r="B3" s="152"/>
      <c r="C3" s="152"/>
      <c r="D3" s="152"/>
      <c r="E3" s="152"/>
      <c r="F3" s="152"/>
      <c r="G3" s="160"/>
      <c r="H3" s="159"/>
    </row>
    <row r="4" spans="1:8" ht="25.5" customHeight="1" x14ac:dyDescent="0.25">
      <c r="A4" s="447" t="s">
        <v>0</v>
      </c>
      <c r="B4" s="447" t="s">
        <v>2763</v>
      </c>
      <c r="C4" s="452" t="s">
        <v>2658</v>
      </c>
      <c r="D4" s="452" t="s">
        <v>4733</v>
      </c>
      <c r="E4" s="452" t="s">
        <v>4732</v>
      </c>
      <c r="F4" s="438" t="s">
        <v>2766</v>
      </c>
      <c r="G4" s="450" t="s">
        <v>4734</v>
      </c>
      <c r="H4" s="437"/>
    </row>
    <row r="5" spans="1:8" ht="25.5" customHeight="1" x14ac:dyDescent="0.25">
      <c r="A5" s="448"/>
      <c r="B5" s="448"/>
      <c r="C5" s="453"/>
      <c r="D5" s="453"/>
      <c r="E5" s="453"/>
      <c r="F5" s="458" t="s">
        <v>2767</v>
      </c>
      <c r="G5" s="450"/>
      <c r="H5" s="157"/>
    </row>
    <row r="6" spans="1:8" s="424" customFormat="1" ht="72" customHeight="1" x14ac:dyDescent="0.25">
      <c r="A6" s="449"/>
      <c r="B6" s="449"/>
      <c r="C6" s="454"/>
      <c r="D6" s="454"/>
      <c r="E6" s="454"/>
      <c r="F6" s="458"/>
      <c r="G6" s="451"/>
      <c r="H6" s="153" t="s">
        <v>3454</v>
      </c>
    </row>
    <row r="7" spans="1:8" s="427" customFormat="1" ht="15.75" x14ac:dyDescent="0.2">
      <c r="A7" s="2" t="s">
        <v>2313</v>
      </c>
      <c r="B7" s="3" t="s">
        <v>2314</v>
      </c>
      <c r="C7" s="2"/>
      <c r="D7" s="2"/>
      <c r="E7" s="2"/>
      <c r="F7" s="425"/>
      <c r="G7" s="5"/>
      <c r="H7" s="153"/>
    </row>
    <row r="8" spans="1:8" s="427" customFormat="1" ht="15.75" x14ac:dyDescent="0.2">
      <c r="A8" s="2" t="s">
        <v>2315</v>
      </c>
      <c r="B8" s="3" t="s">
        <v>2316</v>
      </c>
      <c r="C8" s="2"/>
      <c r="D8" s="2"/>
      <c r="E8" s="2"/>
      <c r="F8" s="425"/>
      <c r="G8" s="5"/>
      <c r="H8" s="153"/>
    </row>
    <row r="9" spans="1:8" ht="15.75" x14ac:dyDescent="0.25">
      <c r="A9" s="6" t="s">
        <v>2317</v>
      </c>
      <c r="B9" s="7" t="s">
        <v>2318</v>
      </c>
      <c r="C9" s="6" t="s">
        <v>248</v>
      </c>
      <c r="D9" s="6" t="s">
        <v>4735</v>
      </c>
      <c r="E9" s="6" t="s">
        <v>4736</v>
      </c>
      <c r="F9" s="8">
        <v>1</v>
      </c>
      <c r="G9" s="9"/>
      <c r="H9" s="426"/>
    </row>
    <row r="10" spans="1:8" ht="15.75" x14ac:dyDescent="0.25">
      <c r="A10" s="6" t="s">
        <v>2319</v>
      </c>
      <c r="B10" s="7" t="s">
        <v>2320</v>
      </c>
      <c r="C10" s="6" t="s">
        <v>248</v>
      </c>
      <c r="D10" s="6"/>
      <c r="E10" s="6" t="s">
        <v>4737</v>
      </c>
      <c r="F10" s="8">
        <v>1</v>
      </c>
      <c r="G10" s="9"/>
      <c r="H10" s="426"/>
    </row>
    <row r="11" spans="1:8" ht="15.75" x14ac:dyDescent="0.25">
      <c r="A11" s="6" t="s">
        <v>2321</v>
      </c>
      <c r="B11" s="7" t="s">
        <v>2322</v>
      </c>
      <c r="C11" s="6" t="s">
        <v>248</v>
      </c>
      <c r="D11" s="6" t="s">
        <v>4738</v>
      </c>
      <c r="E11" s="6" t="s">
        <v>4736</v>
      </c>
      <c r="F11" s="8">
        <v>1</v>
      </c>
      <c r="G11" s="9"/>
      <c r="H11" s="426"/>
    </row>
    <row r="12" spans="1:8" ht="94.5" x14ac:dyDescent="0.25">
      <c r="A12" s="6" t="s">
        <v>2323</v>
      </c>
      <c r="B12" s="7" t="s">
        <v>2324</v>
      </c>
      <c r="C12" s="6" t="s">
        <v>248</v>
      </c>
      <c r="D12" s="6" t="s">
        <v>4739</v>
      </c>
      <c r="E12" s="6" t="s">
        <v>4736</v>
      </c>
      <c r="F12" s="8">
        <v>1</v>
      </c>
      <c r="G12" s="9"/>
      <c r="H12" s="426"/>
    </row>
    <row r="13" spans="1:8" s="427" customFormat="1" ht="15.75" x14ac:dyDescent="0.2">
      <c r="A13" s="2" t="s">
        <v>2325</v>
      </c>
      <c r="B13" s="3" t="s">
        <v>2326</v>
      </c>
      <c r="C13" s="2"/>
      <c r="D13" s="2"/>
      <c r="E13" s="2"/>
      <c r="F13" s="4"/>
      <c r="G13" s="5"/>
      <c r="H13" s="153"/>
    </row>
    <row r="14" spans="1:8" ht="31.5" x14ac:dyDescent="0.25">
      <c r="A14" s="6" t="s">
        <v>2327</v>
      </c>
      <c r="B14" s="7" t="s">
        <v>2328</v>
      </c>
      <c r="C14" s="6" t="s">
        <v>248</v>
      </c>
      <c r="D14" s="6" t="s">
        <v>4792</v>
      </c>
      <c r="E14" s="6" t="s">
        <v>4837</v>
      </c>
      <c r="F14" s="8">
        <v>274</v>
      </c>
      <c r="G14" s="9"/>
      <c r="H14" s="426"/>
    </row>
    <row r="15" spans="1:8" ht="78.75" x14ac:dyDescent="0.25">
      <c r="A15" s="6" t="s">
        <v>2329</v>
      </c>
      <c r="B15" s="7" t="s">
        <v>2330</v>
      </c>
      <c r="C15" s="6" t="s">
        <v>248</v>
      </c>
      <c r="D15" s="6" t="s">
        <v>4793</v>
      </c>
      <c r="E15" s="6" t="s">
        <v>4837</v>
      </c>
      <c r="F15" s="8">
        <v>63</v>
      </c>
      <c r="G15" s="9"/>
      <c r="H15" s="426"/>
    </row>
    <row r="16" spans="1:8" ht="63" x14ac:dyDescent="0.25">
      <c r="A16" s="6" t="s">
        <v>2331</v>
      </c>
      <c r="B16" s="7" t="s">
        <v>2332</v>
      </c>
      <c r="C16" s="6" t="s">
        <v>1867</v>
      </c>
      <c r="D16" s="6" t="s">
        <v>4794</v>
      </c>
      <c r="E16" s="6" t="s">
        <v>4837</v>
      </c>
      <c r="F16" s="8">
        <v>3</v>
      </c>
      <c r="G16" s="9"/>
      <c r="H16" s="426"/>
    </row>
    <row r="17" spans="1:8" ht="78.75" x14ac:dyDescent="0.25">
      <c r="A17" s="6" t="s">
        <v>2333</v>
      </c>
      <c r="B17" s="7" t="s">
        <v>2334</v>
      </c>
      <c r="C17" s="6" t="s">
        <v>1867</v>
      </c>
      <c r="D17" s="6" t="s">
        <v>4795</v>
      </c>
      <c r="E17" s="6" t="s">
        <v>4837</v>
      </c>
      <c r="F17" s="8">
        <v>1</v>
      </c>
      <c r="G17" s="9"/>
      <c r="H17" s="426"/>
    </row>
    <row r="18" spans="1:8" ht="31.5" x14ac:dyDescent="0.25">
      <c r="A18" s="6" t="s">
        <v>2335</v>
      </c>
      <c r="B18" s="7" t="s">
        <v>2336</v>
      </c>
      <c r="C18" s="6" t="s">
        <v>1867</v>
      </c>
      <c r="D18" s="6" t="s">
        <v>4796</v>
      </c>
      <c r="E18" s="6" t="s">
        <v>4736</v>
      </c>
      <c r="F18" s="8">
        <v>3</v>
      </c>
      <c r="G18" s="9"/>
      <c r="H18" s="426"/>
    </row>
    <row r="19" spans="1:8" ht="15.75" x14ac:dyDescent="0.25">
      <c r="A19" s="6" t="s">
        <v>2337</v>
      </c>
      <c r="B19" s="7" t="s">
        <v>2338</v>
      </c>
      <c r="C19" s="6" t="s">
        <v>1867</v>
      </c>
      <c r="D19" s="6" t="s">
        <v>4740</v>
      </c>
      <c r="E19" s="6" t="s">
        <v>4736</v>
      </c>
      <c r="F19" s="8">
        <v>12</v>
      </c>
      <c r="G19" s="9"/>
      <c r="H19" s="426"/>
    </row>
    <row r="20" spans="1:8" ht="47.25" x14ac:dyDescent="0.25">
      <c r="A20" s="6" t="s">
        <v>2339</v>
      </c>
      <c r="B20" s="7" t="s">
        <v>2340</v>
      </c>
      <c r="C20" s="6" t="s">
        <v>1867</v>
      </c>
      <c r="D20" s="6" t="s">
        <v>4797</v>
      </c>
      <c r="E20" s="6" t="s">
        <v>4837</v>
      </c>
      <c r="F20" s="8">
        <v>1</v>
      </c>
      <c r="G20" s="9"/>
      <c r="H20" s="426"/>
    </row>
    <row r="21" spans="1:8" ht="63" x14ac:dyDescent="0.25">
      <c r="A21" s="6" t="s">
        <v>2341</v>
      </c>
      <c r="B21" s="7" t="s">
        <v>2342</v>
      </c>
      <c r="C21" s="6" t="s">
        <v>1867</v>
      </c>
      <c r="D21" s="6" t="s">
        <v>4794</v>
      </c>
      <c r="E21" s="6" t="s">
        <v>4837</v>
      </c>
      <c r="F21" s="8">
        <v>2</v>
      </c>
      <c r="G21" s="9"/>
      <c r="H21" s="426"/>
    </row>
    <row r="22" spans="1:8" ht="78.75" x14ac:dyDescent="0.25">
      <c r="A22" s="6" t="s">
        <v>2343</v>
      </c>
      <c r="B22" s="7" t="s">
        <v>2344</v>
      </c>
      <c r="C22" s="6" t="s">
        <v>1867</v>
      </c>
      <c r="D22" s="6" t="s">
        <v>4795</v>
      </c>
      <c r="E22" s="6" t="s">
        <v>4837</v>
      </c>
      <c r="F22" s="8">
        <v>1</v>
      </c>
      <c r="G22" s="9"/>
      <c r="H22" s="426"/>
    </row>
    <row r="23" spans="1:8" ht="31.5" x14ac:dyDescent="0.25">
      <c r="A23" s="6" t="s">
        <v>2345</v>
      </c>
      <c r="B23" s="7" t="s">
        <v>2346</v>
      </c>
      <c r="C23" s="6" t="s">
        <v>1867</v>
      </c>
      <c r="D23" s="6" t="s">
        <v>4796</v>
      </c>
      <c r="E23" s="6" t="s">
        <v>4736</v>
      </c>
      <c r="F23" s="8">
        <v>2</v>
      </c>
      <c r="G23" s="9"/>
      <c r="H23" s="426"/>
    </row>
    <row r="24" spans="1:8" ht="15.75" x14ac:dyDescent="0.25">
      <c r="A24" s="6" t="s">
        <v>2347</v>
      </c>
      <c r="B24" s="7" t="s">
        <v>2348</v>
      </c>
      <c r="C24" s="6" t="s">
        <v>1867</v>
      </c>
      <c r="D24" s="6" t="s">
        <v>4798</v>
      </c>
      <c r="E24" s="6" t="s">
        <v>4736</v>
      </c>
      <c r="F24" s="8">
        <v>13</v>
      </c>
      <c r="G24" s="9"/>
      <c r="H24" s="426"/>
    </row>
    <row r="25" spans="1:8" ht="15.75" x14ac:dyDescent="0.25">
      <c r="A25" s="6" t="s">
        <v>2349</v>
      </c>
      <c r="B25" s="7" t="s">
        <v>2350</v>
      </c>
      <c r="C25" s="6" t="s">
        <v>1867</v>
      </c>
      <c r="D25" s="6"/>
      <c r="E25" s="6" t="s">
        <v>4741</v>
      </c>
      <c r="F25" s="8">
        <v>1</v>
      </c>
      <c r="G25" s="9"/>
      <c r="H25" s="426"/>
    </row>
    <row r="26" spans="1:8" ht="15.75" x14ac:dyDescent="0.25">
      <c r="A26" s="6" t="s">
        <v>2351</v>
      </c>
      <c r="B26" s="7" t="s">
        <v>2352</v>
      </c>
      <c r="C26" s="6" t="s">
        <v>1867</v>
      </c>
      <c r="D26" s="6"/>
      <c r="E26" s="6" t="s">
        <v>4741</v>
      </c>
      <c r="F26" s="8">
        <v>5</v>
      </c>
      <c r="G26" s="9"/>
      <c r="H26" s="426"/>
    </row>
    <row r="27" spans="1:8" ht="15.75" x14ac:dyDescent="0.25">
      <c r="A27" s="6" t="s">
        <v>2353</v>
      </c>
      <c r="B27" s="7" t="s">
        <v>2354</v>
      </c>
      <c r="C27" s="6" t="s">
        <v>1867</v>
      </c>
      <c r="D27" s="6"/>
      <c r="E27" s="6" t="s">
        <v>4741</v>
      </c>
      <c r="F27" s="8">
        <v>2</v>
      </c>
      <c r="G27" s="9"/>
      <c r="H27" s="426"/>
    </row>
    <row r="28" spans="1:8" ht="15.75" x14ac:dyDescent="0.25">
      <c r="A28" s="6" t="s">
        <v>2355</v>
      </c>
      <c r="B28" s="7" t="s">
        <v>2356</v>
      </c>
      <c r="C28" s="6" t="s">
        <v>1867</v>
      </c>
      <c r="D28" s="6"/>
      <c r="E28" s="6" t="s">
        <v>4741</v>
      </c>
      <c r="F28" s="8">
        <v>4</v>
      </c>
      <c r="G28" s="9"/>
      <c r="H28" s="426"/>
    </row>
    <row r="29" spans="1:8" ht="15.75" x14ac:dyDescent="0.25">
      <c r="A29" s="6" t="s">
        <v>2357</v>
      </c>
      <c r="B29" s="7" t="s">
        <v>2358</v>
      </c>
      <c r="C29" s="6" t="s">
        <v>1867</v>
      </c>
      <c r="D29" s="6"/>
      <c r="E29" s="6" t="s">
        <v>4741</v>
      </c>
      <c r="F29" s="8">
        <v>25</v>
      </c>
      <c r="G29" s="9"/>
      <c r="H29" s="426"/>
    </row>
    <row r="30" spans="1:8" s="427" customFormat="1" ht="31.5" x14ac:dyDescent="0.2">
      <c r="A30" s="2" t="s">
        <v>2359</v>
      </c>
      <c r="B30" s="3" t="s">
        <v>2360</v>
      </c>
      <c r="C30" s="2"/>
      <c r="D30" s="2"/>
      <c r="E30" s="2"/>
      <c r="F30" s="4"/>
      <c r="G30" s="5"/>
      <c r="H30" s="153"/>
    </row>
    <row r="31" spans="1:8" ht="31.5" x14ac:dyDescent="0.25">
      <c r="A31" s="6" t="s">
        <v>2361</v>
      </c>
      <c r="B31" s="7" t="s">
        <v>2362</v>
      </c>
      <c r="C31" s="6" t="s">
        <v>248</v>
      </c>
      <c r="D31" s="6" t="s">
        <v>4799</v>
      </c>
      <c r="E31" s="6" t="s">
        <v>4838</v>
      </c>
      <c r="F31" s="8">
        <v>3</v>
      </c>
      <c r="G31" s="9"/>
      <c r="H31" s="426"/>
    </row>
    <row r="32" spans="1:8" ht="31.5" x14ac:dyDescent="0.25">
      <c r="A32" s="6" t="s">
        <v>2363</v>
      </c>
      <c r="B32" s="7" t="s">
        <v>2364</v>
      </c>
      <c r="C32" s="6" t="s">
        <v>2365</v>
      </c>
      <c r="D32" s="6" t="s">
        <v>4800</v>
      </c>
      <c r="E32" s="6" t="s">
        <v>4839</v>
      </c>
      <c r="F32" s="8">
        <v>1</v>
      </c>
      <c r="G32" s="9"/>
      <c r="H32" s="426"/>
    </row>
    <row r="33" spans="1:8" ht="94.5" x14ac:dyDescent="0.25">
      <c r="A33" s="6" t="s">
        <v>2366</v>
      </c>
      <c r="B33" s="7" t="s">
        <v>2367</v>
      </c>
      <c r="C33" s="6" t="s">
        <v>2368</v>
      </c>
      <c r="D33" s="6" t="s">
        <v>4742</v>
      </c>
      <c r="E33" s="6" t="s">
        <v>4743</v>
      </c>
      <c r="F33" s="8">
        <v>1</v>
      </c>
      <c r="G33" s="9"/>
      <c r="H33" s="426"/>
    </row>
    <row r="34" spans="1:8" ht="31.5" x14ac:dyDescent="0.25">
      <c r="A34" s="6" t="s">
        <v>2369</v>
      </c>
      <c r="B34" s="7" t="s">
        <v>2370</v>
      </c>
      <c r="C34" s="6" t="s">
        <v>248</v>
      </c>
      <c r="D34" s="6" t="s">
        <v>4801</v>
      </c>
      <c r="E34" s="6" t="s">
        <v>4840</v>
      </c>
      <c r="F34" s="8">
        <v>1</v>
      </c>
      <c r="G34" s="9"/>
      <c r="H34" s="426"/>
    </row>
    <row r="35" spans="1:8" s="427" customFormat="1" ht="31.5" x14ac:dyDescent="0.2">
      <c r="A35" s="2" t="s">
        <v>2371</v>
      </c>
      <c r="B35" s="3" t="s">
        <v>2372</v>
      </c>
      <c r="C35" s="2"/>
      <c r="D35" s="2"/>
      <c r="E35" s="2"/>
      <c r="F35" s="4"/>
      <c r="G35" s="5"/>
      <c r="H35" s="153"/>
    </row>
    <row r="36" spans="1:8" ht="47.25" x14ac:dyDescent="0.25">
      <c r="A36" s="6" t="s">
        <v>2373</v>
      </c>
      <c r="B36" s="7" t="s">
        <v>2374</v>
      </c>
      <c r="C36" s="6" t="s">
        <v>248</v>
      </c>
      <c r="D36" s="6" t="s">
        <v>4802</v>
      </c>
      <c r="E36" s="6" t="s">
        <v>4744</v>
      </c>
      <c r="F36" s="8">
        <v>104</v>
      </c>
      <c r="G36" s="9"/>
      <c r="H36" s="426"/>
    </row>
    <row r="37" spans="1:8" ht="63" x14ac:dyDescent="0.25">
      <c r="A37" s="6" t="s">
        <v>2375</v>
      </c>
      <c r="B37" s="7" t="s">
        <v>2376</v>
      </c>
      <c r="C37" s="6" t="s">
        <v>248</v>
      </c>
      <c r="D37" s="6" t="s">
        <v>4803</v>
      </c>
      <c r="E37" s="6" t="s">
        <v>4744</v>
      </c>
      <c r="F37" s="8">
        <v>8</v>
      </c>
      <c r="G37" s="9"/>
      <c r="H37" s="426"/>
    </row>
    <row r="38" spans="1:8" ht="63" x14ac:dyDescent="0.25">
      <c r="A38" s="6" t="s">
        <v>2377</v>
      </c>
      <c r="B38" s="7" t="s">
        <v>2378</v>
      </c>
      <c r="C38" s="6" t="s">
        <v>248</v>
      </c>
      <c r="D38" s="6" t="s">
        <v>4804</v>
      </c>
      <c r="E38" s="6"/>
      <c r="F38" s="8">
        <v>12</v>
      </c>
      <c r="G38" s="9"/>
      <c r="H38" s="426"/>
    </row>
    <row r="39" spans="1:8" ht="47.25" x14ac:dyDescent="0.25">
      <c r="A39" s="6" t="s">
        <v>2379</v>
      </c>
      <c r="B39" s="7" t="s">
        <v>2380</v>
      </c>
      <c r="C39" s="6" t="s">
        <v>248</v>
      </c>
      <c r="D39" s="6" t="s">
        <v>4805</v>
      </c>
      <c r="E39" s="6"/>
      <c r="F39" s="8">
        <v>6</v>
      </c>
      <c r="G39" s="9"/>
      <c r="H39" s="426"/>
    </row>
    <row r="40" spans="1:8" ht="94.5" x14ac:dyDescent="0.25">
      <c r="A40" s="6" t="s">
        <v>2381</v>
      </c>
      <c r="B40" s="7" t="s">
        <v>2382</v>
      </c>
      <c r="C40" s="6" t="s">
        <v>1867</v>
      </c>
      <c r="D40" s="6" t="s">
        <v>4806</v>
      </c>
      <c r="E40" s="6"/>
      <c r="F40" s="8">
        <v>6</v>
      </c>
      <c r="G40" s="9"/>
      <c r="H40" s="426"/>
    </row>
    <row r="41" spans="1:8" ht="31.5" x14ac:dyDescent="0.25">
      <c r="A41" s="6" t="s">
        <v>2383</v>
      </c>
      <c r="B41" s="7" t="s">
        <v>2384</v>
      </c>
      <c r="C41" s="6" t="s">
        <v>1867</v>
      </c>
      <c r="D41" s="6" t="s">
        <v>4807</v>
      </c>
      <c r="E41" s="6"/>
      <c r="F41" s="8">
        <v>6</v>
      </c>
      <c r="G41" s="9"/>
      <c r="H41" s="426"/>
    </row>
    <row r="42" spans="1:8" ht="15.75" x14ac:dyDescent="0.25">
      <c r="A42" s="6" t="s">
        <v>2385</v>
      </c>
      <c r="B42" s="7" t="s">
        <v>2386</v>
      </c>
      <c r="C42" s="6" t="s">
        <v>248</v>
      </c>
      <c r="D42" s="6"/>
      <c r="E42" s="6" t="s">
        <v>4737</v>
      </c>
      <c r="F42" s="8">
        <v>1</v>
      </c>
      <c r="G42" s="9"/>
      <c r="H42" s="426"/>
    </row>
    <row r="43" spans="1:8" ht="47.25" x14ac:dyDescent="0.25">
      <c r="A43" s="6" t="s">
        <v>2387</v>
      </c>
      <c r="B43" s="7" t="s">
        <v>2388</v>
      </c>
      <c r="C43" s="6" t="s">
        <v>248</v>
      </c>
      <c r="D43" s="6" t="s">
        <v>4808</v>
      </c>
      <c r="E43" s="6"/>
      <c r="F43" s="8">
        <v>1</v>
      </c>
      <c r="G43" s="9"/>
      <c r="H43" s="426"/>
    </row>
    <row r="44" spans="1:8" s="427" customFormat="1" ht="31.5" x14ac:dyDescent="0.2">
      <c r="A44" s="2" t="s">
        <v>2389</v>
      </c>
      <c r="B44" s="3" t="s">
        <v>2390</v>
      </c>
      <c r="C44" s="2"/>
      <c r="D44" s="2"/>
      <c r="E44" s="2"/>
      <c r="F44" s="4"/>
      <c r="G44" s="5"/>
      <c r="H44" s="153"/>
    </row>
    <row r="45" spans="1:8" ht="15.75" x14ac:dyDescent="0.25">
      <c r="A45" s="6" t="s">
        <v>2391</v>
      </c>
      <c r="B45" s="7" t="s">
        <v>2392</v>
      </c>
      <c r="C45" s="6" t="s">
        <v>1867</v>
      </c>
      <c r="D45" s="6" t="s">
        <v>4745</v>
      </c>
      <c r="E45" s="6" t="s">
        <v>4736</v>
      </c>
      <c r="F45" s="8">
        <v>1</v>
      </c>
      <c r="G45" s="9"/>
      <c r="H45" s="426"/>
    </row>
    <row r="46" spans="1:8" ht="47.25" x14ac:dyDescent="0.25">
      <c r="A46" s="6" t="s">
        <v>2393</v>
      </c>
      <c r="B46" s="7" t="s">
        <v>2394</v>
      </c>
      <c r="C46" s="6" t="s">
        <v>1867</v>
      </c>
      <c r="D46" s="6" t="s">
        <v>4746</v>
      </c>
      <c r="E46" s="6" t="s">
        <v>4736</v>
      </c>
      <c r="F46" s="8">
        <v>6</v>
      </c>
      <c r="G46" s="9"/>
      <c r="H46" s="426"/>
    </row>
    <row r="47" spans="1:8" ht="15.75" x14ac:dyDescent="0.25">
      <c r="A47" s="6" t="s">
        <v>2395</v>
      </c>
      <c r="B47" s="7" t="s">
        <v>2396</v>
      </c>
      <c r="C47" s="6" t="s">
        <v>1867</v>
      </c>
      <c r="D47" s="6" t="s">
        <v>4745</v>
      </c>
      <c r="E47" s="6" t="s">
        <v>4736</v>
      </c>
      <c r="F47" s="8">
        <v>3</v>
      </c>
      <c r="G47" s="9"/>
      <c r="H47" s="426"/>
    </row>
    <row r="48" spans="1:8" s="427" customFormat="1" ht="31.5" x14ac:dyDescent="0.2">
      <c r="A48" s="2" t="s">
        <v>2397</v>
      </c>
      <c r="B48" s="3" t="s">
        <v>2398</v>
      </c>
      <c r="C48" s="2"/>
      <c r="D48" s="2"/>
      <c r="E48" s="2"/>
      <c r="F48" s="4"/>
      <c r="G48" s="5"/>
      <c r="H48" s="153"/>
    </row>
    <row r="49" spans="1:8" ht="47.25" x14ac:dyDescent="0.25">
      <c r="A49" s="6" t="s">
        <v>2399</v>
      </c>
      <c r="B49" s="7" t="s">
        <v>2400</v>
      </c>
      <c r="C49" s="6" t="s">
        <v>1867</v>
      </c>
      <c r="D49" s="6" t="s">
        <v>4809</v>
      </c>
      <c r="E49" s="6"/>
      <c r="F49" s="8">
        <v>2</v>
      </c>
      <c r="G49" s="9"/>
      <c r="H49" s="426"/>
    </row>
    <row r="50" spans="1:8" ht="31.5" x14ac:dyDescent="0.25">
      <c r="A50" s="6" t="s">
        <v>2401</v>
      </c>
      <c r="B50" s="7" t="s">
        <v>2402</v>
      </c>
      <c r="C50" s="6" t="s">
        <v>1867</v>
      </c>
      <c r="D50" s="6" t="s">
        <v>4810</v>
      </c>
      <c r="E50" s="6"/>
      <c r="F50" s="8">
        <v>2</v>
      </c>
      <c r="G50" s="9"/>
      <c r="H50" s="426"/>
    </row>
    <row r="51" spans="1:8" ht="47.25" x14ac:dyDescent="0.25">
      <c r="A51" s="6" t="s">
        <v>2403</v>
      </c>
      <c r="B51" s="7" t="s">
        <v>2404</v>
      </c>
      <c r="C51" s="6" t="s">
        <v>1867</v>
      </c>
      <c r="D51" s="6" t="s">
        <v>4811</v>
      </c>
      <c r="E51" s="6"/>
      <c r="F51" s="8">
        <v>1</v>
      </c>
      <c r="G51" s="9"/>
      <c r="H51" s="426"/>
    </row>
    <row r="52" spans="1:8" ht="47.25" x14ac:dyDescent="0.25">
      <c r="A52" s="6" t="s">
        <v>2405</v>
      </c>
      <c r="B52" s="7" t="s">
        <v>2406</v>
      </c>
      <c r="C52" s="6" t="s">
        <v>1867</v>
      </c>
      <c r="D52" s="6" t="s">
        <v>4812</v>
      </c>
      <c r="E52" s="6"/>
      <c r="F52" s="8">
        <v>1</v>
      </c>
      <c r="G52" s="9"/>
      <c r="H52" s="426"/>
    </row>
    <row r="53" spans="1:8" ht="15.75" x14ac:dyDescent="0.25">
      <c r="A53" s="6" t="s">
        <v>2407</v>
      </c>
      <c r="B53" s="7" t="s">
        <v>2408</v>
      </c>
      <c r="C53" s="6" t="s">
        <v>1867</v>
      </c>
      <c r="D53" s="6" t="s">
        <v>4747</v>
      </c>
      <c r="E53" s="6" t="s">
        <v>4748</v>
      </c>
      <c r="F53" s="8">
        <v>1</v>
      </c>
      <c r="G53" s="9"/>
      <c r="H53" s="426"/>
    </row>
    <row r="54" spans="1:8" ht="63" x14ac:dyDescent="0.25">
      <c r="A54" s="6" t="s">
        <v>2409</v>
      </c>
      <c r="B54" s="7" t="s">
        <v>2410</v>
      </c>
      <c r="C54" s="6" t="s">
        <v>1867</v>
      </c>
      <c r="D54" s="6" t="s">
        <v>4813</v>
      </c>
      <c r="E54" s="6"/>
      <c r="F54" s="8">
        <v>4</v>
      </c>
      <c r="G54" s="9"/>
      <c r="H54" s="426"/>
    </row>
    <row r="55" spans="1:8" ht="63" x14ac:dyDescent="0.25">
      <c r="A55" s="6" t="s">
        <v>2411</v>
      </c>
      <c r="B55" s="7" t="s">
        <v>2412</v>
      </c>
      <c r="C55" s="6" t="s">
        <v>1867</v>
      </c>
      <c r="D55" s="6" t="s">
        <v>4814</v>
      </c>
      <c r="E55" s="6"/>
      <c r="F55" s="8">
        <v>252</v>
      </c>
      <c r="G55" s="9"/>
      <c r="H55" s="426"/>
    </row>
    <row r="56" spans="1:8" ht="47.25" x14ac:dyDescent="0.25">
      <c r="A56" s="6" t="s">
        <v>2413</v>
      </c>
      <c r="B56" s="7" t="s">
        <v>2414</v>
      </c>
      <c r="C56" s="6" t="s">
        <v>1867</v>
      </c>
      <c r="D56" s="6" t="s">
        <v>4815</v>
      </c>
      <c r="E56" s="6"/>
      <c r="F56" s="8">
        <v>26</v>
      </c>
      <c r="G56" s="9"/>
      <c r="H56" s="426"/>
    </row>
    <row r="57" spans="1:8" ht="47.25" x14ac:dyDescent="0.25">
      <c r="A57" s="6" t="s">
        <v>2415</v>
      </c>
      <c r="B57" s="7" t="s">
        <v>2416</v>
      </c>
      <c r="C57" s="6" t="s">
        <v>1867</v>
      </c>
      <c r="D57" s="6" t="s">
        <v>4816</v>
      </c>
      <c r="E57" s="6"/>
      <c r="F57" s="8">
        <v>4</v>
      </c>
      <c r="G57" s="9"/>
      <c r="H57" s="426"/>
    </row>
    <row r="58" spans="1:8" s="427" customFormat="1" ht="31.5" x14ac:dyDescent="0.2">
      <c r="A58" s="2" t="s">
        <v>2417</v>
      </c>
      <c r="B58" s="3" t="s">
        <v>2418</v>
      </c>
      <c r="C58" s="2"/>
      <c r="D58" s="2"/>
      <c r="E58" s="2"/>
      <c r="F58" s="4"/>
      <c r="G58" s="5"/>
      <c r="H58" s="153"/>
    </row>
    <row r="59" spans="1:8" ht="31.5" x14ac:dyDescent="0.25">
      <c r="A59" s="6" t="s">
        <v>2419</v>
      </c>
      <c r="B59" s="7" t="s">
        <v>2420</v>
      </c>
      <c r="C59" s="6" t="s">
        <v>1867</v>
      </c>
      <c r="D59" s="6" t="s">
        <v>4749</v>
      </c>
      <c r="E59" s="6" t="s">
        <v>4750</v>
      </c>
      <c r="F59" s="8">
        <v>114</v>
      </c>
      <c r="G59" s="9"/>
      <c r="H59" s="426"/>
    </row>
    <row r="60" spans="1:8" ht="31.5" x14ac:dyDescent="0.25">
      <c r="A60" s="6" t="s">
        <v>2421</v>
      </c>
      <c r="B60" s="7" t="s">
        <v>2422</v>
      </c>
      <c r="C60" s="6" t="s">
        <v>1867</v>
      </c>
      <c r="D60" s="6" t="s">
        <v>4751</v>
      </c>
      <c r="E60" s="6" t="s">
        <v>4750</v>
      </c>
      <c r="F60" s="8">
        <v>8</v>
      </c>
      <c r="G60" s="9"/>
      <c r="H60" s="426"/>
    </row>
    <row r="61" spans="1:8" ht="15.75" x14ac:dyDescent="0.25">
      <c r="A61" s="6" t="s">
        <v>2423</v>
      </c>
      <c r="B61" s="7" t="s">
        <v>2424</v>
      </c>
      <c r="C61" s="6" t="s">
        <v>248</v>
      </c>
      <c r="D61" s="6" t="s">
        <v>4752</v>
      </c>
      <c r="E61" s="6" t="s">
        <v>4750</v>
      </c>
      <c r="F61" s="8">
        <v>1</v>
      </c>
      <c r="G61" s="9"/>
      <c r="H61" s="426"/>
    </row>
    <row r="62" spans="1:8" ht="15.75" x14ac:dyDescent="0.25">
      <c r="A62" s="6" t="s">
        <v>2425</v>
      </c>
      <c r="B62" s="7" t="s">
        <v>2426</v>
      </c>
      <c r="C62" s="6" t="s">
        <v>248</v>
      </c>
      <c r="D62" s="6" t="s">
        <v>4753</v>
      </c>
      <c r="E62" s="6" t="s">
        <v>4750</v>
      </c>
      <c r="F62" s="8">
        <v>2</v>
      </c>
      <c r="G62" s="9"/>
      <c r="H62" s="426"/>
    </row>
    <row r="63" spans="1:8" ht="15.75" x14ac:dyDescent="0.25">
      <c r="A63" s="6" t="s">
        <v>2427</v>
      </c>
      <c r="B63" s="7" t="s">
        <v>2428</v>
      </c>
      <c r="C63" s="6" t="s">
        <v>248</v>
      </c>
      <c r="D63" s="6" t="s">
        <v>4754</v>
      </c>
      <c r="E63" s="6" t="s">
        <v>4750</v>
      </c>
      <c r="F63" s="8">
        <v>15</v>
      </c>
      <c r="G63" s="9"/>
      <c r="H63" s="426"/>
    </row>
    <row r="64" spans="1:8" ht="15.75" x14ac:dyDescent="0.25">
      <c r="A64" s="6" t="s">
        <v>2429</v>
      </c>
      <c r="B64" s="7" t="s">
        <v>2430</v>
      </c>
      <c r="C64" s="6" t="s">
        <v>248</v>
      </c>
      <c r="D64" s="6" t="s">
        <v>4755</v>
      </c>
      <c r="E64" s="6" t="s">
        <v>4750</v>
      </c>
      <c r="F64" s="8">
        <v>30</v>
      </c>
      <c r="G64" s="9"/>
      <c r="H64" s="426"/>
    </row>
    <row r="65" spans="1:8" s="427" customFormat="1" ht="15.75" x14ac:dyDescent="0.2">
      <c r="A65" s="2" t="s">
        <v>2431</v>
      </c>
      <c r="B65" s="3" t="s">
        <v>2432</v>
      </c>
      <c r="C65" s="2"/>
      <c r="D65" s="2"/>
      <c r="E65" s="2"/>
      <c r="F65" s="4"/>
      <c r="G65" s="5"/>
      <c r="H65" s="153"/>
    </row>
    <row r="66" spans="1:8" ht="15.75" x14ac:dyDescent="0.25">
      <c r="A66" s="6" t="s">
        <v>2433</v>
      </c>
      <c r="B66" s="7" t="s">
        <v>2434</v>
      </c>
      <c r="C66" s="6" t="s">
        <v>248</v>
      </c>
      <c r="D66" s="6" t="s">
        <v>4756</v>
      </c>
      <c r="E66" s="6" t="s">
        <v>4757</v>
      </c>
      <c r="F66" s="8">
        <v>2</v>
      </c>
      <c r="G66" s="9"/>
      <c r="H66" s="426"/>
    </row>
    <row r="67" spans="1:8" ht="15.75" x14ac:dyDescent="0.25">
      <c r="A67" s="6" t="s">
        <v>2435</v>
      </c>
      <c r="B67" s="7" t="s">
        <v>2436</v>
      </c>
      <c r="C67" s="6" t="s">
        <v>248</v>
      </c>
      <c r="D67" s="6" t="s">
        <v>4758</v>
      </c>
      <c r="E67" s="6" t="s">
        <v>4757</v>
      </c>
      <c r="F67" s="8">
        <v>2</v>
      </c>
      <c r="G67" s="9"/>
      <c r="H67" s="426"/>
    </row>
    <row r="68" spans="1:8" ht="31.5" x14ac:dyDescent="0.25">
      <c r="A68" s="6" t="s">
        <v>2437</v>
      </c>
      <c r="B68" s="7" t="s">
        <v>2438</v>
      </c>
      <c r="C68" s="6" t="s">
        <v>248</v>
      </c>
      <c r="D68" s="6" t="s">
        <v>4817</v>
      </c>
      <c r="E68" s="6" t="s">
        <v>4759</v>
      </c>
      <c r="F68" s="8">
        <v>2</v>
      </c>
      <c r="G68" s="9"/>
      <c r="H68" s="426"/>
    </row>
    <row r="69" spans="1:8" ht="31.5" x14ac:dyDescent="0.25">
      <c r="A69" s="6" t="s">
        <v>2439</v>
      </c>
      <c r="B69" s="7" t="s">
        <v>2440</v>
      </c>
      <c r="C69" s="6" t="s">
        <v>248</v>
      </c>
      <c r="D69" s="6" t="s">
        <v>4818</v>
      </c>
      <c r="E69" s="6"/>
      <c r="F69" s="8">
        <v>2</v>
      </c>
      <c r="G69" s="9"/>
      <c r="H69" s="426"/>
    </row>
    <row r="70" spans="1:8" ht="15.75" x14ac:dyDescent="0.25">
      <c r="A70" s="6" t="s">
        <v>2441</v>
      </c>
      <c r="B70" s="7" t="s">
        <v>2442</v>
      </c>
      <c r="C70" s="6" t="s">
        <v>248</v>
      </c>
      <c r="D70" s="6"/>
      <c r="E70" s="6" t="s">
        <v>4760</v>
      </c>
      <c r="F70" s="8">
        <v>2</v>
      </c>
      <c r="G70" s="9"/>
      <c r="H70" s="426"/>
    </row>
    <row r="71" spans="1:8" ht="15.75" x14ac:dyDescent="0.25">
      <c r="A71" s="6" t="s">
        <v>2443</v>
      </c>
      <c r="B71" s="7" t="s">
        <v>2444</v>
      </c>
      <c r="C71" s="6" t="s">
        <v>248</v>
      </c>
      <c r="D71" s="6">
        <v>310171</v>
      </c>
      <c r="E71" s="6" t="s">
        <v>4741</v>
      </c>
      <c r="F71" s="8">
        <v>1</v>
      </c>
      <c r="G71" s="9"/>
      <c r="H71" s="426"/>
    </row>
    <row r="72" spans="1:8" ht="31.5" x14ac:dyDescent="0.25">
      <c r="A72" s="6" t="s">
        <v>2445</v>
      </c>
      <c r="B72" s="7" t="s">
        <v>2446</v>
      </c>
      <c r="C72" s="6" t="s">
        <v>248</v>
      </c>
      <c r="D72" s="6" t="s">
        <v>4761</v>
      </c>
      <c r="E72" s="6" t="s">
        <v>4762</v>
      </c>
      <c r="F72" s="8">
        <v>2</v>
      </c>
      <c r="G72" s="9"/>
      <c r="H72" s="426"/>
    </row>
    <row r="73" spans="1:8" ht="31.5" x14ac:dyDescent="0.25">
      <c r="A73" s="6" t="s">
        <v>2447</v>
      </c>
      <c r="B73" s="7" t="s">
        <v>2448</v>
      </c>
      <c r="C73" s="6" t="s">
        <v>248</v>
      </c>
      <c r="D73" s="6" t="s">
        <v>4761</v>
      </c>
      <c r="E73" s="6" t="s">
        <v>4762</v>
      </c>
      <c r="F73" s="8">
        <v>2</v>
      </c>
      <c r="G73" s="9"/>
      <c r="H73" s="426"/>
    </row>
    <row r="74" spans="1:8" ht="15.75" x14ac:dyDescent="0.25">
      <c r="A74" s="6" t="s">
        <v>2449</v>
      </c>
      <c r="B74" s="7" t="s">
        <v>2450</v>
      </c>
      <c r="C74" s="6" t="s">
        <v>248</v>
      </c>
      <c r="D74" s="6" t="s">
        <v>4763</v>
      </c>
      <c r="E74" s="6" t="s">
        <v>4762</v>
      </c>
      <c r="F74" s="8">
        <v>2</v>
      </c>
      <c r="G74" s="9"/>
      <c r="H74" s="426"/>
    </row>
    <row r="75" spans="1:8" ht="15.75" x14ac:dyDescent="0.25">
      <c r="A75" s="6" t="s">
        <v>2451</v>
      </c>
      <c r="B75" s="7" t="s">
        <v>2452</v>
      </c>
      <c r="C75" s="6" t="s">
        <v>248</v>
      </c>
      <c r="D75" s="6" t="s">
        <v>4764</v>
      </c>
      <c r="E75" s="6" t="s">
        <v>4765</v>
      </c>
      <c r="F75" s="8">
        <v>2</v>
      </c>
      <c r="G75" s="9"/>
      <c r="H75" s="426"/>
    </row>
    <row r="76" spans="1:8" ht="63" x14ac:dyDescent="0.25">
      <c r="A76" s="6" t="s">
        <v>2453</v>
      </c>
      <c r="B76" s="7" t="s">
        <v>2454</v>
      </c>
      <c r="C76" s="6" t="s">
        <v>248</v>
      </c>
      <c r="D76" s="6" t="s">
        <v>4819</v>
      </c>
      <c r="E76" s="6"/>
      <c r="F76" s="8">
        <v>1</v>
      </c>
      <c r="G76" s="9"/>
      <c r="H76" s="426"/>
    </row>
    <row r="77" spans="1:8" ht="63" x14ac:dyDescent="0.25">
      <c r="A77" s="6" t="s">
        <v>2455</v>
      </c>
      <c r="B77" s="7" t="s">
        <v>2456</v>
      </c>
      <c r="C77" s="6" t="s">
        <v>248</v>
      </c>
      <c r="D77" s="6" t="s">
        <v>4820</v>
      </c>
      <c r="E77" s="6"/>
      <c r="F77" s="8">
        <v>4</v>
      </c>
      <c r="G77" s="9"/>
      <c r="H77" s="426"/>
    </row>
    <row r="78" spans="1:8" ht="31.5" x14ac:dyDescent="0.25">
      <c r="A78" s="6" t="s">
        <v>2457</v>
      </c>
      <c r="B78" s="7" t="s">
        <v>2458</v>
      </c>
      <c r="C78" s="6" t="s">
        <v>248</v>
      </c>
      <c r="D78" s="6" t="s">
        <v>4766</v>
      </c>
      <c r="E78" s="6" t="s">
        <v>4737</v>
      </c>
      <c r="F78" s="8">
        <v>1</v>
      </c>
      <c r="G78" s="9"/>
      <c r="H78" s="426"/>
    </row>
    <row r="79" spans="1:8" ht="15.75" x14ac:dyDescent="0.25">
      <c r="A79" s="6" t="s">
        <v>2459</v>
      </c>
      <c r="B79" s="7" t="s">
        <v>1863</v>
      </c>
      <c r="C79" s="6" t="s">
        <v>6</v>
      </c>
      <c r="D79" s="6"/>
      <c r="E79" s="6"/>
      <c r="F79" s="8">
        <v>50</v>
      </c>
      <c r="G79" s="9"/>
      <c r="H79" s="426"/>
    </row>
    <row r="80" spans="1:8" s="427" customFormat="1" ht="31.5" x14ac:dyDescent="0.2">
      <c r="A80" s="2" t="s">
        <v>2460</v>
      </c>
      <c r="B80" s="3" t="s">
        <v>2461</v>
      </c>
      <c r="C80" s="2"/>
      <c r="D80" s="2"/>
      <c r="E80" s="2"/>
      <c r="F80" s="4"/>
      <c r="G80" s="5"/>
      <c r="H80" s="153"/>
    </row>
    <row r="81" spans="1:8" ht="47.25" x14ac:dyDescent="0.25">
      <c r="A81" s="6" t="s">
        <v>2462</v>
      </c>
      <c r="B81" s="7" t="s">
        <v>2463</v>
      </c>
      <c r="C81" s="6" t="s">
        <v>248</v>
      </c>
      <c r="D81" s="6" t="s">
        <v>4821</v>
      </c>
      <c r="E81" s="6"/>
      <c r="F81" s="8">
        <v>1</v>
      </c>
      <c r="G81" s="9"/>
      <c r="H81" s="426"/>
    </row>
    <row r="82" spans="1:8" ht="15.75" x14ac:dyDescent="0.25">
      <c r="A82" s="6" t="s">
        <v>2464</v>
      </c>
      <c r="B82" s="7" t="s">
        <v>2465</v>
      </c>
      <c r="C82" s="6" t="s">
        <v>248</v>
      </c>
      <c r="D82" s="6" t="s">
        <v>4822</v>
      </c>
      <c r="E82" s="6"/>
      <c r="F82" s="8">
        <v>2</v>
      </c>
      <c r="G82" s="9"/>
      <c r="H82" s="426"/>
    </row>
    <row r="83" spans="1:8" ht="31.5" x14ac:dyDescent="0.25">
      <c r="A83" s="6" t="s">
        <v>2466</v>
      </c>
      <c r="B83" s="7" t="s">
        <v>2467</v>
      </c>
      <c r="C83" s="6" t="s">
        <v>248</v>
      </c>
      <c r="D83" s="6" t="s">
        <v>4823</v>
      </c>
      <c r="E83" s="6"/>
      <c r="F83" s="8">
        <v>2</v>
      </c>
      <c r="G83" s="9"/>
      <c r="H83" s="426"/>
    </row>
    <row r="84" spans="1:8" ht="31.5" x14ac:dyDescent="0.25">
      <c r="A84" s="6" t="s">
        <v>2468</v>
      </c>
      <c r="B84" s="7" t="s">
        <v>2469</v>
      </c>
      <c r="C84" s="6" t="s">
        <v>248</v>
      </c>
      <c r="D84" s="6" t="s">
        <v>4824</v>
      </c>
      <c r="E84" s="6"/>
      <c r="F84" s="8">
        <v>2</v>
      </c>
      <c r="G84" s="9"/>
      <c r="H84" s="426"/>
    </row>
    <row r="85" spans="1:8" ht="15.75" x14ac:dyDescent="0.25">
      <c r="A85" s="6" t="s">
        <v>2470</v>
      </c>
      <c r="B85" s="7" t="s">
        <v>2471</v>
      </c>
      <c r="C85" s="6" t="s">
        <v>1867</v>
      </c>
      <c r="D85" s="6" t="s">
        <v>4767</v>
      </c>
      <c r="E85" s="6" t="s">
        <v>4768</v>
      </c>
      <c r="F85" s="8">
        <v>2</v>
      </c>
      <c r="G85" s="9"/>
      <c r="H85" s="426"/>
    </row>
    <row r="86" spans="1:8" s="427" customFormat="1" ht="31.5" x14ac:dyDescent="0.2">
      <c r="A86" s="2" t="s">
        <v>2472</v>
      </c>
      <c r="B86" s="3" t="s">
        <v>2473</v>
      </c>
      <c r="C86" s="2"/>
      <c r="D86" s="2"/>
      <c r="E86" s="2"/>
      <c r="F86" s="4"/>
      <c r="G86" s="5"/>
      <c r="H86" s="153"/>
    </row>
    <row r="87" spans="1:8" ht="47.25" x14ac:dyDescent="0.25">
      <c r="A87" s="6" t="s">
        <v>2474</v>
      </c>
      <c r="B87" s="7" t="s">
        <v>2475</v>
      </c>
      <c r="C87" s="6" t="s">
        <v>248</v>
      </c>
      <c r="D87" s="6" t="s">
        <v>4825</v>
      </c>
      <c r="E87" s="6"/>
      <c r="F87" s="8">
        <v>10</v>
      </c>
      <c r="G87" s="9"/>
      <c r="H87" s="426"/>
    </row>
    <row r="88" spans="1:8" ht="47.25" x14ac:dyDescent="0.25">
      <c r="A88" s="6" t="s">
        <v>2476</v>
      </c>
      <c r="B88" s="7" t="s">
        <v>2477</v>
      </c>
      <c r="C88" s="6" t="s">
        <v>248</v>
      </c>
      <c r="D88" s="6" t="s">
        <v>4826</v>
      </c>
      <c r="E88" s="6"/>
      <c r="F88" s="8">
        <v>4</v>
      </c>
      <c r="G88" s="9"/>
      <c r="H88" s="426"/>
    </row>
    <row r="89" spans="1:8" ht="31.5" x14ac:dyDescent="0.25">
      <c r="A89" s="6" t="s">
        <v>2478</v>
      </c>
      <c r="B89" s="7" t="s">
        <v>2479</v>
      </c>
      <c r="C89" s="6" t="s">
        <v>248</v>
      </c>
      <c r="D89" s="6" t="s">
        <v>4827</v>
      </c>
      <c r="E89" s="6"/>
      <c r="F89" s="8">
        <v>4</v>
      </c>
      <c r="G89" s="9"/>
      <c r="H89" s="426"/>
    </row>
    <row r="90" spans="1:8" ht="47.25" x14ac:dyDescent="0.25">
      <c r="A90" s="6" t="s">
        <v>2480</v>
      </c>
      <c r="B90" s="7" t="s">
        <v>2481</v>
      </c>
      <c r="C90" s="6" t="s">
        <v>248</v>
      </c>
      <c r="D90" s="6" t="s">
        <v>4828</v>
      </c>
      <c r="E90" s="6"/>
      <c r="F90" s="8">
        <v>3</v>
      </c>
      <c r="G90" s="9"/>
      <c r="H90" s="426"/>
    </row>
    <row r="91" spans="1:8" ht="31.5" x14ac:dyDescent="0.25">
      <c r="A91" s="6" t="s">
        <v>2482</v>
      </c>
      <c r="B91" s="7" t="s">
        <v>2483</v>
      </c>
      <c r="C91" s="6" t="s">
        <v>248</v>
      </c>
      <c r="D91" s="6" t="s">
        <v>4829</v>
      </c>
      <c r="E91" s="6"/>
      <c r="F91" s="8">
        <v>1</v>
      </c>
      <c r="G91" s="9"/>
      <c r="H91" s="426"/>
    </row>
    <row r="92" spans="1:8" ht="47.25" x14ac:dyDescent="0.25">
      <c r="A92" s="6" t="s">
        <v>2484</v>
      </c>
      <c r="B92" s="7" t="s">
        <v>2485</v>
      </c>
      <c r="C92" s="6" t="s">
        <v>248</v>
      </c>
      <c r="D92" s="6" t="s">
        <v>4830</v>
      </c>
      <c r="E92" s="6"/>
      <c r="F92" s="8">
        <v>1</v>
      </c>
      <c r="G92" s="9"/>
      <c r="H92" s="426"/>
    </row>
    <row r="93" spans="1:8" ht="15.75" x14ac:dyDescent="0.25">
      <c r="A93" s="6" t="s">
        <v>2486</v>
      </c>
      <c r="B93" s="7" t="s">
        <v>2487</v>
      </c>
      <c r="C93" s="6" t="s">
        <v>248</v>
      </c>
      <c r="D93" s="6" t="s">
        <v>4831</v>
      </c>
      <c r="E93" s="6"/>
      <c r="F93" s="8">
        <v>1</v>
      </c>
      <c r="G93" s="9"/>
      <c r="H93" s="426"/>
    </row>
    <row r="94" spans="1:8" ht="15.75" x14ac:dyDescent="0.25">
      <c r="A94" s="6" t="s">
        <v>2488</v>
      </c>
      <c r="B94" s="7" t="s">
        <v>2489</v>
      </c>
      <c r="C94" s="6" t="s">
        <v>248</v>
      </c>
      <c r="D94" s="6" t="s">
        <v>4832</v>
      </c>
      <c r="E94" s="6"/>
      <c r="F94" s="8">
        <v>1</v>
      </c>
      <c r="G94" s="9"/>
      <c r="H94" s="426"/>
    </row>
    <row r="95" spans="1:8" ht="31.5" x14ac:dyDescent="0.25">
      <c r="A95" s="6" t="s">
        <v>2490</v>
      </c>
      <c r="B95" s="7" t="s">
        <v>2491</v>
      </c>
      <c r="C95" s="6" t="s">
        <v>248</v>
      </c>
      <c r="D95" s="6" t="s">
        <v>4833</v>
      </c>
      <c r="E95" s="6"/>
      <c r="F95" s="8">
        <v>1</v>
      </c>
      <c r="G95" s="9"/>
      <c r="H95" s="426"/>
    </row>
    <row r="96" spans="1:8" ht="31.5" x14ac:dyDescent="0.25">
      <c r="A96" s="6" t="s">
        <v>2492</v>
      </c>
      <c r="B96" s="7" t="s">
        <v>2493</v>
      </c>
      <c r="C96" s="6" t="s">
        <v>248</v>
      </c>
      <c r="D96" s="6" t="s">
        <v>4834</v>
      </c>
      <c r="E96" s="6"/>
      <c r="F96" s="8">
        <v>4</v>
      </c>
      <c r="G96" s="9"/>
      <c r="H96" s="426"/>
    </row>
    <row r="97" spans="1:8" ht="31.5" x14ac:dyDescent="0.25">
      <c r="A97" s="6" t="s">
        <v>2494</v>
      </c>
      <c r="B97" s="7" t="s">
        <v>2495</v>
      </c>
      <c r="C97" s="6" t="s">
        <v>248</v>
      </c>
      <c r="D97" s="6" t="s">
        <v>4835</v>
      </c>
      <c r="E97" s="6"/>
      <c r="F97" s="8">
        <v>1</v>
      </c>
      <c r="G97" s="9"/>
      <c r="H97" s="426"/>
    </row>
    <row r="98" spans="1:8" ht="15.75" x14ac:dyDescent="0.25">
      <c r="A98" s="6" t="s">
        <v>2496</v>
      </c>
      <c r="B98" s="7" t="s">
        <v>2497</v>
      </c>
      <c r="C98" s="6" t="s">
        <v>248</v>
      </c>
      <c r="D98" s="6" t="s">
        <v>4769</v>
      </c>
      <c r="E98" s="6" t="s">
        <v>4770</v>
      </c>
      <c r="F98" s="8">
        <v>3</v>
      </c>
      <c r="G98" s="9"/>
      <c r="H98" s="426"/>
    </row>
    <row r="99" spans="1:8" s="427" customFormat="1" ht="31.5" x14ac:dyDescent="0.2">
      <c r="A99" s="2" t="s">
        <v>2498</v>
      </c>
      <c r="B99" s="3" t="s">
        <v>2499</v>
      </c>
      <c r="C99" s="2"/>
      <c r="D99" s="2"/>
      <c r="E99" s="2"/>
      <c r="F99" s="4"/>
      <c r="G99" s="5"/>
      <c r="H99" s="153"/>
    </row>
    <row r="100" spans="1:8" ht="31.5" x14ac:dyDescent="0.25">
      <c r="A100" s="6" t="s">
        <v>2500</v>
      </c>
      <c r="B100" s="7" t="s">
        <v>2501</v>
      </c>
      <c r="C100" s="6" t="s">
        <v>2502</v>
      </c>
      <c r="D100" s="6" t="s">
        <v>4836</v>
      </c>
      <c r="E100" s="6"/>
      <c r="F100" s="8">
        <v>1</v>
      </c>
      <c r="G100" s="9"/>
      <c r="H100" s="426"/>
    </row>
    <row r="101" spans="1:8" ht="31.5" x14ac:dyDescent="0.25">
      <c r="A101" s="6" t="s">
        <v>2503</v>
      </c>
      <c r="B101" s="7" t="s">
        <v>2504</v>
      </c>
      <c r="C101" s="6" t="s">
        <v>248</v>
      </c>
      <c r="D101" s="6" t="s">
        <v>4771</v>
      </c>
      <c r="E101" s="6"/>
      <c r="F101" s="8">
        <v>2</v>
      </c>
      <c r="G101" s="9"/>
      <c r="H101" s="426"/>
    </row>
    <row r="102" spans="1:8" s="427" customFormat="1" ht="15.75" x14ac:dyDescent="0.2">
      <c r="A102" s="2" t="s">
        <v>2505</v>
      </c>
      <c r="B102" s="3" t="s">
        <v>2506</v>
      </c>
      <c r="C102" s="2"/>
      <c r="D102" s="2"/>
      <c r="E102" s="2"/>
      <c r="F102" s="4"/>
      <c r="G102" s="5"/>
      <c r="H102" s="153"/>
    </row>
    <row r="103" spans="1:8" ht="31.5" x14ac:dyDescent="0.25">
      <c r="A103" s="6" t="s">
        <v>2507</v>
      </c>
      <c r="B103" s="7" t="s">
        <v>2508</v>
      </c>
      <c r="C103" s="6" t="s">
        <v>248</v>
      </c>
      <c r="D103" s="6" t="s">
        <v>4772</v>
      </c>
      <c r="E103" s="6" t="s">
        <v>4773</v>
      </c>
      <c r="F103" s="8">
        <v>20</v>
      </c>
      <c r="G103" s="9"/>
      <c r="H103" s="426"/>
    </row>
    <row r="104" spans="1:8" ht="31.5" x14ac:dyDescent="0.25">
      <c r="A104" s="6" t="s">
        <v>2509</v>
      </c>
      <c r="B104" s="7" t="s">
        <v>2510</v>
      </c>
      <c r="C104" s="6" t="s">
        <v>248</v>
      </c>
      <c r="D104" s="6" t="s">
        <v>4774</v>
      </c>
      <c r="E104" s="6" t="s">
        <v>4775</v>
      </c>
      <c r="F104" s="8">
        <v>16</v>
      </c>
      <c r="G104" s="9"/>
      <c r="H104" s="426"/>
    </row>
    <row r="105" spans="1:8" ht="15.75" x14ac:dyDescent="0.25">
      <c r="A105" s="6" t="s">
        <v>2511</v>
      </c>
      <c r="B105" s="7" t="s">
        <v>2512</v>
      </c>
      <c r="C105" s="6" t="s">
        <v>248</v>
      </c>
      <c r="D105" s="6" t="s">
        <v>4776</v>
      </c>
      <c r="E105" s="6" t="s">
        <v>4777</v>
      </c>
      <c r="F105" s="8">
        <v>1</v>
      </c>
      <c r="G105" s="9"/>
      <c r="H105" s="426"/>
    </row>
    <row r="106" spans="1:8" ht="15.75" x14ac:dyDescent="0.25">
      <c r="A106" s="6" t="s">
        <v>2513</v>
      </c>
      <c r="B106" s="7" t="s">
        <v>2514</v>
      </c>
      <c r="C106" s="6" t="s">
        <v>248</v>
      </c>
      <c r="D106" s="6" t="s">
        <v>4778</v>
      </c>
      <c r="E106" s="6" t="s">
        <v>4779</v>
      </c>
      <c r="F106" s="8">
        <v>1</v>
      </c>
      <c r="G106" s="9"/>
      <c r="H106" s="426"/>
    </row>
    <row r="107" spans="1:8" ht="15.75" x14ac:dyDescent="0.25">
      <c r="A107" s="6" t="s">
        <v>2515</v>
      </c>
      <c r="B107" s="7" t="s">
        <v>2516</v>
      </c>
      <c r="C107" s="6" t="s">
        <v>248</v>
      </c>
      <c r="D107" s="6"/>
      <c r="E107" s="6"/>
      <c r="F107" s="8">
        <v>2</v>
      </c>
      <c r="G107" s="9"/>
      <c r="H107" s="426"/>
    </row>
    <row r="108" spans="1:8" ht="15.75" x14ac:dyDescent="0.25">
      <c r="A108" s="6" t="s">
        <v>2517</v>
      </c>
      <c r="B108" s="7" t="s">
        <v>2518</v>
      </c>
      <c r="C108" s="6" t="s">
        <v>2519</v>
      </c>
      <c r="D108" s="6"/>
      <c r="E108" s="6"/>
      <c r="F108" s="8">
        <v>10</v>
      </c>
      <c r="G108" s="9"/>
      <c r="H108" s="426"/>
    </row>
    <row r="109" spans="1:8" ht="15.75" x14ac:dyDescent="0.25">
      <c r="A109" s="6" t="s">
        <v>2520</v>
      </c>
      <c r="B109" s="7" t="s">
        <v>2521</v>
      </c>
      <c r="C109" s="6" t="s">
        <v>248</v>
      </c>
      <c r="D109" s="6"/>
      <c r="E109" s="6"/>
      <c r="F109" s="8">
        <v>1</v>
      </c>
      <c r="G109" s="9"/>
      <c r="H109" s="426"/>
    </row>
    <row r="110" spans="1:8" ht="15.75" x14ac:dyDescent="0.25">
      <c r="A110" s="6" t="s">
        <v>2522</v>
      </c>
      <c r="B110" s="7" t="s">
        <v>2523</v>
      </c>
      <c r="C110" s="6" t="s">
        <v>248</v>
      </c>
      <c r="D110" s="6" t="s">
        <v>4780</v>
      </c>
      <c r="E110" s="6" t="s">
        <v>4781</v>
      </c>
      <c r="F110" s="8">
        <v>1</v>
      </c>
      <c r="G110" s="9"/>
      <c r="H110" s="426"/>
    </row>
    <row r="111" spans="1:8" ht="15.75" x14ac:dyDescent="0.25">
      <c r="A111" s="6" t="s">
        <v>2524</v>
      </c>
      <c r="B111" s="7" t="s">
        <v>2525</v>
      </c>
      <c r="C111" s="6" t="s">
        <v>1867</v>
      </c>
      <c r="D111" s="6"/>
      <c r="E111" s="6"/>
      <c r="F111" s="8">
        <v>160</v>
      </c>
      <c r="G111" s="9"/>
      <c r="H111" s="426"/>
    </row>
    <row r="112" spans="1:8" s="427" customFormat="1" ht="15.75" x14ac:dyDescent="0.2">
      <c r="A112" s="2" t="s">
        <v>2526</v>
      </c>
      <c r="B112" s="3" t="s">
        <v>2527</v>
      </c>
      <c r="C112" s="2"/>
      <c r="D112" s="2"/>
      <c r="E112" s="2"/>
      <c r="F112" s="4"/>
      <c r="G112" s="5"/>
      <c r="H112" s="153"/>
    </row>
    <row r="113" spans="1:8" ht="47.25" x14ac:dyDescent="0.25">
      <c r="A113" s="6" t="s">
        <v>2528</v>
      </c>
      <c r="B113" s="7" t="s">
        <v>2529</v>
      </c>
      <c r="C113" s="6" t="s">
        <v>248</v>
      </c>
      <c r="D113" s="6"/>
      <c r="E113" s="6"/>
      <c r="F113" s="8">
        <v>3</v>
      </c>
      <c r="G113" s="9"/>
      <c r="H113" s="426"/>
    </row>
    <row r="114" spans="1:8" ht="31.5" x14ac:dyDescent="0.25">
      <c r="A114" s="6" t="s">
        <v>2530</v>
      </c>
      <c r="B114" s="7" t="s">
        <v>2531</v>
      </c>
      <c r="C114" s="6" t="s">
        <v>2532</v>
      </c>
      <c r="D114" s="6"/>
      <c r="E114" s="6"/>
      <c r="F114" s="8">
        <v>1</v>
      </c>
      <c r="G114" s="9"/>
      <c r="H114" s="426"/>
    </row>
    <row r="115" spans="1:8" ht="31.5" x14ac:dyDescent="0.25">
      <c r="A115" s="6" t="s">
        <v>2533</v>
      </c>
      <c r="B115" s="7" t="s">
        <v>2534</v>
      </c>
      <c r="C115" s="6" t="s">
        <v>2535</v>
      </c>
      <c r="D115" s="6"/>
      <c r="E115" s="6"/>
      <c r="F115" s="8">
        <v>24</v>
      </c>
      <c r="G115" s="9"/>
      <c r="H115" s="426"/>
    </row>
    <row r="116" spans="1:8" ht="15.75" x14ac:dyDescent="0.25">
      <c r="A116" s="6" t="s">
        <v>2536</v>
      </c>
      <c r="B116" s="7" t="s">
        <v>2537</v>
      </c>
      <c r="C116" s="6" t="s">
        <v>2532</v>
      </c>
      <c r="D116" s="6"/>
      <c r="E116" s="6"/>
      <c r="F116" s="8">
        <v>1</v>
      </c>
      <c r="G116" s="9"/>
      <c r="H116" s="426"/>
    </row>
    <row r="117" spans="1:8" ht="15.75" x14ac:dyDescent="0.25">
      <c r="A117" s="6" t="s">
        <v>2538</v>
      </c>
      <c r="B117" s="7" t="s">
        <v>2539</v>
      </c>
      <c r="C117" s="6" t="s">
        <v>1867</v>
      </c>
      <c r="D117" s="6"/>
      <c r="E117" s="6"/>
      <c r="F117" s="8">
        <v>2</v>
      </c>
      <c r="G117" s="9"/>
      <c r="H117" s="426"/>
    </row>
    <row r="118" spans="1:8" ht="15.75" x14ac:dyDescent="0.25">
      <c r="A118" s="6" t="s">
        <v>2540</v>
      </c>
      <c r="B118" s="7" t="s">
        <v>2541</v>
      </c>
      <c r="C118" s="6" t="s">
        <v>1867</v>
      </c>
      <c r="D118" s="6"/>
      <c r="E118" s="6"/>
      <c r="F118" s="8">
        <v>1</v>
      </c>
      <c r="G118" s="9"/>
      <c r="H118" s="426"/>
    </row>
    <row r="119" spans="1:8" s="427" customFormat="1" ht="39" customHeight="1" x14ac:dyDescent="0.2">
      <c r="A119" s="2" t="s">
        <v>2542</v>
      </c>
      <c r="B119" s="3" t="s">
        <v>2543</v>
      </c>
      <c r="C119" s="2"/>
      <c r="D119" s="2"/>
      <c r="E119" s="2"/>
      <c r="F119" s="4"/>
      <c r="G119" s="5"/>
      <c r="H119" s="153"/>
    </row>
    <row r="120" spans="1:8" ht="54.75" customHeight="1" x14ac:dyDescent="0.25">
      <c r="A120" s="6" t="s">
        <v>2544</v>
      </c>
      <c r="B120" s="7" t="s">
        <v>2545</v>
      </c>
      <c r="C120" s="6" t="s">
        <v>248</v>
      </c>
      <c r="D120" s="6" t="s">
        <v>4782</v>
      </c>
      <c r="E120" s="6"/>
      <c r="F120" s="8">
        <v>1</v>
      </c>
      <c r="G120" s="9"/>
      <c r="H120" s="426"/>
    </row>
    <row r="121" spans="1:8" ht="15.75" x14ac:dyDescent="0.25">
      <c r="A121" s="6" t="s">
        <v>2546</v>
      </c>
      <c r="B121" s="7" t="s">
        <v>2547</v>
      </c>
      <c r="C121" s="6" t="s">
        <v>248</v>
      </c>
      <c r="D121" s="6"/>
      <c r="E121" s="6"/>
      <c r="F121" s="8">
        <v>2</v>
      </c>
      <c r="G121" s="9"/>
      <c r="H121" s="426"/>
    </row>
    <row r="122" spans="1:8" ht="15.75" x14ac:dyDescent="0.25">
      <c r="A122" s="6" t="s">
        <v>2548</v>
      </c>
      <c r="B122" s="7" t="s">
        <v>2549</v>
      </c>
      <c r="C122" s="6" t="s">
        <v>248</v>
      </c>
      <c r="D122" s="6"/>
      <c r="E122" s="6"/>
      <c r="F122" s="8">
        <v>2</v>
      </c>
      <c r="G122" s="9"/>
      <c r="H122" s="426"/>
    </row>
    <row r="123" spans="1:8" ht="15.75" x14ac:dyDescent="0.25">
      <c r="A123" s="6" t="s">
        <v>2550</v>
      </c>
      <c r="B123" s="7" t="s">
        <v>2551</v>
      </c>
      <c r="C123" s="6" t="s">
        <v>248</v>
      </c>
      <c r="D123" s="6"/>
      <c r="E123" s="6"/>
      <c r="F123" s="8">
        <v>2</v>
      </c>
      <c r="G123" s="9"/>
      <c r="H123" s="426"/>
    </row>
    <row r="124" spans="1:8" ht="15.75" x14ac:dyDescent="0.25">
      <c r="A124" s="6" t="s">
        <v>2552</v>
      </c>
      <c r="B124" s="7" t="s">
        <v>2525</v>
      </c>
      <c r="C124" s="6" t="s">
        <v>1867</v>
      </c>
      <c r="D124" s="6"/>
      <c r="E124" s="6"/>
      <c r="F124" s="8">
        <v>60</v>
      </c>
      <c r="G124" s="9"/>
      <c r="H124" s="426"/>
    </row>
    <row r="125" spans="1:8" ht="15.75" x14ac:dyDescent="0.25">
      <c r="A125" s="6" t="s">
        <v>2553</v>
      </c>
      <c r="B125" s="7" t="s">
        <v>2554</v>
      </c>
      <c r="C125" s="6" t="s">
        <v>2555</v>
      </c>
      <c r="D125" s="6" t="s">
        <v>4783</v>
      </c>
      <c r="E125" s="6" t="s">
        <v>4784</v>
      </c>
      <c r="F125" s="8">
        <v>20</v>
      </c>
      <c r="G125" s="9"/>
      <c r="H125" s="426"/>
    </row>
    <row r="126" spans="1:8" s="427" customFormat="1" ht="15.75" x14ac:dyDescent="0.2">
      <c r="A126" s="2" t="s">
        <v>2556</v>
      </c>
      <c r="B126" s="3" t="s">
        <v>2557</v>
      </c>
      <c r="C126" s="2"/>
      <c r="D126" s="2"/>
      <c r="E126" s="2"/>
      <c r="F126" s="4"/>
      <c r="G126" s="5"/>
      <c r="H126" s="153"/>
    </row>
    <row r="127" spans="1:8" ht="15.75" x14ac:dyDescent="0.25">
      <c r="A127" s="6" t="s">
        <v>2558</v>
      </c>
      <c r="B127" s="7" t="s">
        <v>2559</v>
      </c>
      <c r="C127" s="6" t="s">
        <v>248</v>
      </c>
      <c r="D127" s="6" t="s">
        <v>4785</v>
      </c>
      <c r="E127" s="6" t="s">
        <v>4786</v>
      </c>
      <c r="F127" s="8">
        <v>2</v>
      </c>
      <c r="G127" s="9"/>
      <c r="H127" s="426"/>
    </row>
    <row r="128" spans="1:8" ht="15.75" x14ac:dyDescent="0.25">
      <c r="A128" s="6" t="s">
        <v>2560</v>
      </c>
      <c r="B128" s="7" t="s">
        <v>2559</v>
      </c>
      <c r="C128" s="6" t="s">
        <v>248</v>
      </c>
      <c r="D128" s="6" t="s">
        <v>4787</v>
      </c>
      <c r="E128" s="6" t="s">
        <v>4786</v>
      </c>
      <c r="F128" s="8">
        <v>3</v>
      </c>
      <c r="G128" s="9"/>
      <c r="H128" s="426"/>
    </row>
    <row r="129" spans="1:8" ht="15.75" x14ac:dyDescent="0.25">
      <c r="A129" s="6" t="s">
        <v>2561</v>
      </c>
      <c r="B129" s="7" t="s">
        <v>2562</v>
      </c>
      <c r="C129" s="6" t="s">
        <v>248</v>
      </c>
      <c r="D129" s="6" t="s">
        <v>4788</v>
      </c>
      <c r="E129" s="6" t="s">
        <v>4786</v>
      </c>
      <c r="F129" s="8">
        <v>5</v>
      </c>
      <c r="G129" s="9"/>
      <c r="H129" s="426"/>
    </row>
    <row r="130" spans="1:8" ht="31.5" x14ac:dyDescent="0.25">
      <c r="A130" s="6" t="s">
        <v>2563</v>
      </c>
      <c r="B130" s="7" t="s">
        <v>2564</v>
      </c>
      <c r="C130" s="6" t="s">
        <v>248</v>
      </c>
      <c r="D130" s="6" t="s">
        <v>4789</v>
      </c>
      <c r="E130" s="6" t="s">
        <v>4786</v>
      </c>
      <c r="F130" s="8">
        <v>1</v>
      </c>
      <c r="G130" s="9"/>
      <c r="H130" s="426"/>
    </row>
    <row r="131" spans="1:8" ht="31.5" x14ac:dyDescent="0.25">
      <c r="A131" s="6" t="s">
        <v>2565</v>
      </c>
      <c r="B131" s="7" t="s">
        <v>2566</v>
      </c>
      <c r="C131" s="6" t="s">
        <v>248</v>
      </c>
      <c r="D131" s="6" t="s">
        <v>4790</v>
      </c>
      <c r="E131" s="6" t="s">
        <v>4791</v>
      </c>
      <c r="F131" s="8">
        <v>2</v>
      </c>
      <c r="G131" s="9"/>
      <c r="H131" s="426"/>
    </row>
    <row r="132" spans="1:8" ht="15.75" x14ac:dyDescent="0.25">
      <c r="A132" s="6" t="s">
        <v>2567</v>
      </c>
      <c r="B132" s="7" t="s">
        <v>2568</v>
      </c>
      <c r="C132" s="6" t="s">
        <v>248</v>
      </c>
      <c r="D132" s="6"/>
      <c r="E132" s="6"/>
      <c r="F132" s="8">
        <v>2</v>
      </c>
      <c r="G132" s="9"/>
      <c r="H132" s="426"/>
    </row>
    <row r="133" spans="1:8" ht="15.75" x14ac:dyDescent="0.25">
      <c r="A133" s="6" t="s">
        <v>2569</v>
      </c>
      <c r="B133" s="7" t="s">
        <v>2570</v>
      </c>
      <c r="C133" s="6" t="s">
        <v>248</v>
      </c>
      <c r="D133" s="6"/>
      <c r="E133" s="6"/>
      <c r="F133" s="8">
        <v>1</v>
      </c>
      <c r="G133" s="9"/>
      <c r="H133" s="426"/>
    </row>
    <row r="134" spans="1:8" ht="15.75" x14ac:dyDescent="0.25">
      <c r="A134" s="6" t="s">
        <v>2571</v>
      </c>
      <c r="B134" s="7" t="s">
        <v>2572</v>
      </c>
      <c r="C134" s="6" t="s">
        <v>2573</v>
      </c>
      <c r="D134" s="6"/>
      <c r="E134" s="6"/>
      <c r="F134" s="8">
        <v>6</v>
      </c>
      <c r="G134" s="9"/>
      <c r="H134" s="426"/>
    </row>
    <row r="135" spans="1:8" ht="15.75" x14ac:dyDescent="0.25">
      <c r="A135" s="6" t="s">
        <v>2574</v>
      </c>
      <c r="B135" s="7" t="s">
        <v>2575</v>
      </c>
      <c r="C135" s="6" t="s">
        <v>2573</v>
      </c>
      <c r="D135" s="6"/>
      <c r="E135" s="6"/>
      <c r="F135" s="8">
        <v>6</v>
      </c>
      <c r="G135" s="9"/>
      <c r="H135" s="426"/>
    </row>
    <row r="136" spans="1:8" ht="15.75" x14ac:dyDescent="0.25">
      <c r="A136" s="6" t="s">
        <v>2576</v>
      </c>
      <c r="B136" s="7" t="s">
        <v>2577</v>
      </c>
      <c r="C136" s="6" t="s">
        <v>2573</v>
      </c>
      <c r="D136" s="6"/>
      <c r="E136" s="6"/>
      <c r="F136" s="8">
        <v>6</v>
      </c>
      <c r="G136" s="9"/>
      <c r="H136" s="426"/>
    </row>
    <row r="137" spans="1:8" ht="15.75" x14ac:dyDescent="0.25">
      <c r="A137" s="6" t="s">
        <v>2578</v>
      </c>
      <c r="B137" s="7" t="s">
        <v>2579</v>
      </c>
      <c r="C137" s="6" t="s">
        <v>2573</v>
      </c>
      <c r="D137" s="6"/>
      <c r="E137" s="6"/>
      <c r="F137" s="8">
        <v>3</v>
      </c>
      <c r="G137" s="9"/>
      <c r="H137" s="426"/>
    </row>
    <row r="138" spans="1:8" ht="31.5" x14ac:dyDescent="0.25">
      <c r="A138" s="6" t="s">
        <v>2580</v>
      </c>
      <c r="B138" s="7" t="s">
        <v>2581</v>
      </c>
      <c r="C138" s="6" t="s">
        <v>2555</v>
      </c>
      <c r="D138" s="6"/>
      <c r="E138" s="6"/>
      <c r="F138" s="8">
        <v>1</v>
      </c>
      <c r="G138" s="9"/>
      <c r="H138" s="426"/>
    </row>
    <row r="139" spans="1:8" ht="15.75" x14ac:dyDescent="0.25">
      <c r="A139" s="6" t="s">
        <v>2582</v>
      </c>
      <c r="B139" s="7" t="s">
        <v>2583</v>
      </c>
      <c r="C139" s="6" t="s">
        <v>2502</v>
      </c>
      <c r="D139" s="6"/>
      <c r="E139" s="6"/>
      <c r="F139" s="8">
        <v>4</v>
      </c>
      <c r="G139" s="9"/>
      <c r="H139" s="426"/>
    </row>
    <row r="140" spans="1:8" s="427" customFormat="1" ht="25.5" customHeight="1" x14ac:dyDescent="0.2">
      <c r="A140" s="2" t="s">
        <v>2584</v>
      </c>
      <c r="B140" s="3" t="s">
        <v>2585</v>
      </c>
      <c r="C140" s="2"/>
      <c r="D140" s="2"/>
      <c r="E140" s="2"/>
      <c r="F140" s="4"/>
      <c r="G140" s="5"/>
      <c r="H140" s="153"/>
    </row>
    <row r="141" spans="1:8" ht="60" customHeight="1" x14ac:dyDescent="0.25">
      <c r="A141" s="6" t="s">
        <v>2586</v>
      </c>
      <c r="B141" s="7" t="s">
        <v>2587</v>
      </c>
      <c r="C141" s="6" t="s">
        <v>248</v>
      </c>
      <c r="D141" s="6"/>
      <c r="E141" s="6"/>
      <c r="F141" s="8">
        <v>1</v>
      </c>
      <c r="G141" s="9"/>
      <c r="H141" s="426"/>
    </row>
    <row r="142" spans="1:8" ht="15.75" x14ac:dyDescent="0.25">
      <c r="A142" s="6" t="s">
        <v>2588</v>
      </c>
      <c r="B142" s="7" t="s">
        <v>2589</v>
      </c>
      <c r="C142" s="6" t="s">
        <v>1867</v>
      </c>
      <c r="D142" s="6"/>
      <c r="E142" s="6"/>
      <c r="F142" s="8">
        <v>3</v>
      </c>
      <c r="G142" s="9"/>
      <c r="H142" s="426"/>
    </row>
    <row r="143" spans="1:8" ht="15.75" x14ac:dyDescent="0.25">
      <c r="A143" s="6" t="s">
        <v>2590</v>
      </c>
      <c r="B143" s="7" t="s">
        <v>2591</v>
      </c>
      <c r="C143" s="6" t="s">
        <v>248</v>
      </c>
      <c r="D143" s="6"/>
      <c r="E143" s="6"/>
      <c r="F143" s="8">
        <v>1</v>
      </c>
      <c r="G143" s="9"/>
      <c r="H143" s="426"/>
    </row>
    <row r="144" spans="1:8" ht="15.75" x14ac:dyDescent="0.25">
      <c r="A144" s="6" t="s">
        <v>2592</v>
      </c>
      <c r="B144" s="7" t="s">
        <v>2593</v>
      </c>
      <c r="C144" s="6" t="s">
        <v>248</v>
      </c>
      <c r="D144" s="6"/>
      <c r="E144" s="6"/>
      <c r="F144" s="8">
        <v>1</v>
      </c>
      <c r="G144" s="9"/>
      <c r="H144" s="426"/>
    </row>
    <row r="145" spans="1:8" ht="15.75" x14ac:dyDescent="0.25">
      <c r="A145" s="6" t="s">
        <v>2594</v>
      </c>
      <c r="B145" s="7" t="s">
        <v>2595</v>
      </c>
      <c r="C145" s="6" t="s">
        <v>248</v>
      </c>
      <c r="D145" s="6"/>
      <c r="E145" s="6"/>
      <c r="F145" s="8">
        <v>1</v>
      </c>
      <c r="G145" s="9"/>
      <c r="H145" s="426"/>
    </row>
    <row r="146" spans="1:8" ht="15.75" x14ac:dyDescent="0.25">
      <c r="A146" s="6" t="s">
        <v>2596</v>
      </c>
      <c r="B146" s="7" t="s">
        <v>2597</v>
      </c>
      <c r="C146" s="6" t="s">
        <v>248</v>
      </c>
      <c r="D146" s="6"/>
      <c r="E146" s="6"/>
      <c r="F146" s="8">
        <v>1</v>
      </c>
      <c r="G146" s="9"/>
      <c r="H146" s="426"/>
    </row>
    <row r="147" spans="1:8" s="427" customFormat="1" ht="15.75" x14ac:dyDescent="0.2">
      <c r="A147" s="2" t="s">
        <v>2598</v>
      </c>
      <c r="B147" s="3" t="s">
        <v>2599</v>
      </c>
      <c r="C147" s="2"/>
      <c r="D147" s="2"/>
      <c r="E147" s="2"/>
      <c r="F147" s="4"/>
      <c r="G147" s="5"/>
      <c r="H147" s="153"/>
    </row>
    <row r="148" spans="1:8" ht="68.25" customHeight="1" x14ac:dyDescent="0.25">
      <c r="A148" s="6" t="s">
        <v>2600</v>
      </c>
      <c r="B148" s="7" t="s">
        <v>2601</v>
      </c>
      <c r="C148" s="6" t="s">
        <v>2532</v>
      </c>
      <c r="D148" s="6"/>
      <c r="E148" s="6"/>
      <c r="F148" s="8">
        <v>1</v>
      </c>
      <c r="G148" s="9"/>
      <c r="H148" s="426"/>
    </row>
    <row r="149" spans="1:8" ht="15.75" x14ac:dyDescent="0.25">
      <c r="A149" s="6" t="s">
        <v>2602</v>
      </c>
      <c r="B149" s="7" t="s">
        <v>2603</v>
      </c>
      <c r="C149" s="6" t="s">
        <v>248</v>
      </c>
      <c r="D149" s="6"/>
      <c r="E149" s="6"/>
      <c r="F149" s="8">
        <v>3</v>
      </c>
      <c r="G149" s="9"/>
      <c r="H149" s="426"/>
    </row>
    <row r="150" spans="1:8" ht="15.75" x14ac:dyDescent="0.25">
      <c r="A150" s="6" t="s">
        <v>2604</v>
      </c>
      <c r="B150" s="7" t="s">
        <v>2605</v>
      </c>
      <c r="C150" s="6" t="s">
        <v>248</v>
      </c>
      <c r="D150" s="6"/>
      <c r="E150" s="6"/>
      <c r="F150" s="8">
        <v>5</v>
      </c>
      <c r="G150" s="9"/>
      <c r="H150" s="426"/>
    </row>
    <row r="151" spans="1:8" ht="31.5" x14ac:dyDescent="0.25">
      <c r="A151" s="6" t="s">
        <v>2606</v>
      </c>
      <c r="B151" s="7" t="s">
        <v>2607</v>
      </c>
      <c r="C151" s="6" t="s">
        <v>248</v>
      </c>
      <c r="D151" s="6"/>
      <c r="E151" s="6"/>
      <c r="F151" s="8">
        <v>3</v>
      </c>
      <c r="G151" s="9"/>
      <c r="H151" s="426"/>
    </row>
    <row r="152" spans="1:8" ht="15.75" x14ac:dyDescent="0.25">
      <c r="A152" s="6" t="s">
        <v>2608</v>
      </c>
      <c r="B152" s="7" t="s">
        <v>2609</v>
      </c>
      <c r="C152" s="6" t="s">
        <v>2535</v>
      </c>
      <c r="D152" s="6"/>
      <c r="E152" s="6"/>
      <c r="F152" s="8">
        <v>600</v>
      </c>
      <c r="G152" s="9"/>
      <c r="H152" s="426"/>
    </row>
    <row r="153" spans="1:8" ht="15.75" x14ac:dyDescent="0.25">
      <c r="A153" s="6" t="s">
        <v>2610</v>
      </c>
      <c r="B153" s="7" t="s">
        <v>2611</v>
      </c>
      <c r="C153" s="6" t="s">
        <v>2535</v>
      </c>
      <c r="D153" s="6"/>
      <c r="E153" s="6"/>
      <c r="F153" s="8">
        <v>300</v>
      </c>
      <c r="G153" s="9"/>
      <c r="H153" s="426"/>
    </row>
    <row r="154" spans="1:8" ht="15.75" x14ac:dyDescent="0.25">
      <c r="A154" s="6" t="s">
        <v>2612</v>
      </c>
      <c r="B154" s="7" t="s">
        <v>2613</v>
      </c>
      <c r="C154" s="6" t="s">
        <v>2535</v>
      </c>
      <c r="D154" s="6"/>
      <c r="E154" s="6"/>
      <c r="F154" s="8">
        <v>600</v>
      </c>
      <c r="G154" s="9"/>
      <c r="H154" s="426"/>
    </row>
    <row r="155" spans="1:8" ht="15.75" x14ac:dyDescent="0.25">
      <c r="A155" s="6" t="s">
        <v>2614</v>
      </c>
      <c r="B155" s="7" t="s">
        <v>2615</v>
      </c>
      <c r="C155" s="6" t="s">
        <v>2535</v>
      </c>
      <c r="D155" s="6"/>
      <c r="E155" s="6"/>
      <c r="F155" s="8">
        <v>600</v>
      </c>
      <c r="G155" s="9"/>
      <c r="H155" s="426"/>
    </row>
    <row r="156" spans="1:8" ht="15.75" x14ac:dyDescent="0.25">
      <c r="A156" s="6" t="s">
        <v>2616</v>
      </c>
      <c r="B156" s="7" t="s">
        <v>2617</v>
      </c>
      <c r="C156" s="6" t="s">
        <v>2535</v>
      </c>
      <c r="D156" s="6"/>
      <c r="E156" s="6"/>
      <c r="F156" s="8">
        <v>300</v>
      </c>
      <c r="G156" s="9"/>
      <c r="H156" s="426"/>
    </row>
    <row r="157" spans="1:8" ht="15.75" x14ac:dyDescent="0.25">
      <c r="A157" s="6" t="s">
        <v>2618</v>
      </c>
      <c r="B157" s="7" t="s">
        <v>2619</v>
      </c>
      <c r="C157" s="6" t="s">
        <v>1867</v>
      </c>
      <c r="D157" s="6"/>
      <c r="E157" s="6"/>
      <c r="F157" s="8">
        <v>36</v>
      </c>
      <c r="G157" s="9"/>
      <c r="H157" s="426"/>
    </row>
    <row r="158" spans="1:8" ht="15.75" x14ac:dyDescent="0.25">
      <c r="A158" s="6" t="s">
        <v>2620</v>
      </c>
      <c r="B158" s="7" t="s">
        <v>2621</v>
      </c>
      <c r="C158" s="6" t="s">
        <v>1867</v>
      </c>
      <c r="D158" s="6"/>
      <c r="E158" s="6"/>
      <c r="F158" s="8">
        <v>36</v>
      </c>
      <c r="G158" s="9"/>
      <c r="H158" s="426"/>
    </row>
    <row r="159" spans="1:8" ht="31.5" x14ac:dyDescent="0.25">
      <c r="A159" s="6" t="s">
        <v>2622</v>
      </c>
      <c r="B159" s="7" t="s">
        <v>2623</v>
      </c>
      <c r="C159" s="6" t="s">
        <v>248</v>
      </c>
      <c r="D159" s="6"/>
      <c r="E159" s="6"/>
      <c r="F159" s="8">
        <v>2</v>
      </c>
      <c r="G159" s="9"/>
      <c r="H159" s="426"/>
    </row>
    <row r="160" spans="1:8" ht="31.5" x14ac:dyDescent="0.25">
      <c r="A160" s="6" t="s">
        <v>2624</v>
      </c>
      <c r="B160" s="7" t="s">
        <v>2625</v>
      </c>
      <c r="C160" s="6" t="s">
        <v>248</v>
      </c>
      <c r="D160" s="6"/>
      <c r="E160" s="6"/>
      <c r="F160" s="8">
        <v>1</v>
      </c>
      <c r="G160" s="9"/>
      <c r="H160" s="426"/>
    </row>
    <row r="161" spans="1:8" ht="24.95" customHeight="1" x14ac:dyDescent="0.25">
      <c r="A161" s="440" t="s">
        <v>2655</v>
      </c>
      <c r="B161" s="441"/>
      <c r="C161" s="441"/>
      <c r="D161" s="441"/>
      <c r="E161" s="441"/>
      <c r="F161" s="441"/>
      <c r="G161" s="9"/>
      <c r="H161" s="428"/>
    </row>
    <row r="162" spans="1:8" ht="24.95" customHeight="1" x14ac:dyDescent="0.25">
      <c r="A162" s="440" t="s">
        <v>2725</v>
      </c>
      <c r="B162" s="441"/>
      <c r="C162" s="441"/>
      <c r="D162" s="441"/>
      <c r="E162" s="441"/>
      <c r="F162" s="441"/>
      <c r="G162" s="9"/>
      <c r="H162" s="428"/>
    </row>
    <row r="163" spans="1:8" s="422" customFormat="1" ht="24.95" customHeight="1" x14ac:dyDescent="0.3">
      <c r="A163" s="440" t="s">
        <v>2724</v>
      </c>
      <c r="B163" s="441"/>
      <c r="C163" s="441"/>
      <c r="D163" s="441"/>
      <c r="E163" s="441"/>
      <c r="F163" s="442"/>
      <c r="G163" s="9"/>
      <c r="H163" s="429"/>
    </row>
  </sheetData>
  <autoFilter ref="H6:H163" xr:uid="{00000000-0009-0000-0000-000001000000}"/>
  <mergeCells count="11">
    <mergeCell ref="A161:F161"/>
    <mergeCell ref="A162:F162"/>
    <mergeCell ref="A163:F163"/>
    <mergeCell ref="A2:H2"/>
    <mergeCell ref="A4:A6"/>
    <mergeCell ref="B4:B6"/>
    <mergeCell ref="G4:G6"/>
    <mergeCell ref="C4:C6"/>
    <mergeCell ref="F5:F6"/>
    <mergeCell ref="E4:E6"/>
    <mergeCell ref="D4:D6"/>
  </mergeCells>
  <phoneticPr fontId="53" type="noConversion"/>
  <dataValidations count="1">
    <dataValidation type="whole" showErrorMessage="1" errorTitle="Lưu ý" error="Nhập số nguyên lớn hơn -999,999,999,999,999 và nhỏ hơn 999,999,999,999,999" promptTitle="Lưu ý" prompt="Nhập số nguyên lớn hơn -999,999,999,999,999 và nhỏ hơn 999,999,999,999,999" sqref="G7:G163" xr:uid="{00000000-0002-0000-0100-000000000000}">
      <formula1>-999999999999999</formula1>
      <formula2>999999999999999</formula2>
    </dataValidation>
  </dataValidations>
  <pageMargins left="0.59055118110236227" right="0.19685039370078741" top="0.43307086614173229" bottom="0.39370078740157483" header="0.31496062992125984" footer="0.15748031496062992"/>
  <pageSetup paperSize="9" scale="8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1BA60-CE29-4849-B27B-844ED6271CD6}">
  <dimension ref="A3:H7"/>
  <sheetViews>
    <sheetView workbookViewId="0">
      <selection activeCell="D12" sqref="D12"/>
    </sheetView>
  </sheetViews>
  <sheetFormatPr defaultRowHeight="15" x14ac:dyDescent="0.25"/>
  <cols>
    <col min="1" max="1" width="19.7109375" customWidth="1"/>
    <col min="2" max="2" width="20" customWidth="1"/>
    <col min="3" max="4" width="20.85546875" customWidth="1"/>
    <col min="5" max="5" width="18.42578125" customWidth="1"/>
    <col min="6" max="6" width="17.85546875" customWidth="1"/>
    <col min="8" max="8" width="17.7109375" customWidth="1"/>
  </cols>
  <sheetData>
    <row r="3" spans="1:8" x14ac:dyDescent="0.25">
      <c r="A3" s="401"/>
      <c r="B3" s="401" t="s">
        <v>4723</v>
      </c>
      <c r="C3" s="401" t="s">
        <v>4725</v>
      </c>
      <c r="D3" s="401" t="s">
        <v>4726</v>
      </c>
      <c r="E3" s="401" t="s">
        <v>4724</v>
      </c>
      <c r="F3" s="401" t="s">
        <v>4727</v>
      </c>
    </row>
    <row r="4" spans="1:8" x14ac:dyDescent="0.25">
      <c r="A4" s="401" t="s">
        <v>4728</v>
      </c>
      <c r="B4" s="434" t="e">
        <f>PL03a!#REF!</f>
        <v>#REF!</v>
      </c>
      <c r="C4" s="435" t="e">
        <f>H6-D4</f>
        <v>#REF!</v>
      </c>
      <c r="D4" s="402">
        <v>42388366000</v>
      </c>
      <c r="E4" s="402" t="e">
        <f>PL03a!#REF!</f>
        <v>#REF!</v>
      </c>
      <c r="F4" s="435" t="e">
        <f>C4+D4+E4</f>
        <v>#REF!</v>
      </c>
    </row>
    <row r="5" spans="1:8" x14ac:dyDescent="0.25">
      <c r="A5" s="401" t="s">
        <v>4729</v>
      </c>
      <c r="B5" s="402">
        <v>3469422000</v>
      </c>
      <c r="C5" s="435">
        <f>ROUND(B5*0.3,-3)</f>
        <v>1040827000</v>
      </c>
      <c r="D5" s="435">
        <f>ROUND(B5*0.2,-3)</f>
        <v>693884000</v>
      </c>
      <c r="E5" s="402">
        <v>1199602000</v>
      </c>
      <c r="F5" s="435">
        <f t="shared" ref="F5:F6" si="0">C5+D5+E5</f>
        <v>2934313000</v>
      </c>
    </row>
    <row r="6" spans="1:8" x14ac:dyDescent="0.25">
      <c r="A6" s="401" t="s">
        <v>4730</v>
      </c>
      <c r="B6" s="434">
        <v>37512999000</v>
      </c>
      <c r="C6" s="434">
        <v>18756499000</v>
      </c>
      <c r="D6" s="401"/>
      <c r="E6" s="401"/>
      <c r="F6" s="435">
        <f t="shared" si="0"/>
        <v>18756499000</v>
      </c>
      <c r="H6" s="400" t="e">
        <f>PL03a!#REF!</f>
        <v>#REF!</v>
      </c>
    </row>
    <row r="7" spans="1:8" x14ac:dyDescent="0.25">
      <c r="A7" s="401" t="s">
        <v>4731</v>
      </c>
      <c r="B7" s="436" t="e">
        <f>SUM(B4:B6)</f>
        <v>#REF!</v>
      </c>
      <c r="C7" s="436" t="e">
        <f t="shared" ref="C7:F7" si="1">SUM(C4:C6)</f>
        <v>#REF!</v>
      </c>
      <c r="D7" s="436">
        <f t="shared" si="1"/>
        <v>43082250000</v>
      </c>
      <c r="E7" s="436" t="e">
        <f t="shared" si="1"/>
        <v>#REF!</v>
      </c>
      <c r="F7" s="436" t="e">
        <f t="shared" si="1"/>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2"/>
  <sheetViews>
    <sheetView zoomScale="70" zoomScaleNormal="70" workbookViewId="0">
      <selection activeCell="L18" sqref="L18"/>
    </sheetView>
  </sheetViews>
  <sheetFormatPr defaultRowHeight="15" x14ac:dyDescent="0.25"/>
  <cols>
    <col min="4" max="4" width="13.140625" customWidth="1"/>
    <col min="5" max="5" width="6.7109375" customWidth="1"/>
    <col min="9" max="9" width="4.7109375" customWidth="1"/>
    <col min="10" max="10" width="10.5703125" customWidth="1"/>
  </cols>
  <sheetData>
    <row r="1" spans="1:18" x14ac:dyDescent="0.25">
      <c r="A1" s="165"/>
      <c r="B1" s="165"/>
      <c r="C1" s="165"/>
      <c r="D1" s="165"/>
      <c r="E1" s="165"/>
      <c r="F1" s="165"/>
      <c r="G1" s="165"/>
      <c r="H1" s="165"/>
      <c r="I1" s="165"/>
      <c r="J1" s="165"/>
      <c r="K1" s="165"/>
      <c r="L1" s="165"/>
      <c r="M1" s="165"/>
      <c r="N1" s="165"/>
      <c r="O1" s="165"/>
    </row>
    <row r="2" spans="1:18" x14ac:dyDescent="0.25">
      <c r="A2" s="165"/>
      <c r="B2" s="165"/>
      <c r="C2" s="165"/>
      <c r="D2" s="165"/>
      <c r="E2" s="165"/>
      <c r="F2" s="165"/>
      <c r="G2" s="165"/>
      <c r="H2" s="165"/>
      <c r="I2" s="165"/>
      <c r="J2" s="165"/>
      <c r="K2" s="165"/>
      <c r="L2" s="165"/>
      <c r="M2" s="165"/>
      <c r="N2" s="165"/>
      <c r="O2" s="165"/>
    </row>
    <row r="3" spans="1:18" x14ac:dyDescent="0.25">
      <c r="A3" s="165"/>
      <c r="B3" s="165"/>
      <c r="C3" s="165"/>
      <c r="D3" s="165"/>
      <c r="E3" s="165"/>
      <c r="F3" s="165"/>
      <c r="G3" s="165"/>
      <c r="H3" s="165"/>
      <c r="I3" s="165"/>
      <c r="J3" s="165"/>
      <c r="K3" s="165"/>
      <c r="L3" s="165"/>
      <c r="M3" s="165"/>
      <c r="N3" s="165"/>
      <c r="O3" s="165"/>
    </row>
    <row r="4" spans="1:18" x14ac:dyDescent="0.25">
      <c r="A4" s="165"/>
      <c r="B4" s="165"/>
      <c r="C4" s="165"/>
      <c r="D4" s="165"/>
      <c r="E4" s="165"/>
      <c r="F4" s="165"/>
      <c r="G4" s="165"/>
      <c r="H4" s="165"/>
      <c r="I4" s="165"/>
      <c r="J4" s="165"/>
      <c r="K4" s="165"/>
      <c r="L4" s="165"/>
      <c r="M4" s="165"/>
      <c r="N4" s="165"/>
      <c r="O4" s="165"/>
    </row>
    <row r="5" spans="1:18" x14ac:dyDescent="0.25">
      <c r="A5" s="165"/>
      <c r="B5" s="165"/>
      <c r="C5" s="165"/>
      <c r="D5" s="165"/>
      <c r="E5" s="165"/>
      <c r="F5" s="165"/>
      <c r="G5" s="165"/>
      <c r="H5" s="165"/>
      <c r="I5" s="165"/>
      <c r="J5" s="165"/>
      <c r="K5" s="165"/>
      <c r="L5" s="165"/>
      <c r="M5" s="165"/>
      <c r="N5" s="165"/>
      <c r="O5" s="165"/>
    </row>
    <row r="6" spans="1:18" x14ac:dyDescent="0.25">
      <c r="A6" s="165"/>
      <c r="B6" s="165"/>
      <c r="C6" s="165"/>
      <c r="D6" s="165"/>
      <c r="E6" s="165"/>
      <c r="F6" s="165"/>
      <c r="G6" s="165"/>
      <c r="H6" s="165"/>
      <c r="I6" s="165"/>
      <c r="J6" s="165"/>
      <c r="K6" s="165"/>
      <c r="L6" s="165"/>
      <c r="M6" s="165"/>
      <c r="N6" s="165"/>
      <c r="O6" s="165"/>
    </row>
    <row r="7" spans="1:18" ht="18.75" x14ac:dyDescent="0.25">
      <c r="A7" s="165"/>
      <c r="B7" s="165"/>
      <c r="C7" s="165"/>
      <c r="D7" s="165"/>
      <c r="E7" s="165"/>
      <c r="F7" s="165"/>
      <c r="G7" s="165"/>
      <c r="H7" s="165"/>
      <c r="I7" s="165"/>
      <c r="J7" s="165"/>
      <c r="K7" s="461" t="s">
        <v>4722</v>
      </c>
      <c r="L7" s="461"/>
      <c r="M7" s="461"/>
      <c r="N7" s="461"/>
      <c r="O7" s="461"/>
    </row>
    <row r="8" spans="1:18" ht="10.5" customHeight="1" x14ac:dyDescent="0.25">
      <c r="A8" s="165"/>
      <c r="B8" s="165"/>
      <c r="C8" s="165"/>
      <c r="D8" s="165"/>
      <c r="E8" s="165"/>
      <c r="F8" s="165"/>
      <c r="G8" s="165"/>
      <c r="H8" s="165"/>
      <c r="I8" s="165"/>
      <c r="J8" s="165"/>
      <c r="K8" s="421"/>
      <c r="L8" s="421"/>
      <c r="M8" s="421"/>
      <c r="N8" s="421"/>
      <c r="O8" s="421"/>
    </row>
    <row r="9" spans="1:18" ht="20.25" x14ac:dyDescent="0.3">
      <c r="A9" s="420"/>
      <c r="B9" s="420"/>
      <c r="C9" s="410" t="s">
        <v>2761</v>
      </c>
      <c r="D9" s="420"/>
      <c r="E9" s="410"/>
      <c r="F9" s="410"/>
      <c r="G9" s="410"/>
      <c r="H9" s="410"/>
      <c r="I9" s="410"/>
      <c r="J9" s="410"/>
      <c r="K9" s="459" t="s">
        <v>2656</v>
      </c>
      <c r="L9" s="459"/>
      <c r="M9" s="459"/>
      <c r="N9" s="459"/>
      <c r="O9" s="306"/>
      <c r="P9" s="306"/>
      <c r="Q9" s="306"/>
      <c r="R9" s="308"/>
    </row>
    <row r="10" spans="1:18" ht="20.25" x14ac:dyDescent="0.3">
      <c r="A10" s="420"/>
      <c r="B10" s="420"/>
      <c r="C10" s="420"/>
      <c r="D10" s="411"/>
      <c r="E10" s="412"/>
      <c r="F10" s="411"/>
      <c r="G10" s="411"/>
      <c r="H10" s="411"/>
      <c r="I10" s="413"/>
      <c r="J10" s="414"/>
      <c r="K10" s="310"/>
      <c r="L10" s="310"/>
      <c r="M10" s="310"/>
      <c r="N10" s="310"/>
      <c r="O10" s="310"/>
      <c r="P10" s="310"/>
      <c r="Q10" s="333"/>
      <c r="R10" s="308"/>
    </row>
    <row r="11" spans="1:18" ht="42.75" customHeight="1" x14ac:dyDescent="0.3">
      <c r="A11" s="462" t="s">
        <v>3485</v>
      </c>
      <c r="B11" s="462"/>
      <c r="C11" s="462"/>
      <c r="D11" s="462"/>
      <c r="E11" s="415"/>
      <c r="F11" s="460" t="s">
        <v>3486</v>
      </c>
      <c r="G11" s="460"/>
      <c r="H11" s="460"/>
      <c r="I11" s="460"/>
      <c r="J11" s="418"/>
      <c r="K11" s="307"/>
      <c r="L11" s="165"/>
      <c r="M11" s="306"/>
      <c r="N11" s="306"/>
      <c r="O11" s="306"/>
      <c r="P11" s="306"/>
      <c r="Q11" s="306"/>
      <c r="R11" s="306"/>
    </row>
    <row r="12" spans="1:18" ht="20.25" x14ac:dyDescent="0.3">
      <c r="A12" s="420"/>
      <c r="B12" s="420"/>
      <c r="C12" s="420"/>
      <c r="D12" s="410"/>
      <c r="E12" s="416"/>
      <c r="F12" s="410"/>
      <c r="G12" s="410"/>
      <c r="H12" s="410"/>
      <c r="I12" s="417"/>
      <c r="J12" s="384"/>
      <c r="K12" s="307"/>
      <c r="L12" s="307"/>
      <c r="M12" s="307"/>
      <c r="N12" s="307"/>
      <c r="O12" s="307"/>
      <c r="P12" s="307"/>
      <c r="Q12" s="332"/>
      <c r="R12" s="306"/>
    </row>
    <row r="13" spans="1:18" ht="20.25" x14ac:dyDescent="0.3">
      <c r="A13" s="420"/>
      <c r="B13" s="420"/>
      <c r="C13" s="420"/>
      <c r="D13" s="410"/>
      <c r="E13" s="416"/>
      <c r="F13" s="410"/>
      <c r="G13" s="410"/>
      <c r="H13" s="410"/>
      <c r="I13" s="417"/>
      <c r="J13" s="384"/>
      <c r="K13" s="307"/>
      <c r="L13" s="307"/>
      <c r="M13" s="307"/>
      <c r="N13" s="307"/>
      <c r="O13" s="307"/>
      <c r="P13" s="307"/>
      <c r="Q13" s="332"/>
      <c r="R13" s="306"/>
    </row>
    <row r="14" spans="1:18" ht="20.25" x14ac:dyDescent="0.3">
      <c r="A14" s="420"/>
      <c r="B14" s="420"/>
      <c r="C14" s="420"/>
      <c r="D14" s="410"/>
      <c r="E14" s="416"/>
      <c r="F14" s="410"/>
      <c r="G14" s="410"/>
      <c r="H14" s="410"/>
      <c r="I14" s="417"/>
      <c r="J14" s="384"/>
      <c r="K14" s="307"/>
      <c r="L14" s="307"/>
      <c r="M14" s="307"/>
      <c r="N14" s="307"/>
      <c r="O14" s="307"/>
      <c r="P14" s="307"/>
      <c r="Q14" s="332"/>
      <c r="R14" s="306"/>
    </row>
    <row r="15" spans="1:18" ht="20.25" x14ac:dyDescent="0.3">
      <c r="A15" s="420"/>
      <c r="B15" s="420"/>
      <c r="C15" s="420"/>
      <c r="D15" s="410"/>
      <c r="E15" s="416"/>
      <c r="F15" s="410"/>
      <c r="G15" s="410"/>
      <c r="H15" s="410"/>
      <c r="I15" s="417"/>
      <c r="J15" s="384"/>
      <c r="K15" s="307"/>
      <c r="L15" s="307"/>
      <c r="M15" s="307"/>
      <c r="N15" s="307"/>
      <c r="O15" s="307"/>
      <c r="P15" s="307"/>
      <c r="Q15" s="332"/>
      <c r="R15" s="306"/>
    </row>
    <row r="16" spans="1:18" ht="20.25" x14ac:dyDescent="0.3">
      <c r="A16" s="420"/>
      <c r="B16" s="420"/>
      <c r="C16" s="420"/>
      <c r="D16" s="410"/>
      <c r="E16" s="416"/>
      <c r="F16" s="410"/>
      <c r="G16" s="410"/>
      <c r="H16" s="410"/>
      <c r="I16" s="417"/>
      <c r="J16" s="384"/>
      <c r="K16" s="307"/>
      <c r="L16" s="307"/>
      <c r="M16" s="307"/>
      <c r="N16" s="307"/>
      <c r="O16" s="307"/>
      <c r="P16" s="307"/>
      <c r="Q16" s="332"/>
      <c r="R16" s="306"/>
    </row>
    <row r="17" spans="1:18" ht="20.25" x14ac:dyDescent="0.3">
      <c r="A17" s="420"/>
      <c r="B17" s="420"/>
      <c r="C17" s="420"/>
      <c r="D17" s="410"/>
      <c r="E17" s="416"/>
      <c r="F17" s="410"/>
      <c r="G17" s="410"/>
      <c r="H17" s="410"/>
      <c r="I17" s="417"/>
      <c r="J17" s="384"/>
      <c r="K17" s="307"/>
      <c r="L17" s="307"/>
      <c r="M17" s="307"/>
      <c r="N17" s="307"/>
      <c r="O17" s="307"/>
      <c r="P17" s="307"/>
      <c r="Q17" s="332"/>
      <c r="R17" s="306"/>
    </row>
    <row r="18" spans="1:18" ht="70.5" customHeight="1" x14ac:dyDescent="0.3">
      <c r="A18" s="460" t="s">
        <v>3487</v>
      </c>
      <c r="B18" s="460"/>
      <c r="C18" s="460"/>
      <c r="D18" s="460"/>
      <c r="E18" s="416"/>
      <c r="F18" s="460" t="s">
        <v>3488</v>
      </c>
      <c r="G18" s="460"/>
      <c r="H18" s="460"/>
      <c r="I18" s="460"/>
      <c r="J18" s="419"/>
      <c r="K18" s="307"/>
      <c r="L18" s="307"/>
      <c r="M18" s="307"/>
      <c r="N18" s="307"/>
      <c r="O18" s="307"/>
      <c r="P18" s="307"/>
      <c r="Q18" s="332"/>
      <c r="R18" s="306"/>
    </row>
    <row r="19" spans="1:18" ht="20.25" x14ac:dyDescent="0.3">
      <c r="A19" s="420"/>
      <c r="B19" s="420"/>
      <c r="C19" s="420"/>
      <c r="D19" s="410"/>
      <c r="E19" s="416"/>
      <c r="F19" s="410"/>
      <c r="G19" s="410"/>
      <c r="H19" s="410"/>
      <c r="I19" s="417"/>
      <c r="J19" s="384"/>
      <c r="K19" s="307"/>
      <c r="L19" s="307"/>
      <c r="M19" s="307"/>
      <c r="N19" s="307"/>
      <c r="O19" s="307"/>
      <c r="P19" s="307"/>
      <c r="Q19" s="332"/>
      <c r="R19" s="306"/>
    </row>
    <row r="20" spans="1:18" ht="20.25" x14ac:dyDescent="0.3">
      <c r="A20" s="165"/>
      <c r="B20" s="165"/>
      <c r="C20" s="165"/>
      <c r="D20" s="306"/>
      <c r="E20" s="378"/>
      <c r="F20" s="306"/>
      <c r="G20" s="306"/>
      <c r="H20" s="306"/>
      <c r="I20" s="307"/>
      <c r="J20" s="387"/>
      <c r="K20" s="307"/>
      <c r="L20" s="307"/>
      <c r="M20" s="307"/>
      <c r="N20" s="307"/>
      <c r="O20" s="307"/>
      <c r="P20" s="307"/>
      <c r="Q20" s="332"/>
      <c r="R20" s="306"/>
    </row>
    <row r="21" spans="1:18" ht="20.25" x14ac:dyDescent="0.3">
      <c r="A21" s="165"/>
      <c r="B21" s="165"/>
      <c r="C21" s="165"/>
      <c r="D21" s="306"/>
      <c r="E21" s="378"/>
      <c r="F21" s="306"/>
      <c r="G21" s="306"/>
      <c r="H21" s="306"/>
      <c r="I21" s="307"/>
      <c r="J21" s="387"/>
      <c r="K21" s="307"/>
      <c r="L21" s="307"/>
      <c r="M21" s="307"/>
      <c r="N21" s="307"/>
      <c r="O21" s="307"/>
      <c r="P21" s="307"/>
      <c r="Q21" s="332"/>
      <c r="R21" s="306"/>
    </row>
    <row r="22" spans="1:18" ht="20.25" x14ac:dyDescent="0.3">
      <c r="A22" s="165"/>
      <c r="B22" s="165"/>
      <c r="C22" s="165"/>
      <c r="D22" s="306"/>
      <c r="E22" s="378"/>
      <c r="F22" s="306"/>
      <c r="G22" s="306"/>
      <c r="H22" s="306"/>
      <c r="I22" s="307"/>
      <c r="J22" s="387"/>
      <c r="K22" s="307"/>
      <c r="L22" s="307"/>
      <c r="M22" s="307"/>
      <c r="N22" s="307"/>
      <c r="O22" s="307"/>
      <c r="P22" s="307"/>
      <c r="Q22" s="332"/>
      <c r="R22" s="306"/>
    </row>
    <row r="23" spans="1:18" ht="20.25" x14ac:dyDescent="0.3">
      <c r="A23" s="165"/>
      <c r="B23" s="165"/>
      <c r="C23" s="165"/>
      <c r="D23" s="306"/>
      <c r="E23" s="378"/>
      <c r="F23" s="306"/>
      <c r="G23" s="306"/>
      <c r="H23" s="306"/>
      <c r="I23" s="307"/>
      <c r="J23" s="387"/>
      <c r="K23" s="307"/>
      <c r="L23" s="307"/>
      <c r="M23" s="307"/>
      <c r="N23" s="307"/>
      <c r="O23" s="307"/>
      <c r="P23" s="307"/>
      <c r="Q23" s="332"/>
      <c r="R23" s="306"/>
    </row>
    <row r="24" spans="1:18" ht="20.25" customHeight="1" x14ac:dyDescent="0.25">
      <c r="A24" s="165"/>
      <c r="B24" s="165"/>
      <c r="C24" s="165"/>
      <c r="D24" s="165"/>
      <c r="E24" s="408"/>
      <c r="F24" s="408"/>
      <c r="G24" s="408"/>
      <c r="H24" s="408"/>
      <c r="I24" s="408"/>
      <c r="J24" s="408"/>
      <c r="K24" s="408"/>
      <c r="L24" s="409"/>
      <c r="M24" s="409"/>
      <c r="N24" s="409"/>
      <c r="O24" s="409"/>
      <c r="P24" s="409"/>
      <c r="Q24" s="409"/>
      <c r="R24" s="409"/>
    </row>
    <row r="30" spans="1:18" ht="18.75" x14ac:dyDescent="0.25">
      <c r="A30" s="165"/>
      <c r="B30" s="165"/>
      <c r="C30" s="165"/>
      <c r="D30" s="165"/>
      <c r="E30" s="165"/>
      <c r="F30" s="165"/>
      <c r="G30" s="165"/>
      <c r="H30" s="165"/>
      <c r="I30" s="165"/>
      <c r="J30" s="165"/>
      <c r="K30" s="461" t="s">
        <v>4722</v>
      </c>
      <c r="L30" s="461"/>
      <c r="M30" s="461"/>
      <c r="N30" s="461"/>
      <c r="O30" s="461"/>
    </row>
    <row r="31" spans="1:18" ht="18.75" x14ac:dyDescent="0.25">
      <c r="A31" s="165"/>
      <c r="B31" s="165"/>
      <c r="C31" s="165"/>
      <c r="D31" s="165"/>
      <c r="E31" s="165"/>
      <c r="F31" s="165"/>
      <c r="G31" s="165"/>
      <c r="H31" s="165"/>
      <c r="I31" s="165"/>
      <c r="J31" s="165"/>
      <c r="K31" s="421"/>
      <c r="L31" s="421"/>
      <c r="M31" s="421"/>
      <c r="N31" s="421"/>
      <c r="O31" s="421"/>
    </row>
    <row r="32" spans="1:18" ht="20.25" x14ac:dyDescent="0.3">
      <c r="A32" s="420"/>
      <c r="B32" s="410" t="s">
        <v>2761</v>
      </c>
      <c r="D32" s="420"/>
      <c r="E32" s="410"/>
      <c r="F32" s="410"/>
      <c r="G32" s="410"/>
      <c r="H32" s="410"/>
      <c r="I32" s="410"/>
      <c r="J32" s="410"/>
      <c r="K32" s="459" t="s">
        <v>2656</v>
      </c>
      <c r="L32" s="459"/>
      <c r="M32" s="459"/>
      <c r="N32" s="459"/>
      <c r="O32" s="306"/>
    </row>
  </sheetData>
  <mergeCells count="8">
    <mergeCell ref="A18:D18"/>
    <mergeCell ref="A11:D11"/>
    <mergeCell ref="K32:N32"/>
    <mergeCell ref="F11:I11"/>
    <mergeCell ref="F18:I18"/>
    <mergeCell ref="K7:O7"/>
    <mergeCell ref="K9:N9"/>
    <mergeCell ref="K30:O30"/>
  </mergeCells>
  <printOptions horizontalCentered="1"/>
  <pageMargins left="0.7" right="0.2"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292"/>
  <sheetViews>
    <sheetView topLeftCell="E160" zoomScale="70" zoomScaleNormal="70" zoomScaleSheetLayoutView="70" workbookViewId="0">
      <selection activeCell="L171" sqref="L171"/>
    </sheetView>
  </sheetViews>
  <sheetFormatPr defaultRowHeight="15" x14ac:dyDescent="0.25"/>
  <cols>
    <col min="1" max="1" width="8.7109375" style="182" customWidth="1"/>
    <col min="2" max="2" width="45.5703125" customWidth="1"/>
    <col min="3" max="3" width="10.28515625" customWidth="1"/>
    <col min="4" max="4" width="15.85546875" customWidth="1"/>
    <col min="5" max="5" width="10.140625" customWidth="1"/>
    <col min="6" max="6" width="16.7109375" style="381" customWidth="1"/>
    <col min="7" max="7" width="12" customWidth="1"/>
    <col min="8" max="9" width="12.28515625" customWidth="1"/>
    <col min="10" max="10" width="15.42578125" style="198" customWidth="1"/>
    <col min="11" max="11" width="15" style="390" customWidth="1"/>
    <col min="12" max="12" width="9.7109375" style="198" customWidth="1"/>
    <col min="13" max="13" width="17.28515625" style="198" customWidth="1"/>
    <col min="14" max="14" width="13.42578125" style="198" customWidth="1"/>
    <col min="15" max="15" width="14.42578125" style="198" customWidth="1"/>
    <col min="16" max="16" width="15.5703125" style="198" customWidth="1"/>
    <col min="17" max="17" width="16" style="198" customWidth="1"/>
    <col min="18" max="18" width="16.28515625" style="335" customWidth="1"/>
    <col min="20" max="20" width="4.85546875" customWidth="1"/>
    <col min="21" max="21" width="8.140625" customWidth="1"/>
    <col min="22" max="22" width="16.85546875" customWidth="1"/>
  </cols>
  <sheetData>
    <row r="1" spans="1:20" ht="16.5" x14ac:dyDescent="0.25">
      <c r="A1" s="179"/>
      <c r="B1" s="43"/>
      <c r="C1" s="43"/>
      <c r="D1" s="44"/>
      <c r="E1" s="44"/>
      <c r="F1" s="373"/>
      <c r="G1" s="44"/>
      <c r="H1" s="44"/>
      <c r="I1" s="44"/>
      <c r="J1" s="196"/>
      <c r="K1" s="382"/>
      <c r="L1" s="196"/>
      <c r="M1" s="199"/>
      <c r="N1" s="199"/>
      <c r="O1" s="199"/>
      <c r="P1" s="199"/>
      <c r="Q1" s="199"/>
      <c r="R1" s="336"/>
      <c r="S1" s="43"/>
      <c r="T1" s="45"/>
    </row>
    <row r="2" spans="1:20" ht="16.5" x14ac:dyDescent="0.25">
      <c r="A2" s="485" t="s">
        <v>2726</v>
      </c>
      <c r="B2" s="485"/>
      <c r="C2" s="485"/>
      <c r="D2" s="485"/>
      <c r="E2" s="485"/>
      <c r="F2" s="485"/>
      <c r="G2" s="485"/>
      <c r="H2" s="485"/>
      <c r="I2" s="485"/>
      <c r="J2" s="485"/>
      <c r="K2" s="485"/>
      <c r="L2" s="485"/>
      <c r="M2" s="485"/>
      <c r="N2" s="485"/>
      <c r="O2" s="485"/>
      <c r="P2" s="485"/>
      <c r="Q2" s="485"/>
      <c r="R2" s="485"/>
      <c r="S2" s="485"/>
      <c r="T2" s="45"/>
    </row>
    <row r="3" spans="1:20" ht="16.5" x14ac:dyDescent="0.25">
      <c r="A3" s="486" t="s">
        <v>2727</v>
      </c>
      <c r="B3" s="486"/>
      <c r="C3" s="486"/>
      <c r="D3" s="486"/>
      <c r="E3" s="486"/>
      <c r="F3" s="486"/>
      <c r="G3" s="486"/>
      <c r="H3" s="486"/>
      <c r="I3" s="486"/>
      <c r="J3" s="486"/>
      <c r="K3" s="486"/>
      <c r="L3" s="486"/>
      <c r="M3" s="486"/>
      <c r="N3" s="486"/>
      <c r="O3" s="486"/>
      <c r="P3" s="486"/>
      <c r="Q3" s="486"/>
      <c r="R3" s="486"/>
      <c r="S3" s="486"/>
      <c r="T3" s="45"/>
    </row>
    <row r="4" spans="1:20" ht="16.5" x14ac:dyDescent="0.25">
      <c r="A4" s="177"/>
      <c r="B4" s="46"/>
      <c r="C4" s="46"/>
      <c r="D4" s="487" t="s">
        <v>2728</v>
      </c>
      <c r="E4" s="487"/>
      <c r="F4" s="487"/>
      <c r="G4" s="487"/>
      <c r="H4" s="487"/>
      <c r="I4" s="487"/>
      <c r="J4" s="487"/>
      <c r="K4" s="487"/>
      <c r="L4" s="487"/>
      <c r="M4" s="487"/>
      <c r="N4" s="487"/>
      <c r="O4" s="487"/>
      <c r="P4" s="487"/>
      <c r="Q4" s="487"/>
      <c r="R4" s="487"/>
      <c r="S4" s="487"/>
      <c r="T4" s="45"/>
    </row>
    <row r="5" spans="1:20" ht="62.25" customHeight="1" x14ac:dyDescent="0.25">
      <c r="A5" s="488" t="s">
        <v>2769</v>
      </c>
      <c r="B5" s="488"/>
      <c r="C5" s="488"/>
      <c r="D5" s="488"/>
      <c r="E5" s="488"/>
      <c r="F5" s="488"/>
      <c r="G5" s="488"/>
      <c r="H5" s="488"/>
      <c r="I5" s="488"/>
      <c r="J5" s="488"/>
      <c r="K5" s="488"/>
      <c r="L5" s="488"/>
      <c r="M5" s="488"/>
      <c r="N5" s="488"/>
      <c r="O5" s="488"/>
      <c r="P5" s="488"/>
      <c r="Q5" s="488"/>
      <c r="R5" s="488"/>
      <c r="S5" s="488"/>
      <c r="T5" s="45"/>
    </row>
    <row r="6" spans="1:20" ht="16.5" x14ac:dyDescent="0.25">
      <c r="A6" s="489"/>
      <c r="B6" s="489"/>
      <c r="C6" s="489"/>
      <c r="D6" s="489"/>
      <c r="E6" s="489"/>
      <c r="F6" s="489"/>
      <c r="G6" s="489"/>
      <c r="H6" s="489"/>
      <c r="I6" s="489"/>
      <c r="J6" s="489"/>
      <c r="K6" s="489"/>
      <c r="L6" s="489"/>
      <c r="M6" s="489"/>
      <c r="N6" s="489"/>
      <c r="O6" s="489"/>
      <c r="P6" s="489"/>
      <c r="Q6" s="489"/>
      <c r="R6" s="489"/>
      <c r="S6" s="489"/>
      <c r="T6" s="45"/>
    </row>
    <row r="7" spans="1:20" ht="40.5" customHeight="1" x14ac:dyDescent="0.25">
      <c r="A7" s="490" t="s">
        <v>4493</v>
      </c>
      <c r="B7" s="491"/>
      <c r="C7" s="491"/>
      <c r="D7" s="491"/>
      <c r="E7" s="491"/>
      <c r="F7" s="491"/>
      <c r="G7" s="491"/>
      <c r="H7" s="491"/>
      <c r="I7" s="491"/>
      <c r="J7" s="491"/>
      <c r="K7" s="491"/>
      <c r="L7" s="491"/>
      <c r="M7" s="491"/>
      <c r="N7" s="491"/>
      <c r="O7" s="491"/>
      <c r="P7" s="491"/>
      <c r="Q7" s="491"/>
      <c r="R7" s="491"/>
      <c r="S7" s="491"/>
      <c r="T7" s="264"/>
    </row>
    <row r="8" spans="1:20" ht="18.75" x14ac:dyDescent="0.25">
      <c r="A8" s="490" t="s">
        <v>4494</v>
      </c>
      <c r="B8" s="491"/>
      <c r="C8" s="491"/>
      <c r="D8" s="491"/>
      <c r="E8" s="491"/>
      <c r="F8" s="491"/>
      <c r="G8" s="491"/>
      <c r="H8" s="491"/>
      <c r="I8" s="491"/>
      <c r="J8" s="491"/>
      <c r="K8" s="491"/>
      <c r="L8" s="491"/>
      <c r="M8" s="491"/>
      <c r="N8" s="491"/>
      <c r="O8" s="491"/>
      <c r="P8" s="491"/>
      <c r="Q8" s="491"/>
      <c r="R8" s="491"/>
      <c r="S8" s="491"/>
      <c r="T8" s="264"/>
    </row>
    <row r="9" spans="1:20" ht="18.75" x14ac:dyDescent="0.25">
      <c r="A9" s="492" t="s">
        <v>4495</v>
      </c>
      <c r="B9" s="493"/>
      <c r="C9" s="493"/>
      <c r="D9" s="493"/>
      <c r="E9" s="493"/>
      <c r="F9" s="493"/>
      <c r="G9" s="493"/>
      <c r="H9" s="493"/>
      <c r="I9" s="493"/>
      <c r="J9" s="493"/>
      <c r="K9" s="493"/>
      <c r="L9" s="493"/>
      <c r="M9" s="493"/>
      <c r="N9" s="493"/>
      <c r="O9" s="493"/>
      <c r="P9" s="493"/>
      <c r="Q9" s="493"/>
      <c r="R9" s="493"/>
      <c r="S9" s="493"/>
      <c r="T9" s="264"/>
    </row>
    <row r="10" spans="1:20" ht="18.75" x14ac:dyDescent="0.25">
      <c r="A10" s="265"/>
      <c r="B10" s="266"/>
      <c r="C10" s="265"/>
      <c r="D10" s="267"/>
      <c r="E10" s="267"/>
      <c r="F10" s="268"/>
      <c r="G10" s="267"/>
      <c r="H10" s="267"/>
      <c r="I10" s="267"/>
      <c r="J10" s="268"/>
      <c r="K10" s="325"/>
      <c r="L10" s="268"/>
      <c r="M10" s="268"/>
      <c r="N10" s="268"/>
      <c r="O10" s="268"/>
      <c r="P10" s="268"/>
      <c r="Q10" s="268"/>
      <c r="R10" s="325"/>
      <c r="S10" s="269"/>
      <c r="T10" s="264"/>
    </row>
    <row r="11" spans="1:20" ht="18.75" x14ac:dyDescent="0.25">
      <c r="A11" s="494" t="s">
        <v>2729</v>
      </c>
      <c r="B11" s="494"/>
      <c r="C11" s="494"/>
      <c r="D11" s="494"/>
      <c r="E11" s="494"/>
      <c r="F11" s="494"/>
      <c r="G11" s="494"/>
      <c r="H11" s="494"/>
      <c r="I11" s="494"/>
      <c r="J11" s="494"/>
      <c r="K11" s="494"/>
      <c r="L11" s="494"/>
      <c r="M11" s="494"/>
      <c r="N11" s="494"/>
      <c r="O11" s="494"/>
      <c r="P11" s="494"/>
      <c r="Q11" s="494"/>
      <c r="R11" s="494"/>
      <c r="S11" s="494"/>
      <c r="T11" s="264"/>
    </row>
    <row r="12" spans="1:20" ht="18.75" x14ac:dyDescent="0.25">
      <c r="A12" s="494" t="s">
        <v>2744</v>
      </c>
      <c r="B12" s="494"/>
      <c r="C12" s="494"/>
      <c r="D12" s="494"/>
      <c r="E12" s="494"/>
      <c r="F12" s="494"/>
      <c r="G12" s="494"/>
      <c r="H12" s="494"/>
      <c r="I12" s="494"/>
      <c r="J12" s="494"/>
      <c r="K12" s="494"/>
      <c r="L12" s="494"/>
      <c r="M12" s="494"/>
      <c r="N12" s="494"/>
      <c r="O12" s="494"/>
      <c r="P12" s="494"/>
      <c r="Q12" s="494"/>
      <c r="R12" s="494"/>
      <c r="S12" s="494"/>
      <c r="T12" s="499"/>
    </row>
    <row r="13" spans="1:20" s="49" customFormat="1" ht="19.5" x14ac:dyDescent="0.3">
      <c r="A13" s="344"/>
      <c r="B13" s="345" t="s">
        <v>2745</v>
      </c>
      <c r="C13" s="495" t="s">
        <v>3466</v>
      </c>
      <c r="D13" s="495"/>
      <c r="E13" s="495"/>
      <c r="F13" s="374"/>
      <c r="G13" s="272"/>
      <c r="H13" s="272"/>
      <c r="I13" s="272"/>
      <c r="J13" s="271"/>
      <c r="K13" s="383"/>
      <c r="L13" s="347"/>
      <c r="M13" s="347"/>
      <c r="N13" s="347"/>
      <c r="O13" s="347"/>
      <c r="P13" s="347"/>
      <c r="Q13" s="348"/>
      <c r="R13" s="349"/>
      <c r="S13" s="350"/>
      <c r="T13" s="351"/>
    </row>
    <row r="14" spans="1:20" s="49" customFormat="1" ht="19.5" x14ac:dyDescent="0.3">
      <c r="A14" s="344"/>
      <c r="B14" s="345" t="s">
        <v>2746</v>
      </c>
      <c r="C14" s="495" t="s">
        <v>3467</v>
      </c>
      <c r="D14" s="495"/>
      <c r="E14" s="495"/>
      <c r="F14" s="374"/>
      <c r="G14" s="272"/>
      <c r="H14" s="272"/>
      <c r="I14" s="272"/>
      <c r="J14" s="271"/>
      <c r="K14" s="383"/>
      <c r="L14" s="347"/>
      <c r="M14" s="347"/>
      <c r="N14" s="347"/>
      <c r="O14" s="347"/>
      <c r="P14" s="347"/>
      <c r="Q14" s="348"/>
      <c r="R14" s="349"/>
      <c r="S14" s="350"/>
      <c r="T14" s="351"/>
    </row>
    <row r="15" spans="1:20" s="49" customFormat="1" ht="19.5" x14ac:dyDescent="0.3">
      <c r="A15" s="344"/>
      <c r="B15" s="352" t="s">
        <v>3455</v>
      </c>
      <c r="C15" s="495" t="s">
        <v>3468</v>
      </c>
      <c r="D15" s="495"/>
      <c r="E15" s="495"/>
      <c r="F15" s="374"/>
      <c r="G15" s="272"/>
      <c r="H15" s="272"/>
      <c r="I15" s="272"/>
      <c r="J15" s="271"/>
      <c r="K15" s="383"/>
      <c r="L15" s="347"/>
      <c r="M15" s="347"/>
      <c r="N15" s="347"/>
      <c r="O15" s="347"/>
      <c r="P15" s="347"/>
      <c r="Q15" s="348"/>
      <c r="R15" s="349"/>
      <c r="S15" s="350"/>
      <c r="T15" s="351"/>
    </row>
    <row r="16" spans="1:20" ht="18.75" x14ac:dyDescent="0.25">
      <c r="A16" s="500" t="s">
        <v>2747</v>
      </c>
      <c r="B16" s="500"/>
      <c r="C16" s="500"/>
      <c r="D16" s="500"/>
      <c r="E16" s="500"/>
      <c r="F16" s="500"/>
      <c r="G16" s="500"/>
      <c r="H16" s="500"/>
      <c r="I16" s="500"/>
      <c r="J16" s="500"/>
      <c r="K16" s="500"/>
      <c r="L16" s="500"/>
      <c r="M16" s="500"/>
      <c r="N16" s="500"/>
      <c r="O16" s="500"/>
      <c r="P16" s="500"/>
      <c r="Q16" s="500"/>
      <c r="R16" s="500"/>
      <c r="S16" s="500"/>
      <c r="T16" s="501"/>
    </row>
    <row r="17" spans="1:20" s="49" customFormat="1" ht="19.5" x14ac:dyDescent="0.3">
      <c r="A17" s="344"/>
      <c r="B17" s="352" t="s">
        <v>2748</v>
      </c>
      <c r="C17" s="346" t="s">
        <v>3474</v>
      </c>
      <c r="D17" s="346"/>
      <c r="E17" s="353"/>
      <c r="F17" s="374"/>
      <c r="G17" s="272"/>
      <c r="H17" s="272"/>
      <c r="I17" s="272"/>
      <c r="J17" s="271"/>
      <c r="K17" s="383"/>
      <c r="L17" s="347"/>
      <c r="M17" s="347"/>
      <c r="N17" s="347"/>
      <c r="O17" s="347"/>
      <c r="P17" s="347"/>
      <c r="Q17" s="348"/>
      <c r="R17" s="349"/>
      <c r="S17" s="350"/>
      <c r="T17" s="351"/>
    </row>
    <row r="18" spans="1:20" s="49" customFormat="1" ht="19.5" x14ac:dyDescent="0.3">
      <c r="A18" s="344"/>
      <c r="B18" s="352" t="s">
        <v>3456</v>
      </c>
      <c r="C18" s="495" t="s">
        <v>3470</v>
      </c>
      <c r="D18" s="495"/>
      <c r="E18" s="495"/>
      <c r="F18" s="374"/>
      <c r="G18" s="272"/>
      <c r="H18" s="272"/>
      <c r="I18" s="272"/>
      <c r="J18" s="271"/>
      <c r="K18" s="383"/>
      <c r="L18" s="347"/>
      <c r="M18" s="347"/>
      <c r="N18" s="347"/>
      <c r="O18" s="347"/>
      <c r="P18" s="347"/>
      <c r="Q18" s="348"/>
      <c r="R18" s="349"/>
      <c r="S18" s="350"/>
      <c r="T18" s="351"/>
    </row>
    <row r="19" spans="1:20" ht="18.75" x14ac:dyDescent="0.25">
      <c r="A19" s="500" t="s">
        <v>2749</v>
      </c>
      <c r="B19" s="500"/>
      <c r="C19" s="500"/>
      <c r="D19" s="500"/>
      <c r="E19" s="500"/>
      <c r="F19" s="500"/>
      <c r="G19" s="500"/>
      <c r="H19" s="500"/>
      <c r="I19" s="500"/>
      <c r="J19" s="500"/>
      <c r="K19" s="500"/>
      <c r="L19" s="500"/>
      <c r="M19" s="500"/>
      <c r="N19" s="500"/>
      <c r="O19" s="500"/>
      <c r="P19" s="500"/>
      <c r="Q19" s="500"/>
      <c r="R19" s="500"/>
      <c r="S19" s="500"/>
      <c r="T19" s="501"/>
    </row>
    <row r="20" spans="1:20" ht="19.5" x14ac:dyDescent="0.3">
      <c r="A20" s="344"/>
      <c r="B20" s="352" t="s">
        <v>4499</v>
      </c>
      <c r="C20" s="354" t="s">
        <v>4501</v>
      </c>
      <c r="D20" s="354"/>
      <c r="E20" s="270"/>
      <c r="F20" s="374"/>
      <c r="G20" s="272"/>
      <c r="H20" s="272"/>
      <c r="I20" s="272"/>
      <c r="J20" s="271"/>
      <c r="K20" s="383"/>
      <c r="L20" s="347"/>
      <c r="M20" s="347"/>
      <c r="N20" s="347"/>
      <c r="O20" s="347"/>
      <c r="P20" s="347"/>
      <c r="Q20" s="348"/>
      <c r="R20" s="349"/>
      <c r="S20" s="350"/>
      <c r="T20" s="351"/>
    </row>
    <row r="21" spans="1:20" s="49" customFormat="1" ht="19.5" x14ac:dyDescent="0.3">
      <c r="A21" s="344"/>
      <c r="B21" s="352" t="s">
        <v>3457</v>
      </c>
      <c r="C21" s="354" t="s">
        <v>3471</v>
      </c>
      <c r="D21" s="354"/>
      <c r="E21" s="270"/>
      <c r="F21" s="374"/>
      <c r="G21" s="272"/>
      <c r="H21" s="272"/>
      <c r="I21" s="272"/>
      <c r="J21" s="271"/>
      <c r="K21" s="383"/>
      <c r="L21" s="347"/>
      <c r="M21" s="347"/>
      <c r="N21" s="347"/>
      <c r="O21" s="347"/>
      <c r="P21" s="347"/>
      <c r="Q21" s="348"/>
      <c r="R21" s="349"/>
      <c r="S21" s="350"/>
      <c r="T21" s="351"/>
    </row>
    <row r="22" spans="1:20" s="49" customFormat="1" ht="19.5" x14ac:dyDescent="0.3">
      <c r="A22" s="344"/>
      <c r="B22" s="352" t="s">
        <v>3458</v>
      </c>
      <c r="C22" s="495" t="s">
        <v>3472</v>
      </c>
      <c r="D22" s="495"/>
      <c r="E22" s="270"/>
      <c r="F22" s="374"/>
      <c r="G22" s="272"/>
      <c r="H22" s="272"/>
      <c r="I22" s="272"/>
      <c r="J22" s="271"/>
      <c r="K22" s="383"/>
      <c r="L22" s="347"/>
      <c r="M22" s="347"/>
      <c r="N22" s="347"/>
      <c r="O22" s="347"/>
      <c r="P22" s="347"/>
      <c r="Q22" s="348"/>
      <c r="R22" s="349"/>
      <c r="S22" s="350"/>
      <c r="T22" s="351"/>
    </row>
    <row r="23" spans="1:20" s="49" customFormat="1" ht="19.5" x14ac:dyDescent="0.3">
      <c r="A23" s="344"/>
      <c r="B23" s="352" t="s">
        <v>2751</v>
      </c>
      <c r="C23" s="495" t="s">
        <v>3472</v>
      </c>
      <c r="D23" s="495"/>
      <c r="E23" s="270"/>
      <c r="F23" s="374"/>
      <c r="G23" s="272"/>
      <c r="H23" s="272"/>
      <c r="I23" s="272"/>
      <c r="J23" s="271"/>
      <c r="K23" s="383"/>
      <c r="L23" s="347"/>
      <c r="M23" s="347"/>
      <c r="N23" s="347"/>
      <c r="O23" s="347"/>
      <c r="P23" s="347"/>
      <c r="Q23" s="348"/>
      <c r="R23" s="349"/>
      <c r="S23" s="350"/>
      <c r="T23" s="351"/>
    </row>
    <row r="24" spans="1:20" ht="18.75" x14ac:dyDescent="0.25">
      <c r="A24" s="502" t="s">
        <v>2750</v>
      </c>
      <c r="B24" s="502"/>
      <c r="C24" s="502"/>
      <c r="D24" s="502"/>
      <c r="E24" s="502"/>
      <c r="F24" s="502"/>
      <c r="G24" s="502"/>
      <c r="H24" s="502"/>
      <c r="I24" s="502"/>
      <c r="J24" s="502"/>
      <c r="K24" s="502"/>
      <c r="L24" s="502"/>
      <c r="M24" s="502"/>
      <c r="N24" s="502"/>
      <c r="O24" s="502"/>
      <c r="P24" s="502"/>
      <c r="Q24" s="502"/>
      <c r="R24" s="502"/>
      <c r="S24" s="502"/>
      <c r="T24" s="503"/>
    </row>
    <row r="25" spans="1:20" s="49" customFormat="1" ht="29.25" customHeight="1" x14ac:dyDescent="0.25">
      <c r="A25" s="355" t="s">
        <v>283</v>
      </c>
      <c r="B25" s="504" t="s">
        <v>4500</v>
      </c>
      <c r="C25" s="504"/>
      <c r="D25" s="504"/>
      <c r="E25" s="504"/>
      <c r="F25" s="504"/>
      <c r="G25" s="504"/>
      <c r="H25" s="504"/>
      <c r="I25" s="504"/>
      <c r="J25" s="504"/>
      <c r="K25" s="504"/>
      <c r="L25" s="504"/>
      <c r="M25" s="504"/>
      <c r="N25" s="504"/>
      <c r="O25" s="504"/>
      <c r="P25" s="504"/>
      <c r="Q25" s="504"/>
      <c r="R25" s="504"/>
      <c r="S25" s="504"/>
      <c r="T25" s="505"/>
    </row>
    <row r="26" spans="1:20" s="49" customFormat="1" ht="19.5" x14ac:dyDescent="0.3">
      <c r="A26" s="356"/>
      <c r="B26" s="357" t="s">
        <v>2730</v>
      </c>
      <c r="C26" s="463" t="s">
        <v>3469</v>
      </c>
      <c r="D26" s="463"/>
      <c r="E26" s="272"/>
      <c r="F26" s="374"/>
      <c r="G26" s="272"/>
      <c r="H26" s="272"/>
      <c r="I26" s="272"/>
      <c r="J26" s="271"/>
      <c r="K26" s="383"/>
      <c r="L26" s="347"/>
      <c r="M26" s="347"/>
      <c r="N26" s="347"/>
      <c r="O26" s="347"/>
      <c r="P26" s="347"/>
      <c r="Q26" s="348"/>
      <c r="R26" s="349"/>
      <c r="S26" s="358"/>
      <c r="T26" s="359"/>
    </row>
    <row r="27" spans="1:20" s="49" customFormat="1" ht="19.5" x14ac:dyDescent="0.3">
      <c r="A27" s="356"/>
      <c r="B27" s="357" t="s">
        <v>2752</v>
      </c>
      <c r="C27" s="463" t="s">
        <v>3473</v>
      </c>
      <c r="D27" s="463"/>
      <c r="E27" s="463"/>
      <c r="F27" s="374"/>
      <c r="G27" s="272"/>
      <c r="H27" s="272"/>
      <c r="I27" s="272"/>
      <c r="J27" s="271"/>
      <c r="K27" s="383"/>
      <c r="L27" s="347"/>
      <c r="M27" s="347"/>
      <c r="N27" s="347"/>
      <c r="O27" s="347"/>
      <c r="P27" s="347"/>
      <c r="Q27" s="348"/>
      <c r="R27" s="349"/>
      <c r="S27" s="358"/>
      <c r="T27" s="359"/>
    </row>
    <row r="28" spans="1:20" s="49" customFormat="1" ht="25.5" customHeight="1" x14ac:dyDescent="0.3">
      <c r="A28" s="356" t="s">
        <v>285</v>
      </c>
      <c r="B28" s="464" t="s">
        <v>3479</v>
      </c>
      <c r="C28" s="464"/>
      <c r="D28" s="464"/>
      <c r="E28" s="464"/>
      <c r="F28" s="464"/>
      <c r="G28" s="360"/>
      <c r="H28" s="360"/>
      <c r="I28" s="360"/>
      <c r="J28" s="271"/>
      <c r="K28" s="383"/>
      <c r="L28" s="347"/>
      <c r="M28" s="358"/>
      <c r="N28" s="358"/>
      <c r="O28" s="358"/>
      <c r="P28" s="358"/>
      <c r="Q28" s="358"/>
      <c r="R28" s="361"/>
      <c r="S28" s="362"/>
      <c r="T28" s="264"/>
    </row>
    <row r="29" spans="1:20" s="49" customFormat="1" ht="19.5" x14ac:dyDescent="0.3">
      <c r="A29" s="356"/>
      <c r="B29" s="357" t="s">
        <v>3480</v>
      </c>
      <c r="C29" s="463" t="s">
        <v>3469</v>
      </c>
      <c r="D29" s="463"/>
      <c r="E29" s="272"/>
      <c r="F29" s="374"/>
      <c r="G29" s="272"/>
      <c r="H29" s="272"/>
      <c r="I29" s="272"/>
      <c r="J29" s="271"/>
      <c r="K29" s="383"/>
      <c r="L29" s="347"/>
      <c r="M29" s="358"/>
      <c r="N29" s="358"/>
      <c r="O29" s="358"/>
      <c r="P29" s="358"/>
      <c r="Q29" s="358"/>
      <c r="R29" s="361"/>
      <c r="S29" s="362"/>
      <c r="T29" s="264"/>
    </row>
    <row r="30" spans="1:20" s="49" customFormat="1" ht="19.5" x14ac:dyDescent="0.3">
      <c r="A30" s="356"/>
      <c r="B30" s="357" t="s">
        <v>2751</v>
      </c>
      <c r="C30" s="463" t="s">
        <v>3473</v>
      </c>
      <c r="D30" s="463"/>
      <c r="E30" s="463"/>
      <c r="F30" s="363"/>
      <c r="G30" s="357"/>
      <c r="H30" s="357"/>
      <c r="I30" s="357"/>
      <c r="J30" s="363"/>
      <c r="K30" s="383"/>
      <c r="L30" s="347"/>
      <c r="M30" s="358"/>
      <c r="N30" s="358"/>
      <c r="O30" s="358"/>
      <c r="P30" s="358"/>
      <c r="Q30" s="358"/>
      <c r="R30" s="361"/>
      <c r="S30" s="362"/>
      <c r="T30" s="264"/>
    </row>
    <row r="31" spans="1:20" s="183" customFormat="1" ht="42.75" customHeight="1" x14ac:dyDescent="0.3">
      <c r="A31" s="364" t="s">
        <v>287</v>
      </c>
      <c r="B31" s="465" t="s">
        <v>3481</v>
      </c>
      <c r="C31" s="465"/>
      <c r="D31" s="465"/>
      <c r="E31" s="465"/>
      <c r="F31" s="366"/>
      <c r="G31" s="365"/>
      <c r="H31" s="365"/>
      <c r="I31" s="365"/>
      <c r="J31" s="366"/>
      <c r="K31" s="384"/>
      <c r="L31" s="367"/>
      <c r="M31" s="358"/>
      <c r="N31" s="358"/>
      <c r="O31" s="358"/>
      <c r="P31" s="358"/>
      <c r="Q31" s="358"/>
      <c r="R31" s="361"/>
      <c r="S31" s="362"/>
      <c r="T31" s="368"/>
    </row>
    <row r="32" spans="1:20" s="49" customFormat="1" ht="19.5" x14ac:dyDescent="0.3">
      <c r="A32" s="356"/>
      <c r="B32" s="357" t="s">
        <v>3482</v>
      </c>
      <c r="C32" s="463" t="s">
        <v>3469</v>
      </c>
      <c r="D32" s="463"/>
      <c r="E32" s="272"/>
      <c r="F32" s="375"/>
      <c r="G32" s="369"/>
      <c r="H32" s="369"/>
      <c r="I32" s="369"/>
      <c r="J32" s="370"/>
      <c r="K32" s="383"/>
      <c r="L32" s="347"/>
      <c r="M32" s="358"/>
      <c r="N32" s="358"/>
      <c r="O32" s="358"/>
      <c r="P32" s="358"/>
      <c r="Q32" s="358"/>
      <c r="R32" s="361"/>
      <c r="S32" s="362"/>
      <c r="T32" s="264"/>
    </row>
    <row r="33" spans="1:20" s="49" customFormat="1" ht="19.5" x14ac:dyDescent="0.3">
      <c r="A33" s="356"/>
      <c r="B33" s="357" t="s">
        <v>2751</v>
      </c>
      <c r="C33" s="463" t="s">
        <v>3473</v>
      </c>
      <c r="D33" s="463"/>
      <c r="E33" s="463"/>
      <c r="F33" s="375"/>
      <c r="G33" s="369"/>
      <c r="H33" s="369"/>
      <c r="I33" s="369"/>
      <c r="J33" s="370"/>
      <c r="K33" s="383"/>
      <c r="L33" s="347"/>
      <c r="M33" s="358"/>
      <c r="N33" s="358"/>
      <c r="O33" s="358"/>
      <c r="P33" s="358"/>
      <c r="Q33" s="358"/>
      <c r="R33" s="361"/>
      <c r="S33" s="362"/>
      <c r="T33" s="264"/>
    </row>
    <row r="34" spans="1:20" s="183" customFormat="1" ht="27" customHeight="1" x14ac:dyDescent="0.3">
      <c r="A34" s="364" t="s">
        <v>289</v>
      </c>
      <c r="B34" s="464" t="s">
        <v>3483</v>
      </c>
      <c r="C34" s="464"/>
      <c r="D34" s="464"/>
      <c r="E34" s="464"/>
      <c r="F34" s="464"/>
      <c r="G34" s="464"/>
      <c r="H34" s="464"/>
      <c r="I34" s="464"/>
      <c r="J34" s="464"/>
      <c r="K34" s="384"/>
      <c r="L34" s="367"/>
      <c r="M34" s="358"/>
      <c r="N34" s="358"/>
      <c r="O34" s="358"/>
      <c r="P34" s="358"/>
      <c r="Q34" s="358"/>
      <c r="R34" s="361"/>
      <c r="S34" s="362"/>
      <c r="T34" s="368"/>
    </row>
    <row r="35" spans="1:20" s="183" customFormat="1" ht="19.5" x14ac:dyDescent="0.3">
      <c r="A35" s="364"/>
      <c r="B35" s="357" t="s">
        <v>3484</v>
      </c>
      <c r="C35" s="463" t="s">
        <v>3469</v>
      </c>
      <c r="D35" s="463"/>
      <c r="E35" s="272"/>
      <c r="F35" s="372"/>
      <c r="G35" s="371"/>
      <c r="H35" s="371"/>
      <c r="I35" s="371"/>
      <c r="J35" s="372"/>
      <c r="K35" s="384"/>
      <c r="L35" s="367"/>
      <c r="M35" s="358"/>
      <c r="N35" s="358"/>
      <c r="O35" s="358"/>
      <c r="P35" s="358"/>
      <c r="Q35" s="358"/>
      <c r="R35" s="361"/>
      <c r="S35" s="362"/>
      <c r="T35" s="368"/>
    </row>
    <row r="36" spans="1:20" s="49" customFormat="1" ht="19.5" x14ac:dyDescent="0.3">
      <c r="A36" s="356"/>
      <c r="B36" s="357" t="s">
        <v>2751</v>
      </c>
      <c r="C36" s="463" t="s">
        <v>3473</v>
      </c>
      <c r="D36" s="463"/>
      <c r="E36" s="463"/>
      <c r="F36" s="374"/>
      <c r="G36" s="272"/>
      <c r="H36" s="272"/>
      <c r="I36" s="272"/>
      <c r="J36" s="271"/>
      <c r="K36" s="383"/>
      <c r="L36" s="347"/>
      <c r="M36" s="358"/>
      <c r="N36" s="358"/>
      <c r="O36" s="358"/>
      <c r="P36" s="358"/>
      <c r="Q36" s="358"/>
      <c r="R36" s="361"/>
      <c r="S36" s="362"/>
      <c r="T36" s="264"/>
    </row>
    <row r="37" spans="1:20" ht="19.5" x14ac:dyDescent="0.25">
      <c r="A37" s="274" t="s">
        <v>2731</v>
      </c>
      <c r="B37" s="275"/>
      <c r="C37" s="276"/>
      <c r="D37" s="277"/>
      <c r="E37" s="277"/>
      <c r="F37" s="273"/>
      <c r="G37" s="277"/>
      <c r="H37" s="277"/>
      <c r="I37" s="277"/>
      <c r="J37" s="273"/>
      <c r="K37" s="326"/>
      <c r="L37" s="273"/>
      <c r="M37" s="278"/>
      <c r="N37" s="278"/>
      <c r="O37" s="278"/>
      <c r="P37" s="278"/>
      <c r="Q37" s="278"/>
      <c r="R37" s="337"/>
      <c r="S37" s="279"/>
      <c r="T37" s="264"/>
    </row>
    <row r="38" spans="1:20" ht="19.5" x14ac:dyDescent="0.25">
      <c r="A38" s="265"/>
      <c r="B38" s="280" t="s">
        <v>2732</v>
      </c>
      <c r="C38" s="276"/>
      <c r="D38" s="277"/>
      <c r="E38" s="277"/>
      <c r="F38" s="273"/>
      <c r="G38" s="277"/>
      <c r="H38" s="277"/>
      <c r="I38" s="277"/>
      <c r="J38" s="273"/>
      <c r="K38" s="326"/>
      <c r="L38" s="273"/>
      <c r="M38" s="278"/>
      <c r="N38" s="278"/>
      <c r="O38" s="278"/>
      <c r="P38" s="278"/>
      <c r="Q38" s="278"/>
      <c r="R38" s="337"/>
      <c r="S38" s="279"/>
      <c r="T38" s="264"/>
    </row>
    <row r="39" spans="1:20" ht="19.5" x14ac:dyDescent="0.25">
      <c r="A39" s="265"/>
      <c r="B39" s="280" t="s">
        <v>2733</v>
      </c>
      <c r="C39" s="276"/>
      <c r="D39" s="277"/>
      <c r="E39" s="277"/>
      <c r="F39" s="273"/>
      <c r="G39" s="277"/>
      <c r="H39" s="277"/>
      <c r="I39" s="277"/>
      <c r="J39" s="273"/>
      <c r="K39" s="326"/>
      <c r="L39" s="273"/>
      <c r="M39" s="278"/>
      <c r="N39" s="278"/>
      <c r="O39" s="278"/>
      <c r="P39" s="278"/>
      <c r="Q39" s="278"/>
      <c r="R39" s="337"/>
      <c r="S39" s="279"/>
      <c r="T39" s="264"/>
    </row>
    <row r="40" spans="1:20" ht="15.75" customHeight="1" x14ac:dyDescent="0.25">
      <c r="A40" s="265"/>
      <c r="B40" s="280" t="s">
        <v>2734</v>
      </c>
      <c r="C40" s="276"/>
      <c r="D40" s="277"/>
      <c r="E40" s="277"/>
      <c r="F40" s="273"/>
      <c r="G40" s="277"/>
      <c r="H40" s="277"/>
      <c r="I40" s="277"/>
      <c r="J40" s="273"/>
      <c r="K40" s="326"/>
      <c r="L40" s="273"/>
      <c r="M40" s="278"/>
      <c r="N40" s="278"/>
      <c r="O40" s="278"/>
      <c r="P40" s="278"/>
      <c r="Q40" s="278"/>
      <c r="R40" s="337"/>
      <c r="S40" s="279"/>
      <c r="T40" s="264"/>
    </row>
    <row r="41" spans="1:20" ht="19.5" x14ac:dyDescent="0.25">
      <c r="A41" s="274" t="s">
        <v>2735</v>
      </c>
      <c r="B41" s="275"/>
      <c r="C41" s="276"/>
      <c r="D41" s="277"/>
      <c r="E41" s="277"/>
      <c r="F41" s="273"/>
      <c r="G41" s="277"/>
      <c r="H41" s="277"/>
      <c r="I41" s="277"/>
      <c r="J41" s="273"/>
      <c r="K41" s="326"/>
      <c r="L41" s="273"/>
      <c r="M41" s="278"/>
      <c r="N41" s="278"/>
      <c r="O41" s="278"/>
      <c r="P41" s="278"/>
      <c r="Q41" s="278"/>
      <c r="R41" s="337"/>
      <c r="S41" s="279"/>
      <c r="T41" s="264"/>
    </row>
    <row r="42" spans="1:20" ht="19.5" x14ac:dyDescent="0.3">
      <c r="A42" s="274" t="s">
        <v>2736</v>
      </c>
      <c r="B42" s="281"/>
      <c r="C42" s="276"/>
      <c r="D42" s="277"/>
      <c r="E42" s="277"/>
      <c r="F42" s="273"/>
      <c r="G42" s="277"/>
      <c r="H42" s="277"/>
      <c r="I42" s="277"/>
      <c r="J42" s="273"/>
      <c r="K42" s="326"/>
      <c r="L42" s="273"/>
      <c r="M42" s="278"/>
      <c r="N42" s="278"/>
      <c r="O42" s="278"/>
      <c r="P42" s="278"/>
      <c r="Q42" s="278"/>
      <c r="R42" s="337"/>
      <c r="S42" s="279"/>
      <c r="T42" s="264"/>
    </row>
    <row r="43" spans="1:20" ht="19.5" x14ac:dyDescent="0.3">
      <c r="A43" s="274" t="s">
        <v>2736</v>
      </c>
      <c r="B43" s="281"/>
      <c r="C43" s="276"/>
      <c r="D43" s="277"/>
      <c r="E43" s="277"/>
      <c r="F43" s="273"/>
      <c r="G43" s="277"/>
      <c r="H43" s="277"/>
      <c r="I43" s="277"/>
      <c r="J43" s="273"/>
      <c r="K43" s="326"/>
      <c r="L43" s="273"/>
      <c r="M43" s="278"/>
      <c r="N43" s="278"/>
      <c r="O43" s="278"/>
      <c r="P43" s="278"/>
      <c r="Q43" s="278"/>
      <c r="R43" s="337"/>
      <c r="S43" s="279"/>
      <c r="T43" s="264"/>
    </row>
    <row r="44" spans="1:20" ht="54" customHeight="1" x14ac:dyDescent="0.25">
      <c r="A44" s="468" t="s">
        <v>4492</v>
      </c>
      <c r="B44" s="468"/>
      <c r="C44" s="468"/>
      <c r="D44" s="468"/>
      <c r="E44" s="468"/>
      <c r="F44" s="468"/>
      <c r="G44" s="468"/>
      <c r="H44" s="468"/>
      <c r="I44" s="468"/>
      <c r="J44" s="468"/>
      <c r="K44" s="468"/>
      <c r="L44" s="468"/>
      <c r="M44" s="468"/>
      <c r="N44" s="468"/>
      <c r="O44" s="468"/>
      <c r="P44" s="468"/>
      <c r="Q44" s="468"/>
      <c r="R44" s="468"/>
      <c r="S44" s="468"/>
      <c r="T44" s="264"/>
    </row>
    <row r="45" spans="1:20" ht="18.75" x14ac:dyDescent="0.25">
      <c r="A45" s="469" t="s">
        <v>2737</v>
      </c>
      <c r="B45" s="470"/>
      <c r="C45" s="470"/>
      <c r="D45" s="470"/>
      <c r="E45" s="470"/>
      <c r="F45" s="470"/>
      <c r="G45" s="470"/>
      <c r="H45" s="470"/>
      <c r="I45" s="470"/>
      <c r="J45" s="470"/>
      <c r="K45" s="470"/>
      <c r="L45" s="470"/>
      <c r="M45" s="470"/>
      <c r="N45" s="470"/>
      <c r="O45" s="470"/>
      <c r="P45" s="470"/>
      <c r="Q45" s="470"/>
      <c r="R45" s="470"/>
      <c r="S45" s="470"/>
      <c r="T45" s="264"/>
    </row>
    <row r="46" spans="1:20" ht="18.75" x14ac:dyDescent="0.25">
      <c r="A46" s="469" t="s">
        <v>2738</v>
      </c>
      <c r="B46" s="469"/>
      <c r="C46" s="469"/>
      <c r="D46" s="469"/>
      <c r="E46" s="469"/>
      <c r="F46" s="469"/>
      <c r="G46" s="469"/>
      <c r="H46" s="469"/>
      <c r="I46" s="469"/>
      <c r="J46" s="469"/>
      <c r="K46" s="469"/>
      <c r="L46" s="469"/>
      <c r="M46" s="469"/>
      <c r="N46" s="469"/>
      <c r="O46" s="469"/>
      <c r="P46" s="469"/>
      <c r="Q46" s="469"/>
      <c r="R46" s="469"/>
      <c r="S46" s="469"/>
      <c r="T46" s="264"/>
    </row>
    <row r="47" spans="1:20" ht="18.75" x14ac:dyDescent="0.25">
      <c r="A47" s="471" t="s">
        <v>2739</v>
      </c>
      <c r="B47" s="471"/>
      <c r="C47" s="471"/>
      <c r="D47" s="471"/>
      <c r="E47" s="471"/>
      <c r="F47" s="471"/>
      <c r="G47" s="471"/>
      <c r="H47" s="471"/>
      <c r="I47" s="471"/>
      <c r="J47" s="471"/>
      <c r="K47" s="471"/>
      <c r="L47" s="471"/>
      <c r="M47" s="471"/>
      <c r="N47" s="282"/>
      <c r="O47" s="282"/>
      <c r="P47" s="282"/>
      <c r="Q47" s="283"/>
      <c r="R47" s="338"/>
      <c r="S47" s="284"/>
      <c r="T47" s="264"/>
    </row>
    <row r="48" spans="1:20" ht="18.75" x14ac:dyDescent="0.3">
      <c r="A48" s="274" t="s">
        <v>2740</v>
      </c>
      <c r="B48" s="285"/>
      <c r="C48" s="286"/>
      <c r="D48" s="287"/>
      <c r="E48" s="287"/>
      <c r="F48" s="288"/>
      <c r="G48" s="289"/>
      <c r="H48" s="289"/>
      <c r="I48" s="289"/>
      <c r="J48" s="288"/>
      <c r="K48" s="327"/>
      <c r="L48" s="288"/>
      <c r="M48" s="290"/>
      <c r="N48" s="290"/>
      <c r="O48" s="290"/>
      <c r="P48" s="290"/>
      <c r="Q48" s="290"/>
      <c r="R48" s="339"/>
      <c r="S48" s="286"/>
      <c r="T48" s="264"/>
    </row>
    <row r="49" spans="1:22" ht="18.75" x14ac:dyDescent="0.25">
      <c r="A49" s="291"/>
      <c r="B49" s="292" t="s">
        <v>2741</v>
      </c>
      <c r="C49" s="293"/>
      <c r="D49" s="294"/>
      <c r="E49" s="294"/>
      <c r="F49" s="376"/>
      <c r="G49" s="296"/>
      <c r="H49" s="296"/>
      <c r="I49" s="296"/>
      <c r="J49" s="295"/>
      <c r="K49" s="385"/>
      <c r="L49" s="297"/>
      <c r="M49" s="298"/>
      <c r="N49" s="298"/>
      <c r="O49" s="298"/>
      <c r="P49" s="298"/>
      <c r="Q49" s="298"/>
      <c r="R49" s="340"/>
      <c r="S49" s="299"/>
      <c r="T49" s="264"/>
    </row>
    <row r="50" spans="1:22" ht="19.5" x14ac:dyDescent="0.3">
      <c r="A50" s="274" t="s">
        <v>2742</v>
      </c>
      <c r="B50" s="300"/>
      <c r="C50" s="301"/>
      <c r="D50" s="302"/>
      <c r="E50" s="302"/>
      <c r="F50" s="273"/>
      <c r="G50" s="277"/>
      <c r="H50" s="277"/>
      <c r="I50" s="277"/>
      <c r="J50" s="273"/>
      <c r="K50" s="326"/>
      <c r="L50" s="273"/>
      <c r="M50" s="278"/>
      <c r="N50" s="278"/>
      <c r="O50" s="278"/>
      <c r="P50" s="278"/>
      <c r="Q50" s="278"/>
      <c r="R50" s="337"/>
      <c r="S50" s="303"/>
      <c r="T50" s="264"/>
    </row>
    <row r="51" spans="1:22" ht="18.75" x14ac:dyDescent="0.25">
      <c r="A51" s="291"/>
      <c r="B51" s="472" t="s">
        <v>2743</v>
      </c>
      <c r="C51" s="472"/>
      <c r="D51" s="472"/>
      <c r="E51" s="472"/>
      <c r="F51" s="472"/>
      <c r="G51" s="472"/>
      <c r="H51" s="472"/>
      <c r="I51" s="472"/>
      <c r="J51" s="472"/>
      <c r="K51" s="472"/>
      <c r="L51" s="472"/>
      <c r="M51" s="472"/>
      <c r="N51" s="472"/>
      <c r="O51" s="472"/>
      <c r="P51" s="472"/>
      <c r="Q51" s="472"/>
      <c r="R51" s="472"/>
      <c r="S51" s="472"/>
      <c r="T51" s="264"/>
    </row>
    <row r="52" spans="1:22" ht="29.25" customHeight="1" x14ac:dyDescent="0.25">
      <c r="A52" s="304"/>
      <c r="B52" s="473" t="s">
        <v>4496</v>
      </c>
      <c r="C52" s="473"/>
      <c r="D52" s="473"/>
      <c r="E52" s="473"/>
      <c r="F52" s="473"/>
      <c r="G52" s="473"/>
      <c r="H52" s="473"/>
      <c r="I52" s="473"/>
      <c r="J52" s="473"/>
      <c r="K52" s="473"/>
      <c r="L52" s="473"/>
      <c r="M52" s="473"/>
      <c r="N52" s="473"/>
      <c r="O52" s="473"/>
      <c r="P52" s="473"/>
      <c r="Q52" s="473"/>
      <c r="R52" s="473"/>
      <c r="S52" s="473"/>
      <c r="T52" s="264"/>
    </row>
    <row r="53" spans="1:22" ht="16.5" customHeight="1" x14ac:dyDescent="0.25">
      <c r="A53" s="474" t="s">
        <v>0</v>
      </c>
      <c r="B53" s="474" t="s">
        <v>2753</v>
      </c>
      <c r="C53" s="474" t="s">
        <v>2754</v>
      </c>
      <c r="D53" s="479" t="s">
        <v>2755</v>
      </c>
      <c r="E53" s="480"/>
      <c r="F53" s="480"/>
      <c r="G53" s="480"/>
      <c r="H53" s="480"/>
      <c r="I53" s="480"/>
      <c r="J53" s="480"/>
      <c r="K53" s="480"/>
      <c r="L53" s="480"/>
      <c r="M53" s="480"/>
      <c r="N53" s="480"/>
      <c r="O53" s="480"/>
      <c r="P53" s="480"/>
      <c r="Q53" s="480"/>
      <c r="R53" s="481"/>
      <c r="S53" s="476" t="s">
        <v>2661</v>
      </c>
      <c r="T53" s="200"/>
      <c r="U53" s="201"/>
      <c r="V53" s="201"/>
    </row>
    <row r="54" spans="1:22" s="161" customFormat="1" ht="16.5" customHeight="1" x14ac:dyDescent="0.25">
      <c r="A54" s="474"/>
      <c r="B54" s="474"/>
      <c r="C54" s="474"/>
      <c r="D54" s="483" t="s">
        <v>2659</v>
      </c>
      <c r="E54" s="496" t="s">
        <v>3477</v>
      </c>
      <c r="F54" s="497"/>
      <c r="G54" s="497"/>
      <c r="H54" s="497"/>
      <c r="I54" s="497"/>
      <c r="J54" s="497"/>
      <c r="K54" s="498"/>
      <c r="L54" s="482" t="s">
        <v>2772</v>
      </c>
      <c r="M54" s="482"/>
      <c r="N54" s="482"/>
      <c r="O54" s="482"/>
      <c r="P54" s="482"/>
      <c r="Q54" s="482"/>
      <c r="R54" s="482"/>
      <c r="S54" s="477"/>
      <c r="T54" s="200"/>
      <c r="U54" s="202"/>
      <c r="V54" s="202"/>
    </row>
    <row r="55" spans="1:22" s="185" customFormat="1" ht="112.5" customHeight="1" x14ac:dyDescent="0.25">
      <c r="A55" s="475"/>
      <c r="B55" s="475"/>
      <c r="C55" s="475"/>
      <c r="D55" s="484"/>
      <c r="E55" s="229" t="s">
        <v>2757</v>
      </c>
      <c r="F55" s="223" t="s">
        <v>4497</v>
      </c>
      <c r="G55" s="224" t="s">
        <v>4498</v>
      </c>
      <c r="H55" s="224" t="s">
        <v>3475</v>
      </c>
      <c r="I55" s="224" t="s">
        <v>3476</v>
      </c>
      <c r="J55" s="223" t="s">
        <v>2771</v>
      </c>
      <c r="K55" s="328" t="s">
        <v>2770</v>
      </c>
      <c r="L55" s="225" t="s">
        <v>2757</v>
      </c>
      <c r="M55" s="223" t="str">
        <f>F55</f>
        <v>Thực hiện   kỳ này Công ty TNHH Tân Khánh Hòa KH</v>
      </c>
      <c r="N55" s="223" t="str">
        <f>G55</f>
        <v>Thực hiện kỳ này Công ty TNHH Cơ điện  Khánh Hòa</v>
      </c>
      <c r="O55" s="223" t="str">
        <f>H55</f>
        <v>Thực hiện kỳ này công ty CP QL và XD Đường bộ KH</v>
      </c>
      <c r="P55" s="223" t="str">
        <f>I55</f>
        <v>Thực hiện kỳ này Công ty Cơ điện lạnh Đông Sapa</v>
      </c>
      <c r="Q55" s="225" t="s">
        <v>2758</v>
      </c>
      <c r="R55" s="341" t="s">
        <v>2770</v>
      </c>
      <c r="S55" s="477"/>
      <c r="T55" s="200"/>
      <c r="U55" s="201"/>
      <c r="V55" s="201"/>
    </row>
    <row r="56" spans="1:22" ht="15.75" x14ac:dyDescent="0.25">
      <c r="A56" s="230" t="s">
        <v>1</v>
      </c>
      <c r="B56" s="231" t="s">
        <v>2</v>
      </c>
      <c r="C56" s="230" t="s">
        <v>3</v>
      </c>
      <c r="D56" s="232"/>
      <c r="E56" s="232"/>
      <c r="F56" s="233"/>
      <c r="G56" s="232"/>
      <c r="H56" s="232"/>
      <c r="I56" s="232"/>
      <c r="J56" s="233"/>
      <c r="K56" s="329"/>
      <c r="L56" s="226"/>
      <c r="M56" s="227"/>
      <c r="N56" s="227"/>
      <c r="O56" s="227"/>
      <c r="P56" s="227"/>
      <c r="Q56" s="227"/>
      <c r="R56" s="342"/>
      <c r="S56" s="203"/>
      <c r="T56" s="200"/>
      <c r="U56" s="201"/>
      <c r="V56" s="201"/>
    </row>
    <row r="57" spans="1:22" ht="15.75" x14ac:dyDescent="0.25">
      <c r="A57" s="234" t="s">
        <v>4</v>
      </c>
      <c r="B57" s="235" t="s">
        <v>5</v>
      </c>
      <c r="C57" s="234" t="s">
        <v>6</v>
      </c>
      <c r="D57" s="312">
        <v>6556.9</v>
      </c>
      <c r="E57" s="312"/>
      <c r="F57" s="248">
        <f>D57*0.9</f>
        <v>5901.21</v>
      </c>
      <c r="G57" s="312"/>
      <c r="H57" s="312"/>
      <c r="I57" s="312"/>
      <c r="J57" s="248">
        <f>F57+G57+H57+I57</f>
        <v>5901.21</v>
      </c>
      <c r="K57" s="330">
        <f>J57-D57</f>
        <v>-655.6899999999996</v>
      </c>
      <c r="L57" s="228"/>
      <c r="M57" s="228">
        <f>F57</f>
        <v>5901.21</v>
      </c>
      <c r="N57" s="228">
        <f t="shared" ref="N57:P72" si="0">G57</f>
        <v>0</v>
      </c>
      <c r="O57" s="228">
        <f>H57</f>
        <v>0</v>
      </c>
      <c r="P57" s="228">
        <f>I57</f>
        <v>0</v>
      </c>
      <c r="Q57" s="228">
        <f>M57+N57+O57+P57</f>
        <v>5901.21</v>
      </c>
      <c r="R57" s="343">
        <f>Q57-D57</f>
        <v>-655.6899999999996</v>
      </c>
      <c r="S57" s="204"/>
      <c r="T57" s="200"/>
      <c r="U57" s="205"/>
      <c r="V57" s="201"/>
    </row>
    <row r="58" spans="1:22" ht="15.75" x14ac:dyDescent="0.25">
      <c r="A58" s="234" t="s">
        <v>7</v>
      </c>
      <c r="B58" s="235" t="s">
        <v>8</v>
      </c>
      <c r="C58" s="234" t="s">
        <v>9</v>
      </c>
      <c r="D58" s="312">
        <v>203</v>
      </c>
      <c r="E58" s="312"/>
      <c r="F58" s="248">
        <f>D58</f>
        <v>203</v>
      </c>
      <c r="G58" s="312"/>
      <c r="H58" s="312"/>
      <c r="I58" s="312"/>
      <c r="J58" s="248">
        <f t="shared" ref="J58:J121" si="1">F58+G58+H58+I58</f>
        <v>203</v>
      </c>
      <c r="K58" s="330">
        <f t="shared" ref="K58:K121" si="2">J58-D58</f>
        <v>0</v>
      </c>
      <c r="L58" s="313"/>
      <c r="M58" s="228">
        <f t="shared" ref="M58:M121" si="3">F58</f>
        <v>203</v>
      </c>
      <c r="N58" s="228">
        <f t="shared" si="0"/>
        <v>0</v>
      </c>
      <c r="O58" s="228">
        <f t="shared" si="0"/>
        <v>0</v>
      </c>
      <c r="P58" s="228">
        <f t="shared" si="0"/>
        <v>0</v>
      </c>
      <c r="Q58" s="228">
        <f t="shared" ref="Q58:Q121" si="4">M58+N58+O58+P58</f>
        <v>203</v>
      </c>
      <c r="R58" s="343">
        <f t="shared" ref="R58:R121" si="5">Q58-D58</f>
        <v>0</v>
      </c>
      <c r="S58" s="237"/>
      <c r="T58" s="200"/>
      <c r="U58" s="205"/>
      <c r="V58" s="201"/>
    </row>
    <row r="59" spans="1:22" ht="35.25" customHeight="1" x14ac:dyDescent="0.25">
      <c r="A59" s="234" t="s">
        <v>10</v>
      </c>
      <c r="B59" s="235" t="s">
        <v>11</v>
      </c>
      <c r="C59" s="234" t="s">
        <v>6</v>
      </c>
      <c r="D59" s="312">
        <v>2892.75</v>
      </c>
      <c r="E59" s="312"/>
      <c r="F59" s="248">
        <f>D59*0.75</f>
        <v>2169.5625</v>
      </c>
      <c r="G59" s="312"/>
      <c r="H59" s="312"/>
      <c r="I59" s="312"/>
      <c r="J59" s="248">
        <f t="shared" si="1"/>
        <v>2169.5625</v>
      </c>
      <c r="K59" s="330">
        <f t="shared" si="2"/>
        <v>-723.1875</v>
      </c>
      <c r="L59" s="228"/>
      <c r="M59" s="228">
        <f t="shared" si="3"/>
        <v>2169.5625</v>
      </c>
      <c r="N59" s="228">
        <f t="shared" si="0"/>
        <v>0</v>
      </c>
      <c r="O59" s="228">
        <f t="shared" si="0"/>
        <v>0</v>
      </c>
      <c r="P59" s="228">
        <f t="shared" si="0"/>
        <v>0</v>
      </c>
      <c r="Q59" s="228">
        <f t="shared" si="4"/>
        <v>2169.5625</v>
      </c>
      <c r="R59" s="343">
        <f t="shared" si="5"/>
        <v>-723.1875</v>
      </c>
      <c r="S59" s="238"/>
      <c r="T59" s="200"/>
      <c r="U59" s="206"/>
      <c r="V59" s="207"/>
    </row>
    <row r="60" spans="1:22" ht="51" customHeight="1" x14ac:dyDescent="0.25">
      <c r="A60" s="234" t="s">
        <v>12</v>
      </c>
      <c r="B60" s="235" t="s">
        <v>13</v>
      </c>
      <c r="C60" s="234" t="s">
        <v>14</v>
      </c>
      <c r="D60" s="312">
        <v>57.631</v>
      </c>
      <c r="E60" s="312"/>
      <c r="F60" s="248">
        <f>D60*0.75</f>
        <v>43.22325</v>
      </c>
      <c r="G60" s="312"/>
      <c r="H60" s="312"/>
      <c r="I60" s="312"/>
      <c r="J60" s="248">
        <f t="shared" si="1"/>
        <v>43.22325</v>
      </c>
      <c r="K60" s="330">
        <f t="shared" si="2"/>
        <v>-14.40775</v>
      </c>
      <c r="L60" s="313"/>
      <c r="M60" s="228">
        <f t="shared" si="3"/>
        <v>43.22325</v>
      </c>
      <c r="N60" s="228">
        <f t="shared" si="0"/>
        <v>0</v>
      </c>
      <c r="O60" s="228">
        <f t="shared" si="0"/>
        <v>0</v>
      </c>
      <c r="P60" s="228">
        <f t="shared" si="0"/>
        <v>0</v>
      </c>
      <c r="Q60" s="228">
        <f t="shared" si="4"/>
        <v>43.22325</v>
      </c>
      <c r="R60" s="343">
        <f t="shared" si="5"/>
        <v>-14.40775</v>
      </c>
      <c r="S60" s="237"/>
      <c r="T60" s="200"/>
      <c r="U60" s="206"/>
      <c r="V60" s="201"/>
    </row>
    <row r="61" spans="1:22" ht="51.75" customHeight="1" x14ac:dyDescent="0.25">
      <c r="A61" s="234" t="s">
        <v>15</v>
      </c>
      <c r="B61" s="235" t="s">
        <v>16</v>
      </c>
      <c r="C61" s="234" t="s">
        <v>14</v>
      </c>
      <c r="D61" s="312">
        <v>6.0000000000000001E-3</v>
      </c>
      <c r="E61" s="312"/>
      <c r="F61" s="248"/>
      <c r="G61" s="312"/>
      <c r="H61" s="312"/>
      <c r="I61" s="312"/>
      <c r="J61" s="248">
        <f t="shared" si="1"/>
        <v>0</v>
      </c>
      <c r="K61" s="330">
        <f t="shared" si="2"/>
        <v>-6.0000000000000001E-3</v>
      </c>
      <c r="L61" s="228"/>
      <c r="M61" s="228">
        <f t="shared" si="3"/>
        <v>0</v>
      </c>
      <c r="N61" s="228">
        <f t="shared" si="0"/>
        <v>0</v>
      </c>
      <c r="O61" s="228">
        <f t="shared" si="0"/>
        <v>0</v>
      </c>
      <c r="P61" s="228">
        <f t="shared" si="0"/>
        <v>0</v>
      </c>
      <c r="Q61" s="228">
        <f t="shared" si="4"/>
        <v>0</v>
      </c>
      <c r="R61" s="343">
        <f t="shared" si="5"/>
        <v>-6.0000000000000001E-3</v>
      </c>
      <c r="S61" s="208"/>
      <c r="T61" s="200"/>
      <c r="U61" s="201"/>
      <c r="V61" s="201"/>
    </row>
    <row r="62" spans="1:22" ht="55.5" customHeight="1" x14ac:dyDescent="0.25">
      <c r="A62" s="234" t="s">
        <v>17</v>
      </c>
      <c r="B62" s="235" t="s">
        <v>18</v>
      </c>
      <c r="C62" s="234" t="s">
        <v>14</v>
      </c>
      <c r="D62" s="312">
        <v>6.7290000000000001</v>
      </c>
      <c r="E62" s="312"/>
      <c r="F62" s="248"/>
      <c r="G62" s="312"/>
      <c r="H62" s="312"/>
      <c r="I62" s="312"/>
      <c r="J62" s="248">
        <f t="shared" si="1"/>
        <v>0</v>
      </c>
      <c r="K62" s="330">
        <f t="shared" si="2"/>
        <v>-6.7290000000000001</v>
      </c>
      <c r="L62" s="314"/>
      <c r="M62" s="228">
        <f t="shared" si="3"/>
        <v>0</v>
      </c>
      <c r="N62" s="228">
        <f t="shared" si="0"/>
        <v>0</v>
      </c>
      <c r="O62" s="228">
        <f t="shared" si="0"/>
        <v>0</v>
      </c>
      <c r="P62" s="228">
        <f t="shared" si="0"/>
        <v>0</v>
      </c>
      <c r="Q62" s="228">
        <f t="shared" si="4"/>
        <v>0</v>
      </c>
      <c r="R62" s="343">
        <f t="shared" si="5"/>
        <v>-6.7290000000000001</v>
      </c>
      <c r="S62" s="209"/>
      <c r="T62" s="200"/>
      <c r="U62" s="201"/>
      <c r="V62" s="201"/>
    </row>
    <row r="63" spans="1:22" ht="30" x14ac:dyDescent="0.25">
      <c r="A63" s="234" t="s">
        <v>19</v>
      </c>
      <c r="B63" s="235" t="s">
        <v>20</v>
      </c>
      <c r="C63" s="234" t="s">
        <v>21</v>
      </c>
      <c r="D63" s="312">
        <v>203</v>
      </c>
      <c r="E63" s="312"/>
      <c r="F63" s="248"/>
      <c r="G63" s="312"/>
      <c r="H63" s="312"/>
      <c r="I63" s="312"/>
      <c r="J63" s="248">
        <f t="shared" si="1"/>
        <v>0</v>
      </c>
      <c r="K63" s="330">
        <f t="shared" si="2"/>
        <v>-203</v>
      </c>
      <c r="L63" s="315"/>
      <c r="M63" s="228">
        <f t="shared" si="3"/>
        <v>0</v>
      </c>
      <c r="N63" s="228">
        <f t="shared" si="0"/>
        <v>0</v>
      </c>
      <c r="O63" s="228">
        <f t="shared" si="0"/>
        <v>0</v>
      </c>
      <c r="P63" s="228">
        <f t="shared" si="0"/>
        <v>0</v>
      </c>
      <c r="Q63" s="228">
        <f t="shared" si="4"/>
        <v>0</v>
      </c>
      <c r="R63" s="343">
        <f t="shared" si="5"/>
        <v>-203</v>
      </c>
      <c r="S63" s="203"/>
      <c r="T63" s="200"/>
      <c r="U63" s="201"/>
      <c r="V63" s="201"/>
    </row>
    <row r="64" spans="1:22" ht="15.75" x14ac:dyDescent="0.25">
      <c r="A64" s="234" t="s">
        <v>22</v>
      </c>
      <c r="B64" s="235" t="s">
        <v>23</v>
      </c>
      <c r="C64" s="234" t="s">
        <v>24</v>
      </c>
      <c r="D64" s="312">
        <v>203</v>
      </c>
      <c r="E64" s="312"/>
      <c r="F64" s="248"/>
      <c r="G64" s="312"/>
      <c r="H64" s="312"/>
      <c r="I64" s="312"/>
      <c r="J64" s="248">
        <f t="shared" si="1"/>
        <v>0</v>
      </c>
      <c r="K64" s="330">
        <f t="shared" si="2"/>
        <v>-203</v>
      </c>
      <c r="L64" s="228"/>
      <c r="M64" s="228">
        <f t="shared" si="3"/>
        <v>0</v>
      </c>
      <c r="N64" s="228">
        <f t="shared" si="0"/>
        <v>0</v>
      </c>
      <c r="O64" s="228">
        <f t="shared" si="0"/>
        <v>0</v>
      </c>
      <c r="P64" s="228">
        <f t="shared" si="0"/>
        <v>0</v>
      </c>
      <c r="Q64" s="228">
        <f t="shared" si="4"/>
        <v>0</v>
      </c>
      <c r="R64" s="343">
        <f t="shared" si="5"/>
        <v>-203</v>
      </c>
      <c r="S64" s="204"/>
      <c r="T64" s="200"/>
      <c r="U64" s="201"/>
      <c r="V64" s="201"/>
    </row>
    <row r="65" spans="1:22" ht="33.75" customHeight="1" x14ac:dyDescent="0.25">
      <c r="A65" s="234" t="s">
        <v>25</v>
      </c>
      <c r="B65" s="235" t="s">
        <v>26</v>
      </c>
      <c r="C65" s="234" t="s">
        <v>27</v>
      </c>
      <c r="D65" s="312">
        <v>0.34399999999999997</v>
      </c>
      <c r="E65" s="312"/>
      <c r="F65" s="248"/>
      <c r="G65" s="312"/>
      <c r="H65" s="312"/>
      <c r="I65" s="312"/>
      <c r="J65" s="248">
        <f t="shared" si="1"/>
        <v>0</v>
      </c>
      <c r="K65" s="330">
        <f t="shared" si="2"/>
        <v>-0.34399999999999997</v>
      </c>
      <c r="L65" s="313"/>
      <c r="M65" s="228">
        <f t="shared" si="3"/>
        <v>0</v>
      </c>
      <c r="N65" s="228">
        <f t="shared" si="0"/>
        <v>0</v>
      </c>
      <c r="O65" s="228">
        <f t="shared" si="0"/>
        <v>0</v>
      </c>
      <c r="P65" s="228">
        <f t="shared" si="0"/>
        <v>0</v>
      </c>
      <c r="Q65" s="228">
        <f t="shared" si="4"/>
        <v>0</v>
      </c>
      <c r="R65" s="343">
        <f t="shared" si="5"/>
        <v>-0.34399999999999997</v>
      </c>
      <c r="S65" s="210"/>
      <c r="T65" s="200"/>
      <c r="U65" s="201"/>
      <c r="V65" s="201"/>
    </row>
    <row r="66" spans="1:22" ht="36" customHeight="1" x14ac:dyDescent="0.25">
      <c r="A66" s="234" t="s">
        <v>28</v>
      </c>
      <c r="B66" s="235" t="s">
        <v>29</v>
      </c>
      <c r="C66" s="234" t="s">
        <v>27</v>
      </c>
      <c r="D66" s="312">
        <v>0.34399999999999997</v>
      </c>
      <c r="E66" s="312"/>
      <c r="F66" s="248"/>
      <c r="G66" s="312"/>
      <c r="H66" s="312"/>
      <c r="I66" s="312"/>
      <c r="J66" s="248">
        <f t="shared" si="1"/>
        <v>0</v>
      </c>
      <c r="K66" s="330">
        <f t="shared" si="2"/>
        <v>-0.34399999999999997</v>
      </c>
      <c r="L66" s="313"/>
      <c r="M66" s="228">
        <f t="shared" si="3"/>
        <v>0</v>
      </c>
      <c r="N66" s="228">
        <f t="shared" si="0"/>
        <v>0</v>
      </c>
      <c r="O66" s="228">
        <f t="shared" si="0"/>
        <v>0</v>
      </c>
      <c r="P66" s="228">
        <f t="shared" si="0"/>
        <v>0</v>
      </c>
      <c r="Q66" s="228">
        <f t="shared" si="4"/>
        <v>0</v>
      </c>
      <c r="R66" s="343">
        <f t="shared" si="5"/>
        <v>-0.34399999999999997</v>
      </c>
      <c r="S66" s="239"/>
      <c r="T66" s="201"/>
      <c r="U66" s="201"/>
      <c r="V66" s="201"/>
    </row>
    <row r="67" spans="1:22" ht="36.75" customHeight="1" x14ac:dyDescent="0.25">
      <c r="A67" s="234" t="s">
        <v>30</v>
      </c>
      <c r="B67" s="235" t="s">
        <v>31</v>
      </c>
      <c r="C67" s="234" t="s">
        <v>32</v>
      </c>
      <c r="D67" s="312">
        <v>9.3539999999999992</v>
      </c>
      <c r="E67" s="312"/>
      <c r="F67" s="248"/>
      <c r="G67" s="312"/>
      <c r="H67" s="312"/>
      <c r="I67" s="312"/>
      <c r="J67" s="248">
        <f t="shared" si="1"/>
        <v>0</v>
      </c>
      <c r="K67" s="330">
        <f t="shared" si="2"/>
        <v>-9.3539999999999992</v>
      </c>
      <c r="L67" s="313"/>
      <c r="M67" s="228">
        <f t="shared" si="3"/>
        <v>0</v>
      </c>
      <c r="N67" s="228">
        <f t="shared" si="0"/>
        <v>0</v>
      </c>
      <c r="O67" s="228">
        <f t="shared" si="0"/>
        <v>0</v>
      </c>
      <c r="P67" s="228">
        <f t="shared" si="0"/>
        <v>0</v>
      </c>
      <c r="Q67" s="228">
        <f t="shared" si="4"/>
        <v>0</v>
      </c>
      <c r="R67" s="343">
        <f t="shared" si="5"/>
        <v>-9.3539999999999992</v>
      </c>
      <c r="S67" s="239"/>
      <c r="T67" s="201"/>
      <c r="U67" s="201"/>
      <c r="V67" s="201"/>
    </row>
    <row r="68" spans="1:22" ht="33.75" customHeight="1" x14ac:dyDescent="0.25">
      <c r="A68" s="234" t="s">
        <v>33</v>
      </c>
      <c r="B68" s="235" t="s">
        <v>34</v>
      </c>
      <c r="C68" s="234" t="s">
        <v>32</v>
      </c>
      <c r="D68" s="312">
        <v>9.3539999999999992</v>
      </c>
      <c r="E68" s="312"/>
      <c r="F68" s="248"/>
      <c r="G68" s="312"/>
      <c r="H68" s="312"/>
      <c r="I68" s="312"/>
      <c r="J68" s="248">
        <f t="shared" si="1"/>
        <v>0</v>
      </c>
      <c r="K68" s="330">
        <f t="shared" si="2"/>
        <v>-9.3539999999999992</v>
      </c>
      <c r="L68" s="313"/>
      <c r="M68" s="228">
        <f t="shared" si="3"/>
        <v>0</v>
      </c>
      <c r="N68" s="228">
        <f t="shared" si="0"/>
        <v>0</v>
      </c>
      <c r="O68" s="228">
        <f t="shared" si="0"/>
        <v>0</v>
      </c>
      <c r="P68" s="228">
        <f t="shared" si="0"/>
        <v>0</v>
      </c>
      <c r="Q68" s="228">
        <f t="shared" si="4"/>
        <v>0</v>
      </c>
      <c r="R68" s="343">
        <f t="shared" si="5"/>
        <v>-9.3539999999999992</v>
      </c>
      <c r="S68" s="239"/>
      <c r="T68" s="201"/>
      <c r="U68" s="201"/>
      <c r="V68" s="201"/>
    </row>
    <row r="69" spans="1:22" ht="39.75" customHeight="1" x14ac:dyDescent="0.25">
      <c r="A69" s="234" t="s">
        <v>35</v>
      </c>
      <c r="B69" s="235" t="s">
        <v>36</v>
      </c>
      <c r="C69" s="234" t="s">
        <v>37</v>
      </c>
      <c r="D69" s="312">
        <v>53.408999999999999</v>
      </c>
      <c r="E69" s="312"/>
      <c r="F69" s="248"/>
      <c r="G69" s="312"/>
      <c r="H69" s="312"/>
      <c r="I69" s="312"/>
      <c r="J69" s="248">
        <f t="shared" si="1"/>
        <v>0</v>
      </c>
      <c r="K69" s="330">
        <f t="shared" si="2"/>
        <v>-53.408999999999999</v>
      </c>
      <c r="L69" s="313"/>
      <c r="M69" s="228">
        <f t="shared" si="3"/>
        <v>0</v>
      </c>
      <c r="N69" s="228">
        <f t="shared" si="0"/>
        <v>0</v>
      </c>
      <c r="O69" s="228">
        <f t="shared" si="0"/>
        <v>0</v>
      </c>
      <c r="P69" s="228">
        <f t="shared" si="0"/>
        <v>0</v>
      </c>
      <c r="Q69" s="228">
        <f t="shared" si="4"/>
        <v>0</v>
      </c>
      <c r="R69" s="343">
        <f t="shared" si="5"/>
        <v>-53.408999999999999</v>
      </c>
      <c r="S69" s="239"/>
      <c r="T69" s="201"/>
      <c r="U69" s="201"/>
      <c r="V69" s="201"/>
    </row>
    <row r="70" spans="1:22" ht="15.75" x14ac:dyDescent="0.25">
      <c r="A70" s="230" t="s">
        <v>38</v>
      </c>
      <c r="B70" s="231" t="s">
        <v>39</v>
      </c>
      <c r="C70" s="230" t="s">
        <v>3</v>
      </c>
      <c r="D70" s="316"/>
      <c r="E70" s="316"/>
      <c r="F70" s="317"/>
      <c r="G70" s="316"/>
      <c r="H70" s="316"/>
      <c r="I70" s="316"/>
      <c r="J70" s="248">
        <f t="shared" si="1"/>
        <v>0</v>
      </c>
      <c r="K70" s="330">
        <f t="shared" si="2"/>
        <v>0</v>
      </c>
      <c r="L70" s="318"/>
      <c r="M70" s="228">
        <f t="shared" si="3"/>
        <v>0</v>
      </c>
      <c r="N70" s="228">
        <f t="shared" si="0"/>
        <v>0</v>
      </c>
      <c r="O70" s="228">
        <f t="shared" si="0"/>
        <v>0</v>
      </c>
      <c r="P70" s="228">
        <f t="shared" si="0"/>
        <v>0</v>
      </c>
      <c r="Q70" s="228">
        <f t="shared" si="4"/>
        <v>0</v>
      </c>
      <c r="R70" s="343">
        <f t="shared" si="5"/>
        <v>0</v>
      </c>
      <c r="S70" s="239"/>
      <c r="T70" s="201"/>
      <c r="U70" s="201"/>
      <c r="V70" s="201"/>
    </row>
    <row r="71" spans="1:22" s="92" customFormat="1" ht="35.25" customHeight="1" x14ac:dyDescent="0.25">
      <c r="A71" s="234" t="s">
        <v>40</v>
      </c>
      <c r="B71" s="235" t="s">
        <v>41</v>
      </c>
      <c r="C71" s="234" t="s">
        <v>27</v>
      </c>
      <c r="D71" s="312">
        <v>48.676000000000002</v>
      </c>
      <c r="E71" s="312"/>
      <c r="F71" s="248"/>
      <c r="G71" s="312"/>
      <c r="H71" s="312"/>
      <c r="I71" s="312"/>
      <c r="J71" s="248">
        <f t="shared" si="1"/>
        <v>0</v>
      </c>
      <c r="K71" s="330">
        <f t="shared" si="2"/>
        <v>-48.676000000000002</v>
      </c>
      <c r="L71" s="313"/>
      <c r="M71" s="228">
        <f t="shared" si="3"/>
        <v>0</v>
      </c>
      <c r="N71" s="228">
        <f t="shared" si="0"/>
        <v>0</v>
      </c>
      <c r="O71" s="228">
        <f t="shared" si="0"/>
        <v>0</v>
      </c>
      <c r="P71" s="228">
        <f t="shared" si="0"/>
        <v>0</v>
      </c>
      <c r="Q71" s="228">
        <f t="shared" si="4"/>
        <v>0</v>
      </c>
      <c r="R71" s="343">
        <f t="shared" si="5"/>
        <v>-48.676000000000002</v>
      </c>
      <c r="S71" s="239"/>
      <c r="T71" s="211"/>
      <c r="U71" s="211">
        <v>0.62</v>
      </c>
      <c r="V71" s="211"/>
    </row>
    <row r="72" spans="1:22" s="92" customFormat="1" ht="39.75" customHeight="1" x14ac:dyDescent="0.25">
      <c r="A72" s="234" t="s">
        <v>42</v>
      </c>
      <c r="B72" s="235" t="s">
        <v>43</v>
      </c>
      <c r="C72" s="234" t="s">
        <v>27</v>
      </c>
      <c r="D72" s="312">
        <v>1.31</v>
      </c>
      <c r="E72" s="312"/>
      <c r="F72" s="248"/>
      <c r="G72" s="312"/>
      <c r="H72" s="312"/>
      <c r="I72" s="312"/>
      <c r="J72" s="248">
        <f t="shared" si="1"/>
        <v>0</v>
      </c>
      <c r="K72" s="330">
        <f t="shared" si="2"/>
        <v>-1.31</v>
      </c>
      <c r="L72" s="313"/>
      <c r="M72" s="228">
        <f t="shared" si="3"/>
        <v>0</v>
      </c>
      <c r="N72" s="228">
        <f t="shared" si="0"/>
        <v>0</v>
      </c>
      <c r="O72" s="228">
        <f t="shared" si="0"/>
        <v>0</v>
      </c>
      <c r="P72" s="228">
        <f t="shared" si="0"/>
        <v>0</v>
      </c>
      <c r="Q72" s="228">
        <f t="shared" si="4"/>
        <v>0</v>
      </c>
      <c r="R72" s="343">
        <f t="shared" si="5"/>
        <v>-1.31</v>
      </c>
      <c r="S72" s="239"/>
      <c r="T72" s="211"/>
      <c r="U72" s="211"/>
      <c r="V72" s="211"/>
    </row>
    <row r="73" spans="1:22" s="92" customFormat="1" ht="38.25" customHeight="1" x14ac:dyDescent="0.25">
      <c r="A73" s="234" t="s">
        <v>44</v>
      </c>
      <c r="B73" s="235" t="s">
        <v>45</v>
      </c>
      <c r="C73" s="234" t="s">
        <v>27</v>
      </c>
      <c r="D73" s="312">
        <v>47.234999999999999</v>
      </c>
      <c r="E73" s="312"/>
      <c r="F73" s="248"/>
      <c r="G73" s="312"/>
      <c r="H73" s="312"/>
      <c r="I73" s="312"/>
      <c r="J73" s="248">
        <f t="shared" si="1"/>
        <v>0</v>
      </c>
      <c r="K73" s="330">
        <f t="shared" si="2"/>
        <v>-47.234999999999999</v>
      </c>
      <c r="L73" s="313"/>
      <c r="M73" s="228">
        <f t="shared" si="3"/>
        <v>0</v>
      </c>
      <c r="N73" s="228">
        <f t="shared" ref="N73:N136" si="6">G73</f>
        <v>0</v>
      </c>
      <c r="O73" s="228">
        <f t="shared" ref="O73:P136" si="7">H73</f>
        <v>0</v>
      </c>
      <c r="P73" s="228">
        <f t="shared" si="7"/>
        <v>0</v>
      </c>
      <c r="Q73" s="228">
        <f t="shared" si="4"/>
        <v>0</v>
      </c>
      <c r="R73" s="343">
        <f t="shared" si="5"/>
        <v>-47.234999999999999</v>
      </c>
      <c r="S73" s="239"/>
      <c r="T73" s="211"/>
      <c r="U73" s="211"/>
      <c r="V73" s="211"/>
    </row>
    <row r="74" spans="1:22" s="92" customFormat="1" ht="35.25" customHeight="1" x14ac:dyDescent="0.25">
      <c r="A74" s="234" t="s">
        <v>46</v>
      </c>
      <c r="B74" s="235" t="s">
        <v>47</v>
      </c>
      <c r="C74" s="234" t="s">
        <v>27</v>
      </c>
      <c r="D74" s="312">
        <v>47.234999999999999</v>
      </c>
      <c r="E74" s="312"/>
      <c r="F74" s="248"/>
      <c r="G74" s="312"/>
      <c r="H74" s="312"/>
      <c r="I74" s="312"/>
      <c r="J74" s="248">
        <f t="shared" si="1"/>
        <v>0</v>
      </c>
      <c r="K74" s="330">
        <f t="shared" si="2"/>
        <v>-47.234999999999999</v>
      </c>
      <c r="L74" s="313"/>
      <c r="M74" s="228">
        <f t="shared" si="3"/>
        <v>0</v>
      </c>
      <c r="N74" s="228">
        <f t="shared" si="6"/>
        <v>0</v>
      </c>
      <c r="O74" s="228">
        <f t="shared" si="7"/>
        <v>0</v>
      </c>
      <c r="P74" s="228">
        <f t="shared" si="7"/>
        <v>0</v>
      </c>
      <c r="Q74" s="228">
        <f t="shared" si="4"/>
        <v>0</v>
      </c>
      <c r="R74" s="343">
        <f t="shared" si="5"/>
        <v>-47.234999999999999</v>
      </c>
      <c r="S74" s="239"/>
      <c r="T74" s="211"/>
      <c r="U74" s="211"/>
      <c r="V74" s="211"/>
    </row>
    <row r="75" spans="1:22" ht="36" customHeight="1" x14ac:dyDescent="0.25">
      <c r="A75" s="234" t="s">
        <v>48</v>
      </c>
      <c r="B75" s="235" t="s">
        <v>49</v>
      </c>
      <c r="C75" s="234" t="s">
        <v>37</v>
      </c>
      <c r="D75" s="312">
        <v>157.661</v>
      </c>
      <c r="E75" s="312"/>
      <c r="F75" s="248"/>
      <c r="G75" s="312"/>
      <c r="H75" s="312"/>
      <c r="I75" s="312"/>
      <c r="J75" s="248">
        <f t="shared" si="1"/>
        <v>0</v>
      </c>
      <c r="K75" s="330">
        <f t="shared" si="2"/>
        <v>-157.661</v>
      </c>
      <c r="L75" s="313"/>
      <c r="M75" s="228">
        <f t="shared" si="3"/>
        <v>0</v>
      </c>
      <c r="N75" s="228">
        <f t="shared" si="6"/>
        <v>0</v>
      </c>
      <c r="O75" s="228">
        <f t="shared" si="7"/>
        <v>0</v>
      </c>
      <c r="P75" s="228">
        <f t="shared" si="7"/>
        <v>0</v>
      </c>
      <c r="Q75" s="228">
        <f t="shared" si="4"/>
        <v>0</v>
      </c>
      <c r="R75" s="343">
        <f t="shared" si="5"/>
        <v>-157.661</v>
      </c>
      <c r="S75" s="239"/>
      <c r="T75" s="201"/>
      <c r="U75" s="201"/>
      <c r="V75" s="201"/>
    </row>
    <row r="76" spans="1:22" ht="24" customHeight="1" x14ac:dyDescent="0.25">
      <c r="A76" s="234" t="s">
        <v>50</v>
      </c>
      <c r="B76" s="235" t="s">
        <v>51</v>
      </c>
      <c r="C76" s="234" t="s">
        <v>52</v>
      </c>
      <c r="D76" s="312">
        <v>875.73</v>
      </c>
      <c r="E76" s="312"/>
      <c r="F76" s="248"/>
      <c r="G76" s="312"/>
      <c r="H76" s="312"/>
      <c r="I76" s="312"/>
      <c r="J76" s="248">
        <f t="shared" si="1"/>
        <v>0</v>
      </c>
      <c r="K76" s="330">
        <f t="shared" si="2"/>
        <v>-875.73</v>
      </c>
      <c r="L76" s="313"/>
      <c r="M76" s="228">
        <f t="shared" si="3"/>
        <v>0</v>
      </c>
      <c r="N76" s="228">
        <f t="shared" si="6"/>
        <v>0</v>
      </c>
      <c r="O76" s="228">
        <f t="shared" si="7"/>
        <v>0</v>
      </c>
      <c r="P76" s="228">
        <f t="shared" si="7"/>
        <v>0</v>
      </c>
      <c r="Q76" s="228">
        <f t="shared" si="4"/>
        <v>0</v>
      </c>
      <c r="R76" s="343">
        <f t="shared" si="5"/>
        <v>-875.73</v>
      </c>
      <c r="S76" s="239"/>
      <c r="T76" s="201"/>
      <c r="U76" s="201"/>
      <c r="V76" s="201"/>
    </row>
    <row r="77" spans="1:22" ht="27" customHeight="1" x14ac:dyDescent="0.25">
      <c r="A77" s="234" t="s">
        <v>53</v>
      </c>
      <c r="B77" s="235" t="s">
        <v>54</v>
      </c>
      <c r="C77" s="234" t="s">
        <v>52</v>
      </c>
      <c r="D77" s="312">
        <v>875.73</v>
      </c>
      <c r="E77" s="312"/>
      <c r="F77" s="248"/>
      <c r="G77" s="312"/>
      <c r="H77" s="312"/>
      <c r="I77" s="312"/>
      <c r="J77" s="248">
        <f t="shared" si="1"/>
        <v>0</v>
      </c>
      <c r="K77" s="330">
        <f t="shared" si="2"/>
        <v>-875.73</v>
      </c>
      <c r="L77" s="313"/>
      <c r="M77" s="228">
        <f t="shared" si="3"/>
        <v>0</v>
      </c>
      <c r="N77" s="228">
        <f t="shared" si="6"/>
        <v>0</v>
      </c>
      <c r="O77" s="228">
        <f t="shared" si="7"/>
        <v>0</v>
      </c>
      <c r="P77" s="228">
        <f t="shared" si="7"/>
        <v>0</v>
      </c>
      <c r="Q77" s="228">
        <f t="shared" si="4"/>
        <v>0</v>
      </c>
      <c r="R77" s="343">
        <f t="shared" si="5"/>
        <v>-875.73</v>
      </c>
      <c r="S77" s="239"/>
      <c r="T77" s="201"/>
      <c r="U77" s="201"/>
      <c r="V77" s="201"/>
    </row>
    <row r="78" spans="1:22" ht="48" customHeight="1" x14ac:dyDescent="0.25">
      <c r="A78" s="234" t="s">
        <v>55</v>
      </c>
      <c r="B78" s="235" t="s">
        <v>56</v>
      </c>
      <c r="C78" s="234" t="s">
        <v>37</v>
      </c>
      <c r="D78" s="312">
        <v>9.0749999999999993</v>
      </c>
      <c r="E78" s="312"/>
      <c r="F78" s="248"/>
      <c r="G78" s="312"/>
      <c r="H78" s="312"/>
      <c r="I78" s="312"/>
      <c r="J78" s="248">
        <f t="shared" si="1"/>
        <v>0</v>
      </c>
      <c r="K78" s="330">
        <f t="shared" si="2"/>
        <v>-9.0749999999999993</v>
      </c>
      <c r="L78" s="313"/>
      <c r="M78" s="228">
        <f t="shared" si="3"/>
        <v>0</v>
      </c>
      <c r="N78" s="228">
        <f t="shared" si="6"/>
        <v>0</v>
      </c>
      <c r="O78" s="228">
        <f t="shared" si="7"/>
        <v>0</v>
      </c>
      <c r="P78" s="228">
        <f t="shared" si="7"/>
        <v>0</v>
      </c>
      <c r="Q78" s="228">
        <f t="shared" si="4"/>
        <v>0</v>
      </c>
      <c r="R78" s="343">
        <f t="shared" si="5"/>
        <v>-9.0749999999999993</v>
      </c>
      <c r="S78" s="239"/>
      <c r="T78" s="201"/>
      <c r="U78" s="201"/>
      <c r="V78" s="201"/>
    </row>
    <row r="79" spans="1:22" ht="45" x14ac:dyDescent="0.25">
      <c r="A79" s="234" t="s">
        <v>57</v>
      </c>
      <c r="B79" s="235" t="s">
        <v>58</v>
      </c>
      <c r="C79" s="234" t="s">
        <v>37</v>
      </c>
      <c r="D79" s="312">
        <v>1025.075</v>
      </c>
      <c r="E79" s="312"/>
      <c r="F79" s="248"/>
      <c r="G79" s="312"/>
      <c r="H79" s="312"/>
      <c r="I79" s="312"/>
      <c r="J79" s="248">
        <f t="shared" si="1"/>
        <v>0</v>
      </c>
      <c r="K79" s="330">
        <f t="shared" si="2"/>
        <v>-1025.075</v>
      </c>
      <c r="L79" s="313"/>
      <c r="M79" s="228">
        <f t="shared" si="3"/>
        <v>0</v>
      </c>
      <c r="N79" s="228">
        <f t="shared" si="6"/>
        <v>0</v>
      </c>
      <c r="O79" s="228">
        <f t="shared" si="7"/>
        <v>0</v>
      </c>
      <c r="P79" s="228">
        <f t="shared" si="7"/>
        <v>0</v>
      </c>
      <c r="Q79" s="228">
        <f t="shared" si="4"/>
        <v>0</v>
      </c>
      <c r="R79" s="343">
        <f t="shared" si="5"/>
        <v>-1025.075</v>
      </c>
      <c r="S79" s="239"/>
      <c r="T79" s="201"/>
      <c r="U79" s="201"/>
      <c r="V79" s="201"/>
    </row>
    <row r="80" spans="1:22" ht="15.75" x14ac:dyDescent="0.25">
      <c r="A80" s="234" t="s">
        <v>59</v>
      </c>
      <c r="B80" s="235" t="s">
        <v>60</v>
      </c>
      <c r="C80" s="234" t="s">
        <v>61</v>
      </c>
      <c r="D80" s="312">
        <v>8.5640000000000001</v>
      </c>
      <c r="E80" s="312"/>
      <c r="F80" s="248"/>
      <c r="G80" s="312"/>
      <c r="H80" s="312"/>
      <c r="I80" s="312"/>
      <c r="J80" s="248">
        <f t="shared" si="1"/>
        <v>0</v>
      </c>
      <c r="K80" s="330">
        <f t="shared" si="2"/>
        <v>-8.5640000000000001</v>
      </c>
      <c r="L80" s="313"/>
      <c r="M80" s="228">
        <f t="shared" si="3"/>
        <v>0</v>
      </c>
      <c r="N80" s="228">
        <f t="shared" si="6"/>
        <v>0</v>
      </c>
      <c r="O80" s="228">
        <f t="shared" si="7"/>
        <v>0</v>
      </c>
      <c r="P80" s="228">
        <f t="shared" si="7"/>
        <v>0</v>
      </c>
      <c r="Q80" s="228">
        <f t="shared" si="4"/>
        <v>0</v>
      </c>
      <c r="R80" s="343">
        <f t="shared" si="5"/>
        <v>-8.5640000000000001</v>
      </c>
      <c r="S80" s="239"/>
      <c r="T80" s="201"/>
      <c r="U80" s="201"/>
      <c r="V80" s="201"/>
    </row>
    <row r="81" spans="1:22" ht="15.75" x14ac:dyDescent="0.25">
      <c r="A81" s="234" t="s">
        <v>62</v>
      </c>
      <c r="B81" s="235" t="s">
        <v>63</v>
      </c>
      <c r="C81" s="234" t="s">
        <v>32</v>
      </c>
      <c r="D81" s="312">
        <v>0.01</v>
      </c>
      <c r="E81" s="312"/>
      <c r="F81" s="248">
        <f>D81*$U$71</f>
        <v>6.1999999999999998E-3</v>
      </c>
      <c r="G81" s="312"/>
      <c r="H81" s="312"/>
      <c r="I81" s="312"/>
      <c r="J81" s="248">
        <f t="shared" si="1"/>
        <v>6.1999999999999998E-3</v>
      </c>
      <c r="K81" s="330">
        <f t="shared" si="2"/>
        <v>-3.8000000000000004E-3</v>
      </c>
      <c r="L81" s="313"/>
      <c r="M81" s="228">
        <f t="shared" si="3"/>
        <v>6.1999999999999998E-3</v>
      </c>
      <c r="N81" s="228">
        <f t="shared" si="6"/>
        <v>0</v>
      </c>
      <c r="O81" s="228">
        <f t="shared" si="7"/>
        <v>0</v>
      </c>
      <c r="P81" s="228">
        <f t="shared" si="7"/>
        <v>0</v>
      </c>
      <c r="Q81" s="228">
        <f t="shared" si="4"/>
        <v>6.1999999999999998E-3</v>
      </c>
      <c r="R81" s="343">
        <f t="shared" si="5"/>
        <v>-3.8000000000000004E-3</v>
      </c>
      <c r="S81" s="239"/>
      <c r="T81" s="201"/>
      <c r="U81" s="201"/>
      <c r="V81" s="201"/>
    </row>
    <row r="82" spans="1:22" ht="15.75" x14ac:dyDescent="0.25">
      <c r="A82" s="234" t="s">
        <v>64</v>
      </c>
      <c r="B82" s="235" t="s">
        <v>65</v>
      </c>
      <c r="C82" s="234" t="s">
        <v>32</v>
      </c>
      <c r="D82" s="312">
        <v>21.879000000000001</v>
      </c>
      <c r="E82" s="312"/>
      <c r="F82" s="248">
        <f>D82*$U$71</f>
        <v>13.56498</v>
      </c>
      <c r="G82" s="312"/>
      <c r="H82" s="312"/>
      <c r="I82" s="312"/>
      <c r="J82" s="248">
        <f t="shared" si="1"/>
        <v>13.56498</v>
      </c>
      <c r="K82" s="330">
        <f t="shared" si="2"/>
        <v>-8.3140200000000011</v>
      </c>
      <c r="L82" s="313"/>
      <c r="M82" s="228">
        <f t="shared" si="3"/>
        <v>13.56498</v>
      </c>
      <c r="N82" s="228">
        <f t="shared" si="6"/>
        <v>0</v>
      </c>
      <c r="O82" s="228">
        <f t="shared" si="7"/>
        <v>0</v>
      </c>
      <c r="P82" s="228">
        <f t="shared" si="7"/>
        <v>0</v>
      </c>
      <c r="Q82" s="228">
        <f t="shared" si="4"/>
        <v>13.56498</v>
      </c>
      <c r="R82" s="343">
        <f t="shared" si="5"/>
        <v>-8.3140200000000011</v>
      </c>
      <c r="S82" s="239"/>
      <c r="T82" s="201"/>
      <c r="U82" s="201"/>
      <c r="V82" s="201"/>
    </row>
    <row r="83" spans="1:22" ht="15.75" x14ac:dyDescent="0.25">
      <c r="A83" s="234" t="s">
        <v>66</v>
      </c>
      <c r="B83" s="235" t="s">
        <v>67</v>
      </c>
      <c r="C83" s="234" t="s">
        <v>32</v>
      </c>
      <c r="D83" s="312">
        <v>29.372</v>
      </c>
      <c r="E83" s="312"/>
      <c r="F83" s="248">
        <f>D83*$U$71</f>
        <v>18.210640000000001</v>
      </c>
      <c r="G83" s="312"/>
      <c r="H83" s="312"/>
      <c r="I83" s="312"/>
      <c r="J83" s="248">
        <f t="shared" si="1"/>
        <v>18.210640000000001</v>
      </c>
      <c r="K83" s="330">
        <f t="shared" si="2"/>
        <v>-11.161359999999998</v>
      </c>
      <c r="L83" s="313"/>
      <c r="M83" s="228">
        <f t="shared" si="3"/>
        <v>18.210640000000001</v>
      </c>
      <c r="N83" s="228">
        <f t="shared" si="6"/>
        <v>0</v>
      </c>
      <c r="O83" s="228">
        <f t="shared" si="7"/>
        <v>0</v>
      </c>
      <c r="P83" s="228">
        <f t="shared" si="7"/>
        <v>0</v>
      </c>
      <c r="Q83" s="228">
        <f t="shared" si="4"/>
        <v>18.210640000000001</v>
      </c>
      <c r="R83" s="343">
        <f t="shared" si="5"/>
        <v>-11.161359999999998</v>
      </c>
      <c r="S83" s="239"/>
      <c r="T83" s="201"/>
      <c r="U83" s="201"/>
      <c r="V83" s="201"/>
    </row>
    <row r="84" spans="1:22" ht="30" x14ac:dyDescent="0.25">
      <c r="A84" s="234" t="s">
        <v>68</v>
      </c>
      <c r="B84" s="235" t="s">
        <v>69</v>
      </c>
      <c r="C84" s="234" t="s">
        <v>37</v>
      </c>
      <c r="D84" s="312">
        <v>73.313999999999993</v>
      </c>
      <c r="E84" s="312"/>
      <c r="F84" s="248"/>
      <c r="G84" s="312"/>
      <c r="H84" s="312"/>
      <c r="I84" s="312"/>
      <c r="J84" s="248">
        <f t="shared" si="1"/>
        <v>0</v>
      </c>
      <c r="K84" s="330">
        <f t="shared" si="2"/>
        <v>-73.313999999999993</v>
      </c>
      <c r="L84" s="313"/>
      <c r="M84" s="228">
        <f t="shared" si="3"/>
        <v>0</v>
      </c>
      <c r="N84" s="228">
        <f t="shared" si="6"/>
        <v>0</v>
      </c>
      <c r="O84" s="228">
        <f t="shared" si="7"/>
        <v>0</v>
      </c>
      <c r="P84" s="228">
        <f t="shared" si="7"/>
        <v>0</v>
      </c>
      <c r="Q84" s="228">
        <f t="shared" si="4"/>
        <v>0</v>
      </c>
      <c r="R84" s="343">
        <f t="shared" si="5"/>
        <v>-73.313999999999993</v>
      </c>
      <c r="S84" s="239"/>
      <c r="T84" s="201"/>
      <c r="U84" s="201"/>
      <c r="V84" s="201"/>
    </row>
    <row r="85" spans="1:22" ht="15.75" x14ac:dyDescent="0.25">
      <c r="A85" s="234" t="s">
        <v>70</v>
      </c>
      <c r="B85" s="235" t="s">
        <v>71</v>
      </c>
      <c r="C85" s="234" t="s">
        <v>61</v>
      </c>
      <c r="D85" s="312">
        <v>2.7890000000000001</v>
      </c>
      <c r="E85" s="312"/>
      <c r="F85" s="248"/>
      <c r="G85" s="312"/>
      <c r="H85" s="312"/>
      <c r="I85" s="312"/>
      <c r="J85" s="248">
        <f t="shared" si="1"/>
        <v>0</v>
      </c>
      <c r="K85" s="330">
        <f t="shared" si="2"/>
        <v>-2.7890000000000001</v>
      </c>
      <c r="L85" s="313"/>
      <c r="M85" s="228">
        <f t="shared" si="3"/>
        <v>0</v>
      </c>
      <c r="N85" s="228">
        <f t="shared" si="6"/>
        <v>0</v>
      </c>
      <c r="O85" s="228">
        <f t="shared" si="7"/>
        <v>0</v>
      </c>
      <c r="P85" s="228">
        <f t="shared" si="7"/>
        <v>0</v>
      </c>
      <c r="Q85" s="228">
        <f t="shared" si="4"/>
        <v>0</v>
      </c>
      <c r="R85" s="343">
        <f t="shared" si="5"/>
        <v>-2.7890000000000001</v>
      </c>
      <c r="S85" s="239"/>
      <c r="T85" s="201"/>
      <c r="U85" s="201"/>
      <c r="V85" s="201"/>
    </row>
    <row r="86" spans="1:22" ht="15.75" x14ac:dyDescent="0.25">
      <c r="A86" s="234" t="s">
        <v>72</v>
      </c>
      <c r="B86" s="235" t="s">
        <v>73</v>
      </c>
      <c r="C86" s="234" t="s">
        <v>32</v>
      </c>
      <c r="D86" s="312">
        <v>3.2170000000000001</v>
      </c>
      <c r="E86" s="312"/>
      <c r="F86" s="248">
        <f>D86*$U$71</f>
        <v>1.99454</v>
      </c>
      <c r="G86" s="312"/>
      <c r="H86" s="312"/>
      <c r="I86" s="312"/>
      <c r="J86" s="248">
        <f t="shared" si="1"/>
        <v>1.99454</v>
      </c>
      <c r="K86" s="330">
        <f t="shared" si="2"/>
        <v>-1.2224600000000001</v>
      </c>
      <c r="L86" s="313"/>
      <c r="M86" s="228">
        <f t="shared" si="3"/>
        <v>1.99454</v>
      </c>
      <c r="N86" s="228">
        <f t="shared" si="6"/>
        <v>0</v>
      </c>
      <c r="O86" s="228">
        <f t="shared" si="7"/>
        <v>0</v>
      </c>
      <c r="P86" s="228">
        <f t="shared" si="7"/>
        <v>0</v>
      </c>
      <c r="Q86" s="228">
        <f t="shared" si="4"/>
        <v>1.99454</v>
      </c>
      <c r="R86" s="343">
        <f t="shared" si="5"/>
        <v>-1.2224600000000001</v>
      </c>
      <c r="S86" s="239"/>
      <c r="T86" s="201"/>
      <c r="U86" s="201"/>
      <c r="V86" s="201"/>
    </row>
    <row r="87" spans="1:22" ht="15.75" x14ac:dyDescent="0.25">
      <c r="A87" s="234" t="s">
        <v>74</v>
      </c>
      <c r="B87" s="235" t="s">
        <v>75</v>
      </c>
      <c r="C87" s="234" t="s">
        <v>32</v>
      </c>
      <c r="D87" s="312">
        <v>2.7709999999999999</v>
      </c>
      <c r="E87" s="312"/>
      <c r="F87" s="248">
        <f>D87*$U$71</f>
        <v>1.7180199999999999</v>
      </c>
      <c r="G87" s="312"/>
      <c r="H87" s="312"/>
      <c r="I87" s="312"/>
      <c r="J87" s="248">
        <f t="shared" si="1"/>
        <v>1.7180199999999999</v>
      </c>
      <c r="K87" s="330">
        <f t="shared" si="2"/>
        <v>-1.05298</v>
      </c>
      <c r="L87" s="313"/>
      <c r="M87" s="228">
        <f t="shared" si="3"/>
        <v>1.7180199999999999</v>
      </c>
      <c r="N87" s="228">
        <f t="shared" si="6"/>
        <v>0</v>
      </c>
      <c r="O87" s="228">
        <f t="shared" si="7"/>
        <v>0</v>
      </c>
      <c r="P87" s="228">
        <f t="shared" si="7"/>
        <v>0</v>
      </c>
      <c r="Q87" s="228">
        <f t="shared" si="4"/>
        <v>1.7180199999999999</v>
      </c>
      <c r="R87" s="343">
        <f t="shared" si="5"/>
        <v>-1.05298</v>
      </c>
      <c r="S87" s="239"/>
      <c r="T87" s="201"/>
      <c r="U87" s="201"/>
      <c r="V87" s="201"/>
    </row>
    <row r="88" spans="1:22" ht="15.75" x14ac:dyDescent="0.25">
      <c r="A88" s="234" t="s">
        <v>76</v>
      </c>
      <c r="B88" s="235" t="s">
        <v>77</v>
      </c>
      <c r="C88" s="234" t="s">
        <v>32</v>
      </c>
      <c r="D88" s="312">
        <v>12.622</v>
      </c>
      <c r="E88" s="312"/>
      <c r="F88" s="248">
        <f>D88*$U$71</f>
        <v>7.8256399999999999</v>
      </c>
      <c r="G88" s="312"/>
      <c r="H88" s="312"/>
      <c r="I88" s="312"/>
      <c r="J88" s="248">
        <f t="shared" si="1"/>
        <v>7.8256399999999999</v>
      </c>
      <c r="K88" s="330">
        <f t="shared" si="2"/>
        <v>-4.79636</v>
      </c>
      <c r="L88" s="313"/>
      <c r="M88" s="228">
        <f t="shared" si="3"/>
        <v>7.8256399999999999</v>
      </c>
      <c r="N88" s="228">
        <f t="shared" si="6"/>
        <v>0</v>
      </c>
      <c r="O88" s="228">
        <f t="shared" si="7"/>
        <v>0</v>
      </c>
      <c r="P88" s="228">
        <f t="shared" si="7"/>
        <v>0</v>
      </c>
      <c r="Q88" s="228">
        <f t="shared" si="4"/>
        <v>7.8256399999999999</v>
      </c>
      <c r="R88" s="343">
        <f t="shared" si="5"/>
        <v>-4.79636</v>
      </c>
      <c r="S88" s="239"/>
      <c r="T88" s="201"/>
      <c r="U88" s="201"/>
      <c r="V88" s="201"/>
    </row>
    <row r="89" spans="1:22" ht="45" x14ac:dyDescent="0.25">
      <c r="A89" s="234" t="s">
        <v>78</v>
      </c>
      <c r="B89" s="235" t="s">
        <v>79</v>
      </c>
      <c r="C89" s="234" t="s">
        <v>37</v>
      </c>
      <c r="D89" s="312">
        <v>288.08199999999999</v>
      </c>
      <c r="E89" s="312"/>
      <c r="F89" s="248"/>
      <c r="G89" s="312"/>
      <c r="H89" s="312"/>
      <c r="I89" s="312"/>
      <c r="J89" s="248">
        <f t="shared" si="1"/>
        <v>0</v>
      </c>
      <c r="K89" s="330">
        <f t="shared" si="2"/>
        <v>-288.08199999999999</v>
      </c>
      <c r="L89" s="313"/>
      <c r="M89" s="228">
        <f t="shared" si="3"/>
        <v>0</v>
      </c>
      <c r="N89" s="228">
        <f t="shared" si="6"/>
        <v>0</v>
      </c>
      <c r="O89" s="228">
        <f t="shared" si="7"/>
        <v>0</v>
      </c>
      <c r="P89" s="228">
        <f t="shared" si="7"/>
        <v>0</v>
      </c>
      <c r="Q89" s="228">
        <f t="shared" si="4"/>
        <v>0</v>
      </c>
      <c r="R89" s="343">
        <f t="shared" si="5"/>
        <v>-288.08199999999999</v>
      </c>
      <c r="S89" s="239"/>
      <c r="T89" s="201"/>
      <c r="U89" s="201"/>
      <c r="V89" s="201"/>
    </row>
    <row r="90" spans="1:22" ht="30" x14ac:dyDescent="0.25">
      <c r="A90" s="234" t="s">
        <v>80</v>
      </c>
      <c r="B90" s="235" t="s">
        <v>81</v>
      </c>
      <c r="C90" s="234" t="s">
        <v>37</v>
      </c>
      <c r="D90" s="312">
        <v>0.629</v>
      </c>
      <c r="E90" s="312"/>
      <c r="F90" s="248"/>
      <c r="G90" s="312"/>
      <c r="H90" s="312"/>
      <c r="I90" s="312"/>
      <c r="J90" s="248">
        <f t="shared" si="1"/>
        <v>0</v>
      </c>
      <c r="K90" s="330">
        <f t="shared" si="2"/>
        <v>-0.629</v>
      </c>
      <c r="L90" s="313"/>
      <c r="M90" s="228">
        <f t="shared" si="3"/>
        <v>0</v>
      </c>
      <c r="N90" s="228">
        <f t="shared" si="6"/>
        <v>0</v>
      </c>
      <c r="O90" s="228">
        <f t="shared" si="7"/>
        <v>0</v>
      </c>
      <c r="P90" s="228">
        <f t="shared" si="7"/>
        <v>0</v>
      </c>
      <c r="Q90" s="228">
        <f t="shared" si="4"/>
        <v>0</v>
      </c>
      <c r="R90" s="343">
        <f t="shared" si="5"/>
        <v>-0.629</v>
      </c>
      <c r="S90" s="239"/>
      <c r="T90" s="201"/>
      <c r="U90" s="201"/>
      <c r="V90" s="201"/>
    </row>
    <row r="91" spans="1:22" ht="30" x14ac:dyDescent="0.25">
      <c r="A91" s="234" t="s">
        <v>82</v>
      </c>
      <c r="B91" s="235" t="s">
        <v>83</v>
      </c>
      <c r="C91" s="234" t="s">
        <v>61</v>
      </c>
      <c r="D91" s="312">
        <v>0.02</v>
      </c>
      <c r="E91" s="312"/>
      <c r="F91" s="248"/>
      <c r="G91" s="312"/>
      <c r="H91" s="312"/>
      <c r="I91" s="312"/>
      <c r="J91" s="248">
        <f t="shared" si="1"/>
        <v>0</v>
      </c>
      <c r="K91" s="330">
        <f t="shared" si="2"/>
        <v>-0.02</v>
      </c>
      <c r="L91" s="313"/>
      <c r="M91" s="228">
        <f t="shared" si="3"/>
        <v>0</v>
      </c>
      <c r="N91" s="228">
        <f t="shared" si="6"/>
        <v>0</v>
      </c>
      <c r="O91" s="228">
        <f t="shared" si="7"/>
        <v>0</v>
      </c>
      <c r="P91" s="228">
        <f t="shared" si="7"/>
        <v>0</v>
      </c>
      <c r="Q91" s="228">
        <f t="shared" si="4"/>
        <v>0</v>
      </c>
      <c r="R91" s="343">
        <f t="shared" si="5"/>
        <v>-0.02</v>
      </c>
      <c r="S91" s="240"/>
      <c r="T91" s="201"/>
      <c r="U91" s="201"/>
      <c r="V91" s="201"/>
    </row>
    <row r="92" spans="1:22" ht="30" x14ac:dyDescent="0.25">
      <c r="A92" s="234" t="s">
        <v>84</v>
      </c>
      <c r="B92" s="235" t="s">
        <v>85</v>
      </c>
      <c r="C92" s="234" t="s">
        <v>86</v>
      </c>
      <c r="D92" s="312">
        <v>4</v>
      </c>
      <c r="E92" s="312"/>
      <c r="F92" s="248"/>
      <c r="G92" s="312"/>
      <c r="H92" s="312"/>
      <c r="I92" s="312"/>
      <c r="J92" s="248">
        <f t="shared" si="1"/>
        <v>0</v>
      </c>
      <c r="K92" s="330">
        <f t="shared" si="2"/>
        <v>-4</v>
      </c>
      <c r="L92" s="313"/>
      <c r="M92" s="228">
        <f t="shared" si="3"/>
        <v>0</v>
      </c>
      <c r="N92" s="228">
        <f t="shared" si="6"/>
        <v>0</v>
      </c>
      <c r="O92" s="228">
        <f t="shared" si="7"/>
        <v>0</v>
      </c>
      <c r="P92" s="228">
        <f t="shared" si="7"/>
        <v>0</v>
      </c>
      <c r="Q92" s="228">
        <f t="shared" si="4"/>
        <v>0</v>
      </c>
      <c r="R92" s="343">
        <f t="shared" si="5"/>
        <v>-4</v>
      </c>
      <c r="S92" s="240"/>
      <c r="T92" s="201"/>
      <c r="U92" s="201"/>
      <c r="V92" s="201"/>
    </row>
    <row r="93" spans="1:22" ht="38.25" customHeight="1" x14ac:dyDescent="0.25">
      <c r="A93" s="234" t="s">
        <v>87</v>
      </c>
      <c r="B93" s="235" t="s">
        <v>88</v>
      </c>
      <c r="C93" s="234" t="s">
        <v>86</v>
      </c>
      <c r="D93" s="312">
        <v>3</v>
      </c>
      <c r="E93" s="312"/>
      <c r="F93" s="248"/>
      <c r="G93" s="312"/>
      <c r="H93" s="312"/>
      <c r="I93" s="312"/>
      <c r="J93" s="248">
        <f t="shared" si="1"/>
        <v>0</v>
      </c>
      <c r="K93" s="330">
        <f t="shared" si="2"/>
        <v>-3</v>
      </c>
      <c r="L93" s="313"/>
      <c r="M93" s="228">
        <f t="shared" si="3"/>
        <v>0</v>
      </c>
      <c r="N93" s="228">
        <f t="shared" si="6"/>
        <v>0</v>
      </c>
      <c r="O93" s="228">
        <f t="shared" si="7"/>
        <v>0</v>
      </c>
      <c r="P93" s="228">
        <f t="shared" si="7"/>
        <v>0</v>
      </c>
      <c r="Q93" s="228">
        <f t="shared" si="4"/>
        <v>0</v>
      </c>
      <c r="R93" s="343">
        <f t="shared" si="5"/>
        <v>-3</v>
      </c>
      <c r="S93" s="240"/>
      <c r="T93" s="201"/>
      <c r="U93" s="201"/>
      <c r="V93" s="201"/>
    </row>
    <row r="94" spans="1:22" ht="15.75" x14ac:dyDescent="0.25">
      <c r="A94" s="234" t="s">
        <v>89</v>
      </c>
      <c r="B94" s="235" t="s">
        <v>90</v>
      </c>
      <c r="C94" s="234" t="s">
        <v>32</v>
      </c>
      <c r="D94" s="312">
        <v>2.7E-2</v>
      </c>
      <c r="E94" s="312"/>
      <c r="F94" s="248">
        <f>D94*$U$71</f>
        <v>1.6740000000000001E-2</v>
      </c>
      <c r="G94" s="312"/>
      <c r="H94" s="312"/>
      <c r="I94" s="312"/>
      <c r="J94" s="248">
        <f t="shared" si="1"/>
        <v>1.6740000000000001E-2</v>
      </c>
      <c r="K94" s="330">
        <f t="shared" si="2"/>
        <v>-1.0259999999999998E-2</v>
      </c>
      <c r="L94" s="313"/>
      <c r="M94" s="228">
        <f t="shared" si="3"/>
        <v>1.6740000000000001E-2</v>
      </c>
      <c r="N94" s="228">
        <f t="shared" si="6"/>
        <v>0</v>
      </c>
      <c r="O94" s="228">
        <f t="shared" si="7"/>
        <v>0</v>
      </c>
      <c r="P94" s="228">
        <f t="shared" si="7"/>
        <v>0</v>
      </c>
      <c r="Q94" s="228">
        <f t="shared" si="4"/>
        <v>1.6740000000000001E-2</v>
      </c>
      <c r="R94" s="343">
        <f t="shared" si="5"/>
        <v>-1.0259999999999998E-2</v>
      </c>
      <c r="S94" s="240"/>
      <c r="T94" s="201"/>
      <c r="U94" s="201"/>
      <c r="V94" s="201"/>
    </row>
    <row r="95" spans="1:22" ht="15.75" x14ac:dyDescent="0.25">
      <c r="A95" s="234" t="s">
        <v>91</v>
      </c>
      <c r="B95" s="235" t="s">
        <v>92</v>
      </c>
      <c r="C95" s="234" t="s">
        <v>32</v>
      </c>
      <c r="D95" s="312">
        <v>31.126000000000001</v>
      </c>
      <c r="E95" s="312"/>
      <c r="F95" s="248">
        <f>D95*$U$71</f>
        <v>19.298120000000001</v>
      </c>
      <c r="G95" s="312"/>
      <c r="H95" s="312"/>
      <c r="I95" s="312"/>
      <c r="J95" s="248">
        <f t="shared" si="1"/>
        <v>19.298120000000001</v>
      </c>
      <c r="K95" s="330">
        <f t="shared" si="2"/>
        <v>-11.82788</v>
      </c>
      <c r="L95" s="313"/>
      <c r="M95" s="228">
        <f t="shared" si="3"/>
        <v>19.298120000000001</v>
      </c>
      <c r="N95" s="228">
        <f t="shared" si="6"/>
        <v>0</v>
      </c>
      <c r="O95" s="228">
        <f t="shared" si="7"/>
        <v>0</v>
      </c>
      <c r="P95" s="228">
        <f t="shared" si="7"/>
        <v>0</v>
      </c>
      <c r="Q95" s="228">
        <f t="shared" si="4"/>
        <v>19.298120000000001</v>
      </c>
      <c r="R95" s="343">
        <f t="shared" si="5"/>
        <v>-11.82788</v>
      </c>
      <c r="S95" s="240"/>
      <c r="T95" s="201"/>
      <c r="U95" s="201"/>
      <c r="V95" s="201"/>
    </row>
    <row r="96" spans="1:22" ht="48.75" customHeight="1" x14ac:dyDescent="0.25">
      <c r="A96" s="234" t="s">
        <v>93</v>
      </c>
      <c r="B96" s="235" t="s">
        <v>94</v>
      </c>
      <c r="C96" s="234" t="s">
        <v>37</v>
      </c>
      <c r="D96" s="312">
        <v>94.891000000000005</v>
      </c>
      <c r="E96" s="312"/>
      <c r="F96" s="248"/>
      <c r="G96" s="312"/>
      <c r="H96" s="312"/>
      <c r="I96" s="312"/>
      <c r="J96" s="248">
        <f t="shared" si="1"/>
        <v>0</v>
      </c>
      <c r="K96" s="330">
        <f t="shared" si="2"/>
        <v>-94.891000000000005</v>
      </c>
      <c r="L96" s="313"/>
      <c r="M96" s="228">
        <f t="shared" si="3"/>
        <v>0</v>
      </c>
      <c r="N96" s="228">
        <f t="shared" si="6"/>
        <v>0</v>
      </c>
      <c r="O96" s="228">
        <f t="shared" si="7"/>
        <v>0</v>
      </c>
      <c r="P96" s="228">
        <f t="shared" si="7"/>
        <v>0</v>
      </c>
      <c r="Q96" s="228">
        <f t="shared" si="4"/>
        <v>0</v>
      </c>
      <c r="R96" s="343">
        <f t="shared" si="5"/>
        <v>-94.891000000000005</v>
      </c>
      <c r="S96" s="240"/>
      <c r="T96" s="201"/>
      <c r="U96" s="201"/>
      <c r="V96" s="201"/>
    </row>
    <row r="97" spans="1:22" ht="15.75" x14ac:dyDescent="0.25">
      <c r="A97" s="234" t="s">
        <v>95</v>
      </c>
      <c r="B97" s="235" t="s">
        <v>96</v>
      </c>
      <c r="C97" s="234" t="s">
        <v>61</v>
      </c>
      <c r="D97" s="312">
        <v>6.2869999999999999</v>
      </c>
      <c r="E97" s="312"/>
      <c r="F97" s="248"/>
      <c r="G97" s="312"/>
      <c r="H97" s="312"/>
      <c r="I97" s="312"/>
      <c r="J97" s="248">
        <f t="shared" si="1"/>
        <v>0</v>
      </c>
      <c r="K97" s="330">
        <f t="shared" si="2"/>
        <v>-6.2869999999999999</v>
      </c>
      <c r="L97" s="313"/>
      <c r="M97" s="228">
        <f t="shared" si="3"/>
        <v>0</v>
      </c>
      <c r="N97" s="228">
        <f t="shared" si="6"/>
        <v>0</v>
      </c>
      <c r="O97" s="228">
        <f t="shared" si="7"/>
        <v>0</v>
      </c>
      <c r="P97" s="228">
        <f t="shared" si="7"/>
        <v>0</v>
      </c>
      <c r="Q97" s="228">
        <f t="shared" si="4"/>
        <v>0</v>
      </c>
      <c r="R97" s="343">
        <f t="shared" si="5"/>
        <v>-6.2869999999999999</v>
      </c>
      <c r="S97" s="240"/>
      <c r="T97" s="201"/>
      <c r="U97" s="201"/>
      <c r="V97" s="201"/>
    </row>
    <row r="98" spans="1:22" ht="22.5" customHeight="1" x14ac:dyDescent="0.25">
      <c r="A98" s="234" t="s">
        <v>97</v>
      </c>
      <c r="B98" s="235" t="s">
        <v>98</v>
      </c>
      <c r="C98" s="234" t="s">
        <v>32</v>
      </c>
      <c r="D98" s="312">
        <v>6.492</v>
      </c>
      <c r="E98" s="312"/>
      <c r="F98" s="248">
        <f>D98*$U$71</f>
        <v>4.0250399999999997</v>
      </c>
      <c r="G98" s="312"/>
      <c r="H98" s="312"/>
      <c r="I98" s="312"/>
      <c r="J98" s="248">
        <f t="shared" si="1"/>
        <v>4.0250399999999997</v>
      </c>
      <c r="K98" s="330">
        <f t="shared" si="2"/>
        <v>-2.4669600000000003</v>
      </c>
      <c r="L98" s="313"/>
      <c r="M98" s="228">
        <f t="shared" si="3"/>
        <v>4.0250399999999997</v>
      </c>
      <c r="N98" s="228">
        <f t="shared" si="6"/>
        <v>0</v>
      </c>
      <c r="O98" s="228">
        <f t="shared" si="7"/>
        <v>0</v>
      </c>
      <c r="P98" s="228">
        <f t="shared" si="7"/>
        <v>0</v>
      </c>
      <c r="Q98" s="228">
        <f t="shared" si="4"/>
        <v>4.0250399999999997</v>
      </c>
      <c r="R98" s="343">
        <f t="shared" si="5"/>
        <v>-2.4669600000000003</v>
      </c>
      <c r="S98" s="240"/>
      <c r="T98" s="201"/>
      <c r="U98" s="201"/>
      <c r="V98" s="201"/>
    </row>
    <row r="99" spans="1:22" ht="21.75" customHeight="1" x14ac:dyDescent="0.25">
      <c r="A99" s="234" t="s">
        <v>99</v>
      </c>
      <c r="B99" s="235" t="s">
        <v>100</v>
      </c>
      <c r="C99" s="234" t="s">
        <v>32</v>
      </c>
      <c r="D99" s="312">
        <v>0.11600000000000001</v>
      </c>
      <c r="E99" s="312"/>
      <c r="F99" s="248">
        <f>D99*$U$71</f>
        <v>7.1919999999999998E-2</v>
      </c>
      <c r="G99" s="312"/>
      <c r="H99" s="312"/>
      <c r="I99" s="312"/>
      <c r="J99" s="248">
        <f t="shared" si="1"/>
        <v>7.1919999999999998E-2</v>
      </c>
      <c r="K99" s="330">
        <f t="shared" si="2"/>
        <v>-4.4080000000000008E-2</v>
      </c>
      <c r="L99" s="313"/>
      <c r="M99" s="228">
        <f t="shared" si="3"/>
        <v>7.1919999999999998E-2</v>
      </c>
      <c r="N99" s="228">
        <f t="shared" si="6"/>
        <v>0</v>
      </c>
      <c r="O99" s="228">
        <f t="shared" si="7"/>
        <v>0</v>
      </c>
      <c r="P99" s="228">
        <f t="shared" si="7"/>
        <v>0</v>
      </c>
      <c r="Q99" s="228">
        <f t="shared" si="4"/>
        <v>7.1919999999999998E-2</v>
      </c>
      <c r="R99" s="343">
        <f t="shared" si="5"/>
        <v>-4.4080000000000008E-2</v>
      </c>
      <c r="S99" s="240"/>
      <c r="T99" s="201"/>
      <c r="U99" s="201"/>
      <c r="V99" s="201"/>
    </row>
    <row r="100" spans="1:22" ht="45" x14ac:dyDescent="0.25">
      <c r="A100" s="234" t="s">
        <v>101</v>
      </c>
      <c r="B100" s="235" t="s">
        <v>102</v>
      </c>
      <c r="C100" s="234" t="s">
        <v>37</v>
      </c>
      <c r="D100" s="312">
        <v>72.236999999999995</v>
      </c>
      <c r="E100" s="312"/>
      <c r="F100" s="248"/>
      <c r="G100" s="312"/>
      <c r="H100" s="312"/>
      <c r="I100" s="312"/>
      <c r="J100" s="248">
        <f t="shared" si="1"/>
        <v>0</v>
      </c>
      <c r="K100" s="330">
        <f t="shared" si="2"/>
        <v>-72.236999999999995</v>
      </c>
      <c r="L100" s="313"/>
      <c r="M100" s="228">
        <f t="shared" si="3"/>
        <v>0</v>
      </c>
      <c r="N100" s="228">
        <f t="shared" si="6"/>
        <v>0</v>
      </c>
      <c r="O100" s="228">
        <f t="shared" si="7"/>
        <v>0</v>
      </c>
      <c r="P100" s="228">
        <f t="shared" si="7"/>
        <v>0</v>
      </c>
      <c r="Q100" s="228">
        <f t="shared" si="4"/>
        <v>0</v>
      </c>
      <c r="R100" s="343">
        <f t="shared" si="5"/>
        <v>-72.236999999999995</v>
      </c>
      <c r="S100" s="240"/>
      <c r="T100" s="201"/>
      <c r="U100" s="201"/>
      <c r="V100" s="201"/>
    </row>
    <row r="101" spans="1:22" ht="45" x14ac:dyDescent="0.25">
      <c r="A101" s="234" t="s">
        <v>103</v>
      </c>
      <c r="B101" s="235" t="s">
        <v>104</v>
      </c>
      <c r="C101" s="234" t="s">
        <v>61</v>
      </c>
      <c r="D101" s="312">
        <v>4.2439999999999998</v>
      </c>
      <c r="E101" s="312"/>
      <c r="F101" s="248"/>
      <c r="G101" s="312"/>
      <c r="H101" s="312"/>
      <c r="I101" s="312"/>
      <c r="J101" s="248">
        <f t="shared" si="1"/>
        <v>0</v>
      </c>
      <c r="K101" s="330">
        <f t="shared" si="2"/>
        <v>-4.2439999999999998</v>
      </c>
      <c r="L101" s="313"/>
      <c r="M101" s="228">
        <f t="shared" si="3"/>
        <v>0</v>
      </c>
      <c r="N101" s="228">
        <f t="shared" si="6"/>
        <v>0</v>
      </c>
      <c r="O101" s="228">
        <f t="shared" si="7"/>
        <v>0</v>
      </c>
      <c r="P101" s="228">
        <f t="shared" si="7"/>
        <v>0</v>
      </c>
      <c r="Q101" s="228">
        <f t="shared" si="4"/>
        <v>0</v>
      </c>
      <c r="R101" s="343">
        <f t="shared" si="5"/>
        <v>-4.2439999999999998</v>
      </c>
      <c r="S101" s="240"/>
      <c r="T101" s="201"/>
      <c r="U101" s="201"/>
      <c r="V101" s="201"/>
    </row>
    <row r="102" spans="1:22" ht="45" x14ac:dyDescent="0.25">
      <c r="A102" s="234" t="s">
        <v>105</v>
      </c>
      <c r="B102" s="235" t="s">
        <v>106</v>
      </c>
      <c r="C102" s="234" t="s">
        <v>37</v>
      </c>
      <c r="D102" s="312">
        <v>59.064</v>
      </c>
      <c r="E102" s="312"/>
      <c r="F102" s="248"/>
      <c r="G102" s="312"/>
      <c r="H102" s="312"/>
      <c r="I102" s="312"/>
      <c r="J102" s="248">
        <f t="shared" si="1"/>
        <v>0</v>
      </c>
      <c r="K102" s="330">
        <f t="shared" si="2"/>
        <v>-59.064</v>
      </c>
      <c r="L102" s="313"/>
      <c r="M102" s="228">
        <f t="shared" si="3"/>
        <v>0</v>
      </c>
      <c r="N102" s="228">
        <f t="shared" si="6"/>
        <v>0</v>
      </c>
      <c r="O102" s="228">
        <f t="shared" si="7"/>
        <v>0</v>
      </c>
      <c r="P102" s="228">
        <f t="shared" si="7"/>
        <v>0</v>
      </c>
      <c r="Q102" s="228">
        <f t="shared" si="4"/>
        <v>0</v>
      </c>
      <c r="R102" s="343">
        <f t="shared" si="5"/>
        <v>-59.064</v>
      </c>
      <c r="S102" s="240"/>
      <c r="T102" s="201"/>
      <c r="U102" s="201"/>
      <c r="V102" s="201"/>
    </row>
    <row r="103" spans="1:22" ht="60" x14ac:dyDescent="0.25">
      <c r="A103" s="234" t="s">
        <v>107</v>
      </c>
      <c r="B103" s="235" t="s">
        <v>108</v>
      </c>
      <c r="C103" s="234" t="s">
        <v>61</v>
      </c>
      <c r="D103" s="312">
        <v>2.2970000000000002</v>
      </c>
      <c r="E103" s="312"/>
      <c r="F103" s="248"/>
      <c r="G103" s="312"/>
      <c r="H103" s="312"/>
      <c r="I103" s="312"/>
      <c r="J103" s="248">
        <f t="shared" si="1"/>
        <v>0</v>
      </c>
      <c r="K103" s="330">
        <f t="shared" si="2"/>
        <v>-2.2970000000000002</v>
      </c>
      <c r="L103" s="313"/>
      <c r="M103" s="228">
        <f t="shared" si="3"/>
        <v>0</v>
      </c>
      <c r="N103" s="228">
        <f t="shared" si="6"/>
        <v>0</v>
      </c>
      <c r="O103" s="228">
        <f t="shared" si="7"/>
        <v>0</v>
      </c>
      <c r="P103" s="228">
        <f t="shared" si="7"/>
        <v>0</v>
      </c>
      <c r="Q103" s="228">
        <f t="shared" si="4"/>
        <v>0</v>
      </c>
      <c r="R103" s="343">
        <f t="shared" si="5"/>
        <v>-2.2970000000000002</v>
      </c>
      <c r="S103" s="240"/>
      <c r="T103" s="201"/>
      <c r="U103" s="201"/>
      <c r="V103" s="201"/>
    </row>
    <row r="104" spans="1:22" ht="30" x14ac:dyDescent="0.25">
      <c r="A104" s="234" t="s">
        <v>109</v>
      </c>
      <c r="B104" s="235" t="s">
        <v>110</v>
      </c>
      <c r="C104" s="234" t="s">
        <v>37</v>
      </c>
      <c r="D104" s="312">
        <v>149.38399999999999</v>
      </c>
      <c r="E104" s="312"/>
      <c r="F104" s="248"/>
      <c r="G104" s="312"/>
      <c r="H104" s="312"/>
      <c r="I104" s="312"/>
      <c r="J104" s="248">
        <f t="shared" si="1"/>
        <v>0</v>
      </c>
      <c r="K104" s="330">
        <f t="shared" si="2"/>
        <v>-149.38399999999999</v>
      </c>
      <c r="L104" s="313"/>
      <c r="M104" s="228">
        <f t="shared" si="3"/>
        <v>0</v>
      </c>
      <c r="N104" s="228">
        <f t="shared" si="6"/>
        <v>0</v>
      </c>
      <c r="O104" s="228">
        <f t="shared" si="7"/>
        <v>0</v>
      </c>
      <c r="P104" s="228">
        <f t="shared" si="7"/>
        <v>0</v>
      </c>
      <c r="Q104" s="228">
        <f t="shared" si="4"/>
        <v>0</v>
      </c>
      <c r="R104" s="343">
        <f t="shared" si="5"/>
        <v>-149.38399999999999</v>
      </c>
      <c r="S104" s="240"/>
      <c r="T104" s="201"/>
      <c r="U104" s="201"/>
      <c r="V104" s="201"/>
    </row>
    <row r="105" spans="1:22" ht="45" x14ac:dyDescent="0.25">
      <c r="A105" s="234" t="s">
        <v>111</v>
      </c>
      <c r="B105" s="235" t="s">
        <v>112</v>
      </c>
      <c r="C105" s="234" t="s">
        <v>61</v>
      </c>
      <c r="D105" s="312">
        <v>7.8559999999999999</v>
      </c>
      <c r="E105" s="312"/>
      <c r="F105" s="248"/>
      <c r="G105" s="312"/>
      <c r="H105" s="312"/>
      <c r="I105" s="312"/>
      <c r="J105" s="248">
        <f t="shared" si="1"/>
        <v>0</v>
      </c>
      <c r="K105" s="330">
        <f t="shared" si="2"/>
        <v>-7.8559999999999999</v>
      </c>
      <c r="L105" s="313"/>
      <c r="M105" s="228">
        <f t="shared" si="3"/>
        <v>0</v>
      </c>
      <c r="N105" s="228">
        <f t="shared" si="6"/>
        <v>0</v>
      </c>
      <c r="O105" s="228">
        <f t="shared" si="7"/>
        <v>0</v>
      </c>
      <c r="P105" s="228">
        <f t="shared" si="7"/>
        <v>0</v>
      </c>
      <c r="Q105" s="228">
        <f t="shared" si="4"/>
        <v>0</v>
      </c>
      <c r="R105" s="343">
        <f t="shared" si="5"/>
        <v>-7.8559999999999999</v>
      </c>
      <c r="S105" s="240"/>
      <c r="T105" s="201"/>
      <c r="U105" s="201"/>
      <c r="V105" s="201"/>
    </row>
    <row r="106" spans="1:22" ht="30" x14ac:dyDescent="0.25">
      <c r="A106" s="234" t="s">
        <v>113</v>
      </c>
      <c r="B106" s="235" t="s">
        <v>114</v>
      </c>
      <c r="C106" s="234" t="s">
        <v>32</v>
      </c>
      <c r="D106" s="312">
        <v>5.0049999999999999</v>
      </c>
      <c r="E106" s="312"/>
      <c r="F106" s="248">
        <f>D106*$U$71</f>
        <v>3.1031</v>
      </c>
      <c r="G106" s="312"/>
      <c r="H106" s="312"/>
      <c r="I106" s="312"/>
      <c r="J106" s="248">
        <f t="shared" si="1"/>
        <v>3.1031</v>
      </c>
      <c r="K106" s="330">
        <f t="shared" si="2"/>
        <v>-1.9018999999999999</v>
      </c>
      <c r="L106" s="313"/>
      <c r="M106" s="228">
        <f t="shared" si="3"/>
        <v>3.1031</v>
      </c>
      <c r="N106" s="228">
        <f t="shared" si="6"/>
        <v>0</v>
      </c>
      <c r="O106" s="228">
        <f t="shared" si="7"/>
        <v>0</v>
      </c>
      <c r="P106" s="228">
        <f t="shared" si="7"/>
        <v>0</v>
      </c>
      <c r="Q106" s="228">
        <f t="shared" si="4"/>
        <v>3.1031</v>
      </c>
      <c r="R106" s="343">
        <f t="shared" si="5"/>
        <v>-1.9018999999999999</v>
      </c>
      <c r="S106" s="240"/>
      <c r="T106" s="201"/>
      <c r="U106" s="201"/>
      <c r="V106" s="201"/>
    </row>
    <row r="107" spans="1:22" ht="30" x14ac:dyDescent="0.25">
      <c r="A107" s="234" t="s">
        <v>115</v>
      </c>
      <c r="B107" s="235" t="s">
        <v>116</v>
      </c>
      <c r="C107" s="234" t="s">
        <v>32</v>
      </c>
      <c r="D107" s="312">
        <v>9.7360000000000007</v>
      </c>
      <c r="E107" s="312"/>
      <c r="F107" s="248">
        <f>D107*$U$71</f>
        <v>6.0363200000000008</v>
      </c>
      <c r="G107" s="312"/>
      <c r="H107" s="312"/>
      <c r="I107" s="312"/>
      <c r="J107" s="248">
        <f t="shared" si="1"/>
        <v>6.0363200000000008</v>
      </c>
      <c r="K107" s="330">
        <f t="shared" si="2"/>
        <v>-3.6996799999999999</v>
      </c>
      <c r="L107" s="313"/>
      <c r="M107" s="228">
        <f t="shared" si="3"/>
        <v>6.0363200000000008</v>
      </c>
      <c r="N107" s="228">
        <f t="shared" si="6"/>
        <v>0</v>
      </c>
      <c r="O107" s="228">
        <f t="shared" si="7"/>
        <v>0</v>
      </c>
      <c r="P107" s="228">
        <f t="shared" si="7"/>
        <v>0</v>
      </c>
      <c r="Q107" s="228">
        <f t="shared" si="4"/>
        <v>6.0363200000000008</v>
      </c>
      <c r="R107" s="343">
        <f t="shared" si="5"/>
        <v>-3.6996799999999999</v>
      </c>
      <c r="S107" s="240"/>
      <c r="T107" s="201"/>
      <c r="U107" s="201"/>
      <c r="V107" s="201"/>
    </row>
    <row r="108" spans="1:22" ht="30" x14ac:dyDescent="0.25">
      <c r="A108" s="234" t="s">
        <v>117</v>
      </c>
      <c r="B108" s="235" t="s">
        <v>118</v>
      </c>
      <c r="C108" s="234" t="s">
        <v>32</v>
      </c>
      <c r="D108" s="312">
        <v>6.5890000000000004</v>
      </c>
      <c r="E108" s="312"/>
      <c r="F108" s="248">
        <f>D108*$U$71</f>
        <v>4.0851800000000003</v>
      </c>
      <c r="G108" s="312"/>
      <c r="H108" s="312"/>
      <c r="I108" s="312"/>
      <c r="J108" s="248">
        <f t="shared" si="1"/>
        <v>4.0851800000000003</v>
      </c>
      <c r="K108" s="330">
        <f t="shared" si="2"/>
        <v>-2.5038200000000002</v>
      </c>
      <c r="L108" s="313"/>
      <c r="M108" s="228">
        <f t="shared" si="3"/>
        <v>4.0851800000000003</v>
      </c>
      <c r="N108" s="228">
        <f t="shared" si="6"/>
        <v>0</v>
      </c>
      <c r="O108" s="228">
        <f t="shared" si="7"/>
        <v>0</v>
      </c>
      <c r="P108" s="228">
        <f t="shared" si="7"/>
        <v>0</v>
      </c>
      <c r="Q108" s="228">
        <f t="shared" si="4"/>
        <v>4.0851800000000003</v>
      </c>
      <c r="R108" s="343">
        <f t="shared" si="5"/>
        <v>-2.5038200000000002</v>
      </c>
      <c r="S108" s="240"/>
      <c r="T108" s="201"/>
      <c r="U108" s="201"/>
      <c r="V108" s="201"/>
    </row>
    <row r="109" spans="1:22" ht="30" x14ac:dyDescent="0.25">
      <c r="A109" s="234" t="s">
        <v>119</v>
      </c>
      <c r="B109" s="235" t="s">
        <v>120</v>
      </c>
      <c r="C109" s="234" t="s">
        <v>37</v>
      </c>
      <c r="D109" s="312">
        <v>159.18799999999999</v>
      </c>
      <c r="E109" s="312"/>
      <c r="F109" s="248"/>
      <c r="G109" s="312"/>
      <c r="H109" s="312"/>
      <c r="I109" s="312"/>
      <c r="J109" s="248">
        <f t="shared" si="1"/>
        <v>0</v>
      </c>
      <c r="K109" s="330">
        <f t="shared" si="2"/>
        <v>-159.18799999999999</v>
      </c>
      <c r="L109" s="313"/>
      <c r="M109" s="228">
        <f t="shared" si="3"/>
        <v>0</v>
      </c>
      <c r="N109" s="228">
        <f t="shared" si="6"/>
        <v>0</v>
      </c>
      <c r="O109" s="228">
        <f t="shared" si="7"/>
        <v>0</v>
      </c>
      <c r="P109" s="228">
        <f t="shared" si="7"/>
        <v>0</v>
      </c>
      <c r="Q109" s="228">
        <f t="shared" si="4"/>
        <v>0</v>
      </c>
      <c r="R109" s="343">
        <f t="shared" si="5"/>
        <v>-159.18799999999999</v>
      </c>
      <c r="S109" s="240"/>
      <c r="T109" s="201"/>
      <c r="U109" s="201"/>
      <c r="V109" s="201"/>
    </row>
    <row r="110" spans="1:22" ht="45" x14ac:dyDescent="0.25">
      <c r="A110" s="234" t="s">
        <v>121</v>
      </c>
      <c r="B110" s="235" t="s">
        <v>122</v>
      </c>
      <c r="C110" s="234" t="s">
        <v>61</v>
      </c>
      <c r="D110" s="312">
        <v>10.037000000000001</v>
      </c>
      <c r="E110" s="312"/>
      <c r="F110" s="248"/>
      <c r="G110" s="312"/>
      <c r="H110" s="312"/>
      <c r="I110" s="312"/>
      <c r="J110" s="248">
        <f t="shared" si="1"/>
        <v>0</v>
      </c>
      <c r="K110" s="330">
        <f t="shared" si="2"/>
        <v>-10.037000000000001</v>
      </c>
      <c r="L110" s="313"/>
      <c r="M110" s="228">
        <f t="shared" si="3"/>
        <v>0</v>
      </c>
      <c r="N110" s="228">
        <f t="shared" si="6"/>
        <v>0</v>
      </c>
      <c r="O110" s="228">
        <f t="shared" si="7"/>
        <v>0</v>
      </c>
      <c r="P110" s="228">
        <f t="shared" si="7"/>
        <v>0</v>
      </c>
      <c r="Q110" s="228">
        <f t="shared" si="4"/>
        <v>0</v>
      </c>
      <c r="R110" s="343">
        <f t="shared" si="5"/>
        <v>-10.037000000000001</v>
      </c>
      <c r="S110" s="240"/>
      <c r="T110" s="201"/>
      <c r="U110" s="201"/>
      <c r="V110" s="201"/>
    </row>
    <row r="111" spans="1:22" ht="30" x14ac:dyDescent="0.25">
      <c r="A111" s="234" t="s">
        <v>123</v>
      </c>
      <c r="B111" s="235" t="s">
        <v>124</v>
      </c>
      <c r="C111" s="234" t="s">
        <v>32</v>
      </c>
      <c r="D111" s="312">
        <v>15.003</v>
      </c>
      <c r="E111" s="312"/>
      <c r="F111" s="248">
        <f>D111*$U$71</f>
        <v>9.3018599999999996</v>
      </c>
      <c r="G111" s="312"/>
      <c r="H111" s="312"/>
      <c r="I111" s="312"/>
      <c r="J111" s="248">
        <f t="shared" si="1"/>
        <v>9.3018599999999996</v>
      </c>
      <c r="K111" s="330">
        <f t="shared" si="2"/>
        <v>-5.7011400000000005</v>
      </c>
      <c r="L111" s="313"/>
      <c r="M111" s="228">
        <f t="shared" si="3"/>
        <v>9.3018599999999996</v>
      </c>
      <c r="N111" s="228">
        <f t="shared" si="6"/>
        <v>0</v>
      </c>
      <c r="O111" s="228">
        <f t="shared" si="7"/>
        <v>0</v>
      </c>
      <c r="P111" s="228">
        <f t="shared" si="7"/>
        <v>0</v>
      </c>
      <c r="Q111" s="228">
        <f t="shared" si="4"/>
        <v>9.3018599999999996</v>
      </c>
      <c r="R111" s="343">
        <f t="shared" si="5"/>
        <v>-5.7011400000000005</v>
      </c>
      <c r="S111" s="240"/>
      <c r="T111" s="201"/>
      <c r="U111" s="201"/>
      <c r="V111" s="201"/>
    </row>
    <row r="112" spans="1:22" ht="30" x14ac:dyDescent="0.25">
      <c r="A112" s="234" t="s">
        <v>125</v>
      </c>
      <c r="B112" s="235" t="s">
        <v>126</v>
      </c>
      <c r="C112" s="234" t="s">
        <v>32</v>
      </c>
      <c r="D112" s="312">
        <v>6.1459999999999999</v>
      </c>
      <c r="E112" s="312"/>
      <c r="F112" s="248">
        <f>D112*$U$71</f>
        <v>3.8105199999999999</v>
      </c>
      <c r="G112" s="312"/>
      <c r="H112" s="312"/>
      <c r="I112" s="312"/>
      <c r="J112" s="248">
        <f t="shared" si="1"/>
        <v>3.8105199999999999</v>
      </c>
      <c r="K112" s="330">
        <f t="shared" si="2"/>
        <v>-2.33548</v>
      </c>
      <c r="L112" s="313"/>
      <c r="M112" s="228">
        <f t="shared" si="3"/>
        <v>3.8105199999999999</v>
      </c>
      <c r="N112" s="228">
        <f t="shared" si="6"/>
        <v>0</v>
      </c>
      <c r="O112" s="228">
        <f t="shared" si="7"/>
        <v>0</v>
      </c>
      <c r="P112" s="228">
        <f t="shared" si="7"/>
        <v>0</v>
      </c>
      <c r="Q112" s="228">
        <f t="shared" si="4"/>
        <v>3.8105199999999999</v>
      </c>
      <c r="R112" s="343">
        <f t="shared" si="5"/>
        <v>-2.33548</v>
      </c>
      <c r="S112" s="240"/>
      <c r="T112" s="201"/>
      <c r="U112" s="201"/>
      <c r="V112" s="201"/>
    </row>
    <row r="113" spans="1:22" ht="30" x14ac:dyDescent="0.25">
      <c r="A113" s="234" t="s">
        <v>127</v>
      </c>
      <c r="B113" s="235" t="s">
        <v>128</v>
      </c>
      <c r="C113" s="234" t="s">
        <v>37</v>
      </c>
      <c r="D113" s="312">
        <v>1.2649999999999999</v>
      </c>
      <c r="E113" s="312"/>
      <c r="F113" s="248"/>
      <c r="G113" s="312"/>
      <c r="H113" s="312"/>
      <c r="I113" s="312"/>
      <c r="J113" s="248">
        <f t="shared" si="1"/>
        <v>0</v>
      </c>
      <c r="K113" s="330">
        <f t="shared" si="2"/>
        <v>-1.2649999999999999</v>
      </c>
      <c r="L113" s="313"/>
      <c r="M113" s="228">
        <f t="shared" si="3"/>
        <v>0</v>
      </c>
      <c r="N113" s="228">
        <f t="shared" si="6"/>
        <v>0</v>
      </c>
      <c r="O113" s="228">
        <f t="shared" si="7"/>
        <v>0</v>
      </c>
      <c r="P113" s="228">
        <f t="shared" si="7"/>
        <v>0</v>
      </c>
      <c r="Q113" s="228">
        <f t="shared" si="4"/>
        <v>0</v>
      </c>
      <c r="R113" s="343">
        <f t="shared" si="5"/>
        <v>-1.2649999999999999</v>
      </c>
      <c r="S113" s="240"/>
      <c r="T113" s="201"/>
      <c r="U113" s="201"/>
      <c r="V113" s="201"/>
    </row>
    <row r="114" spans="1:22" ht="30" x14ac:dyDescent="0.25">
      <c r="A114" s="234" t="s">
        <v>129</v>
      </c>
      <c r="B114" s="235" t="s">
        <v>130</v>
      </c>
      <c r="C114" s="234" t="s">
        <v>61</v>
      </c>
      <c r="D114" s="312">
        <v>0.21099999999999999</v>
      </c>
      <c r="E114" s="312"/>
      <c r="F114" s="248"/>
      <c r="G114" s="312"/>
      <c r="H114" s="312"/>
      <c r="I114" s="312"/>
      <c r="J114" s="248">
        <f t="shared" si="1"/>
        <v>0</v>
      </c>
      <c r="K114" s="330">
        <f t="shared" si="2"/>
        <v>-0.21099999999999999</v>
      </c>
      <c r="L114" s="313"/>
      <c r="M114" s="228">
        <f t="shared" si="3"/>
        <v>0</v>
      </c>
      <c r="N114" s="228">
        <f t="shared" si="6"/>
        <v>0</v>
      </c>
      <c r="O114" s="228">
        <f t="shared" si="7"/>
        <v>0</v>
      </c>
      <c r="P114" s="228">
        <f t="shared" si="7"/>
        <v>0</v>
      </c>
      <c r="Q114" s="228">
        <f t="shared" si="4"/>
        <v>0</v>
      </c>
      <c r="R114" s="343">
        <f t="shared" si="5"/>
        <v>-0.21099999999999999</v>
      </c>
      <c r="S114" s="240"/>
      <c r="T114" s="201"/>
      <c r="U114" s="201"/>
      <c r="V114" s="201"/>
    </row>
    <row r="115" spans="1:22" ht="30" x14ac:dyDescent="0.25">
      <c r="A115" s="234" t="s">
        <v>131</v>
      </c>
      <c r="B115" s="235" t="s">
        <v>132</v>
      </c>
      <c r="C115" s="234" t="s">
        <v>37</v>
      </c>
      <c r="D115" s="312">
        <v>2.46</v>
      </c>
      <c r="E115" s="312"/>
      <c r="F115" s="248"/>
      <c r="G115" s="312"/>
      <c r="H115" s="312"/>
      <c r="I115" s="312"/>
      <c r="J115" s="248">
        <f t="shared" si="1"/>
        <v>0</v>
      </c>
      <c r="K115" s="330">
        <f t="shared" si="2"/>
        <v>-2.46</v>
      </c>
      <c r="L115" s="313"/>
      <c r="M115" s="228">
        <f t="shared" si="3"/>
        <v>0</v>
      </c>
      <c r="N115" s="228">
        <f t="shared" si="6"/>
        <v>0</v>
      </c>
      <c r="O115" s="228">
        <f t="shared" si="7"/>
        <v>0</v>
      </c>
      <c r="P115" s="228">
        <f t="shared" si="7"/>
        <v>0</v>
      </c>
      <c r="Q115" s="228">
        <f t="shared" si="4"/>
        <v>0</v>
      </c>
      <c r="R115" s="343">
        <f t="shared" si="5"/>
        <v>-2.46</v>
      </c>
      <c r="S115" s="240"/>
      <c r="T115" s="201"/>
      <c r="U115" s="201"/>
      <c r="V115" s="201"/>
    </row>
    <row r="116" spans="1:22" ht="15.75" x14ac:dyDescent="0.25">
      <c r="A116" s="234" t="s">
        <v>133</v>
      </c>
      <c r="B116" s="235" t="s">
        <v>134</v>
      </c>
      <c r="C116" s="234" t="s">
        <v>61</v>
      </c>
      <c r="D116" s="312">
        <v>0.21199999999999999</v>
      </c>
      <c r="E116" s="312"/>
      <c r="F116" s="248"/>
      <c r="G116" s="312"/>
      <c r="H116" s="312"/>
      <c r="I116" s="312"/>
      <c r="J116" s="248">
        <f t="shared" si="1"/>
        <v>0</v>
      </c>
      <c r="K116" s="330">
        <f t="shared" si="2"/>
        <v>-0.21199999999999999</v>
      </c>
      <c r="L116" s="313"/>
      <c r="M116" s="228">
        <f t="shared" si="3"/>
        <v>0</v>
      </c>
      <c r="N116" s="228">
        <f t="shared" si="6"/>
        <v>0</v>
      </c>
      <c r="O116" s="228">
        <f t="shared" si="7"/>
        <v>0</v>
      </c>
      <c r="P116" s="228">
        <f t="shared" si="7"/>
        <v>0</v>
      </c>
      <c r="Q116" s="228">
        <f t="shared" si="4"/>
        <v>0</v>
      </c>
      <c r="R116" s="343">
        <f t="shared" si="5"/>
        <v>-0.21199999999999999</v>
      </c>
      <c r="S116" s="240"/>
      <c r="T116" s="201"/>
      <c r="U116" s="201"/>
      <c r="V116" s="201"/>
    </row>
    <row r="117" spans="1:22" ht="30" x14ac:dyDescent="0.25">
      <c r="A117" s="234" t="s">
        <v>135</v>
      </c>
      <c r="B117" s="235" t="s">
        <v>136</v>
      </c>
      <c r="C117" s="234" t="s">
        <v>52</v>
      </c>
      <c r="D117" s="312">
        <v>370.173</v>
      </c>
      <c r="E117" s="312"/>
      <c r="F117" s="248"/>
      <c r="G117" s="312"/>
      <c r="H117" s="312"/>
      <c r="I117" s="312"/>
      <c r="J117" s="248">
        <f t="shared" si="1"/>
        <v>0</v>
      </c>
      <c r="K117" s="330">
        <f t="shared" si="2"/>
        <v>-370.173</v>
      </c>
      <c r="L117" s="313"/>
      <c r="M117" s="228">
        <f t="shared" si="3"/>
        <v>0</v>
      </c>
      <c r="N117" s="228">
        <f t="shared" si="6"/>
        <v>0</v>
      </c>
      <c r="O117" s="228">
        <f t="shared" si="7"/>
        <v>0</v>
      </c>
      <c r="P117" s="228">
        <f t="shared" si="7"/>
        <v>0</v>
      </c>
      <c r="Q117" s="228">
        <f t="shared" si="4"/>
        <v>0</v>
      </c>
      <c r="R117" s="343">
        <f t="shared" si="5"/>
        <v>-370.173</v>
      </c>
      <c r="S117" s="240"/>
      <c r="T117" s="201"/>
      <c r="U117" s="201"/>
      <c r="V117" s="201"/>
    </row>
    <row r="118" spans="1:22" ht="30" x14ac:dyDescent="0.25">
      <c r="A118" s="234" t="s">
        <v>137</v>
      </c>
      <c r="B118" s="235" t="s">
        <v>138</v>
      </c>
      <c r="C118" s="234" t="s">
        <v>52</v>
      </c>
      <c r="D118" s="312">
        <v>370.173</v>
      </c>
      <c r="E118" s="312"/>
      <c r="F118" s="248"/>
      <c r="G118" s="312"/>
      <c r="H118" s="312"/>
      <c r="I118" s="312"/>
      <c r="J118" s="248">
        <f t="shared" si="1"/>
        <v>0</v>
      </c>
      <c r="K118" s="330">
        <f t="shared" si="2"/>
        <v>-370.173</v>
      </c>
      <c r="L118" s="313"/>
      <c r="M118" s="228">
        <f t="shared" si="3"/>
        <v>0</v>
      </c>
      <c r="N118" s="228">
        <f t="shared" si="6"/>
        <v>0</v>
      </c>
      <c r="O118" s="228">
        <f t="shared" si="7"/>
        <v>0</v>
      </c>
      <c r="P118" s="228">
        <f t="shared" si="7"/>
        <v>0</v>
      </c>
      <c r="Q118" s="228">
        <f t="shared" si="4"/>
        <v>0</v>
      </c>
      <c r="R118" s="343">
        <f t="shared" si="5"/>
        <v>-370.173</v>
      </c>
      <c r="S118" s="240"/>
      <c r="T118" s="201"/>
      <c r="U118" s="201"/>
      <c r="V118" s="201"/>
    </row>
    <row r="119" spans="1:22" ht="18" customHeight="1" x14ac:dyDescent="0.25">
      <c r="A119" s="234" t="s">
        <v>139</v>
      </c>
      <c r="B119" s="235" t="s">
        <v>140</v>
      </c>
      <c r="C119" s="234" t="s">
        <v>52</v>
      </c>
      <c r="D119" s="312">
        <v>875.73</v>
      </c>
      <c r="E119" s="312"/>
      <c r="F119" s="248"/>
      <c r="G119" s="312"/>
      <c r="H119" s="312"/>
      <c r="I119" s="312"/>
      <c r="J119" s="248">
        <f t="shared" si="1"/>
        <v>0</v>
      </c>
      <c r="K119" s="330">
        <f t="shared" si="2"/>
        <v>-875.73</v>
      </c>
      <c r="L119" s="313"/>
      <c r="M119" s="228">
        <f t="shared" si="3"/>
        <v>0</v>
      </c>
      <c r="N119" s="228">
        <f t="shared" si="6"/>
        <v>0</v>
      </c>
      <c r="O119" s="228">
        <f t="shared" si="7"/>
        <v>0</v>
      </c>
      <c r="P119" s="228">
        <f t="shared" si="7"/>
        <v>0</v>
      </c>
      <c r="Q119" s="228">
        <f t="shared" si="4"/>
        <v>0</v>
      </c>
      <c r="R119" s="343">
        <f t="shared" si="5"/>
        <v>-875.73</v>
      </c>
      <c r="S119" s="240"/>
      <c r="T119" s="201"/>
      <c r="U119" s="201"/>
      <c r="V119" s="201"/>
    </row>
    <row r="120" spans="1:22" ht="24" customHeight="1" x14ac:dyDescent="0.25">
      <c r="A120" s="234" t="s">
        <v>141</v>
      </c>
      <c r="B120" s="235" t="s">
        <v>142</v>
      </c>
      <c r="C120" s="234" t="s">
        <v>143</v>
      </c>
      <c r="D120" s="312">
        <v>53934.75</v>
      </c>
      <c r="E120" s="312"/>
      <c r="F120" s="248">
        <f>D120*0.7</f>
        <v>37754.324999999997</v>
      </c>
      <c r="G120" s="312"/>
      <c r="H120" s="312"/>
      <c r="I120" s="312"/>
      <c r="J120" s="248">
        <f t="shared" si="1"/>
        <v>37754.324999999997</v>
      </c>
      <c r="K120" s="311">
        <f t="shared" si="2"/>
        <v>-16180.425000000003</v>
      </c>
      <c r="L120" s="313"/>
      <c r="M120" s="228">
        <f t="shared" si="3"/>
        <v>37754.324999999997</v>
      </c>
      <c r="N120" s="228">
        <f t="shared" si="6"/>
        <v>0</v>
      </c>
      <c r="O120" s="228">
        <f t="shared" si="7"/>
        <v>0</v>
      </c>
      <c r="P120" s="228">
        <f t="shared" si="7"/>
        <v>0</v>
      </c>
      <c r="Q120" s="228">
        <f t="shared" si="4"/>
        <v>37754.324999999997</v>
      </c>
      <c r="R120" s="343">
        <f t="shared" si="5"/>
        <v>-16180.425000000003</v>
      </c>
      <c r="S120" s="240"/>
      <c r="T120" s="201"/>
      <c r="U120" s="205">
        <v>0.7</v>
      </c>
      <c r="V120" s="201"/>
    </row>
    <row r="121" spans="1:22" ht="18.75" customHeight="1" x14ac:dyDescent="0.25">
      <c r="A121" s="234" t="s">
        <v>144</v>
      </c>
      <c r="B121" s="235" t="s">
        <v>145</v>
      </c>
      <c r="C121" s="234" t="s">
        <v>143</v>
      </c>
      <c r="D121" s="312">
        <v>683462.25</v>
      </c>
      <c r="E121" s="312"/>
      <c r="F121" s="248">
        <f>D121*0.7</f>
        <v>478423.57499999995</v>
      </c>
      <c r="G121" s="312"/>
      <c r="H121" s="312"/>
      <c r="I121" s="312"/>
      <c r="J121" s="248">
        <f t="shared" si="1"/>
        <v>478423.57499999995</v>
      </c>
      <c r="K121" s="311">
        <f t="shared" si="2"/>
        <v>-205038.67500000005</v>
      </c>
      <c r="L121" s="313"/>
      <c r="M121" s="228">
        <f t="shared" si="3"/>
        <v>478423.57499999995</v>
      </c>
      <c r="N121" s="228">
        <f t="shared" si="6"/>
        <v>0</v>
      </c>
      <c r="O121" s="228">
        <f t="shared" si="7"/>
        <v>0</v>
      </c>
      <c r="P121" s="228">
        <f t="shared" si="7"/>
        <v>0</v>
      </c>
      <c r="Q121" s="228">
        <f t="shared" si="4"/>
        <v>478423.57499999995</v>
      </c>
      <c r="R121" s="343">
        <f t="shared" si="5"/>
        <v>-205038.67500000005</v>
      </c>
      <c r="S121" s="240"/>
      <c r="T121" s="201"/>
      <c r="U121" s="205">
        <v>0.7</v>
      </c>
      <c r="V121" s="201"/>
    </row>
    <row r="122" spans="1:22" ht="23.25" customHeight="1" x14ac:dyDescent="0.25">
      <c r="A122" s="234" t="s">
        <v>146</v>
      </c>
      <c r="B122" s="235" t="s">
        <v>147</v>
      </c>
      <c r="C122" s="234" t="s">
        <v>14</v>
      </c>
      <c r="D122" s="312">
        <v>45.564</v>
      </c>
      <c r="E122" s="312"/>
      <c r="F122" s="248">
        <f>D122*0.7</f>
        <v>31.894799999999996</v>
      </c>
      <c r="G122" s="312"/>
      <c r="H122" s="312"/>
      <c r="I122" s="312"/>
      <c r="J122" s="248">
        <f t="shared" ref="J122:J185" si="8">F122+G122+H122+I122</f>
        <v>31.894799999999996</v>
      </c>
      <c r="K122" s="330">
        <f t="shared" ref="K122:K185" si="9">J122-D122</f>
        <v>-13.669200000000004</v>
      </c>
      <c r="L122" s="313"/>
      <c r="M122" s="228">
        <f t="shared" ref="M122:M185" si="10">F122</f>
        <v>31.894799999999996</v>
      </c>
      <c r="N122" s="228">
        <f t="shared" si="6"/>
        <v>0</v>
      </c>
      <c r="O122" s="228">
        <f t="shared" si="7"/>
        <v>0</v>
      </c>
      <c r="P122" s="228">
        <f t="shared" si="7"/>
        <v>0</v>
      </c>
      <c r="Q122" s="228">
        <f t="shared" ref="Q122:Q185" si="11">M122+N122+O122+P122</f>
        <v>31.894799999999996</v>
      </c>
      <c r="R122" s="343">
        <f t="shared" ref="R122:R185" si="12">Q122-D122</f>
        <v>-13.669200000000004</v>
      </c>
      <c r="S122" s="240"/>
      <c r="T122" s="201"/>
      <c r="U122" s="205">
        <v>0.7</v>
      </c>
      <c r="V122" s="201"/>
    </row>
    <row r="123" spans="1:22" ht="15.75" x14ac:dyDescent="0.25">
      <c r="A123" s="234" t="s">
        <v>148</v>
      </c>
      <c r="B123" s="235" t="s">
        <v>149</v>
      </c>
      <c r="C123" s="234" t="s">
        <v>150</v>
      </c>
      <c r="D123" s="312">
        <v>45.564</v>
      </c>
      <c r="E123" s="312"/>
      <c r="F123" s="248"/>
      <c r="G123" s="312"/>
      <c r="H123" s="312"/>
      <c r="I123" s="312"/>
      <c r="J123" s="248">
        <f t="shared" si="8"/>
        <v>0</v>
      </c>
      <c r="K123" s="330">
        <f t="shared" si="9"/>
        <v>-45.564</v>
      </c>
      <c r="L123" s="313"/>
      <c r="M123" s="228">
        <f t="shared" si="10"/>
        <v>0</v>
      </c>
      <c r="N123" s="228">
        <f t="shared" si="6"/>
        <v>0</v>
      </c>
      <c r="O123" s="228">
        <f t="shared" si="7"/>
        <v>0</v>
      </c>
      <c r="P123" s="228">
        <f t="shared" si="7"/>
        <v>0</v>
      </c>
      <c r="Q123" s="228">
        <f t="shared" si="11"/>
        <v>0</v>
      </c>
      <c r="R123" s="343">
        <f t="shared" si="12"/>
        <v>-45.564</v>
      </c>
      <c r="S123" s="240"/>
      <c r="T123" s="201"/>
      <c r="U123" s="201"/>
      <c r="V123" s="201"/>
    </row>
    <row r="124" spans="1:22" ht="35.25" customHeight="1" x14ac:dyDescent="0.25">
      <c r="A124" s="234" t="s">
        <v>151</v>
      </c>
      <c r="B124" s="235" t="s">
        <v>41</v>
      </c>
      <c r="C124" s="234" t="s">
        <v>27</v>
      </c>
      <c r="D124" s="312">
        <v>3.3140000000000001</v>
      </c>
      <c r="E124" s="312"/>
      <c r="F124" s="248"/>
      <c r="G124" s="312"/>
      <c r="H124" s="312"/>
      <c r="I124" s="312"/>
      <c r="J124" s="248">
        <f t="shared" si="8"/>
        <v>0</v>
      </c>
      <c r="K124" s="330">
        <f t="shared" si="9"/>
        <v>-3.3140000000000001</v>
      </c>
      <c r="L124" s="313"/>
      <c r="M124" s="228">
        <f t="shared" si="10"/>
        <v>0</v>
      </c>
      <c r="N124" s="228">
        <f t="shared" si="6"/>
        <v>0</v>
      </c>
      <c r="O124" s="228">
        <f t="shared" si="7"/>
        <v>0</v>
      </c>
      <c r="P124" s="228">
        <f t="shared" si="7"/>
        <v>0</v>
      </c>
      <c r="Q124" s="228">
        <f t="shared" si="11"/>
        <v>0</v>
      </c>
      <c r="R124" s="343">
        <f t="shared" si="12"/>
        <v>-3.3140000000000001</v>
      </c>
      <c r="S124" s="240"/>
      <c r="T124" s="201"/>
      <c r="U124" s="201"/>
      <c r="V124" s="201"/>
    </row>
    <row r="125" spans="1:22" ht="30" x14ac:dyDescent="0.25">
      <c r="A125" s="234" t="s">
        <v>152</v>
      </c>
      <c r="B125" s="235" t="s">
        <v>43</v>
      </c>
      <c r="C125" s="234" t="s">
        <v>27</v>
      </c>
      <c r="D125" s="312">
        <v>0.44500000000000001</v>
      </c>
      <c r="E125" s="312"/>
      <c r="F125" s="248"/>
      <c r="G125" s="312"/>
      <c r="H125" s="312"/>
      <c r="I125" s="312"/>
      <c r="J125" s="248">
        <f t="shared" si="8"/>
        <v>0</v>
      </c>
      <c r="K125" s="330">
        <f t="shared" si="9"/>
        <v>-0.44500000000000001</v>
      </c>
      <c r="L125" s="313"/>
      <c r="M125" s="228">
        <f t="shared" si="10"/>
        <v>0</v>
      </c>
      <c r="N125" s="228">
        <f t="shared" si="6"/>
        <v>0</v>
      </c>
      <c r="O125" s="228">
        <f t="shared" si="7"/>
        <v>0</v>
      </c>
      <c r="P125" s="228">
        <f t="shared" si="7"/>
        <v>0</v>
      </c>
      <c r="Q125" s="228">
        <f t="shared" si="11"/>
        <v>0</v>
      </c>
      <c r="R125" s="343">
        <f t="shared" si="12"/>
        <v>-0.44500000000000001</v>
      </c>
      <c r="S125" s="240"/>
      <c r="T125" s="201"/>
      <c r="U125" s="201"/>
      <c r="V125" s="201"/>
    </row>
    <row r="126" spans="1:22" ht="42" customHeight="1" x14ac:dyDescent="0.25">
      <c r="A126" s="234" t="s">
        <v>153</v>
      </c>
      <c r="B126" s="235" t="s">
        <v>45</v>
      </c>
      <c r="C126" s="234" t="s">
        <v>27</v>
      </c>
      <c r="D126" s="312">
        <v>2.8690000000000002</v>
      </c>
      <c r="E126" s="312"/>
      <c r="F126" s="248"/>
      <c r="G126" s="312"/>
      <c r="H126" s="312"/>
      <c r="I126" s="312"/>
      <c r="J126" s="248">
        <f t="shared" si="8"/>
        <v>0</v>
      </c>
      <c r="K126" s="330">
        <f t="shared" si="9"/>
        <v>-2.8690000000000002</v>
      </c>
      <c r="L126" s="313"/>
      <c r="M126" s="228">
        <f t="shared" si="10"/>
        <v>0</v>
      </c>
      <c r="N126" s="228">
        <f t="shared" si="6"/>
        <v>0</v>
      </c>
      <c r="O126" s="228">
        <f t="shared" si="7"/>
        <v>0</v>
      </c>
      <c r="P126" s="228">
        <f t="shared" si="7"/>
        <v>0</v>
      </c>
      <c r="Q126" s="228">
        <f t="shared" si="11"/>
        <v>0</v>
      </c>
      <c r="R126" s="343">
        <f t="shared" si="12"/>
        <v>-2.8690000000000002</v>
      </c>
      <c r="S126" s="240"/>
      <c r="T126" s="201"/>
      <c r="U126" s="201"/>
      <c r="V126" s="201"/>
    </row>
    <row r="127" spans="1:22" ht="38.25" customHeight="1" x14ac:dyDescent="0.25">
      <c r="A127" s="234" t="s">
        <v>154</v>
      </c>
      <c r="B127" s="235" t="s">
        <v>47</v>
      </c>
      <c r="C127" s="234" t="s">
        <v>27</v>
      </c>
      <c r="D127" s="312">
        <v>2.8690000000000002</v>
      </c>
      <c r="E127" s="312"/>
      <c r="F127" s="248"/>
      <c r="G127" s="312"/>
      <c r="H127" s="312"/>
      <c r="I127" s="312"/>
      <c r="J127" s="248">
        <f t="shared" si="8"/>
        <v>0</v>
      </c>
      <c r="K127" s="330">
        <f t="shared" si="9"/>
        <v>-2.8690000000000002</v>
      </c>
      <c r="L127" s="313"/>
      <c r="M127" s="228">
        <f t="shared" si="10"/>
        <v>0</v>
      </c>
      <c r="N127" s="228">
        <f t="shared" si="6"/>
        <v>0</v>
      </c>
      <c r="O127" s="228">
        <f t="shared" si="7"/>
        <v>0</v>
      </c>
      <c r="P127" s="228">
        <f t="shared" si="7"/>
        <v>0</v>
      </c>
      <c r="Q127" s="228">
        <f t="shared" si="11"/>
        <v>0</v>
      </c>
      <c r="R127" s="343">
        <f t="shared" si="12"/>
        <v>-2.8690000000000002</v>
      </c>
      <c r="S127" s="240"/>
      <c r="T127" s="201"/>
      <c r="U127" s="201"/>
      <c r="V127" s="201"/>
    </row>
    <row r="128" spans="1:22" ht="41.25" customHeight="1" x14ac:dyDescent="0.25">
      <c r="A128" s="234" t="s">
        <v>155</v>
      </c>
      <c r="B128" s="235" t="s">
        <v>49</v>
      </c>
      <c r="C128" s="234" t="s">
        <v>37</v>
      </c>
      <c r="D128" s="312">
        <v>10.888</v>
      </c>
      <c r="E128" s="312"/>
      <c r="F128" s="248"/>
      <c r="G128" s="312"/>
      <c r="H128" s="312"/>
      <c r="I128" s="312"/>
      <c r="J128" s="248">
        <f t="shared" si="8"/>
        <v>0</v>
      </c>
      <c r="K128" s="330">
        <f t="shared" si="9"/>
        <v>-10.888</v>
      </c>
      <c r="L128" s="313"/>
      <c r="M128" s="228">
        <f t="shared" si="10"/>
        <v>0</v>
      </c>
      <c r="N128" s="228">
        <f t="shared" si="6"/>
        <v>0</v>
      </c>
      <c r="O128" s="228">
        <f t="shared" si="7"/>
        <v>0</v>
      </c>
      <c r="P128" s="228">
        <f t="shared" si="7"/>
        <v>0</v>
      </c>
      <c r="Q128" s="228">
        <f t="shared" si="11"/>
        <v>0</v>
      </c>
      <c r="R128" s="343">
        <f t="shared" si="12"/>
        <v>-10.888</v>
      </c>
      <c r="S128" s="240"/>
      <c r="T128" s="201"/>
      <c r="U128" s="201"/>
      <c r="V128" s="201"/>
    </row>
    <row r="129" spans="1:22" ht="45" x14ac:dyDescent="0.25">
      <c r="A129" s="234" t="s">
        <v>156</v>
      </c>
      <c r="B129" s="235" t="s">
        <v>157</v>
      </c>
      <c r="C129" s="234" t="s">
        <v>37</v>
      </c>
      <c r="D129" s="312">
        <v>25.75</v>
      </c>
      <c r="E129" s="312"/>
      <c r="F129" s="248"/>
      <c r="G129" s="312"/>
      <c r="H129" s="312"/>
      <c r="I129" s="312"/>
      <c r="J129" s="248">
        <f t="shared" si="8"/>
        <v>0</v>
      </c>
      <c r="K129" s="330">
        <f t="shared" si="9"/>
        <v>-25.75</v>
      </c>
      <c r="L129" s="313"/>
      <c r="M129" s="228">
        <f t="shared" si="10"/>
        <v>0</v>
      </c>
      <c r="N129" s="228">
        <f t="shared" si="6"/>
        <v>0</v>
      </c>
      <c r="O129" s="228">
        <f t="shared" si="7"/>
        <v>0</v>
      </c>
      <c r="P129" s="228">
        <f t="shared" si="7"/>
        <v>0</v>
      </c>
      <c r="Q129" s="228">
        <f t="shared" si="11"/>
        <v>0</v>
      </c>
      <c r="R129" s="343">
        <f t="shared" si="12"/>
        <v>-25.75</v>
      </c>
      <c r="S129" s="240"/>
      <c r="T129" s="201"/>
      <c r="U129" s="201"/>
      <c r="V129" s="201"/>
    </row>
    <row r="130" spans="1:22" ht="15.75" x14ac:dyDescent="0.25">
      <c r="A130" s="234" t="s">
        <v>158</v>
      </c>
      <c r="B130" s="235" t="s">
        <v>159</v>
      </c>
      <c r="C130" s="234" t="s">
        <v>61</v>
      </c>
      <c r="D130" s="312">
        <v>0.14499999999999999</v>
      </c>
      <c r="E130" s="312"/>
      <c r="F130" s="248"/>
      <c r="G130" s="312"/>
      <c r="H130" s="312"/>
      <c r="I130" s="312"/>
      <c r="J130" s="248">
        <f t="shared" si="8"/>
        <v>0</v>
      </c>
      <c r="K130" s="330">
        <f t="shared" si="9"/>
        <v>-0.14499999999999999</v>
      </c>
      <c r="L130" s="313"/>
      <c r="M130" s="228">
        <f t="shared" si="10"/>
        <v>0</v>
      </c>
      <c r="N130" s="228">
        <f t="shared" si="6"/>
        <v>0</v>
      </c>
      <c r="O130" s="228">
        <f t="shared" si="7"/>
        <v>0</v>
      </c>
      <c r="P130" s="228">
        <f t="shared" si="7"/>
        <v>0</v>
      </c>
      <c r="Q130" s="228">
        <f t="shared" si="11"/>
        <v>0</v>
      </c>
      <c r="R130" s="343">
        <f t="shared" si="12"/>
        <v>-0.14499999999999999</v>
      </c>
      <c r="S130" s="240"/>
      <c r="T130" s="201"/>
      <c r="U130" s="201"/>
      <c r="V130" s="201"/>
    </row>
    <row r="131" spans="1:22" ht="52.5" customHeight="1" x14ac:dyDescent="0.25">
      <c r="A131" s="234" t="s">
        <v>160</v>
      </c>
      <c r="B131" s="235" t="s">
        <v>161</v>
      </c>
      <c r="C131" s="234" t="s">
        <v>37</v>
      </c>
      <c r="D131" s="312">
        <v>69.894999999999996</v>
      </c>
      <c r="E131" s="312"/>
      <c r="F131" s="248"/>
      <c r="G131" s="312"/>
      <c r="H131" s="312"/>
      <c r="I131" s="312"/>
      <c r="J131" s="248">
        <f t="shared" si="8"/>
        <v>0</v>
      </c>
      <c r="K131" s="330">
        <f t="shared" si="9"/>
        <v>-69.894999999999996</v>
      </c>
      <c r="L131" s="313"/>
      <c r="M131" s="228">
        <f t="shared" si="10"/>
        <v>0</v>
      </c>
      <c r="N131" s="228">
        <f t="shared" si="6"/>
        <v>0</v>
      </c>
      <c r="O131" s="228">
        <f t="shared" si="7"/>
        <v>0</v>
      </c>
      <c r="P131" s="228">
        <f t="shared" si="7"/>
        <v>0</v>
      </c>
      <c r="Q131" s="228">
        <f t="shared" si="11"/>
        <v>0</v>
      </c>
      <c r="R131" s="343">
        <f t="shared" si="12"/>
        <v>-69.894999999999996</v>
      </c>
      <c r="S131" s="240"/>
      <c r="T131" s="201"/>
      <c r="U131" s="201"/>
      <c r="V131" s="201"/>
    </row>
    <row r="132" spans="1:22" ht="15.75" x14ac:dyDescent="0.25">
      <c r="A132" s="234" t="s">
        <v>162</v>
      </c>
      <c r="B132" s="235" t="s">
        <v>96</v>
      </c>
      <c r="C132" s="234" t="s">
        <v>61</v>
      </c>
      <c r="D132" s="312">
        <v>4.5229999999999997</v>
      </c>
      <c r="E132" s="312"/>
      <c r="F132" s="248"/>
      <c r="G132" s="312"/>
      <c r="H132" s="312"/>
      <c r="I132" s="312"/>
      <c r="J132" s="248">
        <f t="shared" si="8"/>
        <v>0</v>
      </c>
      <c r="K132" s="330">
        <f t="shared" si="9"/>
        <v>-4.5229999999999997</v>
      </c>
      <c r="L132" s="313"/>
      <c r="M132" s="228">
        <f t="shared" si="10"/>
        <v>0</v>
      </c>
      <c r="N132" s="228">
        <f t="shared" si="6"/>
        <v>0</v>
      </c>
      <c r="O132" s="228">
        <f t="shared" si="7"/>
        <v>0</v>
      </c>
      <c r="P132" s="228">
        <f t="shared" si="7"/>
        <v>0</v>
      </c>
      <c r="Q132" s="228">
        <f t="shared" si="11"/>
        <v>0</v>
      </c>
      <c r="R132" s="343">
        <f t="shared" si="12"/>
        <v>-4.5229999999999997</v>
      </c>
      <c r="S132" s="240"/>
      <c r="T132" s="201"/>
      <c r="U132" s="201"/>
      <c r="V132" s="201"/>
    </row>
    <row r="133" spans="1:22" ht="15.75" x14ac:dyDescent="0.25">
      <c r="A133" s="234" t="s">
        <v>163</v>
      </c>
      <c r="B133" s="235" t="s">
        <v>164</v>
      </c>
      <c r="C133" s="234" t="s">
        <v>6</v>
      </c>
      <c r="D133" s="312">
        <v>70.400000000000006</v>
      </c>
      <c r="E133" s="312"/>
      <c r="F133" s="248"/>
      <c r="G133" s="312"/>
      <c r="H133" s="312"/>
      <c r="I133" s="312"/>
      <c r="J133" s="248">
        <f t="shared" si="8"/>
        <v>0</v>
      </c>
      <c r="K133" s="330">
        <f t="shared" si="9"/>
        <v>-70.400000000000006</v>
      </c>
      <c r="L133" s="313"/>
      <c r="M133" s="228">
        <f t="shared" si="10"/>
        <v>0</v>
      </c>
      <c r="N133" s="228">
        <f t="shared" si="6"/>
        <v>0</v>
      </c>
      <c r="O133" s="228">
        <f t="shared" si="7"/>
        <v>0</v>
      </c>
      <c r="P133" s="228">
        <f t="shared" si="7"/>
        <v>0</v>
      </c>
      <c r="Q133" s="228">
        <f t="shared" si="11"/>
        <v>0</v>
      </c>
      <c r="R133" s="343">
        <f t="shared" si="12"/>
        <v>-70.400000000000006</v>
      </c>
      <c r="S133" s="240"/>
      <c r="T133" s="201"/>
      <c r="U133" s="201"/>
      <c r="V133" s="201"/>
    </row>
    <row r="134" spans="1:22" ht="30" x14ac:dyDescent="0.25">
      <c r="A134" s="234" t="s">
        <v>165</v>
      </c>
      <c r="B134" s="235" t="s">
        <v>166</v>
      </c>
      <c r="C134" s="234" t="s">
        <v>32</v>
      </c>
      <c r="D134" s="312">
        <v>2.2029999999999998</v>
      </c>
      <c r="E134" s="312"/>
      <c r="F134" s="248">
        <f>D134*$U$71</f>
        <v>1.3658599999999999</v>
      </c>
      <c r="G134" s="312"/>
      <c r="H134" s="312"/>
      <c r="I134" s="312"/>
      <c r="J134" s="248">
        <f t="shared" si="8"/>
        <v>1.3658599999999999</v>
      </c>
      <c r="K134" s="330">
        <f t="shared" si="9"/>
        <v>-0.83714</v>
      </c>
      <c r="L134" s="313"/>
      <c r="M134" s="228">
        <f t="shared" si="10"/>
        <v>1.3658599999999999</v>
      </c>
      <c r="N134" s="228">
        <f t="shared" si="6"/>
        <v>0</v>
      </c>
      <c r="O134" s="228">
        <f t="shared" si="7"/>
        <v>0</v>
      </c>
      <c r="P134" s="228">
        <f t="shared" si="7"/>
        <v>0</v>
      </c>
      <c r="Q134" s="228">
        <f t="shared" si="11"/>
        <v>1.3658599999999999</v>
      </c>
      <c r="R134" s="343">
        <f t="shared" si="12"/>
        <v>-0.83714</v>
      </c>
      <c r="S134" s="240"/>
      <c r="T134" s="201"/>
      <c r="U134" s="201"/>
      <c r="V134" s="201"/>
    </row>
    <row r="135" spans="1:22" ht="30" x14ac:dyDescent="0.25">
      <c r="A135" s="234" t="s">
        <v>167</v>
      </c>
      <c r="B135" s="235" t="s">
        <v>168</v>
      </c>
      <c r="C135" s="234" t="s">
        <v>32</v>
      </c>
      <c r="D135" s="312">
        <v>7.53</v>
      </c>
      <c r="E135" s="312"/>
      <c r="F135" s="248">
        <f>D135*$U$71</f>
        <v>4.6686000000000005</v>
      </c>
      <c r="G135" s="312"/>
      <c r="H135" s="312"/>
      <c r="I135" s="312"/>
      <c r="J135" s="248">
        <f t="shared" si="8"/>
        <v>4.6686000000000005</v>
      </c>
      <c r="K135" s="330">
        <f t="shared" si="9"/>
        <v>-2.8613999999999997</v>
      </c>
      <c r="L135" s="313"/>
      <c r="M135" s="228">
        <f t="shared" si="10"/>
        <v>4.6686000000000005</v>
      </c>
      <c r="N135" s="228">
        <f t="shared" si="6"/>
        <v>0</v>
      </c>
      <c r="O135" s="228">
        <f t="shared" si="7"/>
        <v>0</v>
      </c>
      <c r="P135" s="228">
        <f t="shared" si="7"/>
        <v>0</v>
      </c>
      <c r="Q135" s="228">
        <f t="shared" si="11"/>
        <v>4.6686000000000005</v>
      </c>
      <c r="R135" s="343">
        <f t="shared" si="12"/>
        <v>-2.8613999999999997</v>
      </c>
      <c r="S135" s="240"/>
      <c r="T135" s="201"/>
      <c r="U135" s="201"/>
      <c r="V135" s="201"/>
    </row>
    <row r="136" spans="1:22" ht="30" x14ac:dyDescent="0.25">
      <c r="A136" s="234" t="s">
        <v>169</v>
      </c>
      <c r="B136" s="235" t="s">
        <v>136</v>
      </c>
      <c r="C136" s="234" t="s">
        <v>52</v>
      </c>
      <c r="D136" s="312">
        <v>281.85599999999999</v>
      </c>
      <c r="E136" s="312"/>
      <c r="F136" s="248"/>
      <c r="G136" s="312"/>
      <c r="H136" s="312"/>
      <c r="I136" s="312"/>
      <c r="J136" s="248">
        <f t="shared" si="8"/>
        <v>0</v>
      </c>
      <c r="K136" s="330">
        <f t="shared" si="9"/>
        <v>-281.85599999999999</v>
      </c>
      <c r="L136" s="313"/>
      <c r="M136" s="228">
        <f t="shared" si="10"/>
        <v>0</v>
      </c>
      <c r="N136" s="228">
        <f t="shared" si="6"/>
        <v>0</v>
      </c>
      <c r="O136" s="228">
        <f t="shared" si="7"/>
        <v>0</v>
      </c>
      <c r="P136" s="228">
        <f t="shared" si="7"/>
        <v>0</v>
      </c>
      <c r="Q136" s="228">
        <f t="shared" si="11"/>
        <v>0</v>
      </c>
      <c r="R136" s="343">
        <f t="shared" si="12"/>
        <v>-281.85599999999999</v>
      </c>
      <c r="S136" s="240"/>
      <c r="T136" s="201"/>
      <c r="U136" s="201"/>
      <c r="V136" s="201"/>
    </row>
    <row r="137" spans="1:22" ht="30" x14ac:dyDescent="0.25">
      <c r="A137" s="234" t="s">
        <v>170</v>
      </c>
      <c r="B137" s="235" t="s">
        <v>171</v>
      </c>
      <c r="C137" s="234" t="s">
        <v>52</v>
      </c>
      <c r="D137" s="312">
        <v>281.85599999999999</v>
      </c>
      <c r="E137" s="312"/>
      <c r="F137" s="248"/>
      <c r="G137" s="312"/>
      <c r="H137" s="312"/>
      <c r="I137" s="312"/>
      <c r="J137" s="248">
        <f t="shared" si="8"/>
        <v>0</v>
      </c>
      <c r="K137" s="330">
        <f t="shared" si="9"/>
        <v>-281.85599999999999</v>
      </c>
      <c r="L137" s="313"/>
      <c r="M137" s="228">
        <f t="shared" si="10"/>
        <v>0</v>
      </c>
      <c r="N137" s="228">
        <f t="shared" ref="N137:N200" si="13">G137</f>
        <v>0</v>
      </c>
      <c r="O137" s="228">
        <f t="shared" ref="O137:P200" si="14">H137</f>
        <v>0</v>
      </c>
      <c r="P137" s="228">
        <f t="shared" si="14"/>
        <v>0</v>
      </c>
      <c r="Q137" s="228">
        <f t="shared" si="11"/>
        <v>0</v>
      </c>
      <c r="R137" s="343">
        <f t="shared" si="12"/>
        <v>-281.85599999999999</v>
      </c>
      <c r="S137" s="240"/>
      <c r="T137" s="201"/>
      <c r="U137" s="201"/>
      <c r="V137" s="201"/>
    </row>
    <row r="138" spans="1:22" ht="30" x14ac:dyDescent="0.25">
      <c r="A138" s="234" t="s">
        <v>172</v>
      </c>
      <c r="B138" s="235" t="s">
        <v>173</v>
      </c>
      <c r="C138" s="234" t="s">
        <v>52</v>
      </c>
      <c r="D138" s="312">
        <v>25.175999999999998</v>
      </c>
      <c r="E138" s="312"/>
      <c r="F138" s="248"/>
      <c r="G138" s="312"/>
      <c r="H138" s="312"/>
      <c r="I138" s="312"/>
      <c r="J138" s="248">
        <f t="shared" si="8"/>
        <v>0</v>
      </c>
      <c r="K138" s="330">
        <f t="shared" si="9"/>
        <v>-25.175999999999998</v>
      </c>
      <c r="L138" s="313"/>
      <c r="M138" s="228">
        <f t="shared" si="10"/>
        <v>0</v>
      </c>
      <c r="N138" s="228">
        <f t="shared" si="13"/>
        <v>0</v>
      </c>
      <c r="O138" s="228">
        <f t="shared" si="14"/>
        <v>0</v>
      </c>
      <c r="P138" s="228">
        <f t="shared" si="14"/>
        <v>0</v>
      </c>
      <c r="Q138" s="228">
        <f t="shared" si="11"/>
        <v>0</v>
      </c>
      <c r="R138" s="343">
        <f t="shared" si="12"/>
        <v>-25.175999999999998</v>
      </c>
      <c r="S138" s="240"/>
      <c r="T138" s="201"/>
      <c r="U138" s="201"/>
      <c r="V138" s="201"/>
    </row>
    <row r="139" spans="1:22" ht="30" x14ac:dyDescent="0.25">
      <c r="A139" s="234" t="s">
        <v>174</v>
      </c>
      <c r="B139" s="235" t="s">
        <v>175</v>
      </c>
      <c r="C139" s="234" t="s">
        <v>52</v>
      </c>
      <c r="D139" s="312">
        <v>283.13600000000002</v>
      </c>
      <c r="E139" s="312"/>
      <c r="F139" s="248"/>
      <c r="G139" s="312"/>
      <c r="H139" s="312"/>
      <c r="I139" s="312"/>
      <c r="J139" s="248">
        <f t="shared" si="8"/>
        <v>0</v>
      </c>
      <c r="K139" s="330">
        <f t="shared" si="9"/>
        <v>-283.13600000000002</v>
      </c>
      <c r="L139" s="313"/>
      <c r="M139" s="228">
        <f t="shared" si="10"/>
        <v>0</v>
      </c>
      <c r="N139" s="228">
        <f t="shared" si="13"/>
        <v>0</v>
      </c>
      <c r="O139" s="228">
        <f t="shared" si="14"/>
        <v>0</v>
      </c>
      <c r="P139" s="228">
        <f t="shared" si="14"/>
        <v>0</v>
      </c>
      <c r="Q139" s="228">
        <f t="shared" si="11"/>
        <v>0</v>
      </c>
      <c r="R139" s="343">
        <f t="shared" si="12"/>
        <v>-283.13600000000002</v>
      </c>
      <c r="S139" s="240"/>
      <c r="T139" s="201"/>
      <c r="U139" s="201"/>
      <c r="V139" s="201"/>
    </row>
    <row r="140" spans="1:22" ht="30" x14ac:dyDescent="0.25">
      <c r="A140" s="234" t="s">
        <v>176</v>
      </c>
      <c r="B140" s="235" t="s">
        <v>177</v>
      </c>
      <c r="C140" s="234" t="s">
        <v>52</v>
      </c>
      <c r="D140" s="312">
        <v>283.13600000000002</v>
      </c>
      <c r="E140" s="312"/>
      <c r="F140" s="248"/>
      <c r="G140" s="312"/>
      <c r="H140" s="312"/>
      <c r="I140" s="312"/>
      <c r="J140" s="248">
        <f t="shared" si="8"/>
        <v>0</v>
      </c>
      <c r="K140" s="330">
        <f t="shared" si="9"/>
        <v>-283.13600000000002</v>
      </c>
      <c r="L140" s="313"/>
      <c r="M140" s="228">
        <f t="shared" si="10"/>
        <v>0</v>
      </c>
      <c r="N140" s="228">
        <f t="shared" si="13"/>
        <v>0</v>
      </c>
      <c r="O140" s="228">
        <f t="shared" si="14"/>
        <v>0</v>
      </c>
      <c r="P140" s="228">
        <f t="shared" si="14"/>
        <v>0</v>
      </c>
      <c r="Q140" s="228">
        <f t="shared" si="11"/>
        <v>0</v>
      </c>
      <c r="R140" s="343">
        <f t="shared" si="12"/>
        <v>-283.13600000000002</v>
      </c>
      <c r="S140" s="240"/>
      <c r="T140" s="201"/>
      <c r="U140" s="201"/>
      <c r="V140" s="201"/>
    </row>
    <row r="141" spans="1:22" ht="30" x14ac:dyDescent="0.25">
      <c r="A141" s="234" t="s">
        <v>178</v>
      </c>
      <c r="B141" s="235" t="s">
        <v>136</v>
      </c>
      <c r="C141" s="234" t="s">
        <v>52</v>
      </c>
      <c r="D141" s="312">
        <v>149.12</v>
      </c>
      <c r="E141" s="312"/>
      <c r="F141" s="248"/>
      <c r="G141" s="312"/>
      <c r="H141" s="312"/>
      <c r="I141" s="312"/>
      <c r="J141" s="248">
        <f t="shared" si="8"/>
        <v>0</v>
      </c>
      <c r="K141" s="330">
        <f t="shared" si="9"/>
        <v>-149.12</v>
      </c>
      <c r="L141" s="313"/>
      <c r="M141" s="228">
        <f t="shared" si="10"/>
        <v>0</v>
      </c>
      <c r="N141" s="228">
        <f t="shared" si="13"/>
        <v>0</v>
      </c>
      <c r="O141" s="228">
        <f t="shared" si="14"/>
        <v>0</v>
      </c>
      <c r="P141" s="228">
        <f t="shared" si="14"/>
        <v>0</v>
      </c>
      <c r="Q141" s="228">
        <f t="shared" si="11"/>
        <v>0</v>
      </c>
      <c r="R141" s="343">
        <f t="shared" si="12"/>
        <v>-149.12</v>
      </c>
      <c r="S141" s="240"/>
      <c r="T141" s="201"/>
      <c r="U141" s="201"/>
      <c r="V141" s="201"/>
    </row>
    <row r="142" spans="1:22" ht="30" x14ac:dyDescent="0.25">
      <c r="A142" s="234" t="s">
        <v>179</v>
      </c>
      <c r="B142" s="235" t="s">
        <v>180</v>
      </c>
      <c r="C142" s="234" t="s">
        <v>52</v>
      </c>
      <c r="D142" s="312">
        <v>149.12</v>
      </c>
      <c r="E142" s="312"/>
      <c r="F142" s="248"/>
      <c r="G142" s="312"/>
      <c r="H142" s="312"/>
      <c r="I142" s="312"/>
      <c r="J142" s="248">
        <f t="shared" si="8"/>
        <v>0</v>
      </c>
      <c r="K142" s="330">
        <f t="shared" si="9"/>
        <v>-149.12</v>
      </c>
      <c r="L142" s="313"/>
      <c r="M142" s="228">
        <f t="shared" si="10"/>
        <v>0</v>
      </c>
      <c r="N142" s="228">
        <f t="shared" si="13"/>
        <v>0</v>
      </c>
      <c r="O142" s="228">
        <f t="shared" si="14"/>
        <v>0</v>
      </c>
      <c r="P142" s="228">
        <f t="shared" si="14"/>
        <v>0</v>
      </c>
      <c r="Q142" s="228">
        <f t="shared" si="11"/>
        <v>0</v>
      </c>
      <c r="R142" s="343">
        <f t="shared" si="12"/>
        <v>-149.12</v>
      </c>
      <c r="S142" s="240"/>
      <c r="T142" s="201"/>
      <c r="U142" s="201"/>
      <c r="V142" s="201"/>
    </row>
    <row r="143" spans="1:22" ht="15.75" x14ac:dyDescent="0.25">
      <c r="A143" s="234" t="s">
        <v>181</v>
      </c>
      <c r="B143" s="235" t="s">
        <v>182</v>
      </c>
      <c r="C143" s="234" t="s">
        <v>37</v>
      </c>
      <c r="D143" s="312">
        <v>211.89599999999999</v>
      </c>
      <c r="E143" s="312"/>
      <c r="F143" s="248"/>
      <c r="G143" s="312"/>
      <c r="H143" s="312"/>
      <c r="I143" s="312"/>
      <c r="J143" s="248">
        <f t="shared" si="8"/>
        <v>0</v>
      </c>
      <c r="K143" s="330">
        <f t="shared" si="9"/>
        <v>-211.89599999999999</v>
      </c>
      <c r="L143" s="313"/>
      <c r="M143" s="228">
        <f t="shared" si="10"/>
        <v>0</v>
      </c>
      <c r="N143" s="228">
        <f t="shared" si="13"/>
        <v>0</v>
      </c>
      <c r="O143" s="228">
        <f t="shared" si="14"/>
        <v>0</v>
      </c>
      <c r="P143" s="228">
        <f t="shared" si="14"/>
        <v>0</v>
      </c>
      <c r="Q143" s="228">
        <f t="shared" si="11"/>
        <v>0</v>
      </c>
      <c r="R143" s="343">
        <f t="shared" si="12"/>
        <v>-211.89599999999999</v>
      </c>
      <c r="S143" s="240"/>
      <c r="T143" s="201"/>
      <c r="U143" s="201"/>
      <c r="V143" s="201"/>
    </row>
    <row r="144" spans="1:22" ht="15.75" x14ac:dyDescent="0.25">
      <c r="A144" s="230" t="s">
        <v>183</v>
      </c>
      <c r="B144" s="231" t="s">
        <v>184</v>
      </c>
      <c r="C144" s="230" t="s">
        <v>3</v>
      </c>
      <c r="D144" s="316"/>
      <c r="E144" s="316"/>
      <c r="F144" s="317"/>
      <c r="G144" s="316"/>
      <c r="H144" s="316"/>
      <c r="I144" s="316"/>
      <c r="J144" s="248">
        <f t="shared" si="8"/>
        <v>0</v>
      </c>
      <c r="K144" s="330">
        <f t="shared" si="9"/>
        <v>0</v>
      </c>
      <c r="L144" s="318"/>
      <c r="M144" s="228">
        <f t="shared" si="10"/>
        <v>0</v>
      </c>
      <c r="N144" s="228">
        <f t="shared" si="13"/>
        <v>0</v>
      </c>
      <c r="O144" s="228">
        <f t="shared" si="14"/>
        <v>0</v>
      </c>
      <c r="P144" s="228">
        <f t="shared" si="14"/>
        <v>0</v>
      </c>
      <c r="Q144" s="228">
        <f t="shared" si="11"/>
        <v>0</v>
      </c>
      <c r="R144" s="343">
        <f t="shared" si="12"/>
        <v>0</v>
      </c>
      <c r="S144" s="240"/>
      <c r="T144" s="201"/>
      <c r="U144" s="201"/>
      <c r="V144" s="201"/>
    </row>
    <row r="145" spans="1:22" ht="45" x14ac:dyDescent="0.25">
      <c r="A145" s="234" t="s">
        <v>185</v>
      </c>
      <c r="B145" s="235" t="s">
        <v>186</v>
      </c>
      <c r="C145" s="234" t="s">
        <v>37</v>
      </c>
      <c r="D145" s="312">
        <v>230.4</v>
      </c>
      <c r="E145" s="312"/>
      <c r="F145" s="248"/>
      <c r="G145" s="312"/>
      <c r="H145" s="312"/>
      <c r="I145" s="312"/>
      <c r="J145" s="248">
        <f t="shared" si="8"/>
        <v>0</v>
      </c>
      <c r="K145" s="330">
        <f t="shared" si="9"/>
        <v>-230.4</v>
      </c>
      <c r="L145" s="313"/>
      <c r="M145" s="228">
        <f t="shared" si="10"/>
        <v>0</v>
      </c>
      <c r="N145" s="228">
        <f t="shared" si="13"/>
        <v>0</v>
      </c>
      <c r="O145" s="228">
        <f t="shared" si="14"/>
        <v>0</v>
      </c>
      <c r="P145" s="228">
        <f t="shared" si="14"/>
        <v>0</v>
      </c>
      <c r="Q145" s="228">
        <f t="shared" si="11"/>
        <v>0</v>
      </c>
      <c r="R145" s="343">
        <f t="shared" si="12"/>
        <v>-230.4</v>
      </c>
      <c r="S145" s="240"/>
      <c r="T145" s="201"/>
      <c r="U145" s="201"/>
      <c r="V145" s="201"/>
    </row>
    <row r="146" spans="1:22" ht="45" x14ac:dyDescent="0.25">
      <c r="A146" s="234" t="s">
        <v>187</v>
      </c>
      <c r="B146" s="235" t="s">
        <v>186</v>
      </c>
      <c r="C146" s="234" t="s">
        <v>37</v>
      </c>
      <c r="D146" s="312">
        <v>648.78</v>
      </c>
      <c r="E146" s="312"/>
      <c r="F146" s="248"/>
      <c r="G146" s="312"/>
      <c r="H146" s="312"/>
      <c r="I146" s="312"/>
      <c r="J146" s="248">
        <f t="shared" si="8"/>
        <v>0</v>
      </c>
      <c r="K146" s="330">
        <f t="shared" si="9"/>
        <v>-648.78</v>
      </c>
      <c r="L146" s="313"/>
      <c r="M146" s="228">
        <f t="shared" si="10"/>
        <v>0</v>
      </c>
      <c r="N146" s="228">
        <f t="shared" si="13"/>
        <v>0</v>
      </c>
      <c r="O146" s="228">
        <f t="shared" si="14"/>
        <v>0</v>
      </c>
      <c r="P146" s="228">
        <f t="shared" si="14"/>
        <v>0</v>
      </c>
      <c r="Q146" s="228">
        <f t="shared" si="11"/>
        <v>0</v>
      </c>
      <c r="R146" s="343">
        <f t="shared" si="12"/>
        <v>-648.78</v>
      </c>
      <c r="S146" s="240"/>
      <c r="T146" s="201"/>
      <c r="U146" s="201"/>
      <c r="V146" s="201"/>
    </row>
    <row r="147" spans="1:22" ht="45" x14ac:dyDescent="0.25">
      <c r="A147" s="234" t="s">
        <v>188</v>
      </c>
      <c r="B147" s="235" t="s">
        <v>189</v>
      </c>
      <c r="C147" s="234" t="s">
        <v>61</v>
      </c>
      <c r="D147" s="312">
        <v>51.759</v>
      </c>
      <c r="E147" s="312"/>
      <c r="F147" s="248"/>
      <c r="G147" s="312"/>
      <c r="H147" s="312"/>
      <c r="I147" s="312"/>
      <c r="J147" s="248">
        <f t="shared" si="8"/>
        <v>0</v>
      </c>
      <c r="K147" s="330">
        <f t="shared" si="9"/>
        <v>-51.759</v>
      </c>
      <c r="L147" s="313"/>
      <c r="M147" s="228">
        <f t="shared" si="10"/>
        <v>0</v>
      </c>
      <c r="N147" s="228">
        <f t="shared" si="13"/>
        <v>0</v>
      </c>
      <c r="O147" s="228">
        <f t="shared" si="14"/>
        <v>0</v>
      </c>
      <c r="P147" s="228">
        <f t="shared" si="14"/>
        <v>0</v>
      </c>
      <c r="Q147" s="228">
        <f t="shared" si="11"/>
        <v>0</v>
      </c>
      <c r="R147" s="343">
        <f t="shared" si="12"/>
        <v>-51.759</v>
      </c>
      <c r="S147" s="240"/>
      <c r="T147" s="201"/>
      <c r="U147" s="201"/>
      <c r="V147" s="201"/>
    </row>
    <row r="148" spans="1:22" ht="30" x14ac:dyDescent="0.25">
      <c r="A148" s="234" t="s">
        <v>190</v>
      </c>
      <c r="B148" s="235" t="s">
        <v>191</v>
      </c>
      <c r="C148" s="234" t="s">
        <v>32</v>
      </c>
      <c r="D148" s="312">
        <v>33.622</v>
      </c>
      <c r="E148" s="312"/>
      <c r="F148" s="248">
        <f>D148*$U$71</f>
        <v>20.84564</v>
      </c>
      <c r="G148" s="312"/>
      <c r="H148" s="312"/>
      <c r="I148" s="312"/>
      <c r="J148" s="248">
        <f t="shared" si="8"/>
        <v>20.84564</v>
      </c>
      <c r="K148" s="330">
        <f t="shared" si="9"/>
        <v>-12.77636</v>
      </c>
      <c r="L148" s="313"/>
      <c r="M148" s="228">
        <f t="shared" si="10"/>
        <v>20.84564</v>
      </c>
      <c r="N148" s="228">
        <f t="shared" si="13"/>
        <v>0</v>
      </c>
      <c r="O148" s="228">
        <f t="shared" si="14"/>
        <v>0</v>
      </c>
      <c r="P148" s="228">
        <f t="shared" si="14"/>
        <v>0</v>
      </c>
      <c r="Q148" s="228">
        <f t="shared" si="11"/>
        <v>20.84564</v>
      </c>
      <c r="R148" s="343">
        <f t="shared" si="12"/>
        <v>-12.77636</v>
      </c>
      <c r="S148" s="240"/>
      <c r="T148" s="201"/>
      <c r="U148" s="201"/>
      <c r="V148" s="201"/>
    </row>
    <row r="149" spans="1:22" ht="30" x14ac:dyDescent="0.25">
      <c r="A149" s="234" t="s">
        <v>192</v>
      </c>
      <c r="B149" s="235" t="s">
        <v>193</v>
      </c>
      <c r="C149" s="234" t="s">
        <v>32</v>
      </c>
      <c r="D149" s="312">
        <v>121.30500000000001</v>
      </c>
      <c r="E149" s="312"/>
      <c r="F149" s="248">
        <f>D149*$U$71</f>
        <v>75.209100000000007</v>
      </c>
      <c r="G149" s="312"/>
      <c r="H149" s="312"/>
      <c r="I149" s="312"/>
      <c r="J149" s="248">
        <f t="shared" si="8"/>
        <v>75.209100000000007</v>
      </c>
      <c r="K149" s="330">
        <f t="shared" si="9"/>
        <v>-46.0959</v>
      </c>
      <c r="L149" s="313"/>
      <c r="M149" s="228">
        <f t="shared" si="10"/>
        <v>75.209100000000007</v>
      </c>
      <c r="N149" s="228">
        <f t="shared" si="13"/>
        <v>0</v>
      </c>
      <c r="O149" s="228">
        <f t="shared" si="14"/>
        <v>0</v>
      </c>
      <c r="P149" s="228">
        <f t="shared" si="14"/>
        <v>0</v>
      </c>
      <c r="Q149" s="228">
        <f t="shared" si="11"/>
        <v>75.209100000000007</v>
      </c>
      <c r="R149" s="343">
        <f t="shared" si="12"/>
        <v>-46.0959</v>
      </c>
      <c r="S149" s="240"/>
      <c r="T149" s="201"/>
      <c r="U149" s="201"/>
      <c r="V149" s="201"/>
    </row>
    <row r="150" spans="1:22" ht="30" x14ac:dyDescent="0.25">
      <c r="A150" s="234" t="s">
        <v>194</v>
      </c>
      <c r="B150" s="235" t="s">
        <v>195</v>
      </c>
      <c r="C150" s="234" t="s">
        <v>32</v>
      </c>
      <c r="D150" s="312">
        <v>38.942</v>
      </c>
      <c r="E150" s="312"/>
      <c r="F150" s="248">
        <f>D150*$U$71</f>
        <v>24.14404</v>
      </c>
      <c r="G150" s="312"/>
      <c r="H150" s="312"/>
      <c r="I150" s="312"/>
      <c r="J150" s="248">
        <f t="shared" si="8"/>
        <v>24.14404</v>
      </c>
      <c r="K150" s="330">
        <f t="shared" si="9"/>
        <v>-14.79796</v>
      </c>
      <c r="L150" s="313"/>
      <c r="M150" s="228">
        <f t="shared" si="10"/>
        <v>24.14404</v>
      </c>
      <c r="N150" s="228">
        <f t="shared" si="13"/>
        <v>0</v>
      </c>
      <c r="O150" s="228">
        <f t="shared" si="14"/>
        <v>0</v>
      </c>
      <c r="P150" s="228">
        <f t="shared" si="14"/>
        <v>0</v>
      </c>
      <c r="Q150" s="228">
        <f t="shared" si="11"/>
        <v>24.14404</v>
      </c>
      <c r="R150" s="343">
        <f t="shared" si="12"/>
        <v>-14.79796</v>
      </c>
      <c r="S150" s="240"/>
      <c r="T150" s="201"/>
      <c r="U150" s="201"/>
      <c r="V150" s="201"/>
    </row>
    <row r="151" spans="1:22" ht="45" x14ac:dyDescent="0.25">
      <c r="A151" s="234" t="s">
        <v>196</v>
      </c>
      <c r="B151" s="235" t="s">
        <v>197</v>
      </c>
      <c r="C151" s="234" t="s">
        <v>37</v>
      </c>
      <c r="D151" s="312">
        <v>227.60400000000001</v>
      </c>
      <c r="E151" s="312"/>
      <c r="F151" s="248"/>
      <c r="G151" s="312"/>
      <c r="H151" s="312"/>
      <c r="I151" s="312"/>
      <c r="J151" s="248">
        <f t="shared" si="8"/>
        <v>0</v>
      </c>
      <c r="K151" s="330">
        <f t="shared" si="9"/>
        <v>-227.60400000000001</v>
      </c>
      <c r="L151" s="313"/>
      <c r="M151" s="228">
        <f t="shared" si="10"/>
        <v>0</v>
      </c>
      <c r="N151" s="228">
        <f t="shared" si="13"/>
        <v>0</v>
      </c>
      <c r="O151" s="228">
        <f t="shared" si="14"/>
        <v>0</v>
      </c>
      <c r="P151" s="228">
        <f t="shared" si="14"/>
        <v>0</v>
      </c>
      <c r="Q151" s="228">
        <f t="shared" si="11"/>
        <v>0</v>
      </c>
      <c r="R151" s="343">
        <f t="shared" si="12"/>
        <v>-227.60400000000001</v>
      </c>
      <c r="S151" s="240"/>
      <c r="T151" s="201"/>
      <c r="U151" s="201"/>
      <c r="V151" s="201"/>
    </row>
    <row r="152" spans="1:22" ht="45" x14ac:dyDescent="0.25">
      <c r="A152" s="234" t="s">
        <v>198</v>
      </c>
      <c r="B152" s="235" t="s">
        <v>199</v>
      </c>
      <c r="C152" s="234" t="s">
        <v>37</v>
      </c>
      <c r="D152" s="312">
        <v>370.68900000000002</v>
      </c>
      <c r="E152" s="312"/>
      <c r="F152" s="248"/>
      <c r="G152" s="312"/>
      <c r="H152" s="312"/>
      <c r="I152" s="312"/>
      <c r="J152" s="248">
        <f t="shared" si="8"/>
        <v>0</v>
      </c>
      <c r="K152" s="330">
        <f t="shared" si="9"/>
        <v>-370.68900000000002</v>
      </c>
      <c r="L152" s="313"/>
      <c r="M152" s="228">
        <f t="shared" si="10"/>
        <v>0</v>
      </c>
      <c r="N152" s="228">
        <f t="shared" si="13"/>
        <v>0</v>
      </c>
      <c r="O152" s="228">
        <f t="shared" si="14"/>
        <v>0</v>
      </c>
      <c r="P152" s="228">
        <f t="shared" si="14"/>
        <v>0</v>
      </c>
      <c r="Q152" s="228">
        <f t="shared" si="11"/>
        <v>0</v>
      </c>
      <c r="R152" s="343">
        <f t="shared" si="12"/>
        <v>-370.68900000000002</v>
      </c>
      <c r="S152" s="240"/>
      <c r="T152" s="201"/>
      <c r="U152" s="201"/>
      <c r="V152" s="201"/>
    </row>
    <row r="153" spans="1:22" ht="45" x14ac:dyDescent="0.25">
      <c r="A153" s="234" t="s">
        <v>200</v>
      </c>
      <c r="B153" s="235" t="s">
        <v>201</v>
      </c>
      <c r="C153" s="234" t="s">
        <v>61</v>
      </c>
      <c r="D153" s="312">
        <v>38.262999999999998</v>
      </c>
      <c r="E153" s="312"/>
      <c r="F153" s="248"/>
      <c r="G153" s="312"/>
      <c r="H153" s="312"/>
      <c r="I153" s="312"/>
      <c r="J153" s="248">
        <f t="shared" si="8"/>
        <v>0</v>
      </c>
      <c r="K153" s="330">
        <f t="shared" si="9"/>
        <v>-38.262999999999998</v>
      </c>
      <c r="L153" s="313"/>
      <c r="M153" s="228">
        <f t="shared" si="10"/>
        <v>0</v>
      </c>
      <c r="N153" s="228">
        <f t="shared" si="13"/>
        <v>0</v>
      </c>
      <c r="O153" s="228">
        <f t="shared" si="14"/>
        <v>0</v>
      </c>
      <c r="P153" s="228">
        <f t="shared" si="14"/>
        <v>0</v>
      </c>
      <c r="Q153" s="228">
        <f t="shared" si="11"/>
        <v>0</v>
      </c>
      <c r="R153" s="343">
        <f t="shared" si="12"/>
        <v>-38.262999999999998</v>
      </c>
      <c r="S153" s="240"/>
      <c r="T153" s="201"/>
      <c r="U153" s="201"/>
      <c r="V153" s="201"/>
    </row>
    <row r="154" spans="1:22" ht="30" x14ac:dyDescent="0.25">
      <c r="A154" s="234" t="s">
        <v>202</v>
      </c>
      <c r="B154" s="235" t="s">
        <v>203</v>
      </c>
      <c r="C154" s="234" t="s">
        <v>32</v>
      </c>
      <c r="D154" s="312">
        <v>20.696999999999999</v>
      </c>
      <c r="E154" s="312"/>
      <c r="F154" s="248">
        <f>D154*$U$71</f>
        <v>12.832139999999999</v>
      </c>
      <c r="G154" s="312"/>
      <c r="H154" s="312"/>
      <c r="I154" s="312"/>
      <c r="J154" s="248">
        <f t="shared" si="8"/>
        <v>12.832139999999999</v>
      </c>
      <c r="K154" s="330">
        <f t="shared" si="9"/>
        <v>-7.8648600000000002</v>
      </c>
      <c r="L154" s="313"/>
      <c r="M154" s="228">
        <f t="shared" si="10"/>
        <v>12.832139999999999</v>
      </c>
      <c r="N154" s="228">
        <f t="shared" si="13"/>
        <v>0</v>
      </c>
      <c r="O154" s="228">
        <f t="shared" si="14"/>
        <v>0</v>
      </c>
      <c r="P154" s="228">
        <f t="shared" si="14"/>
        <v>0</v>
      </c>
      <c r="Q154" s="228">
        <f t="shared" si="11"/>
        <v>12.832139999999999</v>
      </c>
      <c r="R154" s="343">
        <f t="shared" si="12"/>
        <v>-7.8648600000000002</v>
      </c>
      <c r="S154" s="240"/>
      <c r="T154" s="201"/>
      <c r="U154" s="201"/>
      <c r="V154" s="201"/>
    </row>
    <row r="155" spans="1:22" ht="30" x14ac:dyDescent="0.25">
      <c r="A155" s="234" t="s">
        <v>204</v>
      </c>
      <c r="B155" s="235" t="s">
        <v>205</v>
      </c>
      <c r="C155" s="234" t="s">
        <v>32</v>
      </c>
      <c r="D155" s="312">
        <v>70.975999999999999</v>
      </c>
      <c r="E155" s="312"/>
      <c r="F155" s="248">
        <f>D155*$U$71</f>
        <v>44.005119999999998</v>
      </c>
      <c r="G155" s="312"/>
      <c r="H155" s="312"/>
      <c r="I155" s="312"/>
      <c r="J155" s="248">
        <f t="shared" si="8"/>
        <v>44.005119999999998</v>
      </c>
      <c r="K155" s="330">
        <f t="shared" si="9"/>
        <v>-26.970880000000001</v>
      </c>
      <c r="L155" s="313"/>
      <c r="M155" s="228">
        <f t="shared" si="10"/>
        <v>44.005119999999998</v>
      </c>
      <c r="N155" s="228">
        <f t="shared" si="13"/>
        <v>0</v>
      </c>
      <c r="O155" s="228">
        <f t="shared" si="14"/>
        <v>0</v>
      </c>
      <c r="P155" s="228">
        <f t="shared" si="14"/>
        <v>0</v>
      </c>
      <c r="Q155" s="228">
        <f t="shared" si="11"/>
        <v>44.005119999999998</v>
      </c>
      <c r="R155" s="343">
        <f t="shared" si="12"/>
        <v>-26.970880000000001</v>
      </c>
      <c r="S155" s="240"/>
      <c r="T155" s="201"/>
      <c r="U155" s="201"/>
      <c r="V155" s="201"/>
    </row>
    <row r="156" spans="1:22" ht="30" x14ac:dyDescent="0.25">
      <c r="A156" s="234" t="s">
        <v>206</v>
      </c>
      <c r="B156" s="235" t="s">
        <v>207</v>
      </c>
      <c r="C156" s="234" t="s">
        <v>32</v>
      </c>
      <c r="D156" s="312">
        <v>6.04</v>
      </c>
      <c r="E156" s="312"/>
      <c r="F156" s="248">
        <f>D156*$U$71</f>
        <v>3.7448000000000001</v>
      </c>
      <c r="G156" s="312"/>
      <c r="H156" s="312"/>
      <c r="I156" s="312"/>
      <c r="J156" s="248">
        <f t="shared" si="8"/>
        <v>3.7448000000000001</v>
      </c>
      <c r="K156" s="330">
        <f t="shared" si="9"/>
        <v>-2.2951999999999999</v>
      </c>
      <c r="L156" s="313"/>
      <c r="M156" s="228">
        <f t="shared" si="10"/>
        <v>3.7448000000000001</v>
      </c>
      <c r="N156" s="228">
        <f t="shared" si="13"/>
        <v>0</v>
      </c>
      <c r="O156" s="228">
        <f t="shared" si="14"/>
        <v>0</v>
      </c>
      <c r="P156" s="228">
        <f t="shared" si="14"/>
        <v>0</v>
      </c>
      <c r="Q156" s="228">
        <f t="shared" si="11"/>
        <v>3.7448000000000001</v>
      </c>
      <c r="R156" s="343">
        <f t="shared" si="12"/>
        <v>-2.2951999999999999</v>
      </c>
      <c r="S156" s="240"/>
      <c r="T156" s="201"/>
      <c r="U156" s="201"/>
      <c r="V156" s="201"/>
    </row>
    <row r="157" spans="1:22" ht="45" x14ac:dyDescent="0.25">
      <c r="A157" s="234" t="s">
        <v>208</v>
      </c>
      <c r="B157" s="235" t="s">
        <v>209</v>
      </c>
      <c r="C157" s="234" t="s">
        <v>37</v>
      </c>
      <c r="D157" s="312">
        <v>196.2</v>
      </c>
      <c r="E157" s="312"/>
      <c r="F157" s="248"/>
      <c r="G157" s="312"/>
      <c r="H157" s="312"/>
      <c r="I157" s="312"/>
      <c r="J157" s="248">
        <f t="shared" si="8"/>
        <v>0</v>
      </c>
      <c r="K157" s="330">
        <f t="shared" si="9"/>
        <v>-196.2</v>
      </c>
      <c r="L157" s="313"/>
      <c r="M157" s="228">
        <f t="shared" si="10"/>
        <v>0</v>
      </c>
      <c r="N157" s="228">
        <f t="shared" si="13"/>
        <v>0</v>
      </c>
      <c r="O157" s="228">
        <f t="shared" si="14"/>
        <v>0</v>
      </c>
      <c r="P157" s="228">
        <f t="shared" si="14"/>
        <v>0</v>
      </c>
      <c r="Q157" s="228">
        <f t="shared" si="11"/>
        <v>0</v>
      </c>
      <c r="R157" s="343">
        <f t="shared" si="12"/>
        <v>-196.2</v>
      </c>
      <c r="S157" s="240"/>
      <c r="T157" s="201"/>
      <c r="U157" s="201"/>
      <c r="V157" s="201"/>
    </row>
    <row r="158" spans="1:22" ht="45" x14ac:dyDescent="0.25">
      <c r="A158" s="234" t="s">
        <v>210</v>
      </c>
      <c r="B158" s="235" t="s">
        <v>211</v>
      </c>
      <c r="C158" s="234" t="s">
        <v>37</v>
      </c>
      <c r="D158" s="312">
        <v>14.949</v>
      </c>
      <c r="E158" s="312"/>
      <c r="F158" s="248"/>
      <c r="G158" s="312"/>
      <c r="H158" s="312"/>
      <c r="I158" s="312"/>
      <c r="J158" s="248">
        <f t="shared" si="8"/>
        <v>0</v>
      </c>
      <c r="K158" s="330">
        <f t="shared" si="9"/>
        <v>-14.949</v>
      </c>
      <c r="L158" s="313"/>
      <c r="M158" s="228">
        <f t="shared" si="10"/>
        <v>0</v>
      </c>
      <c r="N158" s="228">
        <f t="shared" si="13"/>
        <v>0</v>
      </c>
      <c r="O158" s="228">
        <f t="shared" si="14"/>
        <v>0</v>
      </c>
      <c r="P158" s="228">
        <f t="shared" si="14"/>
        <v>0</v>
      </c>
      <c r="Q158" s="228">
        <f t="shared" si="11"/>
        <v>0</v>
      </c>
      <c r="R158" s="343">
        <f t="shared" si="12"/>
        <v>-14.949</v>
      </c>
      <c r="S158" s="240"/>
      <c r="T158" s="201"/>
      <c r="U158" s="201"/>
      <c r="V158" s="201"/>
    </row>
    <row r="159" spans="1:22" ht="45" x14ac:dyDescent="0.25">
      <c r="A159" s="234" t="s">
        <v>212</v>
      </c>
      <c r="B159" s="235" t="s">
        <v>213</v>
      </c>
      <c r="C159" s="234" t="s">
        <v>61</v>
      </c>
      <c r="D159" s="312">
        <v>9.5860000000000003</v>
      </c>
      <c r="E159" s="312"/>
      <c r="F159" s="248"/>
      <c r="G159" s="312"/>
      <c r="H159" s="312"/>
      <c r="I159" s="312"/>
      <c r="J159" s="248">
        <f t="shared" si="8"/>
        <v>0</v>
      </c>
      <c r="K159" s="330">
        <f t="shared" si="9"/>
        <v>-9.5860000000000003</v>
      </c>
      <c r="L159" s="313"/>
      <c r="M159" s="228">
        <f t="shared" si="10"/>
        <v>0</v>
      </c>
      <c r="N159" s="228">
        <f t="shared" si="13"/>
        <v>0</v>
      </c>
      <c r="O159" s="228">
        <f t="shared" si="14"/>
        <v>0</v>
      </c>
      <c r="P159" s="228">
        <f t="shared" si="14"/>
        <v>0</v>
      </c>
      <c r="Q159" s="228">
        <f t="shared" si="11"/>
        <v>0</v>
      </c>
      <c r="R159" s="343">
        <f t="shared" si="12"/>
        <v>-9.5860000000000003</v>
      </c>
      <c r="S159" s="240"/>
      <c r="T159" s="201"/>
      <c r="U159" s="201"/>
      <c r="V159" s="201"/>
    </row>
    <row r="160" spans="1:22" ht="30" x14ac:dyDescent="0.25">
      <c r="A160" s="234" t="s">
        <v>214</v>
      </c>
      <c r="B160" s="235" t="s">
        <v>215</v>
      </c>
      <c r="C160" s="234" t="s">
        <v>32</v>
      </c>
      <c r="D160" s="312">
        <v>8.6210000000000004</v>
      </c>
      <c r="E160" s="312"/>
      <c r="F160" s="248">
        <f>D160*$V$160</f>
        <v>3.2759800000000001</v>
      </c>
      <c r="G160" s="312"/>
      <c r="H160" s="312"/>
      <c r="I160" s="312"/>
      <c r="J160" s="248">
        <f t="shared" si="8"/>
        <v>3.2759800000000001</v>
      </c>
      <c r="K160" s="330">
        <f t="shared" si="9"/>
        <v>-5.3450199999999999</v>
      </c>
      <c r="L160" s="313"/>
      <c r="M160" s="228">
        <f t="shared" si="10"/>
        <v>3.2759800000000001</v>
      </c>
      <c r="N160" s="228">
        <f t="shared" si="13"/>
        <v>0</v>
      </c>
      <c r="O160" s="228">
        <f t="shared" si="14"/>
        <v>0</v>
      </c>
      <c r="P160" s="228">
        <f t="shared" si="14"/>
        <v>0</v>
      </c>
      <c r="Q160" s="228">
        <f t="shared" si="11"/>
        <v>3.2759800000000001</v>
      </c>
      <c r="R160" s="343">
        <f t="shared" si="12"/>
        <v>-5.3450199999999999</v>
      </c>
      <c r="S160" s="240"/>
      <c r="T160" s="201"/>
      <c r="U160" s="201">
        <v>0.7</v>
      </c>
      <c r="V160" s="212">
        <v>0.38</v>
      </c>
    </row>
    <row r="161" spans="1:22" ht="30" x14ac:dyDescent="0.25">
      <c r="A161" s="234" t="s">
        <v>216</v>
      </c>
      <c r="B161" s="235" t="s">
        <v>217</v>
      </c>
      <c r="C161" s="234" t="s">
        <v>32</v>
      </c>
      <c r="D161" s="312">
        <v>19.974</v>
      </c>
      <c r="E161" s="312"/>
      <c r="F161" s="248">
        <f t="shared" ref="F161:F162" si="15">D161*$V$160</f>
        <v>7.5901199999999998</v>
      </c>
      <c r="G161" s="312"/>
      <c r="H161" s="312"/>
      <c r="I161" s="312"/>
      <c r="J161" s="248">
        <f t="shared" si="8"/>
        <v>7.5901199999999998</v>
      </c>
      <c r="K161" s="330">
        <f t="shared" si="9"/>
        <v>-12.383880000000001</v>
      </c>
      <c r="L161" s="313"/>
      <c r="M161" s="228">
        <f t="shared" si="10"/>
        <v>7.5901199999999998</v>
      </c>
      <c r="N161" s="228">
        <f t="shared" si="13"/>
        <v>0</v>
      </c>
      <c r="O161" s="228">
        <f t="shared" si="14"/>
        <v>0</v>
      </c>
      <c r="P161" s="228">
        <f t="shared" si="14"/>
        <v>0</v>
      </c>
      <c r="Q161" s="228">
        <f t="shared" si="11"/>
        <v>7.5901199999999998</v>
      </c>
      <c r="R161" s="343">
        <f t="shared" si="12"/>
        <v>-12.383880000000001</v>
      </c>
      <c r="S161" s="240"/>
      <c r="T161" s="201"/>
      <c r="U161" s="201"/>
      <c r="V161" s="201"/>
    </row>
    <row r="162" spans="1:22" ht="30" x14ac:dyDescent="0.25">
      <c r="A162" s="234" t="s">
        <v>218</v>
      </c>
      <c r="B162" s="235" t="s">
        <v>219</v>
      </c>
      <c r="C162" s="234" t="s">
        <v>32</v>
      </c>
      <c r="D162" s="312">
        <v>18.196000000000002</v>
      </c>
      <c r="E162" s="312"/>
      <c r="F162" s="248">
        <f t="shared" si="15"/>
        <v>6.9144800000000011</v>
      </c>
      <c r="G162" s="312"/>
      <c r="H162" s="312"/>
      <c r="I162" s="312"/>
      <c r="J162" s="248">
        <f t="shared" si="8"/>
        <v>6.9144800000000011</v>
      </c>
      <c r="K162" s="330">
        <f t="shared" si="9"/>
        <v>-11.28152</v>
      </c>
      <c r="L162" s="313"/>
      <c r="M162" s="228">
        <f t="shared" si="10"/>
        <v>6.9144800000000011</v>
      </c>
      <c r="N162" s="228">
        <f t="shared" si="13"/>
        <v>0</v>
      </c>
      <c r="O162" s="228">
        <f t="shared" si="14"/>
        <v>0</v>
      </c>
      <c r="P162" s="228">
        <f t="shared" si="14"/>
        <v>0</v>
      </c>
      <c r="Q162" s="228">
        <f t="shared" si="11"/>
        <v>6.9144800000000011</v>
      </c>
      <c r="R162" s="343">
        <f t="shared" si="12"/>
        <v>-11.28152</v>
      </c>
      <c r="S162" s="240"/>
      <c r="T162" s="201"/>
      <c r="U162" s="201"/>
      <c r="V162" s="201"/>
    </row>
    <row r="163" spans="1:22" ht="30" x14ac:dyDescent="0.25">
      <c r="A163" s="234" t="s">
        <v>220</v>
      </c>
      <c r="B163" s="235" t="s">
        <v>221</v>
      </c>
      <c r="C163" s="234" t="s">
        <v>37</v>
      </c>
      <c r="D163" s="312">
        <v>1218.181</v>
      </c>
      <c r="E163" s="312"/>
      <c r="F163" s="248"/>
      <c r="G163" s="312"/>
      <c r="H163" s="312"/>
      <c r="I163" s="312"/>
      <c r="J163" s="248">
        <f t="shared" si="8"/>
        <v>0</v>
      </c>
      <c r="K163" s="330">
        <f t="shared" si="9"/>
        <v>-1218.181</v>
      </c>
      <c r="L163" s="313"/>
      <c r="M163" s="228">
        <f t="shared" si="10"/>
        <v>0</v>
      </c>
      <c r="N163" s="228">
        <f t="shared" si="13"/>
        <v>0</v>
      </c>
      <c r="O163" s="228">
        <f t="shared" si="14"/>
        <v>0</v>
      </c>
      <c r="P163" s="228">
        <f t="shared" si="14"/>
        <v>0</v>
      </c>
      <c r="Q163" s="228">
        <f t="shared" si="11"/>
        <v>0</v>
      </c>
      <c r="R163" s="343">
        <f t="shared" si="12"/>
        <v>-1218.181</v>
      </c>
      <c r="S163" s="240"/>
      <c r="T163" s="201"/>
      <c r="U163" s="201"/>
      <c r="V163" s="201"/>
    </row>
    <row r="164" spans="1:22" ht="45" x14ac:dyDescent="0.25">
      <c r="A164" s="234" t="s">
        <v>222</v>
      </c>
      <c r="B164" s="235" t="s">
        <v>223</v>
      </c>
      <c r="C164" s="234" t="s">
        <v>61</v>
      </c>
      <c r="D164" s="312">
        <v>59.508000000000003</v>
      </c>
      <c r="E164" s="312"/>
      <c r="F164" s="248"/>
      <c r="G164" s="312"/>
      <c r="H164" s="312"/>
      <c r="I164" s="312"/>
      <c r="J164" s="248">
        <f t="shared" si="8"/>
        <v>0</v>
      </c>
      <c r="K164" s="330">
        <f t="shared" si="9"/>
        <v>-59.508000000000003</v>
      </c>
      <c r="L164" s="313"/>
      <c r="M164" s="228">
        <f t="shared" si="10"/>
        <v>0</v>
      </c>
      <c r="N164" s="228">
        <f t="shared" si="13"/>
        <v>0</v>
      </c>
      <c r="O164" s="228">
        <f t="shared" si="14"/>
        <v>0</v>
      </c>
      <c r="P164" s="228">
        <f t="shared" si="14"/>
        <v>0</v>
      </c>
      <c r="Q164" s="228">
        <f t="shared" si="11"/>
        <v>0</v>
      </c>
      <c r="R164" s="343">
        <f t="shared" si="12"/>
        <v>-59.508000000000003</v>
      </c>
      <c r="S164" s="240"/>
      <c r="T164" s="201"/>
      <c r="U164" s="201"/>
      <c r="V164" s="201"/>
    </row>
    <row r="165" spans="1:22" ht="30" x14ac:dyDescent="0.25">
      <c r="A165" s="234" t="s">
        <v>224</v>
      </c>
      <c r="B165" s="235" t="s">
        <v>225</v>
      </c>
      <c r="C165" s="234" t="s">
        <v>32</v>
      </c>
      <c r="D165" s="312">
        <v>30.495000000000001</v>
      </c>
      <c r="E165" s="312"/>
      <c r="F165" s="248">
        <f t="shared" ref="F165:F167" si="16">D165*$V$160</f>
        <v>11.588100000000001</v>
      </c>
      <c r="G165" s="312"/>
      <c r="H165" s="312"/>
      <c r="I165" s="312"/>
      <c r="J165" s="248">
        <f t="shared" si="8"/>
        <v>11.588100000000001</v>
      </c>
      <c r="K165" s="330">
        <f t="shared" si="9"/>
        <v>-18.9069</v>
      </c>
      <c r="L165" s="313"/>
      <c r="M165" s="228">
        <f t="shared" si="10"/>
        <v>11.588100000000001</v>
      </c>
      <c r="N165" s="228">
        <f t="shared" si="13"/>
        <v>0</v>
      </c>
      <c r="O165" s="228">
        <f t="shared" si="14"/>
        <v>0</v>
      </c>
      <c r="P165" s="228">
        <f t="shared" si="14"/>
        <v>0</v>
      </c>
      <c r="Q165" s="228">
        <f t="shared" si="11"/>
        <v>11.588100000000001</v>
      </c>
      <c r="R165" s="343">
        <f t="shared" si="12"/>
        <v>-18.9069</v>
      </c>
      <c r="S165" s="240"/>
      <c r="T165" s="201"/>
      <c r="U165" s="201"/>
      <c r="V165" s="201"/>
    </row>
    <row r="166" spans="1:22" ht="30" x14ac:dyDescent="0.25">
      <c r="A166" s="234" t="s">
        <v>226</v>
      </c>
      <c r="B166" s="235" t="s">
        <v>227</v>
      </c>
      <c r="C166" s="234" t="s">
        <v>32</v>
      </c>
      <c r="D166" s="312">
        <v>81.441000000000003</v>
      </c>
      <c r="E166" s="312"/>
      <c r="F166" s="248">
        <f t="shared" si="16"/>
        <v>30.947580000000002</v>
      </c>
      <c r="G166" s="312"/>
      <c r="H166" s="312"/>
      <c r="I166" s="312"/>
      <c r="J166" s="248">
        <f t="shared" si="8"/>
        <v>30.947580000000002</v>
      </c>
      <c r="K166" s="330">
        <f t="shared" si="9"/>
        <v>-50.49342</v>
      </c>
      <c r="L166" s="313"/>
      <c r="M166" s="228">
        <f t="shared" si="10"/>
        <v>30.947580000000002</v>
      </c>
      <c r="N166" s="228">
        <f t="shared" si="13"/>
        <v>0</v>
      </c>
      <c r="O166" s="228">
        <f t="shared" si="14"/>
        <v>0</v>
      </c>
      <c r="P166" s="228">
        <f t="shared" si="14"/>
        <v>0</v>
      </c>
      <c r="Q166" s="228">
        <f t="shared" si="11"/>
        <v>30.947580000000002</v>
      </c>
      <c r="R166" s="343">
        <f t="shared" si="12"/>
        <v>-50.49342</v>
      </c>
      <c r="S166" s="240"/>
      <c r="T166" s="201"/>
      <c r="U166" s="201"/>
      <c r="V166" s="201"/>
    </row>
    <row r="167" spans="1:22" ht="30" x14ac:dyDescent="0.25">
      <c r="A167" s="234" t="s">
        <v>228</v>
      </c>
      <c r="B167" s="235" t="s">
        <v>229</v>
      </c>
      <c r="C167" s="234" t="s">
        <v>32</v>
      </c>
      <c r="D167" s="312">
        <v>156.20099999999999</v>
      </c>
      <c r="E167" s="312"/>
      <c r="F167" s="248">
        <f t="shared" si="16"/>
        <v>59.356380000000001</v>
      </c>
      <c r="G167" s="312"/>
      <c r="H167" s="312"/>
      <c r="I167" s="312"/>
      <c r="J167" s="248">
        <f t="shared" si="8"/>
        <v>59.356380000000001</v>
      </c>
      <c r="K167" s="330">
        <f t="shared" si="9"/>
        <v>-96.844619999999992</v>
      </c>
      <c r="L167" s="313"/>
      <c r="M167" s="228">
        <f t="shared" si="10"/>
        <v>59.356380000000001</v>
      </c>
      <c r="N167" s="228">
        <f t="shared" si="13"/>
        <v>0</v>
      </c>
      <c r="O167" s="228">
        <f t="shared" si="14"/>
        <v>0</v>
      </c>
      <c r="P167" s="228">
        <f t="shared" si="14"/>
        <v>0</v>
      </c>
      <c r="Q167" s="228">
        <f t="shared" si="11"/>
        <v>59.356380000000001</v>
      </c>
      <c r="R167" s="343">
        <f t="shared" si="12"/>
        <v>-96.844619999999992</v>
      </c>
      <c r="S167" s="240"/>
      <c r="T167" s="201"/>
      <c r="U167" s="201"/>
      <c r="V167" s="201"/>
    </row>
    <row r="168" spans="1:22" ht="30" x14ac:dyDescent="0.25">
      <c r="A168" s="234" t="s">
        <v>230</v>
      </c>
      <c r="B168" s="235" t="s">
        <v>120</v>
      </c>
      <c r="C168" s="234" t="s">
        <v>37</v>
      </c>
      <c r="D168" s="312">
        <v>3112.7809999999999</v>
      </c>
      <c r="E168" s="312"/>
      <c r="F168" s="248"/>
      <c r="G168" s="312"/>
      <c r="H168" s="312"/>
      <c r="I168" s="312"/>
      <c r="J168" s="248">
        <f t="shared" si="8"/>
        <v>0</v>
      </c>
      <c r="K168" s="330">
        <f t="shared" si="9"/>
        <v>-3112.7809999999999</v>
      </c>
      <c r="L168" s="313"/>
      <c r="M168" s="228">
        <f t="shared" si="10"/>
        <v>0</v>
      </c>
      <c r="N168" s="228">
        <f t="shared" si="13"/>
        <v>0</v>
      </c>
      <c r="O168" s="228">
        <f t="shared" si="14"/>
        <v>0</v>
      </c>
      <c r="P168" s="228">
        <f t="shared" si="14"/>
        <v>0</v>
      </c>
      <c r="Q168" s="228">
        <f t="shared" si="11"/>
        <v>0</v>
      </c>
      <c r="R168" s="343">
        <f t="shared" si="12"/>
        <v>-3112.7809999999999</v>
      </c>
      <c r="S168" s="240"/>
      <c r="T168" s="201"/>
      <c r="U168" s="201"/>
      <c r="V168" s="201"/>
    </row>
    <row r="169" spans="1:22" ht="45" x14ac:dyDescent="0.25">
      <c r="A169" s="234" t="s">
        <v>231</v>
      </c>
      <c r="B169" s="235" t="s">
        <v>232</v>
      </c>
      <c r="C169" s="234" t="s">
        <v>61</v>
      </c>
      <c r="D169" s="312">
        <v>140.82</v>
      </c>
      <c r="E169" s="312"/>
      <c r="F169" s="248"/>
      <c r="G169" s="312"/>
      <c r="H169" s="312"/>
      <c r="I169" s="312"/>
      <c r="J169" s="248">
        <f t="shared" si="8"/>
        <v>0</v>
      </c>
      <c r="K169" s="330">
        <f t="shared" si="9"/>
        <v>-140.82</v>
      </c>
      <c r="L169" s="313"/>
      <c r="M169" s="228">
        <f t="shared" si="10"/>
        <v>0</v>
      </c>
      <c r="N169" s="228">
        <f t="shared" si="13"/>
        <v>0</v>
      </c>
      <c r="O169" s="228">
        <f t="shared" si="14"/>
        <v>0</v>
      </c>
      <c r="P169" s="228">
        <f t="shared" si="14"/>
        <v>0</v>
      </c>
      <c r="Q169" s="228">
        <f t="shared" si="11"/>
        <v>0</v>
      </c>
      <c r="R169" s="343">
        <f t="shared" si="12"/>
        <v>-140.82</v>
      </c>
      <c r="S169" s="240"/>
      <c r="T169" s="201"/>
      <c r="U169" s="201"/>
      <c r="V169" s="201"/>
    </row>
    <row r="170" spans="1:22" ht="30" x14ac:dyDescent="0.25">
      <c r="A170" s="234" t="s">
        <v>233</v>
      </c>
      <c r="B170" s="235" t="s">
        <v>234</v>
      </c>
      <c r="C170" s="234" t="s">
        <v>32</v>
      </c>
      <c r="D170" s="312">
        <v>198.596</v>
      </c>
      <c r="E170" s="312"/>
      <c r="F170" s="248">
        <f t="shared" ref="F170:F171" si="17">D170*$V$160</f>
        <v>75.466480000000004</v>
      </c>
      <c r="G170" s="312"/>
      <c r="H170" s="312"/>
      <c r="I170" s="312"/>
      <c r="J170" s="248">
        <f t="shared" si="8"/>
        <v>75.466480000000004</v>
      </c>
      <c r="K170" s="330">
        <f t="shared" si="9"/>
        <v>-123.12952</v>
      </c>
      <c r="L170" s="313"/>
      <c r="M170" s="228">
        <f t="shared" si="10"/>
        <v>75.466480000000004</v>
      </c>
      <c r="N170" s="228">
        <f t="shared" si="13"/>
        <v>0</v>
      </c>
      <c r="O170" s="228">
        <f t="shared" si="14"/>
        <v>0</v>
      </c>
      <c r="P170" s="228">
        <f t="shared" si="14"/>
        <v>0</v>
      </c>
      <c r="Q170" s="228">
        <f t="shared" si="11"/>
        <v>75.466480000000004</v>
      </c>
      <c r="R170" s="343">
        <f t="shared" si="12"/>
        <v>-123.12952</v>
      </c>
      <c r="S170" s="240"/>
      <c r="T170" s="201"/>
      <c r="U170" s="201"/>
      <c r="V170" s="201"/>
    </row>
    <row r="171" spans="1:22" ht="30" x14ac:dyDescent="0.25">
      <c r="A171" s="234" t="s">
        <v>235</v>
      </c>
      <c r="B171" s="235" t="s">
        <v>236</v>
      </c>
      <c r="C171" s="234" t="s">
        <v>32</v>
      </c>
      <c r="D171" s="312">
        <v>67.619</v>
      </c>
      <c r="E171" s="312"/>
      <c r="F171" s="248">
        <f t="shared" si="17"/>
        <v>25.695219999999999</v>
      </c>
      <c r="G171" s="312"/>
      <c r="H171" s="312"/>
      <c r="I171" s="312"/>
      <c r="J171" s="248">
        <f t="shared" si="8"/>
        <v>25.695219999999999</v>
      </c>
      <c r="K171" s="330">
        <f t="shared" si="9"/>
        <v>-41.923780000000001</v>
      </c>
      <c r="L171" s="313"/>
      <c r="M171" s="228">
        <f t="shared" si="10"/>
        <v>25.695219999999999</v>
      </c>
      <c r="N171" s="228">
        <f t="shared" si="13"/>
        <v>0</v>
      </c>
      <c r="O171" s="228">
        <f t="shared" si="14"/>
        <v>0</v>
      </c>
      <c r="P171" s="228">
        <f t="shared" si="14"/>
        <v>0</v>
      </c>
      <c r="Q171" s="228">
        <f t="shared" si="11"/>
        <v>25.695219999999999</v>
      </c>
      <c r="R171" s="343">
        <f t="shared" si="12"/>
        <v>-41.923780000000001</v>
      </c>
      <c r="S171" s="240"/>
      <c r="T171" s="201"/>
      <c r="U171" s="201"/>
      <c r="V171" s="201"/>
    </row>
    <row r="172" spans="1:22" ht="15.75" x14ac:dyDescent="0.25">
      <c r="A172" s="234" t="s">
        <v>237</v>
      </c>
      <c r="B172" s="235" t="s">
        <v>238</v>
      </c>
      <c r="C172" s="234" t="s">
        <v>32</v>
      </c>
      <c r="D172" s="312">
        <v>34.116999999999997</v>
      </c>
      <c r="E172" s="312"/>
      <c r="F172" s="248"/>
      <c r="G172" s="312"/>
      <c r="H172" s="312"/>
      <c r="I172" s="312"/>
      <c r="J172" s="248">
        <f t="shared" si="8"/>
        <v>0</v>
      </c>
      <c r="K172" s="330">
        <f t="shared" si="9"/>
        <v>-34.116999999999997</v>
      </c>
      <c r="L172" s="313"/>
      <c r="M172" s="228">
        <f t="shared" si="10"/>
        <v>0</v>
      </c>
      <c r="N172" s="228">
        <f t="shared" si="13"/>
        <v>0</v>
      </c>
      <c r="O172" s="228">
        <f t="shared" si="14"/>
        <v>0</v>
      </c>
      <c r="P172" s="228">
        <f t="shared" si="14"/>
        <v>0</v>
      </c>
      <c r="Q172" s="228">
        <f t="shared" si="11"/>
        <v>0</v>
      </c>
      <c r="R172" s="343">
        <f t="shared" si="12"/>
        <v>-34.116999999999997</v>
      </c>
      <c r="S172" s="240"/>
      <c r="T172" s="201"/>
      <c r="U172" s="201"/>
      <c r="V172" s="201"/>
    </row>
    <row r="173" spans="1:22" ht="15.75" x14ac:dyDescent="0.25">
      <c r="A173" s="234" t="s">
        <v>239</v>
      </c>
      <c r="B173" s="235" t="s">
        <v>240</v>
      </c>
      <c r="C173" s="234" t="s">
        <v>241</v>
      </c>
      <c r="D173" s="312">
        <v>8508.5</v>
      </c>
      <c r="E173" s="312"/>
      <c r="F173" s="248"/>
      <c r="G173" s="312"/>
      <c r="H173" s="312"/>
      <c r="I173" s="312"/>
      <c r="J173" s="248">
        <f t="shared" si="8"/>
        <v>0</v>
      </c>
      <c r="K173" s="330">
        <f t="shared" si="9"/>
        <v>-8508.5</v>
      </c>
      <c r="L173" s="313"/>
      <c r="M173" s="228">
        <f t="shared" si="10"/>
        <v>0</v>
      </c>
      <c r="N173" s="228">
        <f t="shared" si="13"/>
        <v>0</v>
      </c>
      <c r="O173" s="228">
        <f t="shared" si="14"/>
        <v>0</v>
      </c>
      <c r="P173" s="228">
        <f t="shared" si="14"/>
        <v>0</v>
      </c>
      <c r="Q173" s="228">
        <f t="shared" si="11"/>
        <v>0</v>
      </c>
      <c r="R173" s="343">
        <f t="shared" si="12"/>
        <v>-8508.5</v>
      </c>
      <c r="S173" s="240"/>
      <c r="T173" s="201"/>
      <c r="U173" s="201"/>
      <c r="V173" s="201"/>
    </row>
    <row r="174" spans="1:22" ht="15.75" x14ac:dyDescent="0.25">
      <c r="A174" s="234" t="s">
        <v>242</v>
      </c>
      <c r="B174" s="235" t="s">
        <v>243</v>
      </c>
      <c r="C174" s="234" t="s">
        <v>241</v>
      </c>
      <c r="D174" s="312">
        <v>3025.1</v>
      </c>
      <c r="E174" s="312"/>
      <c r="F174" s="248"/>
      <c r="G174" s="312"/>
      <c r="H174" s="312"/>
      <c r="I174" s="312"/>
      <c r="J174" s="248">
        <f t="shared" si="8"/>
        <v>0</v>
      </c>
      <c r="K174" s="330">
        <f t="shared" si="9"/>
        <v>-3025.1</v>
      </c>
      <c r="L174" s="313"/>
      <c r="M174" s="228">
        <f t="shared" si="10"/>
        <v>0</v>
      </c>
      <c r="N174" s="228">
        <f t="shared" si="13"/>
        <v>0</v>
      </c>
      <c r="O174" s="228">
        <f t="shared" si="14"/>
        <v>0</v>
      </c>
      <c r="P174" s="228">
        <f t="shared" si="14"/>
        <v>0</v>
      </c>
      <c r="Q174" s="228">
        <f t="shared" si="11"/>
        <v>0</v>
      </c>
      <c r="R174" s="343">
        <f t="shared" si="12"/>
        <v>-3025.1</v>
      </c>
      <c r="S174" s="240"/>
      <c r="T174" s="201"/>
      <c r="U174" s="201"/>
      <c r="V174" s="201"/>
    </row>
    <row r="175" spans="1:22" ht="15.75" x14ac:dyDescent="0.25">
      <c r="A175" s="234" t="s">
        <v>244</v>
      </c>
      <c r="B175" s="235" t="s">
        <v>245</v>
      </c>
      <c r="C175" s="234" t="s">
        <v>241</v>
      </c>
      <c r="D175" s="312">
        <v>4862.2</v>
      </c>
      <c r="E175" s="312"/>
      <c r="F175" s="248"/>
      <c r="G175" s="312"/>
      <c r="H175" s="312"/>
      <c r="I175" s="312"/>
      <c r="J175" s="248">
        <f t="shared" si="8"/>
        <v>0</v>
      </c>
      <c r="K175" s="330">
        <f t="shared" si="9"/>
        <v>-4862.2</v>
      </c>
      <c r="L175" s="313"/>
      <c r="M175" s="228">
        <f t="shared" si="10"/>
        <v>0</v>
      </c>
      <c r="N175" s="228">
        <f t="shared" si="13"/>
        <v>0</v>
      </c>
      <c r="O175" s="228">
        <f t="shared" si="14"/>
        <v>0</v>
      </c>
      <c r="P175" s="228">
        <f t="shared" si="14"/>
        <v>0</v>
      </c>
      <c r="Q175" s="228">
        <f t="shared" si="11"/>
        <v>0</v>
      </c>
      <c r="R175" s="343">
        <f t="shared" si="12"/>
        <v>-4862.2</v>
      </c>
      <c r="S175" s="240"/>
      <c r="T175" s="201"/>
      <c r="U175" s="201"/>
      <c r="V175" s="201"/>
    </row>
    <row r="176" spans="1:22" ht="15.75" x14ac:dyDescent="0.25">
      <c r="A176" s="234" t="s">
        <v>246</v>
      </c>
      <c r="B176" s="235" t="s">
        <v>247</v>
      </c>
      <c r="C176" s="234" t="s">
        <v>248</v>
      </c>
      <c r="D176" s="312">
        <v>325</v>
      </c>
      <c r="E176" s="312"/>
      <c r="F176" s="248"/>
      <c r="G176" s="312"/>
      <c r="H176" s="312"/>
      <c r="I176" s="312"/>
      <c r="J176" s="248">
        <f t="shared" si="8"/>
        <v>0</v>
      </c>
      <c r="K176" s="330">
        <f t="shared" si="9"/>
        <v>-325</v>
      </c>
      <c r="L176" s="313"/>
      <c r="M176" s="228">
        <f t="shared" si="10"/>
        <v>0</v>
      </c>
      <c r="N176" s="228">
        <f t="shared" si="13"/>
        <v>0</v>
      </c>
      <c r="O176" s="228">
        <f t="shared" si="14"/>
        <v>0</v>
      </c>
      <c r="P176" s="228">
        <f t="shared" si="14"/>
        <v>0</v>
      </c>
      <c r="Q176" s="228">
        <f t="shared" si="11"/>
        <v>0</v>
      </c>
      <c r="R176" s="343">
        <f t="shared" si="12"/>
        <v>-325</v>
      </c>
      <c r="S176" s="240"/>
      <c r="T176" s="201"/>
      <c r="U176" s="201"/>
      <c r="V176" s="201"/>
    </row>
    <row r="177" spans="1:22" ht="15.75" x14ac:dyDescent="0.25">
      <c r="A177" s="234" t="s">
        <v>249</v>
      </c>
      <c r="B177" s="235" t="s">
        <v>250</v>
      </c>
      <c r="C177" s="234" t="s">
        <v>248</v>
      </c>
      <c r="D177" s="312">
        <v>182</v>
      </c>
      <c r="E177" s="312"/>
      <c r="F177" s="248"/>
      <c r="G177" s="312"/>
      <c r="H177" s="312"/>
      <c r="I177" s="312"/>
      <c r="J177" s="248">
        <f t="shared" si="8"/>
        <v>0</v>
      </c>
      <c r="K177" s="330">
        <f t="shared" si="9"/>
        <v>-182</v>
      </c>
      <c r="L177" s="313"/>
      <c r="M177" s="228">
        <f t="shared" si="10"/>
        <v>0</v>
      </c>
      <c r="N177" s="228">
        <f t="shared" si="13"/>
        <v>0</v>
      </c>
      <c r="O177" s="228">
        <f t="shared" si="14"/>
        <v>0</v>
      </c>
      <c r="P177" s="228">
        <f t="shared" si="14"/>
        <v>0</v>
      </c>
      <c r="Q177" s="228">
        <f t="shared" si="11"/>
        <v>0</v>
      </c>
      <c r="R177" s="343">
        <f t="shared" si="12"/>
        <v>-182</v>
      </c>
      <c r="S177" s="240"/>
      <c r="T177" s="201"/>
      <c r="U177" s="201"/>
      <c r="V177" s="201"/>
    </row>
    <row r="178" spans="1:22" ht="15.75" x14ac:dyDescent="0.25">
      <c r="A178" s="234" t="s">
        <v>251</v>
      </c>
      <c r="B178" s="235" t="s">
        <v>252</v>
      </c>
      <c r="C178" s="234" t="s">
        <v>248</v>
      </c>
      <c r="D178" s="312">
        <v>10</v>
      </c>
      <c r="E178" s="312"/>
      <c r="F178" s="248"/>
      <c r="G178" s="312"/>
      <c r="H178" s="312"/>
      <c r="I178" s="312"/>
      <c r="J178" s="248">
        <f t="shared" si="8"/>
        <v>0</v>
      </c>
      <c r="K178" s="330">
        <f t="shared" si="9"/>
        <v>-10</v>
      </c>
      <c r="L178" s="313"/>
      <c r="M178" s="228">
        <f t="shared" si="10"/>
        <v>0</v>
      </c>
      <c r="N178" s="228">
        <f t="shared" si="13"/>
        <v>0</v>
      </c>
      <c r="O178" s="228">
        <f t="shared" si="14"/>
        <v>0</v>
      </c>
      <c r="P178" s="228">
        <f t="shared" si="14"/>
        <v>0</v>
      </c>
      <c r="Q178" s="228">
        <f t="shared" si="11"/>
        <v>0</v>
      </c>
      <c r="R178" s="343">
        <f t="shared" si="12"/>
        <v>-10</v>
      </c>
      <c r="S178" s="240"/>
      <c r="T178" s="201"/>
      <c r="U178" s="201"/>
      <c r="V178" s="201"/>
    </row>
    <row r="179" spans="1:22" ht="15.75" x14ac:dyDescent="0.25">
      <c r="A179" s="234" t="s">
        <v>253</v>
      </c>
      <c r="B179" s="235" t="s">
        <v>254</v>
      </c>
      <c r="C179" s="234" t="s">
        <v>248</v>
      </c>
      <c r="D179" s="312">
        <v>325</v>
      </c>
      <c r="E179" s="312"/>
      <c r="F179" s="248"/>
      <c r="G179" s="312"/>
      <c r="H179" s="312"/>
      <c r="I179" s="312"/>
      <c r="J179" s="248">
        <f t="shared" si="8"/>
        <v>0</v>
      </c>
      <c r="K179" s="330">
        <f t="shared" si="9"/>
        <v>-325</v>
      </c>
      <c r="L179" s="313"/>
      <c r="M179" s="228">
        <f t="shared" si="10"/>
        <v>0</v>
      </c>
      <c r="N179" s="228">
        <f t="shared" si="13"/>
        <v>0</v>
      </c>
      <c r="O179" s="228">
        <f t="shared" si="14"/>
        <v>0</v>
      </c>
      <c r="P179" s="228">
        <f t="shared" si="14"/>
        <v>0</v>
      </c>
      <c r="Q179" s="228">
        <f t="shared" si="11"/>
        <v>0</v>
      </c>
      <c r="R179" s="343">
        <f t="shared" si="12"/>
        <v>-325</v>
      </c>
      <c r="S179" s="240"/>
      <c r="T179" s="201"/>
      <c r="U179" s="201"/>
      <c r="V179" s="201"/>
    </row>
    <row r="180" spans="1:22" ht="15.75" x14ac:dyDescent="0.25">
      <c r="A180" s="234" t="s">
        <v>255</v>
      </c>
      <c r="B180" s="235" t="s">
        <v>256</v>
      </c>
      <c r="C180" s="234" t="s">
        <v>248</v>
      </c>
      <c r="D180" s="312">
        <v>182</v>
      </c>
      <c r="E180" s="312"/>
      <c r="F180" s="248"/>
      <c r="G180" s="312"/>
      <c r="H180" s="312"/>
      <c r="I180" s="312"/>
      <c r="J180" s="248">
        <f t="shared" si="8"/>
        <v>0</v>
      </c>
      <c r="K180" s="330">
        <f t="shared" si="9"/>
        <v>-182</v>
      </c>
      <c r="L180" s="313"/>
      <c r="M180" s="228">
        <f t="shared" si="10"/>
        <v>0</v>
      </c>
      <c r="N180" s="228">
        <f t="shared" si="13"/>
        <v>0</v>
      </c>
      <c r="O180" s="228">
        <f t="shared" si="14"/>
        <v>0</v>
      </c>
      <c r="P180" s="228">
        <f t="shared" si="14"/>
        <v>0</v>
      </c>
      <c r="Q180" s="228">
        <f t="shared" si="11"/>
        <v>0</v>
      </c>
      <c r="R180" s="343">
        <f t="shared" si="12"/>
        <v>-182</v>
      </c>
      <c r="S180" s="240"/>
      <c r="T180" s="201"/>
      <c r="U180" s="201"/>
      <c r="V180" s="201"/>
    </row>
    <row r="181" spans="1:22" ht="15.75" x14ac:dyDescent="0.25">
      <c r="A181" s="234" t="s">
        <v>257</v>
      </c>
      <c r="B181" s="235" t="s">
        <v>258</v>
      </c>
      <c r="C181" s="234" t="s">
        <v>248</v>
      </c>
      <c r="D181" s="312">
        <v>10</v>
      </c>
      <c r="E181" s="312"/>
      <c r="F181" s="248"/>
      <c r="G181" s="312"/>
      <c r="H181" s="312"/>
      <c r="I181" s="312"/>
      <c r="J181" s="248">
        <f t="shared" si="8"/>
        <v>0</v>
      </c>
      <c r="K181" s="330">
        <f t="shared" si="9"/>
        <v>-10</v>
      </c>
      <c r="L181" s="313"/>
      <c r="M181" s="228">
        <f t="shared" si="10"/>
        <v>0</v>
      </c>
      <c r="N181" s="228">
        <f t="shared" si="13"/>
        <v>0</v>
      </c>
      <c r="O181" s="228">
        <f t="shared" si="14"/>
        <v>0</v>
      </c>
      <c r="P181" s="228">
        <f t="shared" si="14"/>
        <v>0</v>
      </c>
      <c r="Q181" s="228">
        <f t="shared" si="11"/>
        <v>0</v>
      </c>
      <c r="R181" s="343">
        <f t="shared" si="12"/>
        <v>-10</v>
      </c>
      <c r="S181" s="240"/>
      <c r="T181" s="201"/>
      <c r="U181" s="201"/>
      <c r="V181" s="201"/>
    </row>
    <row r="182" spans="1:22" ht="34.5" customHeight="1" x14ac:dyDescent="0.25">
      <c r="A182" s="234" t="s">
        <v>259</v>
      </c>
      <c r="B182" s="235" t="s">
        <v>128</v>
      </c>
      <c r="C182" s="234" t="s">
        <v>37</v>
      </c>
      <c r="D182" s="312">
        <v>73.468000000000004</v>
      </c>
      <c r="E182" s="312"/>
      <c r="F182" s="248"/>
      <c r="G182" s="312"/>
      <c r="H182" s="312"/>
      <c r="I182" s="312"/>
      <c r="J182" s="248">
        <f t="shared" si="8"/>
        <v>0</v>
      </c>
      <c r="K182" s="330">
        <f t="shared" si="9"/>
        <v>-73.468000000000004</v>
      </c>
      <c r="L182" s="313"/>
      <c r="M182" s="228">
        <f t="shared" si="10"/>
        <v>0</v>
      </c>
      <c r="N182" s="228">
        <f t="shared" si="13"/>
        <v>0</v>
      </c>
      <c r="O182" s="228">
        <f t="shared" si="14"/>
        <v>0</v>
      </c>
      <c r="P182" s="228">
        <f t="shared" si="14"/>
        <v>0</v>
      </c>
      <c r="Q182" s="228">
        <f t="shared" si="11"/>
        <v>0</v>
      </c>
      <c r="R182" s="343">
        <f t="shared" si="12"/>
        <v>-73.468000000000004</v>
      </c>
      <c r="S182" s="240"/>
      <c r="T182" s="201"/>
      <c r="U182" s="201"/>
      <c r="V182" s="201"/>
    </row>
    <row r="183" spans="1:22" ht="36" customHeight="1" x14ac:dyDescent="0.25">
      <c r="A183" s="234" t="s">
        <v>260</v>
      </c>
      <c r="B183" s="235" t="s">
        <v>130</v>
      </c>
      <c r="C183" s="234" t="s">
        <v>61</v>
      </c>
      <c r="D183" s="312">
        <v>11.972</v>
      </c>
      <c r="E183" s="312"/>
      <c r="F183" s="248"/>
      <c r="G183" s="312"/>
      <c r="H183" s="312"/>
      <c r="I183" s="312"/>
      <c r="J183" s="248">
        <f t="shared" si="8"/>
        <v>0</v>
      </c>
      <c r="K183" s="330">
        <f t="shared" si="9"/>
        <v>-11.972</v>
      </c>
      <c r="L183" s="313"/>
      <c r="M183" s="228">
        <f t="shared" si="10"/>
        <v>0</v>
      </c>
      <c r="N183" s="228">
        <f t="shared" si="13"/>
        <v>0</v>
      </c>
      <c r="O183" s="228">
        <f t="shared" si="14"/>
        <v>0</v>
      </c>
      <c r="P183" s="228">
        <f t="shared" si="14"/>
        <v>0</v>
      </c>
      <c r="Q183" s="228">
        <f t="shared" si="11"/>
        <v>0</v>
      </c>
      <c r="R183" s="343">
        <f t="shared" si="12"/>
        <v>-11.972</v>
      </c>
      <c r="S183" s="240"/>
      <c r="T183" s="201"/>
      <c r="U183" s="201"/>
      <c r="V183" s="201"/>
    </row>
    <row r="184" spans="1:22" ht="41.25" customHeight="1" x14ac:dyDescent="0.25">
      <c r="A184" s="234" t="s">
        <v>261</v>
      </c>
      <c r="B184" s="235" t="s">
        <v>262</v>
      </c>
      <c r="C184" s="234" t="s">
        <v>32</v>
      </c>
      <c r="D184" s="312">
        <v>3.3540000000000001</v>
      </c>
      <c r="E184" s="312"/>
      <c r="F184" s="248">
        <f t="shared" ref="F184:F185" si="18">D184*$V$160</f>
        <v>1.2745200000000001</v>
      </c>
      <c r="G184" s="312"/>
      <c r="H184" s="312"/>
      <c r="I184" s="312"/>
      <c r="J184" s="248">
        <f t="shared" si="8"/>
        <v>1.2745200000000001</v>
      </c>
      <c r="K184" s="330">
        <f t="shared" si="9"/>
        <v>-2.0794800000000002</v>
      </c>
      <c r="L184" s="313"/>
      <c r="M184" s="228">
        <f t="shared" si="10"/>
        <v>1.2745200000000001</v>
      </c>
      <c r="N184" s="228">
        <f t="shared" si="13"/>
        <v>0</v>
      </c>
      <c r="O184" s="228">
        <f t="shared" si="14"/>
        <v>0</v>
      </c>
      <c r="P184" s="228">
        <f t="shared" si="14"/>
        <v>0</v>
      </c>
      <c r="Q184" s="228">
        <f t="shared" si="11"/>
        <v>1.2745200000000001</v>
      </c>
      <c r="R184" s="343">
        <f t="shared" si="12"/>
        <v>-2.0794800000000002</v>
      </c>
      <c r="S184" s="240"/>
      <c r="T184" s="201"/>
      <c r="U184" s="201"/>
      <c r="V184" s="201"/>
    </row>
    <row r="185" spans="1:22" ht="43.5" customHeight="1" x14ac:dyDescent="0.25">
      <c r="A185" s="234" t="s">
        <v>263</v>
      </c>
      <c r="B185" s="235" t="s">
        <v>264</v>
      </c>
      <c r="C185" s="234" t="s">
        <v>32</v>
      </c>
      <c r="D185" s="312">
        <v>4.1459999999999999</v>
      </c>
      <c r="E185" s="312"/>
      <c r="F185" s="248">
        <f t="shared" si="18"/>
        <v>1.57548</v>
      </c>
      <c r="G185" s="312"/>
      <c r="H185" s="312"/>
      <c r="I185" s="312"/>
      <c r="J185" s="248">
        <f t="shared" si="8"/>
        <v>1.57548</v>
      </c>
      <c r="K185" s="330">
        <f t="shared" si="9"/>
        <v>-2.5705200000000001</v>
      </c>
      <c r="L185" s="313"/>
      <c r="M185" s="228">
        <f t="shared" si="10"/>
        <v>1.57548</v>
      </c>
      <c r="N185" s="228">
        <f t="shared" si="13"/>
        <v>0</v>
      </c>
      <c r="O185" s="228">
        <f t="shared" si="14"/>
        <v>0</v>
      </c>
      <c r="P185" s="228">
        <f t="shared" si="14"/>
        <v>0</v>
      </c>
      <c r="Q185" s="228">
        <f t="shared" si="11"/>
        <v>1.57548</v>
      </c>
      <c r="R185" s="343">
        <f t="shared" si="12"/>
        <v>-2.5705200000000001</v>
      </c>
      <c r="S185" s="240"/>
      <c r="T185" s="201"/>
      <c r="U185" s="201"/>
      <c r="V185" s="201"/>
    </row>
    <row r="186" spans="1:22" ht="30" x14ac:dyDescent="0.25">
      <c r="A186" s="234" t="s">
        <v>265</v>
      </c>
      <c r="B186" s="235" t="s">
        <v>266</v>
      </c>
      <c r="C186" s="234" t="s">
        <v>37</v>
      </c>
      <c r="D186" s="312">
        <v>40.82</v>
      </c>
      <c r="E186" s="312"/>
      <c r="F186" s="248"/>
      <c r="G186" s="312"/>
      <c r="H186" s="312"/>
      <c r="I186" s="312"/>
      <c r="J186" s="248">
        <f t="shared" ref="J186:J249" si="19">F186+G186+H186+I186</f>
        <v>0</v>
      </c>
      <c r="K186" s="330">
        <f t="shared" ref="K186:K249" si="20">J186-D186</f>
        <v>-40.82</v>
      </c>
      <c r="L186" s="313"/>
      <c r="M186" s="228">
        <f t="shared" ref="M186:M249" si="21">F186</f>
        <v>0</v>
      </c>
      <c r="N186" s="228">
        <f t="shared" si="13"/>
        <v>0</v>
      </c>
      <c r="O186" s="228">
        <f t="shared" si="14"/>
        <v>0</v>
      </c>
      <c r="P186" s="228">
        <f t="shared" si="14"/>
        <v>0</v>
      </c>
      <c r="Q186" s="228">
        <f t="shared" ref="Q186:Q249" si="22">M186+N186+O186+P186</f>
        <v>0</v>
      </c>
      <c r="R186" s="343">
        <f t="shared" ref="R186:R249" si="23">Q186-D186</f>
        <v>-40.82</v>
      </c>
      <c r="S186" s="240"/>
      <c r="T186" s="201"/>
      <c r="U186" s="201"/>
      <c r="V186" s="201"/>
    </row>
    <row r="187" spans="1:22" ht="30" x14ac:dyDescent="0.25">
      <c r="A187" s="234" t="s">
        <v>267</v>
      </c>
      <c r="B187" s="235" t="s">
        <v>268</v>
      </c>
      <c r="C187" s="234" t="s">
        <v>61</v>
      </c>
      <c r="D187" s="312">
        <v>5.6790000000000003</v>
      </c>
      <c r="E187" s="312"/>
      <c r="F187" s="248"/>
      <c r="G187" s="312"/>
      <c r="H187" s="312"/>
      <c r="I187" s="312"/>
      <c r="J187" s="248">
        <f t="shared" si="19"/>
        <v>0</v>
      </c>
      <c r="K187" s="330">
        <f t="shared" si="20"/>
        <v>-5.6790000000000003</v>
      </c>
      <c r="L187" s="313"/>
      <c r="M187" s="228">
        <f t="shared" si="21"/>
        <v>0</v>
      </c>
      <c r="N187" s="228">
        <f t="shared" si="13"/>
        <v>0</v>
      </c>
      <c r="O187" s="228">
        <f t="shared" si="14"/>
        <v>0</v>
      </c>
      <c r="P187" s="228">
        <f t="shared" si="14"/>
        <v>0</v>
      </c>
      <c r="Q187" s="228">
        <f t="shared" si="22"/>
        <v>0</v>
      </c>
      <c r="R187" s="343">
        <f t="shared" si="23"/>
        <v>-5.6790000000000003</v>
      </c>
      <c r="S187" s="240"/>
      <c r="T187" s="201"/>
      <c r="U187" s="201"/>
      <c r="V187" s="201"/>
    </row>
    <row r="188" spans="1:22" ht="40.5" customHeight="1" x14ac:dyDescent="0.25">
      <c r="A188" s="234" t="s">
        <v>269</v>
      </c>
      <c r="B188" s="235" t="s">
        <v>88</v>
      </c>
      <c r="C188" s="234" t="s">
        <v>270</v>
      </c>
      <c r="D188" s="312">
        <v>87</v>
      </c>
      <c r="E188" s="312"/>
      <c r="F188" s="248"/>
      <c r="G188" s="312"/>
      <c r="H188" s="312"/>
      <c r="I188" s="312"/>
      <c r="J188" s="248">
        <f t="shared" si="19"/>
        <v>0</v>
      </c>
      <c r="K188" s="330">
        <f t="shared" si="20"/>
        <v>-87</v>
      </c>
      <c r="L188" s="313"/>
      <c r="M188" s="228">
        <f t="shared" si="21"/>
        <v>0</v>
      </c>
      <c r="N188" s="228">
        <f t="shared" si="13"/>
        <v>0</v>
      </c>
      <c r="O188" s="228">
        <f t="shared" si="14"/>
        <v>0</v>
      </c>
      <c r="P188" s="228">
        <f t="shared" si="14"/>
        <v>0</v>
      </c>
      <c r="Q188" s="228">
        <f t="shared" si="22"/>
        <v>0</v>
      </c>
      <c r="R188" s="343">
        <f t="shared" si="23"/>
        <v>-87</v>
      </c>
      <c r="S188" s="240"/>
      <c r="T188" s="201"/>
      <c r="U188" s="201"/>
      <c r="V188" s="201"/>
    </row>
    <row r="189" spans="1:22" ht="42" customHeight="1" x14ac:dyDescent="0.25">
      <c r="A189" s="234" t="s">
        <v>271</v>
      </c>
      <c r="B189" s="235" t="s">
        <v>132</v>
      </c>
      <c r="C189" s="234" t="s">
        <v>37</v>
      </c>
      <c r="D189" s="312">
        <v>81.721999999999994</v>
      </c>
      <c r="E189" s="312"/>
      <c r="F189" s="248"/>
      <c r="G189" s="312"/>
      <c r="H189" s="312"/>
      <c r="I189" s="312"/>
      <c r="J189" s="248">
        <f t="shared" si="19"/>
        <v>0</v>
      </c>
      <c r="K189" s="330">
        <f t="shared" si="20"/>
        <v>-81.721999999999994</v>
      </c>
      <c r="L189" s="313"/>
      <c r="M189" s="228">
        <f t="shared" si="21"/>
        <v>0</v>
      </c>
      <c r="N189" s="228">
        <f t="shared" si="13"/>
        <v>0</v>
      </c>
      <c r="O189" s="228">
        <f t="shared" si="14"/>
        <v>0</v>
      </c>
      <c r="P189" s="228">
        <f t="shared" si="14"/>
        <v>0</v>
      </c>
      <c r="Q189" s="228">
        <f t="shared" si="22"/>
        <v>0</v>
      </c>
      <c r="R189" s="343">
        <f t="shared" si="23"/>
        <v>-81.721999999999994</v>
      </c>
      <c r="S189" s="240"/>
      <c r="T189" s="201"/>
      <c r="U189" s="201"/>
      <c r="V189" s="201"/>
    </row>
    <row r="190" spans="1:22" ht="34.5" customHeight="1" x14ac:dyDescent="0.25">
      <c r="A190" s="234" t="s">
        <v>272</v>
      </c>
      <c r="B190" s="235" t="s">
        <v>134</v>
      </c>
      <c r="C190" s="234" t="s">
        <v>61</v>
      </c>
      <c r="D190" s="312">
        <v>7.673</v>
      </c>
      <c r="E190" s="312"/>
      <c r="F190" s="248"/>
      <c r="G190" s="312"/>
      <c r="H190" s="312"/>
      <c r="I190" s="312"/>
      <c r="J190" s="248">
        <f t="shared" si="19"/>
        <v>0</v>
      </c>
      <c r="K190" s="330">
        <f t="shared" si="20"/>
        <v>-7.673</v>
      </c>
      <c r="L190" s="313"/>
      <c r="M190" s="228">
        <f t="shared" si="21"/>
        <v>0</v>
      </c>
      <c r="N190" s="228">
        <f t="shared" si="13"/>
        <v>0</v>
      </c>
      <c r="O190" s="228">
        <f t="shared" si="14"/>
        <v>0</v>
      </c>
      <c r="P190" s="228">
        <f t="shared" si="14"/>
        <v>0</v>
      </c>
      <c r="Q190" s="228">
        <f t="shared" si="22"/>
        <v>0</v>
      </c>
      <c r="R190" s="343">
        <f t="shared" si="23"/>
        <v>-7.673</v>
      </c>
      <c r="S190" s="240"/>
      <c r="T190" s="201"/>
      <c r="U190" s="201"/>
      <c r="V190" s="201"/>
    </row>
    <row r="191" spans="1:22" ht="53.25" customHeight="1" x14ac:dyDescent="0.25">
      <c r="A191" s="234" t="s">
        <v>273</v>
      </c>
      <c r="B191" s="235" t="s">
        <v>274</v>
      </c>
      <c r="C191" s="234" t="s">
        <v>32</v>
      </c>
      <c r="D191" s="312">
        <v>10.781000000000001</v>
      </c>
      <c r="E191" s="312"/>
      <c r="F191" s="248">
        <f t="shared" ref="F191:F192" si="24">D191*$V$160</f>
        <v>4.0967799999999999</v>
      </c>
      <c r="G191" s="312"/>
      <c r="H191" s="312"/>
      <c r="I191" s="312"/>
      <c r="J191" s="248">
        <f t="shared" si="19"/>
        <v>4.0967799999999999</v>
      </c>
      <c r="K191" s="330">
        <f t="shared" si="20"/>
        <v>-6.6842200000000007</v>
      </c>
      <c r="L191" s="313"/>
      <c r="M191" s="228">
        <f t="shared" si="21"/>
        <v>4.0967799999999999</v>
      </c>
      <c r="N191" s="228">
        <f t="shared" si="13"/>
        <v>0</v>
      </c>
      <c r="O191" s="228">
        <f t="shared" si="14"/>
        <v>0</v>
      </c>
      <c r="P191" s="228">
        <f t="shared" si="14"/>
        <v>0</v>
      </c>
      <c r="Q191" s="228">
        <f t="shared" si="22"/>
        <v>4.0967799999999999</v>
      </c>
      <c r="R191" s="343">
        <f t="shared" si="23"/>
        <v>-6.6842200000000007</v>
      </c>
      <c r="S191" s="240"/>
      <c r="T191" s="201"/>
      <c r="U191" s="201"/>
      <c r="V191" s="201"/>
    </row>
    <row r="192" spans="1:22" ht="50.25" customHeight="1" x14ac:dyDescent="0.25">
      <c r="A192" s="234" t="s">
        <v>275</v>
      </c>
      <c r="B192" s="235" t="s">
        <v>276</v>
      </c>
      <c r="C192" s="234" t="s">
        <v>32</v>
      </c>
      <c r="D192" s="312">
        <v>1.732</v>
      </c>
      <c r="E192" s="312"/>
      <c r="F192" s="248">
        <f t="shared" si="24"/>
        <v>0.65815999999999997</v>
      </c>
      <c r="G192" s="312"/>
      <c r="H192" s="312"/>
      <c r="I192" s="312"/>
      <c r="J192" s="248">
        <f t="shared" si="19"/>
        <v>0.65815999999999997</v>
      </c>
      <c r="K192" s="330">
        <f t="shared" si="20"/>
        <v>-1.0738400000000001</v>
      </c>
      <c r="L192" s="313"/>
      <c r="M192" s="228">
        <f t="shared" si="21"/>
        <v>0.65815999999999997</v>
      </c>
      <c r="N192" s="228">
        <f t="shared" si="13"/>
        <v>0</v>
      </c>
      <c r="O192" s="228">
        <f t="shared" si="14"/>
        <v>0</v>
      </c>
      <c r="P192" s="228">
        <f t="shared" si="14"/>
        <v>0</v>
      </c>
      <c r="Q192" s="228">
        <f t="shared" si="22"/>
        <v>0.65815999999999997</v>
      </c>
      <c r="R192" s="343">
        <f t="shared" si="23"/>
        <v>-1.0738400000000001</v>
      </c>
      <c r="S192" s="240"/>
      <c r="T192" s="201"/>
      <c r="U192" s="201"/>
      <c r="V192" s="201"/>
    </row>
    <row r="193" spans="1:22" ht="50.25" customHeight="1" x14ac:dyDescent="0.25">
      <c r="A193" s="234" t="s">
        <v>277</v>
      </c>
      <c r="B193" s="235" t="s">
        <v>278</v>
      </c>
      <c r="C193" s="234" t="s">
        <v>279</v>
      </c>
      <c r="D193" s="312">
        <v>17447</v>
      </c>
      <c r="E193" s="312"/>
      <c r="F193" s="248"/>
      <c r="G193" s="312"/>
      <c r="H193" s="312"/>
      <c r="I193" s="312"/>
      <c r="J193" s="248">
        <f t="shared" si="19"/>
        <v>0</v>
      </c>
      <c r="K193" s="330">
        <f t="shared" si="20"/>
        <v>-17447</v>
      </c>
      <c r="L193" s="313"/>
      <c r="M193" s="228">
        <f t="shared" si="21"/>
        <v>0</v>
      </c>
      <c r="N193" s="228">
        <f t="shared" si="13"/>
        <v>0</v>
      </c>
      <c r="O193" s="228">
        <f t="shared" si="14"/>
        <v>0</v>
      </c>
      <c r="P193" s="228">
        <f t="shared" si="14"/>
        <v>0</v>
      </c>
      <c r="Q193" s="228">
        <f t="shared" si="22"/>
        <v>0</v>
      </c>
      <c r="R193" s="343">
        <f t="shared" si="23"/>
        <v>-17447</v>
      </c>
      <c r="S193" s="240"/>
      <c r="T193" s="201"/>
      <c r="U193" s="201"/>
      <c r="V193" s="201"/>
    </row>
    <row r="194" spans="1:22" s="49" customFormat="1" ht="40.5" customHeight="1" x14ac:dyDescent="0.25">
      <c r="A194" s="241" t="s">
        <v>280</v>
      </c>
      <c r="B194" s="242" t="s">
        <v>215</v>
      </c>
      <c r="C194" s="241" t="s">
        <v>32</v>
      </c>
      <c r="D194" s="319">
        <v>1.919</v>
      </c>
      <c r="E194" s="319"/>
      <c r="F194" s="248">
        <f t="shared" ref="F194" si="25">D194*$V$160</f>
        <v>0.72921999999999998</v>
      </c>
      <c r="G194" s="319"/>
      <c r="H194" s="319"/>
      <c r="I194" s="319"/>
      <c r="J194" s="248">
        <f t="shared" si="19"/>
        <v>0.72921999999999998</v>
      </c>
      <c r="K194" s="330">
        <f t="shared" si="20"/>
        <v>-1.1897800000000001</v>
      </c>
      <c r="L194" s="320"/>
      <c r="M194" s="228">
        <f t="shared" si="21"/>
        <v>0.72921999999999998</v>
      </c>
      <c r="N194" s="228">
        <f t="shared" si="13"/>
        <v>0</v>
      </c>
      <c r="O194" s="228">
        <f t="shared" si="14"/>
        <v>0</v>
      </c>
      <c r="P194" s="228">
        <f t="shared" si="14"/>
        <v>0</v>
      </c>
      <c r="Q194" s="228">
        <f t="shared" si="22"/>
        <v>0.72921999999999998</v>
      </c>
      <c r="R194" s="343">
        <f t="shared" si="23"/>
        <v>-1.1897800000000001</v>
      </c>
      <c r="S194" s="243"/>
      <c r="T194" s="207"/>
      <c r="U194" s="478" t="s">
        <v>3461</v>
      </c>
      <c r="V194" s="478"/>
    </row>
    <row r="195" spans="1:22" ht="15.75" x14ac:dyDescent="0.25">
      <c r="A195" s="230" t="s">
        <v>281</v>
      </c>
      <c r="B195" s="231" t="s">
        <v>282</v>
      </c>
      <c r="C195" s="230" t="s">
        <v>3</v>
      </c>
      <c r="D195" s="316"/>
      <c r="E195" s="316"/>
      <c r="F195" s="317"/>
      <c r="G195" s="316"/>
      <c r="H195" s="316"/>
      <c r="I195" s="316"/>
      <c r="J195" s="248">
        <f t="shared" si="19"/>
        <v>0</v>
      </c>
      <c r="K195" s="330">
        <f t="shared" si="20"/>
        <v>0</v>
      </c>
      <c r="L195" s="318"/>
      <c r="M195" s="228">
        <f t="shared" si="21"/>
        <v>0</v>
      </c>
      <c r="N195" s="228">
        <f t="shared" si="13"/>
        <v>0</v>
      </c>
      <c r="O195" s="228">
        <f t="shared" si="14"/>
        <v>0</v>
      </c>
      <c r="P195" s="228">
        <f t="shared" si="14"/>
        <v>0</v>
      </c>
      <c r="Q195" s="228">
        <f t="shared" si="22"/>
        <v>0</v>
      </c>
      <c r="R195" s="343">
        <f t="shared" si="23"/>
        <v>0</v>
      </c>
      <c r="S195" s="240"/>
      <c r="T195" s="201"/>
      <c r="U195" s="201"/>
      <c r="V195" s="201"/>
    </row>
    <row r="196" spans="1:22" ht="45" x14ac:dyDescent="0.25">
      <c r="A196" s="234" t="s">
        <v>283</v>
      </c>
      <c r="B196" s="235" t="s">
        <v>284</v>
      </c>
      <c r="C196" s="234" t="s">
        <v>37</v>
      </c>
      <c r="D196" s="312">
        <v>54.518999999999998</v>
      </c>
      <c r="E196" s="312"/>
      <c r="F196" s="248"/>
      <c r="G196" s="312"/>
      <c r="H196" s="312"/>
      <c r="I196" s="312"/>
      <c r="J196" s="248">
        <f t="shared" si="19"/>
        <v>0</v>
      </c>
      <c r="K196" s="330">
        <f t="shared" si="20"/>
        <v>-54.518999999999998</v>
      </c>
      <c r="L196" s="313"/>
      <c r="M196" s="228">
        <f t="shared" si="21"/>
        <v>0</v>
      </c>
      <c r="N196" s="228">
        <f t="shared" si="13"/>
        <v>0</v>
      </c>
      <c r="O196" s="228">
        <f t="shared" si="14"/>
        <v>0</v>
      </c>
      <c r="P196" s="228">
        <f t="shared" si="14"/>
        <v>0</v>
      </c>
      <c r="Q196" s="228">
        <f t="shared" si="22"/>
        <v>0</v>
      </c>
      <c r="R196" s="343">
        <f t="shared" si="23"/>
        <v>-54.518999999999998</v>
      </c>
      <c r="S196" s="240"/>
      <c r="T196" s="201"/>
      <c r="U196" s="201"/>
      <c r="V196" s="201"/>
    </row>
    <row r="197" spans="1:22" ht="30" x14ac:dyDescent="0.25">
      <c r="A197" s="234" t="s">
        <v>285</v>
      </c>
      <c r="B197" s="235" t="s">
        <v>286</v>
      </c>
      <c r="C197" s="234" t="s">
        <v>52</v>
      </c>
      <c r="D197" s="312">
        <v>156.03700000000001</v>
      </c>
      <c r="E197" s="312"/>
      <c r="F197" s="248"/>
      <c r="G197" s="312"/>
      <c r="H197" s="312"/>
      <c r="I197" s="312"/>
      <c r="J197" s="248">
        <f t="shared" si="19"/>
        <v>0</v>
      </c>
      <c r="K197" s="330">
        <f t="shared" si="20"/>
        <v>-156.03700000000001</v>
      </c>
      <c r="L197" s="313"/>
      <c r="M197" s="228">
        <f t="shared" si="21"/>
        <v>0</v>
      </c>
      <c r="N197" s="228">
        <f t="shared" si="13"/>
        <v>0</v>
      </c>
      <c r="O197" s="228">
        <f t="shared" si="14"/>
        <v>0</v>
      </c>
      <c r="P197" s="228">
        <f t="shared" si="14"/>
        <v>0</v>
      </c>
      <c r="Q197" s="228">
        <f t="shared" si="22"/>
        <v>0</v>
      </c>
      <c r="R197" s="343">
        <f t="shared" si="23"/>
        <v>-156.03700000000001</v>
      </c>
      <c r="S197" s="240"/>
      <c r="T197" s="201"/>
      <c r="U197" s="201"/>
      <c r="V197" s="201"/>
    </row>
    <row r="198" spans="1:22" ht="30" customHeight="1" x14ac:dyDescent="0.25">
      <c r="A198" s="234" t="s">
        <v>287</v>
      </c>
      <c r="B198" s="235" t="s">
        <v>288</v>
      </c>
      <c r="C198" s="234" t="s">
        <v>52</v>
      </c>
      <c r="D198" s="312">
        <v>844.66899999999998</v>
      </c>
      <c r="E198" s="312"/>
      <c r="F198" s="248"/>
      <c r="G198" s="312"/>
      <c r="H198" s="312"/>
      <c r="I198" s="312"/>
      <c r="J198" s="248">
        <f t="shared" si="19"/>
        <v>0</v>
      </c>
      <c r="K198" s="330">
        <f t="shared" si="20"/>
        <v>-844.66899999999998</v>
      </c>
      <c r="L198" s="313"/>
      <c r="M198" s="228">
        <f t="shared" si="21"/>
        <v>0</v>
      </c>
      <c r="N198" s="228">
        <f t="shared" si="13"/>
        <v>0</v>
      </c>
      <c r="O198" s="228">
        <f t="shared" si="14"/>
        <v>0</v>
      </c>
      <c r="P198" s="228">
        <f t="shared" si="14"/>
        <v>0</v>
      </c>
      <c r="Q198" s="228">
        <f t="shared" si="22"/>
        <v>0</v>
      </c>
      <c r="R198" s="343">
        <f t="shared" si="23"/>
        <v>-844.66899999999998</v>
      </c>
      <c r="S198" s="240"/>
      <c r="T198" s="201"/>
      <c r="U198" s="201"/>
      <c r="V198" s="201"/>
    </row>
    <row r="199" spans="1:22" ht="30" customHeight="1" x14ac:dyDescent="0.25">
      <c r="A199" s="234" t="s">
        <v>289</v>
      </c>
      <c r="B199" s="235" t="s">
        <v>290</v>
      </c>
      <c r="C199" s="234" t="s">
        <v>52</v>
      </c>
      <c r="D199" s="312">
        <v>282.28899999999999</v>
      </c>
      <c r="E199" s="312"/>
      <c r="F199" s="248"/>
      <c r="G199" s="312"/>
      <c r="H199" s="312"/>
      <c r="I199" s="312"/>
      <c r="J199" s="248">
        <f t="shared" si="19"/>
        <v>0</v>
      </c>
      <c r="K199" s="330">
        <f t="shared" si="20"/>
        <v>-282.28899999999999</v>
      </c>
      <c r="L199" s="313"/>
      <c r="M199" s="228">
        <f t="shared" si="21"/>
        <v>0</v>
      </c>
      <c r="N199" s="228">
        <f t="shared" si="13"/>
        <v>0</v>
      </c>
      <c r="O199" s="228">
        <f t="shared" si="14"/>
        <v>0</v>
      </c>
      <c r="P199" s="228">
        <f t="shared" si="14"/>
        <v>0</v>
      </c>
      <c r="Q199" s="228">
        <f t="shared" si="22"/>
        <v>0</v>
      </c>
      <c r="R199" s="343">
        <f t="shared" si="23"/>
        <v>-282.28899999999999</v>
      </c>
      <c r="S199" s="240"/>
      <c r="T199" s="201"/>
      <c r="U199" s="201"/>
      <c r="V199" s="201"/>
    </row>
    <row r="200" spans="1:22" ht="15.75" x14ac:dyDescent="0.25">
      <c r="A200" s="234" t="s">
        <v>291</v>
      </c>
      <c r="B200" s="235" t="s">
        <v>292</v>
      </c>
      <c r="C200" s="234" t="s">
        <v>52</v>
      </c>
      <c r="D200" s="312">
        <v>282.28899999999999</v>
      </c>
      <c r="E200" s="312"/>
      <c r="F200" s="248"/>
      <c r="G200" s="312"/>
      <c r="H200" s="312"/>
      <c r="I200" s="312"/>
      <c r="J200" s="248">
        <f t="shared" si="19"/>
        <v>0</v>
      </c>
      <c r="K200" s="330">
        <f t="shared" si="20"/>
        <v>-282.28899999999999</v>
      </c>
      <c r="L200" s="313"/>
      <c r="M200" s="228">
        <f t="shared" si="21"/>
        <v>0</v>
      </c>
      <c r="N200" s="228">
        <f t="shared" si="13"/>
        <v>0</v>
      </c>
      <c r="O200" s="228">
        <f t="shared" si="14"/>
        <v>0</v>
      </c>
      <c r="P200" s="228">
        <f t="shared" si="14"/>
        <v>0</v>
      </c>
      <c r="Q200" s="228">
        <f t="shared" si="22"/>
        <v>0</v>
      </c>
      <c r="R200" s="343">
        <f t="shared" si="23"/>
        <v>-282.28899999999999</v>
      </c>
      <c r="S200" s="240"/>
      <c r="T200" s="201"/>
      <c r="U200" s="201"/>
      <c r="V200" s="201"/>
    </row>
    <row r="201" spans="1:22" ht="15.75" x14ac:dyDescent="0.25">
      <c r="A201" s="234" t="s">
        <v>293</v>
      </c>
      <c r="B201" s="235" t="s">
        <v>294</v>
      </c>
      <c r="C201" s="234" t="s">
        <v>52</v>
      </c>
      <c r="D201" s="312">
        <v>8.8640000000000008</v>
      </c>
      <c r="E201" s="312"/>
      <c r="F201" s="248"/>
      <c r="G201" s="312"/>
      <c r="H201" s="312"/>
      <c r="I201" s="312"/>
      <c r="J201" s="248">
        <f t="shared" si="19"/>
        <v>0</v>
      </c>
      <c r="K201" s="330">
        <f t="shared" si="20"/>
        <v>-8.8640000000000008</v>
      </c>
      <c r="L201" s="313"/>
      <c r="M201" s="228">
        <f t="shared" si="21"/>
        <v>0</v>
      </c>
      <c r="N201" s="228">
        <f t="shared" ref="N201:N264" si="26">G201</f>
        <v>0</v>
      </c>
      <c r="O201" s="228">
        <f t="shared" ref="O201:P264" si="27">H201</f>
        <v>0</v>
      </c>
      <c r="P201" s="228">
        <f t="shared" si="27"/>
        <v>0</v>
      </c>
      <c r="Q201" s="228">
        <f t="shared" si="22"/>
        <v>0</v>
      </c>
      <c r="R201" s="343">
        <f t="shared" si="23"/>
        <v>-8.8640000000000008</v>
      </c>
      <c r="S201" s="240"/>
      <c r="T201" s="201"/>
      <c r="U201" s="201"/>
      <c r="V201" s="201"/>
    </row>
    <row r="202" spans="1:22" ht="15.75" x14ac:dyDescent="0.25">
      <c r="A202" s="234" t="s">
        <v>295</v>
      </c>
      <c r="B202" s="235" t="s">
        <v>292</v>
      </c>
      <c r="C202" s="234" t="s">
        <v>52</v>
      </c>
      <c r="D202" s="312">
        <v>8.8640000000000008</v>
      </c>
      <c r="E202" s="312"/>
      <c r="F202" s="248"/>
      <c r="G202" s="312"/>
      <c r="H202" s="312"/>
      <c r="I202" s="312"/>
      <c r="J202" s="248">
        <f t="shared" si="19"/>
        <v>0</v>
      </c>
      <c r="K202" s="330">
        <f t="shared" si="20"/>
        <v>-8.8640000000000008</v>
      </c>
      <c r="L202" s="313"/>
      <c r="M202" s="228">
        <f t="shared" si="21"/>
        <v>0</v>
      </c>
      <c r="N202" s="228">
        <f t="shared" si="26"/>
        <v>0</v>
      </c>
      <c r="O202" s="228">
        <f t="shared" si="27"/>
        <v>0</v>
      </c>
      <c r="P202" s="228">
        <f t="shared" si="27"/>
        <v>0</v>
      </c>
      <c r="Q202" s="228">
        <f t="shared" si="22"/>
        <v>0</v>
      </c>
      <c r="R202" s="343">
        <f t="shared" si="23"/>
        <v>-8.8640000000000008</v>
      </c>
      <c r="S202" s="240"/>
      <c r="T202" s="201"/>
      <c r="U202" s="201"/>
      <c r="V202" s="201"/>
    </row>
    <row r="203" spans="1:22" ht="30" x14ac:dyDescent="0.25">
      <c r="A203" s="234" t="s">
        <v>296</v>
      </c>
      <c r="B203" s="235" t="s">
        <v>297</v>
      </c>
      <c r="C203" s="234" t="s">
        <v>52</v>
      </c>
      <c r="D203" s="312">
        <v>572.34199999999998</v>
      </c>
      <c r="E203" s="312"/>
      <c r="F203" s="248"/>
      <c r="G203" s="312"/>
      <c r="H203" s="312"/>
      <c r="I203" s="312"/>
      <c r="J203" s="248">
        <f t="shared" si="19"/>
        <v>0</v>
      </c>
      <c r="K203" s="330">
        <f t="shared" si="20"/>
        <v>-572.34199999999998</v>
      </c>
      <c r="L203" s="313"/>
      <c r="M203" s="228">
        <f t="shared" si="21"/>
        <v>0</v>
      </c>
      <c r="N203" s="228">
        <f t="shared" si="26"/>
        <v>0</v>
      </c>
      <c r="O203" s="228">
        <f t="shared" si="27"/>
        <v>0</v>
      </c>
      <c r="P203" s="228">
        <f t="shared" si="27"/>
        <v>0</v>
      </c>
      <c r="Q203" s="228">
        <f t="shared" si="22"/>
        <v>0</v>
      </c>
      <c r="R203" s="343">
        <f t="shared" si="23"/>
        <v>-572.34199999999998</v>
      </c>
      <c r="S203" s="240"/>
      <c r="T203" s="201"/>
      <c r="U203" s="201"/>
      <c r="V203" s="201"/>
    </row>
    <row r="204" spans="1:22" ht="30" x14ac:dyDescent="0.25">
      <c r="A204" s="234" t="s">
        <v>298</v>
      </c>
      <c r="B204" s="235" t="s">
        <v>299</v>
      </c>
      <c r="C204" s="234" t="s">
        <v>52</v>
      </c>
      <c r="D204" s="312">
        <v>36.930999999999997</v>
      </c>
      <c r="E204" s="312"/>
      <c r="F204" s="248"/>
      <c r="G204" s="312"/>
      <c r="H204" s="312"/>
      <c r="I204" s="312"/>
      <c r="J204" s="248">
        <f t="shared" si="19"/>
        <v>0</v>
      </c>
      <c r="K204" s="330">
        <f t="shared" si="20"/>
        <v>-36.930999999999997</v>
      </c>
      <c r="L204" s="313"/>
      <c r="M204" s="228">
        <f t="shared" si="21"/>
        <v>0</v>
      </c>
      <c r="N204" s="228">
        <f t="shared" si="26"/>
        <v>0</v>
      </c>
      <c r="O204" s="228">
        <f t="shared" si="27"/>
        <v>0</v>
      </c>
      <c r="P204" s="228">
        <f t="shared" si="27"/>
        <v>0</v>
      </c>
      <c r="Q204" s="228">
        <f t="shared" si="22"/>
        <v>0</v>
      </c>
      <c r="R204" s="343">
        <f t="shared" si="23"/>
        <v>-36.930999999999997</v>
      </c>
      <c r="S204" s="240"/>
      <c r="T204" s="201"/>
      <c r="U204" s="201"/>
      <c r="V204" s="201"/>
    </row>
    <row r="205" spans="1:22" ht="30" x14ac:dyDescent="0.25">
      <c r="A205" s="234" t="s">
        <v>300</v>
      </c>
      <c r="B205" s="235" t="s">
        <v>301</v>
      </c>
      <c r="C205" s="234" t="s">
        <v>52</v>
      </c>
      <c r="D205" s="312">
        <v>1255.33</v>
      </c>
      <c r="E205" s="312"/>
      <c r="F205" s="248"/>
      <c r="G205" s="312"/>
      <c r="H205" s="312"/>
      <c r="I205" s="312"/>
      <c r="J205" s="248">
        <f t="shared" si="19"/>
        <v>0</v>
      </c>
      <c r="K205" s="330">
        <f t="shared" si="20"/>
        <v>-1255.33</v>
      </c>
      <c r="L205" s="313"/>
      <c r="M205" s="228">
        <f t="shared" si="21"/>
        <v>0</v>
      </c>
      <c r="N205" s="228">
        <f t="shared" si="26"/>
        <v>0</v>
      </c>
      <c r="O205" s="228">
        <f t="shared" si="27"/>
        <v>0</v>
      </c>
      <c r="P205" s="228">
        <f t="shared" si="27"/>
        <v>0</v>
      </c>
      <c r="Q205" s="228">
        <f t="shared" si="22"/>
        <v>0</v>
      </c>
      <c r="R205" s="343">
        <f t="shared" si="23"/>
        <v>-1255.33</v>
      </c>
      <c r="S205" s="240"/>
      <c r="T205" s="201"/>
      <c r="U205" s="201"/>
      <c r="V205" s="201"/>
    </row>
    <row r="206" spans="1:22" ht="15.75" x14ac:dyDescent="0.25">
      <c r="A206" s="234" t="s">
        <v>302</v>
      </c>
      <c r="B206" s="235" t="s">
        <v>303</v>
      </c>
      <c r="C206" s="234" t="s">
        <v>52</v>
      </c>
      <c r="D206" s="312">
        <v>1292.261</v>
      </c>
      <c r="E206" s="312"/>
      <c r="F206" s="248"/>
      <c r="G206" s="312"/>
      <c r="H206" s="312"/>
      <c r="I206" s="312"/>
      <c r="J206" s="248">
        <f t="shared" si="19"/>
        <v>0</v>
      </c>
      <c r="K206" s="330">
        <f t="shared" si="20"/>
        <v>-1292.261</v>
      </c>
      <c r="L206" s="313"/>
      <c r="M206" s="228">
        <f t="shared" si="21"/>
        <v>0</v>
      </c>
      <c r="N206" s="228">
        <f t="shared" si="26"/>
        <v>0</v>
      </c>
      <c r="O206" s="228">
        <f t="shared" si="27"/>
        <v>0</v>
      </c>
      <c r="P206" s="228">
        <f t="shared" si="27"/>
        <v>0</v>
      </c>
      <c r="Q206" s="228">
        <f t="shared" si="22"/>
        <v>0</v>
      </c>
      <c r="R206" s="343">
        <f t="shared" si="23"/>
        <v>-1292.261</v>
      </c>
      <c r="S206" s="240"/>
      <c r="T206" s="201"/>
      <c r="U206" s="201"/>
      <c r="V206" s="201"/>
    </row>
    <row r="207" spans="1:22" ht="15.75" x14ac:dyDescent="0.25">
      <c r="A207" s="234" t="s">
        <v>304</v>
      </c>
      <c r="B207" s="235" t="s">
        <v>305</v>
      </c>
      <c r="C207" s="234" t="s">
        <v>52</v>
      </c>
      <c r="D207" s="312">
        <v>184.41499999999999</v>
      </c>
      <c r="E207" s="312"/>
      <c r="F207" s="248"/>
      <c r="G207" s="312"/>
      <c r="H207" s="312"/>
      <c r="I207" s="312"/>
      <c r="J207" s="248">
        <f t="shared" si="19"/>
        <v>0</v>
      </c>
      <c r="K207" s="330">
        <f t="shared" si="20"/>
        <v>-184.41499999999999</v>
      </c>
      <c r="L207" s="313"/>
      <c r="M207" s="228">
        <f t="shared" si="21"/>
        <v>0</v>
      </c>
      <c r="N207" s="228">
        <f t="shared" si="26"/>
        <v>0</v>
      </c>
      <c r="O207" s="228">
        <f t="shared" si="27"/>
        <v>0</v>
      </c>
      <c r="P207" s="228">
        <f t="shared" si="27"/>
        <v>0</v>
      </c>
      <c r="Q207" s="228">
        <f t="shared" si="22"/>
        <v>0</v>
      </c>
      <c r="R207" s="343">
        <f t="shared" si="23"/>
        <v>-184.41499999999999</v>
      </c>
      <c r="S207" s="240"/>
      <c r="T207" s="201"/>
      <c r="U207" s="201"/>
      <c r="V207" s="201"/>
    </row>
    <row r="208" spans="1:22" ht="15.75" x14ac:dyDescent="0.25">
      <c r="A208" s="234" t="s">
        <v>306</v>
      </c>
      <c r="B208" s="235" t="s">
        <v>307</v>
      </c>
      <c r="C208" s="234" t="s">
        <v>52</v>
      </c>
      <c r="D208" s="312">
        <v>184.41499999999999</v>
      </c>
      <c r="E208" s="312"/>
      <c r="F208" s="248"/>
      <c r="G208" s="312"/>
      <c r="H208" s="312"/>
      <c r="I208" s="312"/>
      <c r="J208" s="248">
        <f t="shared" si="19"/>
        <v>0</v>
      </c>
      <c r="K208" s="330">
        <f t="shared" si="20"/>
        <v>-184.41499999999999</v>
      </c>
      <c r="L208" s="313"/>
      <c r="M208" s="228">
        <f t="shared" si="21"/>
        <v>0</v>
      </c>
      <c r="N208" s="228">
        <f t="shared" si="26"/>
        <v>0</v>
      </c>
      <c r="O208" s="228">
        <f t="shared" si="27"/>
        <v>0</v>
      </c>
      <c r="P208" s="228">
        <f t="shared" si="27"/>
        <v>0</v>
      </c>
      <c r="Q208" s="228">
        <f t="shared" si="22"/>
        <v>0</v>
      </c>
      <c r="R208" s="343">
        <f t="shared" si="23"/>
        <v>-184.41499999999999</v>
      </c>
      <c r="S208" s="240"/>
      <c r="T208" s="201"/>
      <c r="U208" s="201"/>
      <c r="V208" s="201"/>
    </row>
    <row r="209" spans="1:22" ht="15.75" x14ac:dyDescent="0.25">
      <c r="A209" s="234" t="s">
        <v>308</v>
      </c>
      <c r="B209" s="235" t="s">
        <v>309</v>
      </c>
      <c r="C209" s="234" t="s">
        <v>32</v>
      </c>
      <c r="D209" s="312">
        <v>9.2080000000000002</v>
      </c>
      <c r="E209" s="312"/>
      <c r="F209" s="248"/>
      <c r="G209" s="312"/>
      <c r="H209" s="312"/>
      <c r="I209" s="312"/>
      <c r="J209" s="248">
        <f t="shared" si="19"/>
        <v>0</v>
      </c>
      <c r="K209" s="330">
        <f t="shared" si="20"/>
        <v>-9.2080000000000002</v>
      </c>
      <c r="L209" s="313"/>
      <c r="M209" s="228">
        <f t="shared" si="21"/>
        <v>0</v>
      </c>
      <c r="N209" s="228">
        <f t="shared" si="26"/>
        <v>0</v>
      </c>
      <c r="O209" s="228">
        <f t="shared" si="27"/>
        <v>0</v>
      </c>
      <c r="P209" s="228">
        <f t="shared" si="27"/>
        <v>0</v>
      </c>
      <c r="Q209" s="228">
        <f t="shared" si="22"/>
        <v>0</v>
      </c>
      <c r="R209" s="343">
        <f t="shared" si="23"/>
        <v>-9.2080000000000002</v>
      </c>
      <c r="S209" s="240"/>
      <c r="T209" s="201"/>
      <c r="U209" s="201"/>
      <c r="V209" s="201"/>
    </row>
    <row r="210" spans="1:22" ht="15.75" x14ac:dyDescent="0.25">
      <c r="A210" s="234" t="s">
        <v>310</v>
      </c>
      <c r="B210" s="235" t="s">
        <v>311</v>
      </c>
      <c r="C210" s="234" t="s">
        <v>32</v>
      </c>
      <c r="D210" s="312">
        <v>8.3800000000000008</v>
      </c>
      <c r="E210" s="312"/>
      <c r="F210" s="248"/>
      <c r="G210" s="312"/>
      <c r="H210" s="312"/>
      <c r="I210" s="312"/>
      <c r="J210" s="248">
        <f t="shared" si="19"/>
        <v>0</v>
      </c>
      <c r="K210" s="330">
        <f t="shared" si="20"/>
        <v>-8.3800000000000008</v>
      </c>
      <c r="L210" s="313"/>
      <c r="M210" s="228">
        <f t="shared" si="21"/>
        <v>0</v>
      </c>
      <c r="N210" s="228">
        <f t="shared" si="26"/>
        <v>0</v>
      </c>
      <c r="O210" s="228">
        <f t="shared" si="27"/>
        <v>0</v>
      </c>
      <c r="P210" s="228">
        <f t="shared" si="27"/>
        <v>0</v>
      </c>
      <c r="Q210" s="228">
        <f t="shared" si="22"/>
        <v>0</v>
      </c>
      <c r="R210" s="343">
        <f t="shared" si="23"/>
        <v>-8.3800000000000008</v>
      </c>
      <c r="S210" s="240"/>
      <c r="T210" s="201"/>
      <c r="U210" s="201"/>
      <c r="V210" s="201"/>
    </row>
    <row r="211" spans="1:22" ht="30" x14ac:dyDescent="0.25">
      <c r="A211" s="234" t="s">
        <v>312</v>
      </c>
      <c r="B211" s="235" t="s">
        <v>297</v>
      </c>
      <c r="C211" s="234" t="s">
        <v>52</v>
      </c>
      <c r="D211" s="312">
        <v>190.94</v>
      </c>
      <c r="E211" s="312"/>
      <c r="F211" s="248"/>
      <c r="G211" s="312"/>
      <c r="H211" s="312"/>
      <c r="I211" s="312"/>
      <c r="J211" s="248">
        <f t="shared" si="19"/>
        <v>0</v>
      </c>
      <c r="K211" s="330">
        <f t="shared" si="20"/>
        <v>-190.94</v>
      </c>
      <c r="L211" s="313"/>
      <c r="M211" s="228">
        <f t="shared" si="21"/>
        <v>0</v>
      </c>
      <c r="N211" s="228">
        <f t="shared" si="26"/>
        <v>0</v>
      </c>
      <c r="O211" s="228">
        <f t="shared" si="27"/>
        <v>0</v>
      </c>
      <c r="P211" s="228">
        <f t="shared" si="27"/>
        <v>0</v>
      </c>
      <c r="Q211" s="228">
        <f t="shared" si="22"/>
        <v>0</v>
      </c>
      <c r="R211" s="343">
        <f t="shared" si="23"/>
        <v>-190.94</v>
      </c>
      <c r="S211" s="240"/>
      <c r="T211" s="201"/>
      <c r="U211" s="201"/>
      <c r="V211" s="201"/>
    </row>
    <row r="212" spans="1:22" ht="45" x14ac:dyDescent="0.25">
      <c r="A212" s="234" t="s">
        <v>313</v>
      </c>
      <c r="B212" s="235" t="s">
        <v>314</v>
      </c>
      <c r="C212" s="234" t="s">
        <v>37</v>
      </c>
      <c r="D212" s="312">
        <v>82.629000000000005</v>
      </c>
      <c r="E212" s="312"/>
      <c r="F212" s="248"/>
      <c r="G212" s="312"/>
      <c r="H212" s="312"/>
      <c r="I212" s="312"/>
      <c r="J212" s="248">
        <f t="shared" si="19"/>
        <v>0</v>
      </c>
      <c r="K212" s="330">
        <f t="shared" si="20"/>
        <v>-82.629000000000005</v>
      </c>
      <c r="L212" s="313"/>
      <c r="M212" s="228">
        <f t="shared" si="21"/>
        <v>0</v>
      </c>
      <c r="N212" s="228">
        <f t="shared" si="26"/>
        <v>0</v>
      </c>
      <c r="O212" s="228">
        <f t="shared" si="27"/>
        <v>0</v>
      </c>
      <c r="P212" s="228">
        <f t="shared" si="27"/>
        <v>0</v>
      </c>
      <c r="Q212" s="228">
        <f t="shared" si="22"/>
        <v>0</v>
      </c>
      <c r="R212" s="343">
        <f t="shared" si="23"/>
        <v>-82.629000000000005</v>
      </c>
      <c r="S212" s="240"/>
      <c r="T212" s="201"/>
      <c r="U212" s="201"/>
      <c r="V212" s="201"/>
    </row>
    <row r="213" spans="1:22" ht="45" x14ac:dyDescent="0.25">
      <c r="A213" s="234" t="s">
        <v>315</v>
      </c>
      <c r="B213" s="235" t="s">
        <v>316</v>
      </c>
      <c r="C213" s="234" t="s">
        <v>37</v>
      </c>
      <c r="D213" s="312">
        <v>12.314</v>
      </c>
      <c r="E213" s="312"/>
      <c r="F213" s="248"/>
      <c r="G213" s="312"/>
      <c r="H213" s="312"/>
      <c r="I213" s="312"/>
      <c r="J213" s="248">
        <f t="shared" si="19"/>
        <v>0</v>
      </c>
      <c r="K213" s="330">
        <f t="shared" si="20"/>
        <v>-12.314</v>
      </c>
      <c r="L213" s="313"/>
      <c r="M213" s="228">
        <f t="shared" si="21"/>
        <v>0</v>
      </c>
      <c r="N213" s="228">
        <f t="shared" si="26"/>
        <v>0</v>
      </c>
      <c r="O213" s="228">
        <f t="shared" si="27"/>
        <v>0</v>
      </c>
      <c r="P213" s="228">
        <f t="shared" si="27"/>
        <v>0</v>
      </c>
      <c r="Q213" s="228">
        <f t="shared" si="22"/>
        <v>0</v>
      </c>
      <c r="R213" s="343">
        <f t="shared" si="23"/>
        <v>-12.314</v>
      </c>
      <c r="S213" s="240"/>
      <c r="T213" s="201"/>
      <c r="U213" s="201"/>
      <c r="V213" s="201"/>
    </row>
    <row r="214" spans="1:22" ht="45" x14ac:dyDescent="0.25">
      <c r="A214" s="234" t="s">
        <v>317</v>
      </c>
      <c r="B214" s="235" t="s">
        <v>316</v>
      </c>
      <c r="C214" s="234" t="s">
        <v>37</v>
      </c>
      <c r="D214" s="312">
        <v>7.1319999999999997</v>
      </c>
      <c r="E214" s="312"/>
      <c r="F214" s="248"/>
      <c r="G214" s="312"/>
      <c r="H214" s="312"/>
      <c r="I214" s="312"/>
      <c r="J214" s="248">
        <f t="shared" si="19"/>
        <v>0</v>
      </c>
      <c r="K214" s="330">
        <f t="shared" si="20"/>
        <v>-7.1319999999999997</v>
      </c>
      <c r="L214" s="313"/>
      <c r="M214" s="228">
        <f t="shared" si="21"/>
        <v>0</v>
      </c>
      <c r="N214" s="228">
        <f t="shared" si="26"/>
        <v>0</v>
      </c>
      <c r="O214" s="228">
        <f t="shared" si="27"/>
        <v>0</v>
      </c>
      <c r="P214" s="228">
        <f t="shared" si="27"/>
        <v>0</v>
      </c>
      <c r="Q214" s="228">
        <f t="shared" si="22"/>
        <v>0</v>
      </c>
      <c r="R214" s="343">
        <f t="shared" si="23"/>
        <v>-7.1319999999999997</v>
      </c>
      <c r="S214" s="240"/>
      <c r="T214" s="201"/>
      <c r="U214" s="201"/>
      <c r="V214" s="201"/>
    </row>
    <row r="215" spans="1:22" ht="45" x14ac:dyDescent="0.25">
      <c r="A215" s="234" t="s">
        <v>318</v>
      </c>
      <c r="B215" s="235" t="s">
        <v>319</v>
      </c>
      <c r="C215" s="234" t="s">
        <v>52</v>
      </c>
      <c r="D215" s="312">
        <v>155.04</v>
      </c>
      <c r="E215" s="312"/>
      <c r="F215" s="248"/>
      <c r="G215" s="312"/>
      <c r="H215" s="312"/>
      <c r="I215" s="312"/>
      <c r="J215" s="248">
        <f t="shared" si="19"/>
        <v>0</v>
      </c>
      <c r="K215" s="330">
        <f t="shared" si="20"/>
        <v>-155.04</v>
      </c>
      <c r="L215" s="313"/>
      <c r="M215" s="228">
        <f t="shared" si="21"/>
        <v>0</v>
      </c>
      <c r="N215" s="228">
        <f t="shared" si="26"/>
        <v>0</v>
      </c>
      <c r="O215" s="228">
        <f t="shared" si="27"/>
        <v>0</v>
      </c>
      <c r="P215" s="228">
        <f t="shared" si="27"/>
        <v>0</v>
      </c>
      <c r="Q215" s="228">
        <f t="shared" si="22"/>
        <v>0</v>
      </c>
      <c r="R215" s="343">
        <f t="shared" si="23"/>
        <v>-155.04</v>
      </c>
      <c r="S215" s="240"/>
      <c r="T215" s="201"/>
      <c r="U215" s="201"/>
      <c r="V215" s="201"/>
    </row>
    <row r="216" spans="1:22" ht="15.75" x14ac:dyDescent="0.25">
      <c r="A216" s="234" t="s">
        <v>320</v>
      </c>
      <c r="B216" s="235" t="s">
        <v>321</v>
      </c>
      <c r="C216" s="234" t="s">
        <v>52</v>
      </c>
      <c r="D216" s="312">
        <v>124.032</v>
      </c>
      <c r="E216" s="312"/>
      <c r="F216" s="248"/>
      <c r="G216" s="312"/>
      <c r="H216" s="312"/>
      <c r="I216" s="312"/>
      <c r="J216" s="248">
        <f t="shared" si="19"/>
        <v>0</v>
      </c>
      <c r="K216" s="330">
        <f t="shared" si="20"/>
        <v>-124.032</v>
      </c>
      <c r="L216" s="313"/>
      <c r="M216" s="228">
        <f t="shared" si="21"/>
        <v>0</v>
      </c>
      <c r="N216" s="228">
        <f t="shared" si="26"/>
        <v>0</v>
      </c>
      <c r="O216" s="228">
        <f t="shared" si="27"/>
        <v>0</v>
      </c>
      <c r="P216" s="228">
        <f t="shared" si="27"/>
        <v>0</v>
      </c>
      <c r="Q216" s="228">
        <f t="shared" si="22"/>
        <v>0</v>
      </c>
      <c r="R216" s="343">
        <f t="shared" si="23"/>
        <v>-124.032</v>
      </c>
      <c r="S216" s="240"/>
      <c r="T216" s="201"/>
      <c r="U216" s="201"/>
      <c r="V216" s="201"/>
    </row>
    <row r="217" spans="1:22" ht="33" customHeight="1" x14ac:dyDescent="0.25">
      <c r="A217" s="234" t="s">
        <v>322</v>
      </c>
      <c r="B217" s="235" t="s">
        <v>323</v>
      </c>
      <c r="C217" s="234" t="s">
        <v>52</v>
      </c>
      <c r="D217" s="312">
        <v>101.28</v>
      </c>
      <c r="E217" s="312"/>
      <c r="F217" s="248"/>
      <c r="G217" s="312"/>
      <c r="H217" s="312"/>
      <c r="I217" s="312"/>
      <c r="J217" s="248">
        <f t="shared" si="19"/>
        <v>0</v>
      </c>
      <c r="K217" s="330">
        <f t="shared" si="20"/>
        <v>-101.28</v>
      </c>
      <c r="L217" s="313"/>
      <c r="M217" s="228">
        <f t="shared" si="21"/>
        <v>0</v>
      </c>
      <c r="N217" s="228">
        <f t="shared" si="26"/>
        <v>0</v>
      </c>
      <c r="O217" s="228">
        <f t="shared" si="27"/>
        <v>0</v>
      </c>
      <c r="P217" s="228">
        <f t="shared" si="27"/>
        <v>0</v>
      </c>
      <c r="Q217" s="228">
        <f t="shared" si="22"/>
        <v>0</v>
      </c>
      <c r="R217" s="343">
        <f t="shared" si="23"/>
        <v>-101.28</v>
      </c>
      <c r="S217" s="240"/>
      <c r="T217" s="201"/>
      <c r="U217" s="201"/>
      <c r="V217" s="201"/>
    </row>
    <row r="218" spans="1:22" ht="45" x14ac:dyDescent="0.25">
      <c r="A218" s="234" t="s">
        <v>324</v>
      </c>
      <c r="B218" s="235" t="s">
        <v>325</v>
      </c>
      <c r="C218" s="234" t="s">
        <v>37</v>
      </c>
      <c r="D218" s="312">
        <v>12.321</v>
      </c>
      <c r="E218" s="312"/>
      <c r="F218" s="248"/>
      <c r="G218" s="312"/>
      <c r="H218" s="312"/>
      <c r="I218" s="312"/>
      <c r="J218" s="248">
        <f t="shared" si="19"/>
        <v>0</v>
      </c>
      <c r="K218" s="330">
        <f t="shared" si="20"/>
        <v>-12.321</v>
      </c>
      <c r="L218" s="313"/>
      <c r="M218" s="228">
        <f t="shared" si="21"/>
        <v>0</v>
      </c>
      <c r="N218" s="228">
        <f t="shared" si="26"/>
        <v>0</v>
      </c>
      <c r="O218" s="228">
        <f t="shared" si="27"/>
        <v>0</v>
      </c>
      <c r="P218" s="228">
        <f t="shared" si="27"/>
        <v>0</v>
      </c>
      <c r="Q218" s="228">
        <f t="shared" si="22"/>
        <v>0</v>
      </c>
      <c r="R218" s="343">
        <f t="shared" si="23"/>
        <v>-12.321</v>
      </c>
      <c r="S218" s="240"/>
      <c r="T218" s="201"/>
      <c r="U218" s="201"/>
      <c r="V218" s="201"/>
    </row>
    <row r="219" spans="1:22" ht="45" x14ac:dyDescent="0.25">
      <c r="A219" s="234" t="s">
        <v>326</v>
      </c>
      <c r="B219" s="235" t="s">
        <v>327</v>
      </c>
      <c r="C219" s="234" t="s">
        <v>37</v>
      </c>
      <c r="D219" s="312">
        <v>15.504</v>
      </c>
      <c r="E219" s="312"/>
      <c r="F219" s="248"/>
      <c r="G219" s="312"/>
      <c r="H219" s="312"/>
      <c r="I219" s="312"/>
      <c r="J219" s="248">
        <f t="shared" si="19"/>
        <v>0</v>
      </c>
      <c r="K219" s="330">
        <f t="shared" si="20"/>
        <v>-15.504</v>
      </c>
      <c r="L219" s="313"/>
      <c r="M219" s="228">
        <f t="shared" si="21"/>
        <v>0</v>
      </c>
      <c r="N219" s="228">
        <f t="shared" si="26"/>
        <v>0</v>
      </c>
      <c r="O219" s="228">
        <f t="shared" si="27"/>
        <v>0</v>
      </c>
      <c r="P219" s="228">
        <f t="shared" si="27"/>
        <v>0</v>
      </c>
      <c r="Q219" s="228">
        <f t="shared" si="22"/>
        <v>0</v>
      </c>
      <c r="R219" s="343">
        <f t="shared" si="23"/>
        <v>-15.504</v>
      </c>
      <c r="S219" s="240"/>
      <c r="T219" s="201"/>
      <c r="U219" s="201"/>
      <c r="V219" s="201"/>
    </row>
    <row r="220" spans="1:22" ht="45" x14ac:dyDescent="0.25">
      <c r="A220" s="234" t="s">
        <v>328</v>
      </c>
      <c r="B220" s="235" t="s">
        <v>316</v>
      </c>
      <c r="C220" s="234" t="s">
        <v>37</v>
      </c>
      <c r="D220" s="312">
        <v>466.18299999999999</v>
      </c>
      <c r="E220" s="312"/>
      <c r="F220" s="248"/>
      <c r="G220" s="312"/>
      <c r="H220" s="312"/>
      <c r="I220" s="312"/>
      <c r="J220" s="248">
        <f t="shared" si="19"/>
        <v>0</v>
      </c>
      <c r="K220" s="330">
        <f t="shared" si="20"/>
        <v>-466.18299999999999</v>
      </c>
      <c r="L220" s="313"/>
      <c r="M220" s="228">
        <f t="shared" si="21"/>
        <v>0</v>
      </c>
      <c r="N220" s="228">
        <f t="shared" si="26"/>
        <v>0</v>
      </c>
      <c r="O220" s="228">
        <f t="shared" si="27"/>
        <v>0</v>
      </c>
      <c r="P220" s="228">
        <f t="shared" si="27"/>
        <v>0</v>
      </c>
      <c r="Q220" s="228">
        <f t="shared" si="22"/>
        <v>0</v>
      </c>
      <c r="R220" s="343">
        <f t="shared" si="23"/>
        <v>-466.18299999999999</v>
      </c>
      <c r="S220" s="240"/>
      <c r="T220" s="201"/>
      <c r="U220" s="201"/>
      <c r="V220" s="201"/>
    </row>
    <row r="221" spans="1:22" ht="45" x14ac:dyDescent="0.25">
      <c r="A221" s="234" t="s">
        <v>329</v>
      </c>
      <c r="B221" s="235" t="s">
        <v>330</v>
      </c>
      <c r="C221" s="234" t="s">
        <v>37</v>
      </c>
      <c r="D221" s="312">
        <v>11.936999999999999</v>
      </c>
      <c r="E221" s="312"/>
      <c r="F221" s="248"/>
      <c r="G221" s="312"/>
      <c r="H221" s="312"/>
      <c r="I221" s="312"/>
      <c r="J221" s="248">
        <f t="shared" si="19"/>
        <v>0</v>
      </c>
      <c r="K221" s="330">
        <f t="shared" si="20"/>
        <v>-11.936999999999999</v>
      </c>
      <c r="L221" s="313"/>
      <c r="M221" s="228">
        <f t="shared" si="21"/>
        <v>0</v>
      </c>
      <c r="N221" s="228">
        <f t="shared" si="26"/>
        <v>0</v>
      </c>
      <c r="O221" s="228">
        <f t="shared" si="27"/>
        <v>0</v>
      </c>
      <c r="P221" s="228">
        <f t="shared" si="27"/>
        <v>0</v>
      </c>
      <c r="Q221" s="228">
        <f t="shared" si="22"/>
        <v>0</v>
      </c>
      <c r="R221" s="343">
        <f t="shared" si="23"/>
        <v>-11.936999999999999</v>
      </c>
      <c r="S221" s="240"/>
      <c r="T221" s="201"/>
      <c r="U221" s="201"/>
      <c r="V221" s="201"/>
    </row>
    <row r="222" spans="1:22" ht="45" x14ac:dyDescent="0.25">
      <c r="A222" s="234" t="s">
        <v>331</v>
      </c>
      <c r="B222" s="235" t="s">
        <v>332</v>
      </c>
      <c r="C222" s="234" t="s">
        <v>37</v>
      </c>
      <c r="D222" s="312">
        <v>159.59800000000001</v>
      </c>
      <c r="E222" s="312"/>
      <c r="F222" s="248"/>
      <c r="G222" s="312"/>
      <c r="H222" s="312"/>
      <c r="I222" s="312"/>
      <c r="J222" s="248">
        <f t="shared" si="19"/>
        <v>0</v>
      </c>
      <c r="K222" s="330">
        <f t="shared" si="20"/>
        <v>-159.59800000000001</v>
      </c>
      <c r="L222" s="313"/>
      <c r="M222" s="228">
        <f t="shared" si="21"/>
        <v>0</v>
      </c>
      <c r="N222" s="228">
        <f t="shared" si="26"/>
        <v>0</v>
      </c>
      <c r="O222" s="228">
        <f t="shared" si="27"/>
        <v>0</v>
      </c>
      <c r="P222" s="228">
        <f t="shared" si="27"/>
        <v>0</v>
      </c>
      <c r="Q222" s="228">
        <f t="shared" si="22"/>
        <v>0</v>
      </c>
      <c r="R222" s="343">
        <f t="shared" si="23"/>
        <v>-159.59800000000001</v>
      </c>
      <c r="S222" s="240"/>
      <c r="T222" s="201"/>
      <c r="U222" s="201"/>
      <c r="V222" s="201"/>
    </row>
    <row r="223" spans="1:22" ht="45" x14ac:dyDescent="0.25">
      <c r="A223" s="234" t="s">
        <v>333</v>
      </c>
      <c r="B223" s="235" t="s">
        <v>334</v>
      </c>
      <c r="C223" s="234" t="s">
        <v>37</v>
      </c>
      <c r="D223" s="312">
        <v>1056.271</v>
      </c>
      <c r="E223" s="312"/>
      <c r="F223" s="248"/>
      <c r="G223" s="312"/>
      <c r="H223" s="312"/>
      <c r="I223" s="312"/>
      <c r="J223" s="248">
        <f t="shared" si="19"/>
        <v>0</v>
      </c>
      <c r="K223" s="330">
        <f t="shared" si="20"/>
        <v>-1056.271</v>
      </c>
      <c r="L223" s="313"/>
      <c r="M223" s="228">
        <f t="shared" si="21"/>
        <v>0</v>
      </c>
      <c r="N223" s="228">
        <f t="shared" si="26"/>
        <v>0</v>
      </c>
      <c r="O223" s="228">
        <f t="shared" si="27"/>
        <v>0</v>
      </c>
      <c r="P223" s="228">
        <f t="shared" si="27"/>
        <v>0</v>
      </c>
      <c r="Q223" s="228">
        <f t="shared" si="22"/>
        <v>0</v>
      </c>
      <c r="R223" s="343">
        <f t="shared" si="23"/>
        <v>-1056.271</v>
      </c>
      <c r="S223" s="240"/>
      <c r="T223" s="201"/>
      <c r="U223" s="201"/>
      <c r="V223" s="201"/>
    </row>
    <row r="224" spans="1:22" ht="45" x14ac:dyDescent="0.25">
      <c r="A224" s="234" t="s">
        <v>335</v>
      </c>
      <c r="B224" s="235" t="s">
        <v>334</v>
      </c>
      <c r="C224" s="234" t="s">
        <v>37</v>
      </c>
      <c r="D224" s="312">
        <v>67.051000000000002</v>
      </c>
      <c r="E224" s="312"/>
      <c r="F224" s="248"/>
      <c r="G224" s="312"/>
      <c r="H224" s="312"/>
      <c r="I224" s="312"/>
      <c r="J224" s="248">
        <f t="shared" si="19"/>
        <v>0</v>
      </c>
      <c r="K224" s="330">
        <f t="shared" si="20"/>
        <v>-67.051000000000002</v>
      </c>
      <c r="L224" s="313"/>
      <c r="M224" s="228">
        <f t="shared" si="21"/>
        <v>0</v>
      </c>
      <c r="N224" s="228">
        <f t="shared" si="26"/>
        <v>0</v>
      </c>
      <c r="O224" s="228">
        <f t="shared" si="27"/>
        <v>0</v>
      </c>
      <c r="P224" s="228">
        <f t="shared" si="27"/>
        <v>0</v>
      </c>
      <c r="Q224" s="228">
        <f t="shared" si="22"/>
        <v>0</v>
      </c>
      <c r="R224" s="343">
        <f t="shared" si="23"/>
        <v>-67.051000000000002</v>
      </c>
      <c r="S224" s="240"/>
      <c r="T224" s="201"/>
      <c r="U224" s="201"/>
      <c r="V224" s="201"/>
    </row>
    <row r="225" spans="1:22" ht="45" x14ac:dyDescent="0.25">
      <c r="A225" s="234" t="s">
        <v>336</v>
      </c>
      <c r="B225" s="235" t="s">
        <v>334</v>
      </c>
      <c r="C225" s="234" t="s">
        <v>37</v>
      </c>
      <c r="D225" s="312">
        <v>652.26</v>
      </c>
      <c r="E225" s="312"/>
      <c r="F225" s="248"/>
      <c r="G225" s="312"/>
      <c r="H225" s="312"/>
      <c r="I225" s="312"/>
      <c r="J225" s="248">
        <f t="shared" si="19"/>
        <v>0</v>
      </c>
      <c r="K225" s="330">
        <f t="shared" si="20"/>
        <v>-652.26</v>
      </c>
      <c r="L225" s="313"/>
      <c r="M225" s="228">
        <f t="shared" si="21"/>
        <v>0</v>
      </c>
      <c r="N225" s="228">
        <f t="shared" si="26"/>
        <v>0</v>
      </c>
      <c r="O225" s="228">
        <f t="shared" si="27"/>
        <v>0</v>
      </c>
      <c r="P225" s="228">
        <f t="shared" si="27"/>
        <v>0</v>
      </c>
      <c r="Q225" s="228">
        <f t="shared" si="22"/>
        <v>0</v>
      </c>
      <c r="R225" s="343">
        <f t="shared" si="23"/>
        <v>-652.26</v>
      </c>
      <c r="S225" s="240"/>
      <c r="T225" s="201"/>
      <c r="U225" s="201"/>
      <c r="V225" s="201"/>
    </row>
    <row r="226" spans="1:22" ht="45" x14ac:dyDescent="0.25">
      <c r="A226" s="234" t="s">
        <v>337</v>
      </c>
      <c r="B226" s="235" t="s">
        <v>334</v>
      </c>
      <c r="C226" s="234" t="s">
        <v>37</v>
      </c>
      <c r="D226" s="312">
        <v>934.16700000000003</v>
      </c>
      <c r="E226" s="312"/>
      <c r="F226" s="248"/>
      <c r="G226" s="312"/>
      <c r="H226" s="312"/>
      <c r="I226" s="312"/>
      <c r="J226" s="248">
        <f t="shared" si="19"/>
        <v>0</v>
      </c>
      <c r="K226" s="330">
        <f t="shared" si="20"/>
        <v>-934.16700000000003</v>
      </c>
      <c r="L226" s="313"/>
      <c r="M226" s="228">
        <f t="shared" si="21"/>
        <v>0</v>
      </c>
      <c r="N226" s="228">
        <f t="shared" si="26"/>
        <v>0</v>
      </c>
      <c r="O226" s="228">
        <f t="shared" si="27"/>
        <v>0</v>
      </c>
      <c r="P226" s="228">
        <f t="shared" si="27"/>
        <v>0</v>
      </c>
      <c r="Q226" s="228">
        <f t="shared" si="22"/>
        <v>0</v>
      </c>
      <c r="R226" s="343">
        <f t="shared" si="23"/>
        <v>-934.16700000000003</v>
      </c>
      <c r="S226" s="240"/>
      <c r="T226" s="201"/>
      <c r="U226" s="201"/>
      <c r="V226" s="201"/>
    </row>
    <row r="227" spans="1:22" ht="15.75" x14ac:dyDescent="0.25">
      <c r="A227" s="234" t="s">
        <v>338</v>
      </c>
      <c r="B227" s="235" t="s">
        <v>339</v>
      </c>
      <c r="C227" s="234" t="s">
        <v>52</v>
      </c>
      <c r="D227" s="312">
        <v>1893.54</v>
      </c>
      <c r="E227" s="312"/>
      <c r="F227" s="248"/>
      <c r="G227" s="312"/>
      <c r="H227" s="312"/>
      <c r="I227" s="312"/>
      <c r="J227" s="248">
        <f t="shared" si="19"/>
        <v>0</v>
      </c>
      <c r="K227" s="330">
        <f t="shared" si="20"/>
        <v>-1893.54</v>
      </c>
      <c r="L227" s="313"/>
      <c r="M227" s="228">
        <f t="shared" si="21"/>
        <v>0</v>
      </c>
      <c r="N227" s="228">
        <f t="shared" si="26"/>
        <v>0</v>
      </c>
      <c r="O227" s="228">
        <f t="shared" si="27"/>
        <v>0</v>
      </c>
      <c r="P227" s="228">
        <f t="shared" si="27"/>
        <v>0</v>
      </c>
      <c r="Q227" s="228">
        <f t="shared" si="22"/>
        <v>0</v>
      </c>
      <c r="R227" s="343">
        <f t="shared" si="23"/>
        <v>-1893.54</v>
      </c>
      <c r="S227" s="240"/>
      <c r="T227" s="201"/>
      <c r="U227" s="201"/>
      <c r="V227" s="201"/>
    </row>
    <row r="228" spans="1:22" ht="45" x14ac:dyDescent="0.25">
      <c r="A228" s="234" t="s">
        <v>340</v>
      </c>
      <c r="B228" s="235" t="s">
        <v>319</v>
      </c>
      <c r="C228" s="234" t="s">
        <v>52</v>
      </c>
      <c r="D228" s="312">
        <v>2332.4749999999999</v>
      </c>
      <c r="E228" s="312"/>
      <c r="F228" s="248"/>
      <c r="G228" s="312"/>
      <c r="H228" s="312"/>
      <c r="I228" s="312"/>
      <c r="J228" s="248">
        <f t="shared" si="19"/>
        <v>0</v>
      </c>
      <c r="K228" s="330">
        <f t="shared" si="20"/>
        <v>-2332.4749999999999</v>
      </c>
      <c r="L228" s="313"/>
      <c r="M228" s="228">
        <f t="shared" si="21"/>
        <v>0</v>
      </c>
      <c r="N228" s="228">
        <f t="shared" si="26"/>
        <v>0</v>
      </c>
      <c r="O228" s="228">
        <f t="shared" si="27"/>
        <v>0</v>
      </c>
      <c r="P228" s="228">
        <f t="shared" si="27"/>
        <v>0</v>
      </c>
      <c r="Q228" s="228">
        <f t="shared" si="22"/>
        <v>0</v>
      </c>
      <c r="R228" s="343">
        <f t="shared" si="23"/>
        <v>-2332.4749999999999</v>
      </c>
      <c r="S228" s="240"/>
      <c r="T228" s="201"/>
      <c r="U228" s="201"/>
      <c r="V228" s="201"/>
    </row>
    <row r="229" spans="1:22" ht="45" x14ac:dyDescent="0.25">
      <c r="A229" s="234" t="s">
        <v>341</v>
      </c>
      <c r="B229" s="235" t="s">
        <v>342</v>
      </c>
      <c r="C229" s="234" t="s">
        <v>52</v>
      </c>
      <c r="D229" s="312">
        <v>32578.859</v>
      </c>
      <c r="E229" s="312"/>
      <c r="F229" s="248"/>
      <c r="G229" s="312"/>
      <c r="H229" s="312"/>
      <c r="I229" s="312"/>
      <c r="J229" s="248">
        <f t="shared" si="19"/>
        <v>0</v>
      </c>
      <c r="K229" s="330">
        <f t="shared" si="20"/>
        <v>-32578.859</v>
      </c>
      <c r="L229" s="313"/>
      <c r="M229" s="228">
        <f t="shared" si="21"/>
        <v>0</v>
      </c>
      <c r="N229" s="228">
        <f t="shared" si="26"/>
        <v>0</v>
      </c>
      <c r="O229" s="228">
        <f t="shared" si="27"/>
        <v>0</v>
      </c>
      <c r="P229" s="228">
        <f t="shared" si="27"/>
        <v>0</v>
      </c>
      <c r="Q229" s="228">
        <f t="shared" si="22"/>
        <v>0</v>
      </c>
      <c r="R229" s="343">
        <f t="shared" si="23"/>
        <v>-32578.859</v>
      </c>
      <c r="S229" s="240"/>
      <c r="T229" s="201"/>
      <c r="U229" s="201"/>
      <c r="V229" s="201"/>
    </row>
    <row r="230" spans="1:22" ht="30" x14ac:dyDescent="0.25">
      <c r="A230" s="234" t="s">
        <v>343</v>
      </c>
      <c r="B230" s="235" t="s">
        <v>344</v>
      </c>
      <c r="C230" s="234" t="s">
        <v>52</v>
      </c>
      <c r="D230" s="312">
        <v>6614.22</v>
      </c>
      <c r="E230" s="312"/>
      <c r="F230" s="248"/>
      <c r="G230" s="312"/>
      <c r="H230" s="312"/>
      <c r="I230" s="312"/>
      <c r="J230" s="248">
        <f t="shared" si="19"/>
        <v>0</v>
      </c>
      <c r="K230" s="330">
        <f t="shared" si="20"/>
        <v>-6614.22</v>
      </c>
      <c r="L230" s="313"/>
      <c r="M230" s="228">
        <f t="shared" si="21"/>
        <v>0</v>
      </c>
      <c r="N230" s="228">
        <f t="shared" si="26"/>
        <v>0</v>
      </c>
      <c r="O230" s="228">
        <f t="shared" si="27"/>
        <v>0</v>
      </c>
      <c r="P230" s="228">
        <f t="shared" si="27"/>
        <v>0</v>
      </c>
      <c r="Q230" s="228">
        <f t="shared" si="22"/>
        <v>0</v>
      </c>
      <c r="R230" s="343">
        <f t="shared" si="23"/>
        <v>-6614.22</v>
      </c>
      <c r="S230" s="240"/>
      <c r="T230" s="201"/>
      <c r="U230" s="201"/>
      <c r="V230" s="201"/>
    </row>
    <row r="231" spans="1:22" ht="15.75" x14ac:dyDescent="0.25">
      <c r="A231" s="234" t="s">
        <v>345</v>
      </c>
      <c r="B231" s="235" t="s">
        <v>346</v>
      </c>
      <c r="C231" s="234" t="s">
        <v>52</v>
      </c>
      <c r="D231" s="312">
        <v>542.75</v>
      </c>
      <c r="E231" s="312"/>
      <c r="F231" s="248"/>
      <c r="G231" s="312"/>
      <c r="H231" s="312"/>
      <c r="I231" s="312"/>
      <c r="J231" s="248">
        <f t="shared" si="19"/>
        <v>0</v>
      </c>
      <c r="K231" s="330">
        <f t="shared" si="20"/>
        <v>-542.75</v>
      </c>
      <c r="L231" s="313"/>
      <c r="M231" s="228">
        <f t="shared" si="21"/>
        <v>0</v>
      </c>
      <c r="N231" s="228">
        <f t="shared" si="26"/>
        <v>0</v>
      </c>
      <c r="O231" s="228">
        <f t="shared" si="27"/>
        <v>0</v>
      </c>
      <c r="P231" s="228">
        <f t="shared" si="27"/>
        <v>0</v>
      </c>
      <c r="Q231" s="228">
        <f t="shared" si="22"/>
        <v>0</v>
      </c>
      <c r="R231" s="343">
        <f t="shared" si="23"/>
        <v>-542.75</v>
      </c>
      <c r="S231" s="240"/>
      <c r="T231" s="201"/>
      <c r="U231" s="201"/>
      <c r="V231" s="201"/>
    </row>
    <row r="232" spans="1:22" ht="36.75" customHeight="1" x14ac:dyDescent="0.25">
      <c r="A232" s="234" t="s">
        <v>347</v>
      </c>
      <c r="B232" s="235" t="s">
        <v>348</v>
      </c>
      <c r="C232" s="234" t="s">
        <v>52</v>
      </c>
      <c r="D232" s="312">
        <v>2120.1</v>
      </c>
      <c r="E232" s="312"/>
      <c r="F232" s="248"/>
      <c r="G232" s="312"/>
      <c r="H232" s="312"/>
      <c r="I232" s="312"/>
      <c r="J232" s="248">
        <f t="shared" si="19"/>
        <v>0</v>
      </c>
      <c r="K232" s="330">
        <f t="shared" si="20"/>
        <v>-2120.1</v>
      </c>
      <c r="L232" s="313"/>
      <c r="M232" s="228">
        <f t="shared" si="21"/>
        <v>0</v>
      </c>
      <c r="N232" s="228">
        <f t="shared" si="26"/>
        <v>0</v>
      </c>
      <c r="O232" s="228">
        <f t="shared" si="27"/>
        <v>0</v>
      </c>
      <c r="P232" s="228">
        <f t="shared" si="27"/>
        <v>0</v>
      </c>
      <c r="Q232" s="228">
        <f t="shared" si="22"/>
        <v>0</v>
      </c>
      <c r="R232" s="343">
        <f t="shared" si="23"/>
        <v>-2120.1</v>
      </c>
      <c r="S232" s="240"/>
      <c r="T232" s="201"/>
      <c r="U232" s="201"/>
      <c r="V232" s="201"/>
    </row>
    <row r="233" spans="1:22" ht="15.75" x14ac:dyDescent="0.25">
      <c r="A233" s="234" t="s">
        <v>349</v>
      </c>
      <c r="B233" s="235" t="s">
        <v>350</v>
      </c>
      <c r="C233" s="234" t="s">
        <v>52</v>
      </c>
      <c r="D233" s="312">
        <v>2380.3200000000002</v>
      </c>
      <c r="E233" s="312"/>
      <c r="F233" s="248"/>
      <c r="G233" s="312"/>
      <c r="H233" s="312"/>
      <c r="I233" s="312"/>
      <c r="J233" s="248">
        <f t="shared" si="19"/>
        <v>0</v>
      </c>
      <c r="K233" s="330">
        <f t="shared" si="20"/>
        <v>-2380.3200000000002</v>
      </c>
      <c r="L233" s="313"/>
      <c r="M233" s="228">
        <f t="shared" si="21"/>
        <v>0</v>
      </c>
      <c r="N233" s="228">
        <f t="shared" si="26"/>
        <v>0</v>
      </c>
      <c r="O233" s="228">
        <f t="shared" si="27"/>
        <v>0</v>
      </c>
      <c r="P233" s="228">
        <f t="shared" si="27"/>
        <v>0</v>
      </c>
      <c r="Q233" s="228">
        <f t="shared" si="22"/>
        <v>0</v>
      </c>
      <c r="R233" s="343">
        <f t="shared" si="23"/>
        <v>-2380.3200000000002</v>
      </c>
      <c r="S233" s="240"/>
      <c r="T233" s="201"/>
      <c r="U233" s="201"/>
      <c r="V233" s="201"/>
    </row>
    <row r="234" spans="1:22" ht="30" x14ac:dyDescent="0.25">
      <c r="A234" s="234" t="s">
        <v>351</v>
      </c>
      <c r="B234" s="235" t="s">
        <v>352</v>
      </c>
      <c r="C234" s="234" t="s">
        <v>52</v>
      </c>
      <c r="D234" s="312">
        <v>398.22</v>
      </c>
      <c r="E234" s="312"/>
      <c r="F234" s="248"/>
      <c r="G234" s="312"/>
      <c r="H234" s="312"/>
      <c r="I234" s="312"/>
      <c r="J234" s="248">
        <f t="shared" si="19"/>
        <v>0</v>
      </c>
      <c r="K234" s="330">
        <f t="shared" si="20"/>
        <v>-398.22</v>
      </c>
      <c r="L234" s="313"/>
      <c r="M234" s="228">
        <f t="shared" si="21"/>
        <v>0</v>
      </c>
      <c r="N234" s="228">
        <f t="shared" si="26"/>
        <v>0</v>
      </c>
      <c r="O234" s="228">
        <f t="shared" si="27"/>
        <v>0</v>
      </c>
      <c r="P234" s="228">
        <f t="shared" si="27"/>
        <v>0</v>
      </c>
      <c r="Q234" s="228">
        <f t="shared" si="22"/>
        <v>0</v>
      </c>
      <c r="R234" s="343">
        <f t="shared" si="23"/>
        <v>-398.22</v>
      </c>
      <c r="S234" s="240"/>
      <c r="T234" s="201"/>
      <c r="U234" s="201"/>
      <c r="V234" s="201"/>
    </row>
    <row r="235" spans="1:22" ht="30" x14ac:dyDescent="0.25">
      <c r="A235" s="234" t="s">
        <v>353</v>
      </c>
      <c r="B235" s="235" t="s">
        <v>354</v>
      </c>
      <c r="C235" s="234" t="s">
        <v>52</v>
      </c>
      <c r="D235" s="312">
        <v>102.95</v>
      </c>
      <c r="E235" s="312"/>
      <c r="F235" s="248"/>
      <c r="G235" s="312"/>
      <c r="H235" s="312"/>
      <c r="I235" s="312"/>
      <c r="J235" s="248">
        <f t="shared" si="19"/>
        <v>0</v>
      </c>
      <c r="K235" s="330">
        <f t="shared" si="20"/>
        <v>-102.95</v>
      </c>
      <c r="L235" s="313"/>
      <c r="M235" s="228">
        <f t="shared" si="21"/>
        <v>0</v>
      </c>
      <c r="N235" s="228">
        <f t="shared" si="26"/>
        <v>0</v>
      </c>
      <c r="O235" s="228">
        <f t="shared" si="27"/>
        <v>0</v>
      </c>
      <c r="P235" s="228">
        <f t="shared" si="27"/>
        <v>0</v>
      </c>
      <c r="Q235" s="228">
        <f t="shared" si="22"/>
        <v>0</v>
      </c>
      <c r="R235" s="343">
        <f t="shared" si="23"/>
        <v>-102.95</v>
      </c>
      <c r="S235" s="240"/>
      <c r="T235" s="201"/>
      <c r="U235" s="201"/>
      <c r="V235" s="201"/>
    </row>
    <row r="236" spans="1:22" ht="30" x14ac:dyDescent="0.25">
      <c r="A236" s="234" t="s">
        <v>355</v>
      </c>
      <c r="B236" s="235" t="s">
        <v>356</v>
      </c>
      <c r="C236" s="234" t="s">
        <v>52</v>
      </c>
      <c r="D236" s="312">
        <v>15.46</v>
      </c>
      <c r="E236" s="312"/>
      <c r="F236" s="248"/>
      <c r="G236" s="312"/>
      <c r="H236" s="312"/>
      <c r="I236" s="312"/>
      <c r="J236" s="248">
        <f t="shared" si="19"/>
        <v>0</v>
      </c>
      <c r="K236" s="330">
        <f t="shared" si="20"/>
        <v>-15.46</v>
      </c>
      <c r="L236" s="313"/>
      <c r="M236" s="228">
        <f t="shared" si="21"/>
        <v>0</v>
      </c>
      <c r="N236" s="228">
        <f t="shared" si="26"/>
        <v>0</v>
      </c>
      <c r="O236" s="228">
        <f t="shared" si="27"/>
        <v>0</v>
      </c>
      <c r="P236" s="228">
        <f t="shared" si="27"/>
        <v>0</v>
      </c>
      <c r="Q236" s="228">
        <f t="shared" si="22"/>
        <v>0</v>
      </c>
      <c r="R236" s="343">
        <f t="shared" si="23"/>
        <v>-15.46</v>
      </c>
      <c r="S236" s="240"/>
      <c r="T236" s="201"/>
      <c r="U236" s="201"/>
      <c r="V236" s="201"/>
    </row>
    <row r="237" spans="1:22" ht="30" x14ac:dyDescent="0.25">
      <c r="A237" s="234" t="s">
        <v>357</v>
      </c>
      <c r="B237" s="235" t="s">
        <v>358</v>
      </c>
      <c r="C237" s="234" t="s">
        <v>52</v>
      </c>
      <c r="D237" s="312">
        <v>717.63800000000003</v>
      </c>
      <c r="E237" s="312"/>
      <c r="F237" s="248"/>
      <c r="G237" s="312"/>
      <c r="H237" s="312"/>
      <c r="I237" s="312"/>
      <c r="J237" s="248">
        <f t="shared" si="19"/>
        <v>0</v>
      </c>
      <c r="K237" s="330">
        <f t="shared" si="20"/>
        <v>-717.63800000000003</v>
      </c>
      <c r="L237" s="313"/>
      <c r="M237" s="228">
        <f t="shared" si="21"/>
        <v>0</v>
      </c>
      <c r="N237" s="228">
        <f t="shared" si="26"/>
        <v>0</v>
      </c>
      <c r="O237" s="228">
        <f t="shared" si="27"/>
        <v>0</v>
      </c>
      <c r="P237" s="228">
        <f t="shared" si="27"/>
        <v>0</v>
      </c>
      <c r="Q237" s="228">
        <f t="shared" si="22"/>
        <v>0</v>
      </c>
      <c r="R237" s="343">
        <f t="shared" si="23"/>
        <v>-717.63800000000003</v>
      </c>
      <c r="S237" s="240"/>
      <c r="T237" s="201"/>
      <c r="U237" s="201"/>
      <c r="V237" s="201"/>
    </row>
    <row r="238" spans="1:22" ht="30" x14ac:dyDescent="0.25">
      <c r="A238" s="234" t="s">
        <v>359</v>
      </c>
      <c r="B238" s="235" t="s">
        <v>360</v>
      </c>
      <c r="C238" s="234" t="s">
        <v>52</v>
      </c>
      <c r="D238" s="312">
        <v>32.96</v>
      </c>
      <c r="E238" s="312"/>
      <c r="F238" s="248"/>
      <c r="G238" s="312"/>
      <c r="H238" s="312"/>
      <c r="I238" s="312"/>
      <c r="J238" s="248">
        <f t="shared" si="19"/>
        <v>0</v>
      </c>
      <c r="K238" s="330">
        <f t="shared" si="20"/>
        <v>-32.96</v>
      </c>
      <c r="L238" s="313"/>
      <c r="M238" s="228">
        <f t="shared" si="21"/>
        <v>0</v>
      </c>
      <c r="N238" s="228">
        <f t="shared" si="26"/>
        <v>0</v>
      </c>
      <c r="O238" s="228">
        <f t="shared" si="27"/>
        <v>0</v>
      </c>
      <c r="P238" s="228">
        <f t="shared" si="27"/>
        <v>0</v>
      </c>
      <c r="Q238" s="228">
        <f t="shared" si="22"/>
        <v>0</v>
      </c>
      <c r="R238" s="343">
        <f t="shared" si="23"/>
        <v>-32.96</v>
      </c>
      <c r="S238" s="240"/>
      <c r="T238" s="201"/>
      <c r="U238" s="201"/>
      <c r="V238" s="201"/>
    </row>
    <row r="239" spans="1:22" ht="30" x14ac:dyDescent="0.25">
      <c r="A239" s="234" t="s">
        <v>361</v>
      </c>
      <c r="B239" s="235" t="s">
        <v>362</v>
      </c>
      <c r="C239" s="234" t="s">
        <v>52</v>
      </c>
      <c r="D239" s="312">
        <v>4.2</v>
      </c>
      <c r="E239" s="312"/>
      <c r="F239" s="248"/>
      <c r="G239" s="312"/>
      <c r="H239" s="312"/>
      <c r="I239" s="312"/>
      <c r="J239" s="248">
        <f t="shared" si="19"/>
        <v>0</v>
      </c>
      <c r="K239" s="330">
        <f t="shared" si="20"/>
        <v>-4.2</v>
      </c>
      <c r="L239" s="313"/>
      <c r="M239" s="228">
        <f t="shared" si="21"/>
        <v>0</v>
      </c>
      <c r="N239" s="228">
        <f t="shared" si="26"/>
        <v>0</v>
      </c>
      <c r="O239" s="228">
        <f t="shared" si="27"/>
        <v>0</v>
      </c>
      <c r="P239" s="228">
        <f t="shared" si="27"/>
        <v>0</v>
      </c>
      <c r="Q239" s="228">
        <f t="shared" si="22"/>
        <v>0</v>
      </c>
      <c r="R239" s="343">
        <f t="shared" si="23"/>
        <v>-4.2</v>
      </c>
      <c r="S239" s="240"/>
      <c r="T239" s="201"/>
      <c r="U239" s="201"/>
      <c r="V239" s="201"/>
    </row>
    <row r="240" spans="1:22" ht="30" x14ac:dyDescent="0.25">
      <c r="A240" s="234" t="s">
        <v>363</v>
      </c>
      <c r="B240" s="235" t="s">
        <v>364</v>
      </c>
      <c r="C240" s="234" t="s">
        <v>52</v>
      </c>
      <c r="D240" s="312">
        <v>2670.47</v>
      </c>
      <c r="E240" s="312"/>
      <c r="F240" s="248"/>
      <c r="G240" s="312"/>
      <c r="H240" s="312"/>
      <c r="I240" s="312"/>
      <c r="J240" s="248">
        <f t="shared" si="19"/>
        <v>0</v>
      </c>
      <c r="K240" s="330">
        <f t="shared" si="20"/>
        <v>-2670.47</v>
      </c>
      <c r="L240" s="313"/>
      <c r="M240" s="228">
        <f t="shared" si="21"/>
        <v>0</v>
      </c>
      <c r="N240" s="228">
        <f t="shared" si="26"/>
        <v>0</v>
      </c>
      <c r="O240" s="228">
        <f t="shared" si="27"/>
        <v>0</v>
      </c>
      <c r="P240" s="228">
        <f t="shared" si="27"/>
        <v>0</v>
      </c>
      <c r="Q240" s="228">
        <f t="shared" si="22"/>
        <v>0</v>
      </c>
      <c r="R240" s="343">
        <f t="shared" si="23"/>
        <v>-2670.47</v>
      </c>
      <c r="S240" s="240"/>
      <c r="T240" s="201"/>
      <c r="U240" s="201"/>
      <c r="V240" s="201"/>
    </row>
    <row r="241" spans="1:22" ht="30" x14ac:dyDescent="0.25">
      <c r="A241" s="234" t="s">
        <v>365</v>
      </c>
      <c r="B241" s="235" t="s">
        <v>366</v>
      </c>
      <c r="C241" s="234" t="s">
        <v>52</v>
      </c>
      <c r="D241" s="312">
        <v>2.6</v>
      </c>
      <c r="E241" s="312"/>
      <c r="F241" s="248"/>
      <c r="G241" s="312"/>
      <c r="H241" s="312"/>
      <c r="I241" s="312"/>
      <c r="J241" s="248">
        <f t="shared" si="19"/>
        <v>0</v>
      </c>
      <c r="K241" s="330">
        <f t="shared" si="20"/>
        <v>-2.6</v>
      </c>
      <c r="L241" s="313"/>
      <c r="M241" s="228">
        <f t="shared" si="21"/>
        <v>0</v>
      </c>
      <c r="N241" s="228">
        <f t="shared" si="26"/>
        <v>0</v>
      </c>
      <c r="O241" s="228">
        <f t="shared" si="27"/>
        <v>0</v>
      </c>
      <c r="P241" s="228">
        <f t="shared" si="27"/>
        <v>0</v>
      </c>
      <c r="Q241" s="228">
        <f t="shared" si="22"/>
        <v>0</v>
      </c>
      <c r="R241" s="343">
        <f t="shared" si="23"/>
        <v>-2.6</v>
      </c>
      <c r="S241" s="240"/>
      <c r="T241" s="201"/>
      <c r="U241" s="201"/>
      <c r="V241" s="201"/>
    </row>
    <row r="242" spans="1:22" ht="30" x14ac:dyDescent="0.25">
      <c r="A242" s="234" t="s">
        <v>367</v>
      </c>
      <c r="B242" s="235" t="s">
        <v>368</v>
      </c>
      <c r="C242" s="234" t="s">
        <v>52</v>
      </c>
      <c r="D242" s="312">
        <v>103.53</v>
      </c>
      <c r="E242" s="312"/>
      <c r="F242" s="248"/>
      <c r="G242" s="312"/>
      <c r="H242" s="312"/>
      <c r="I242" s="312"/>
      <c r="J242" s="248">
        <f t="shared" si="19"/>
        <v>0</v>
      </c>
      <c r="K242" s="330">
        <f t="shared" si="20"/>
        <v>-103.53</v>
      </c>
      <c r="L242" s="313"/>
      <c r="M242" s="228">
        <f t="shared" si="21"/>
        <v>0</v>
      </c>
      <c r="N242" s="228">
        <f t="shared" si="26"/>
        <v>0</v>
      </c>
      <c r="O242" s="228">
        <f t="shared" si="27"/>
        <v>0</v>
      </c>
      <c r="P242" s="228">
        <f t="shared" si="27"/>
        <v>0</v>
      </c>
      <c r="Q242" s="228">
        <f t="shared" si="22"/>
        <v>0</v>
      </c>
      <c r="R242" s="343">
        <f t="shared" si="23"/>
        <v>-103.53</v>
      </c>
      <c r="S242" s="240"/>
      <c r="T242" s="201"/>
      <c r="U242" s="201"/>
      <c r="V242" s="201"/>
    </row>
    <row r="243" spans="1:22" ht="30" x14ac:dyDescent="0.25">
      <c r="A243" s="234" t="s">
        <v>369</v>
      </c>
      <c r="B243" s="235" t="s">
        <v>370</v>
      </c>
      <c r="C243" s="234" t="s">
        <v>52</v>
      </c>
      <c r="D243" s="312">
        <v>44.201999999999998</v>
      </c>
      <c r="E243" s="312"/>
      <c r="F243" s="248"/>
      <c r="G243" s="312"/>
      <c r="H243" s="312"/>
      <c r="I243" s="312"/>
      <c r="J243" s="248">
        <f t="shared" si="19"/>
        <v>0</v>
      </c>
      <c r="K243" s="330">
        <f t="shared" si="20"/>
        <v>-44.201999999999998</v>
      </c>
      <c r="L243" s="313"/>
      <c r="M243" s="228">
        <f t="shared" si="21"/>
        <v>0</v>
      </c>
      <c r="N243" s="228">
        <f t="shared" si="26"/>
        <v>0</v>
      </c>
      <c r="O243" s="228">
        <f t="shared" si="27"/>
        <v>0</v>
      </c>
      <c r="P243" s="228">
        <f t="shared" si="27"/>
        <v>0</v>
      </c>
      <c r="Q243" s="228">
        <f t="shared" si="22"/>
        <v>0</v>
      </c>
      <c r="R243" s="343">
        <f t="shared" si="23"/>
        <v>-44.201999999999998</v>
      </c>
      <c r="S243" s="240"/>
      <c r="T243" s="201"/>
      <c r="U243" s="201"/>
      <c r="V243" s="201"/>
    </row>
    <row r="244" spans="1:22" ht="30" x14ac:dyDescent="0.25">
      <c r="A244" s="234" t="s">
        <v>371</v>
      </c>
      <c r="B244" s="235" t="s">
        <v>372</v>
      </c>
      <c r="C244" s="234" t="s">
        <v>52</v>
      </c>
      <c r="D244" s="312">
        <v>2153.36</v>
      </c>
      <c r="E244" s="312"/>
      <c r="F244" s="248"/>
      <c r="G244" s="312"/>
      <c r="H244" s="312"/>
      <c r="I244" s="312"/>
      <c r="J244" s="248">
        <f t="shared" si="19"/>
        <v>0</v>
      </c>
      <c r="K244" s="330">
        <f t="shared" si="20"/>
        <v>-2153.36</v>
      </c>
      <c r="L244" s="313"/>
      <c r="M244" s="228">
        <f t="shared" si="21"/>
        <v>0</v>
      </c>
      <c r="N244" s="228">
        <f t="shared" si="26"/>
        <v>0</v>
      </c>
      <c r="O244" s="228">
        <f t="shared" si="27"/>
        <v>0</v>
      </c>
      <c r="P244" s="228">
        <f t="shared" si="27"/>
        <v>0</v>
      </c>
      <c r="Q244" s="228">
        <f t="shared" si="22"/>
        <v>0</v>
      </c>
      <c r="R244" s="343">
        <f t="shared" si="23"/>
        <v>-2153.36</v>
      </c>
      <c r="S244" s="240"/>
      <c r="T244" s="201"/>
      <c r="U244" s="201"/>
      <c r="V244" s="201"/>
    </row>
    <row r="245" spans="1:22" ht="30" x14ac:dyDescent="0.25">
      <c r="A245" s="234" t="s">
        <v>373</v>
      </c>
      <c r="B245" s="235" t="s">
        <v>374</v>
      </c>
      <c r="C245" s="234" t="s">
        <v>52</v>
      </c>
      <c r="D245" s="312">
        <v>57.03</v>
      </c>
      <c r="E245" s="312"/>
      <c r="F245" s="248"/>
      <c r="G245" s="312"/>
      <c r="H245" s="312"/>
      <c r="I245" s="312"/>
      <c r="J245" s="248">
        <f t="shared" si="19"/>
        <v>0</v>
      </c>
      <c r="K245" s="330">
        <f t="shared" si="20"/>
        <v>-57.03</v>
      </c>
      <c r="L245" s="313"/>
      <c r="M245" s="228">
        <f t="shared" si="21"/>
        <v>0</v>
      </c>
      <c r="N245" s="228">
        <f t="shared" si="26"/>
        <v>0</v>
      </c>
      <c r="O245" s="228">
        <f t="shared" si="27"/>
        <v>0</v>
      </c>
      <c r="P245" s="228">
        <f t="shared" si="27"/>
        <v>0</v>
      </c>
      <c r="Q245" s="228">
        <f t="shared" si="22"/>
        <v>0</v>
      </c>
      <c r="R245" s="343">
        <f t="shared" si="23"/>
        <v>-57.03</v>
      </c>
      <c r="S245" s="240"/>
      <c r="T245" s="201"/>
      <c r="U245" s="201"/>
      <c r="V245" s="201"/>
    </row>
    <row r="246" spans="1:22" ht="30" x14ac:dyDescent="0.25">
      <c r="A246" s="234" t="s">
        <v>375</v>
      </c>
      <c r="B246" s="235" t="s">
        <v>376</v>
      </c>
      <c r="C246" s="234" t="s">
        <v>52</v>
      </c>
      <c r="D246" s="312">
        <v>722.26199999999994</v>
      </c>
      <c r="E246" s="312"/>
      <c r="F246" s="248"/>
      <c r="G246" s="312"/>
      <c r="H246" s="312"/>
      <c r="I246" s="312"/>
      <c r="J246" s="248">
        <f t="shared" si="19"/>
        <v>0</v>
      </c>
      <c r="K246" s="330">
        <f t="shared" si="20"/>
        <v>-722.26199999999994</v>
      </c>
      <c r="L246" s="313"/>
      <c r="M246" s="228">
        <f t="shared" si="21"/>
        <v>0</v>
      </c>
      <c r="N246" s="228">
        <f t="shared" si="26"/>
        <v>0</v>
      </c>
      <c r="O246" s="228">
        <f t="shared" si="27"/>
        <v>0</v>
      </c>
      <c r="P246" s="228">
        <f t="shared" si="27"/>
        <v>0</v>
      </c>
      <c r="Q246" s="228">
        <f t="shared" si="22"/>
        <v>0</v>
      </c>
      <c r="R246" s="343">
        <f t="shared" si="23"/>
        <v>-722.26199999999994</v>
      </c>
      <c r="S246" s="240"/>
      <c r="T246" s="201"/>
      <c r="U246" s="201"/>
      <c r="V246" s="201"/>
    </row>
    <row r="247" spans="1:22" ht="28.5" customHeight="1" x14ac:dyDescent="0.25">
      <c r="A247" s="234" t="s">
        <v>377</v>
      </c>
      <c r="B247" s="235" t="s">
        <v>378</v>
      </c>
      <c r="C247" s="234" t="s">
        <v>52</v>
      </c>
      <c r="D247" s="312">
        <v>248.51</v>
      </c>
      <c r="E247" s="312"/>
      <c r="F247" s="248"/>
      <c r="G247" s="312"/>
      <c r="H247" s="312"/>
      <c r="I247" s="312"/>
      <c r="J247" s="248">
        <f t="shared" si="19"/>
        <v>0</v>
      </c>
      <c r="K247" s="330">
        <f t="shared" si="20"/>
        <v>-248.51</v>
      </c>
      <c r="L247" s="313"/>
      <c r="M247" s="228">
        <f t="shared" si="21"/>
        <v>0</v>
      </c>
      <c r="N247" s="228">
        <f t="shared" si="26"/>
        <v>0</v>
      </c>
      <c r="O247" s="228">
        <f t="shared" si="27"/>
        <v>0</v>
      </c>
      <c r="P247" s="228">
        <f t="shared" si="27"/>
        <v>0</v>
      </c>
      <c r="Q247" s="228">
        <f t="shared" si="22"/>
        <v>0</v>
      </c>
      <c r="R247" s="343">
        <f t="shared" si="23"/>
        <v>-248.51</v>
      </c>
      <c r="S247" s="240"/>
      <c r="T247" s="201"/>
      <c r="U247" s="201"/>
      <c r="V247" s="201"/>
    </row>
    <row r="248" spans="1:22" ht="30" x14ac:dyDescent="0.25">
      <c r="A248" s="234" t="s">
        <v>379</v>
      </c>
      <c r="B248" s="235" t="s">
        <v>380</v>
      </c>
      <c r="C248" s="234" t="s">
        <v>52</v>
      </c>
      <c r="D248" s="312">
        <v>1550.25</v>
      </c>
      <c r="E248" s="312"/>
      <c r="F248" s="248"/>
      <c r="G248" s="312"/>
      <c r="H248" s="312"/>
      <c r="I248" s="312"/>
      <c r="J248" s="248">
        <f t="shared" si="19"/>
        <v>0</v>
      </c>
      <c r="K248" s="330">
        <f t="shared" si="20"/>
        <v>-1550.25</v>
      </c>
      <c r="L248" s="313"/>
      <c r="M248" s="228">
        <f t="shared" si="21"/>
        <v>0</v>
      </c>
      <c r="N248" s="228">
        <f t="shared" si="26"/>
        <v>0</v>
      </c>
      <c r="O248" s="228">
        <f t="shared" si="27"/>
        <v>0</v>
      </c>
      <c r="P248" s="228">
        <f t="shared" si="27"/>
        <v>0</v>
      </c>
      <c r="Q248" s="228">
        <f t="shared" si="22"/>
        <v>0</v>
      </c>
      <c r="R248" s="343">
        <f t="shared" si="23"/>
        <v>-1550.25</v>
      </c>
      <c r="S248" s="240"/>
      <c r="T248" s="201"/>
      <c r="U248" s="201"/>
      <c r="V248" s="201"/>
    </row>
    <row r="249" spans="1:22" ht="30" x14ac:dyDescent="0.25">
      <c r="A249" s="234" t="s">
        <v>381</v>
      </c>
      <c r="B249" s="235" t="s">
        <v>382</v>
      </c>
      <c r="C249" s="234" t="s">
        <v>52</v>
      </c>
      <c r="D249" s="312">
        <v>2967.6129999999998</v>
      </c>
      <c r="E249" s="312"/>
      <c r="F249" s="248"/>
      <c r="G249" s="312"/>
      <c r="H249" s="312"/>
      <c r="I249" s="312"/>
      <c r="J249" s="248">
        <f t="shared" si="19"/>
        <v>0</v>
      </c>
      <c r="K249" s="330">
        <f t="shared" si="20"/>
        <v>-2967.6129999999998</v>
      </c>
      <c r="L249" s="313"/>
      <c r="M249" s="228">
        <f t="shared" si="21"/>
        <v>0</v>
      </c>
      <c r="N249" s="228">
        <f t="shared" si="26"/>
        <v>0</v>
      </c>
      <c r="O249" s="228">
        <f t="shared" si="27"/>
        <v>0</v>
      </c>
      <c r="P249" s="228">
        <f t="shared" si="27"/>
        <v>0</v>
      </c>
      <c r="Q249" s="228">
        <f t="shared" si="22"/>
        <v>0</v>
      </c>
      <c r="R249" s="343">
        <f t="shared" si="23"/>
        <v>-2967.6129999999998</v>
      </c>
      <c r="S249" s="240"/>
      <c r="T249" s="201"/>
      <c r="U249" s="201"/>
      <c r="V249" s="201"/>
    </row>
    <row r="250" spans="1:22" ht="30" x14ac:dyDescent="0.25">
      <c r="A250" s="234" t="s">
        <v>383</v>
      </c>
      <c r="B250" s="235" t="s">
        <v>384</v>
      </c>
      <c r="C250" s="234" t="s">
        <v>52</v>
      </c>
      <c r="D250" s="312">
        <v>1882</v>
      </c>
      <c r="E250" s="312"/>
      <c r="F250" s="248"/>
      <c r="G250" s="312"/>
      <c r="H250" s="312"/>
      <c r="I250" s="312"/>
      <c r="J250" s="248">
        <f t="shared" ref="J250:J313" si="28">F250+G250+H250+I250</f>
        <v>0</v>
      </c>
      <c r="K250" s="330">
        <f t="shared" ref="K250:K313" si="29">J250-D250</f>
        <v>-1882</v>
      </c>
      <c r="L250" s="313"/>
      <c r="M250" s="228">
        <f t="shared" ref="M250:M313" si="30">F250</f>
        <v>0</v>
      </c>
      <c r="N250" s="228">
        <f t="shared" si="26"/>
        <v>0</v>
      </c>
      <c r="O250" s="228">
        <f t="shared" si="27"/>
        <v>0</v>
      </c>
      <c r="P250" s="228">
        <f t="shared" si="27"/>
        <v>0</v>
      </c>
      <c r="Q250" s="228">
        <f t="shared" ref="Q250:Q313" si="31">M250+N250+O250+P250</f>
        <v>0</v>
      </c>
      <c r="R250" s="343">
        <f t="shared" ref="R250:R313" si="32">Q250-D250</f>
        <v>-1882</v>
      </c>
      <c r="S250" s="240"/>
      <c r="T250" s="201"/>
      <c r="U250" s="201"/>
      <c r="V250" s="201"/>
    </row>
    <row r="251" spans="1:22" ht="30" x14ac:dyDescent="0.25">
      <c r="A251" s="234" t="s">
        <v>385</v>
      </c>
      <c r="B251" s="235" t="s">
        <v>386</v>
      </c>
      <c r="C251" s="234" t="s">
        <v>52</v>
      </c>
      <c r="D251" s="312">
        <v>107.66500000000001</v>
      </c>
      <c r="E251" s="312"/>
      <c r="F251" s="248"/>
      <c r="G251" s="312"/>
      <c r="H251" s="312"/>
      <c r="I251" s="312"/>
      <c r="J251" s="248">
        <f t="shared" si="28"/>
        <v>0</v>
      </c>
      <c r="K251" s="330">
        <f t="shared" si="29"/>
        <v>-107.66500000000001</v>
      </c>
      <c r="L251" s="313"/>
      <c r="M251" s="228">
        <f t="shared" si="30"/>
        <v>0</v>
      </c>
      <c r="N251" s="228">
        <f t="shared" si="26"/>
        <v>0</v>
      </c>
      <c r="O251" s="228">
        <f t="shared" si="27"/>
        <v>0</v>
      </c>
      <c r="P251" s="228">
        <f t="shared" si="27"/>
        <v>0</v>
      </c>
      <c r="Q251" s="228">
        <f t="shared" si="31"/>
        <v>0</v>
      </c>
      <c r="R251" s="343">
        <f t="shared" si="32"/>
        <v>-107.66500000000001</v>
      </c>
      <c r="S251" s="240"/>
      <c r="T251" s="201"/>
      <c r="U251" s="201"/>
      <c r="V251" s="201"/>
    </row>
    <row r="252" spans="1:22" ht="30" x14ac:dyDescent="0.25">
      <c r="A252" s="234" t="s">
        <v>387</v>
      </c>
      <c r="B252" s="235" t="s">
        <v>388</v>
      </c>
      <c r="C252" s="234" t="s">
        <v>52</v>
      </c>
      <c r="D252" s="312">
        <v>1642.153</v>
      </c>
      <c r="E252" s="312"/>
      <c r="F252" s="248"/>
      <c r="G252" s="312"/>
      <c r="H252" s="312"/>
      <c r="I252" s="312"/>
      <c r="J252" s="248">
        <f t="shared" si="28"/>
        <v>0</v>
      </c>
      <c r="K252" s="330">
        <f t="shared" si="29"/>
        <v>-1642.153</v>
      </c>
      <c r="L252" s="313"/>
      <c r="M252" s="228">
        <f t="shared" si="30"/>
        <v>0</v>
      </c>
      <c r="N252" s="228">
        <f t="shared" si="26"/>
        <v>0</v>
      </c>
      <c r="O252" s="228">
        <f t="shared" si="27"/>
        <v>0</v>
      </c>
      <c r="P252" s="228">
        <f t="shared" si="27"/>
        <v>0</v>
      </c>
      <c r="Q252" s="228">
        <f t="shared" si="31"/>
        <v>0</v>
      </c>
      <c r="R252" s="343">
        <f t="shared" si="32"/>
        <v>-1642.153</v>
      </c>
      <c r="S252" s="240"/>
      <c r="T252" s="201"/>
      <c r="U252" s="201"/>
      <c r="V252" s="201"/>
    </row>
    <row r="253" spans="1:22" ht="30" x14ac:dyDescent="0.25">
      <c r="A253" s="234" t="s">
        <v>389</v>
      </c>
      <c r="B253" s="235" t="s">
        <v>390</v>
      </c>
      <c r="C253" s="234" t="s">
        <v>52</v>
      </c>
      <c r="D253" s="312">
        <v>1010.341</v>
      </c>
      <c r="E253" s="312"/>
      <c r="F253" s="248"/>
      <c r="G253" s="312"/>
      <c r="H253" s="312"/>
      <c r="I253" s="312"/>
      <c r="J253" s="248">
        <f t="shared" si="28"/>
        <v>0</v>
      </c>
      <c r="K253" s="330">
        <f t="shared" si="29"/>
        <v>-1010.341</v>
      </c>
      <c r="L253" s="313"/>
      <c r="M253" s="228">
        <f t="shared" si="30"/>
        <v>0</v>
      </c>
      <c r="N253" s="228">
        <f t="shared" si="26"/>
        <v>0</v>
      </c>
      <c r="O253" s="228">
        <f t="shared" si="27"/>
        <v>0</v>
      </c>
      <c r="P253" s="228">
        <f t="shared" si="27"/>
        <v>0</v>
      </c>
      <c r="Q253" s="228">
        <f t="shared" si="31"/>
        <v>0</v>
      </c>
      <c r="R253" s="343">
        <f t="shared" si="32"/>
        <v>-1010.341</v>
      </c>
      <c r="S253" s="240"/>
      <c r="T253" s="201"/>
      <c r="U253" s="201"/>
      <c r="V253" s="201"/>
    </row>
    <row r="254" spans="1:22" ht="30" x14ac:dyDescent="0.25">
      <c r="A254" s="234" t="s">
        <v>391</v>
      </c>
      <c r="B254" s="235" t="s">
        <v>392</v>
      </c>
      <c r="C254" s="234" t="s">
        <v>52</v>
      </c>
      <c r="D254" s="312">
        <v>5074.7</v>
      </c>
      <c r="E254" s="312"/>
      <c r="F254" s="248"/>
      <c r="G254" s="312"/>
      <c r="H254" s="312"/>
      <c r="I254" s="312"/>
      <c r="J254" s="248">
        <f t="shared" si="28"/>
        <v>0</v>
      </c>
      <c r="K254" s="330">
        <f t="shared" si="29"/>
        <v>-5074.7</v>
      </c>
      <c r="L254" s="313"/>
      <c r="M254" s="228">
        <f t="shared" si="30"/>
        <v>0</v>
      </c>
      <c r="N254" s="228">
        <f t="shared" si="26"/>
        <v>0</v>
      </c>
      <c r="O254" s="228">
        <f t="shared" si="27"/>
        <v>0</v>
      </c>
      <c r="P254" s="228">
        <f t="shared" si="27"/>
        <v>0</v>
      </c>
      <c r="Q254" s="228">
        <f t="shared" si="31"/>
        <v>0</v>
      </c>
      <c r="R254" s="343">
        <f t="shared" si="32"/>
        <v>-5074.7</v>
      </c>
      <c r="S254" s="240"/>
      <c r="T254" s="201"/>
      <c r="U254" s="201"/>
      <c r="V254" s="201"/>
    </row>
    <row r="255" spans="1:22" ht="30" x14ac:dyDescent="0.25">
      <c r="A255" s="234" t="s">
        <v>393</v>
      </c>
      <c r="B255" s="235" t="s">
        <v>394</v>
      </c>
      <c r="C255" s="234" t="s">
        <v>52</v>
      </c>
      <c r="D255" s="312">
        <v>2892.3409999999999</v>
      </c>
      <c r="E255" s="312"/>
      <c r="F255" s="248"/>
      <c r="G255" s="312"/>
      <c r="H255" s="312"/>
      <c r="I255" s="312"/>
      <c r="J255" s="248">
        <f t="shared" si="28"/>
        <v>0</v>
      </c>
      <c r="K255" s="330">
        <f t="shared" si="29"/>
        <v>-2892.3409999999999</v>
      </c>
      <c r="L255" s="313"/>
      <c r="M255" s="228">
        <f t="shared" si="30"/>
        <v>0</v>
      </c>
      <c r="N255" s="228">
        <f t="shared" si="26"/>
        <v>0</v>
      </c>
      <c r="O255" s="228">
        <f t="shared" si="27"/>
        <v>0</v>
      </c>
      <c r="P255" s="228">
        <f t="shared" si="27"/>
        <v>0</v>
      </c>
      <c r="Q255" s="228">
        <f t="shared" si="31"/>
        <v>0</v>
      </c>
      <c r="R255" s="343">
        <f t="shared" si="32"/>
        <v>-2892.3409999999999</v>
      </c>
      <c r="S255" s="240"/>
      <c r="T255" s="201"/>
      <c r="U255" s="201"/>
      <c r="V255" s="201"/>
    </row>
    <row r="256" spans="1:22" ht="30" x14ac:dyDescent="0.25">
      <c r="A256" s="234" t="s">
        <v>395</v>
      </c>
      <c r="B256" s="235" t="s">
        <v>396</v>
      </c>
      <c r="C256" s="234" t="s">
        <v>52</v>
      </c>
      <c r="D256" s="312">
        <v>5074.7</v>
      </c>
      <c r="E256" s="312"/>
      <c r="F256" s="248"/>
      <c r="G256" s="312"/>
      <c r="H256" s="312"/>
      <c r="I256" s="312"/>
      <c r="J256" s="248">
        <f t="shared" si="28"/>
        <v>0</v>
      </c>
      <c r="K256" s="330">
        <f t="shared" si="29"/>
        <v>-5074.7</v>
      </c>
      <c r="L256" s="313"/>
      <c r="M256" s="228">
        <f t="shared" si="30"/>
        <v>0</v>
      </c>
      <c r="N256" s="228">
        <f t="shared" si="26"/>
        <v>0</v>
      </c>
      <c r="O256" s="228">
        <f t="shared" si="27"/>
        <v>0</v>
      </c>
      <c r="P256" s="228">
        <f t="shared" si="27"/>
        <v>0</v>
      </c>
      <c r="Q256" s="228">
        <f t="shared" si="31"/>
        <v>0</v>
      </c>
      <c r="R256" s="343">
        <f t="shared" si="32"/>
        <v>-5074.7</v>
      </c>
      <c r="S256" s="240"/>
      <c r="T256" s="201"/>
      <c r="U256" s="201"/>
      <c r="V256" s="201"/>
    </row>
    <row r="257" spans="1:22" ht="30" x14ac:dyDescent="0.25">
      <c r="A257" s="234" t="s">
        <v>397</v>
      </c>
      <c r="B257" s="235" t="s">
        <v>398</v>
      </c>
      <c r="C257" s="234" t="s">
        <v>52</v>
      </c>
      <c r="D257" s="312">
        <v>5565.5730000000003</v>
      </c>
      <c r="E257" s="312"/>
      <c r="F257" s="248"/>
      <c r="G257" s="312"/>
      <c r="H257" s="312"/>
      <c r="I257" s="312"/>
      <c r="J257" s="248">
        <f t="shared" si="28"/>
        <v>0</v>
      </c>
      <c r="K257" s="330">
        <f t="shared" si="29"/>
        <v>-5565.5730000000003</v>
      </c>
      <c r="L257" s="313"/>
      <c r="M257" s="228">
        <f t="shared" si="30"/>
        <v>0</v>
      </c>
      <c r="N257" s="228">
        <f t="shared" si="26"/>
        <v>0</v>
      </c>
      <c r="O257" s="228">
        <f t="shared" si="27"/>
        <v>0</v>
      </c>
      <c r="P257" s="228">
        <f t="shared" si="27"/>
        <v>0</v>
      </c>
      <c r="Q257" s="228">
        <f t="shared" si="31"/>
        <v>0</v>
      </c>
      <c r="R257" s="343">
        <f t="shared" si="32"/>
        <v>-5565.5730000000003</v>
      </c>
      <c r="S257" s="240"/>
      <c r="T257" s="201"/>
      <c r="U257" s="201"/>
      <c r="V257" s="201"/>
    </row>
    <row r="258" spans="1:22" ht="30" x14ac:dyDescent="0.25">
      <c r="A258" s="234" t="s">
        <v>399</v>
      </c>
      <c r="B258" s="235" t="s">
        <v>400</v>
      </c>
      <c r="C258" s="234" t="s">
        <v>52</v>
      </c>
      <c r="D258" s="312">
        <v>340.92</v>
      </c>
      <c r="E258" s="312"/>
      <c r="F258" s="248"/>
      <c r="G258" s="312"/>
      <c r="H258" s="312"/>
      <c r="I258" s="312"/>
      <c r="J258" s="248">
        <f t="shared" si="28"/>
        <v>0</v>
      </c>
      <c r="K258" s="330">
        <f t="shared" si="29"/>
        <v>-340.92</v>
      </c>
      <c r="L258" s="313"/>
      <c r="M258" s="228">
        <f t="shared" si="30"/>
        <v>0</v>
      </c>
      <c r="N258" s="228">
        <f t="shared" si="26"/>
        <v>0</v>
      </c>
      <c r="O258" s="228">
        <f t="shared" si="27"/>
        <v>0</v>
      </c>
      <c r="P258" s="228">
        <f t="shared" si="27"/>
        <v>0</v>
      </c>
      <c r="Q258" s="228">
        <f t="shared" si="31"/>
        <v>0</v>
      </c>
      <c r="R258" s="343">
        <f t="shared" si="32"/>
        <v>-340.92</v>
      </c>
      <c r="S258" s="240"/>
      <c r="T258" s="201"/>
      <c r="U258" s="201"/>
      <c r="V258" s="201"/>
    </row>
    <row r="259" spans="1:22" ht="30" x14ac:dyDescent="0.25">
      <c r="A259" s="234" t="s">
        <v>401</v>
      </c>
      <c r="B259" s="235" t="s">
        <v>402</v>
      </c>
      <c r="C259" s="234" t="s">
        <v>52</v>
      </c>
      <c r="D259" s="312">
        <v>668.11500000000001</v>
      </c>
      <c r="E259" s="312"/>
      <c r="F259" s="248"/>
      <c r="G259" s="312"/>
      <c r="H259" s="312"/>
      <c r="I259" s="312"/>
      <c r="J259" s="248">
        <f t="shared" si="28"/>
        <v>0</v>
      </c>
      <c r="K259" s="330">
        <f t="shared" si="29"/>
        <v>-668.11500000000001</v>
      </c>
      <c r="L259" s="313"/>
      <c r="M259" s="228">
        <f t="shared" si="30"/>
        <v>0</v>
      </c>
      <c r="N259" s="228">
        <f t="shared" si="26"/>
        <v>0</v>
      </c>
      <c r="O259" s="228">
        <f t="shared" si="27"/>
        <v>0</v>
      </c>
      <c r="P259" s="228">
        <f t="shared" si="27"/>
        <v>0</v>
      </c>
      <c r="Q259" s="228">
        <f t="shared" si="31"/>
        <v>0</v>
      </c>
      <c r="R259" s="343">
        <f t="shared" si="32"/>
        <v>-668.11500000000001</v>
      </c>
      <c r="S259" s="240"/>
      <c r="T259" s="201"/>
      <c r="U259" s="201"/>
      <c r="V259" s="201"/>
    </row>
    <row r="260" spans="1:22" ht="15.75" x14ac:dyDescent="0.25">
      <c r="A260" s="234" t="s">
        <v>403</v>
      </c>
      <c r="B260" s="235" t="s">
        <v>404</v>
      </c>
      <c r="C260" s="234" t="s">
        <v>52</v>
      </c>
      <c r="D260" s="312">
        <v>458.75799999999998</v>
      </c>
      <c r="E260" s="312"/>
      <c r="F260" s="248"/>
      <c r="G260" s="312"/>
      <c r="H260" s="312"/>
      <c r="I260" s="312"/>
      <c r="J260" s="248">
        <f t="shared" si="28"/>
        <v>0</v>
      </c>
      <c r="K260" s="330">
        <f t="shared" si="29"/>
        <v>-458.75799999999998</v>
      </c>
      <c r="L260" s="313"/>
      <c r="M260" s="228">
        <f t="shared" si="30"/>
        <v>0</v>
      </c>
      <c r="N260" s="228">
        <f t="shared" si="26"/>
        <v>0</v>
      </c>
      <c r="O260" s="228">
        <f t="shared" si="27"/>
        <v>0</v>
      </c>
      <c r="P260" s="228">
        <f t="shared" si="27"/>
        <v>0</v>
      </c>
      <c r="Q260" s="228">
        <f t="shared" si="31"/>
        <v>0</v>
      </c>
      <c r="R260" s="343">
        <f t="shared" si="32"/>
        <v>-458.75799999999998</v>
      </c>
      <c r="S260" s="240"/>
      <c r="T260" s="201"/>
      <c r="U260" s="201"/>
      <c r="V260" s="201"/>
    </row>
    <row r="261" spans="1:22" ht="42" customHeight="1" x14ac:dyDescent="0.25">
      <c r="A261" s="234" t="s">
        <v>405</v>
      </c>
      <c r="B261" s="235" t="s">
        <v>406</v>
      </c>
      <c r="C261" s="234" t="s">
        <v>52</v>
      </c>
      <c r="D261" s="312">
        <v>1159.9000000000001</v>
      </c>
      <c r="E261" s="312"/>
      <c r="F261" s="248"/>
      <c r="G261" s="312"/>
      <c r="H261" s="312"/>
      <c r="I261" s="312"/>
      <c r="J261" s="248">
        <f t="shared" si="28"/>
        <v>0</v>
      </c>
      <c r="K261" s="330">
        <f t="shared" si="29"/>
        <v>-1159.9000000000001</v>
      </c>
      <c r="L261" s="313"/>
      <c r="M261" s="228">
        <f t="shared" si="30"/>
        <v>0</v>
      </c>
      <c r="N261" s="228">
        <f t="shared" si="26"/>
        <v>0</v>
      </c>
      <c r="O261" s="228">
        <f t="shared" si="27"/>
        <v>0</v>
      </c>
      <c r="P261" s="228">
        <f t="shared" si="27"/>
        <v>0</v>
      </c>
      <c r="Q261" s="228">
        <f t="shared" si="31"/>
        <v>0</v>
      </c>
      <c r="R261" s="343">
        <f t="shared" si="32"/>
        <v>-1159.9000000000001</v>
      </c>
      <c r="S261" s="240"/>
      <c r="T261" s="201"/>
      <c r="U261" s="201"/>
      <c r="V261" s="201"/>
    </row>
    <row r="262" spans="1:22" ht="30" x14ac:dyDescent="0.25">
      <c r="A262" s="234" t="s">
        <v>407</v>
      </c>
      <c r="B262" s="235" t="s">
        <v>408</v>
      </c>
      <c r="C262" s="234" t="s">
        <v>52</v>
      </c>
      <c r="D262" s="312">
        <v>10469.861999999999</v>
      </c>
      <c r="E262" s="312"/>
      <c r="F262" s="248"/>
      <c r="G262" s="312"/>
      <c r="H262" s="312"/>
      <c r="I262" s="312"/>
      <c r="J262" s="248">
        <f t="shared" si="28"/>
        <v>0</v>
      </c>
      <c r="K262" s="330">
        <f t="shared" si="29"/>
        <v>-10469.861999999999</v>
      </c>
      <c r="L262" s="313"/>
      <c r="M262" s="228">
        <f t="shared" si="30"/>
        <v>0</v>
      </c>
      <c r="N262" s="228">
        <f t="shared" si="26"/>
        <v>0</v>
      </c>
      <c r="O262" s="228">
        <f t="shared" si="27"/>
        <v>0</v>
      </c>
      <c r="P262" s="228">
        <f t="shared" si="27"/>
        <v>0</v>
      </c>
      <c r="Q262" s="228">
        <f t="shared" si="31"/>
        <v>0</v>
      </c>
      <c r="R262" s="343">
        <f t="shared" si="32"/>
        <v>-10469.861999999999</v>
      </c>
      <c r="S262" s="240"/>
      <c r="T262" s="201"/>
      <c r="U262" s="201"/>
      <c r="V262" s="201"/>
    </row>
    <row r="263" spans="1:22" ht="30" x14ac:dyDescent="0.25">
      <c r="A263" s="234" t="s">
        <v>409</v>
      </c>
      <c r="B263" s="235" t="s">
        <v>410</v>
      </c>
      <c r="C263" s="234" t="s">
        <v>52</v>
      </c>
      <c r="D263" s="312">
        <v>343.64</v>
      </c>
      <c r="E263" s="312"/>
      <c r="F263" s="248"/>
      <c r="G263" s="312"/>
      <c r="H263" s="312"/>
      <c r="I263" s="312"/>
      <c r="J263" s="248">
        <f t="shared" si="28"/>
        <v>0</v>
      </c>
      <c r="K263" s="330">
        <f t="shared" si="29"/>
        <v>-343.64</v>
      </c>
      <c r="L263" s="313"/>
      <c r="M263" s="228">
        <f t="shared" si="30"/>
        <v>0</v>
      </c>
      <c r="N263" s="228">
        <f t="shared" si="26"/>
        <v>0</v>
      </c>
      <c r="O263" s="228">
        <f t="shared" si="27"/>
        <v>0</v>
      </c>
      <c r="P263" s="228">
        <f t="shared" si="27"/>
        <v>0</v>
      </c>
      <c r="Q263" s="228">
        <f t="shared" si="31"/>
        <v>0</v>
      </c>
      <c r="R263" s="343">
        <f t="shared" si="32"/>
        <v>-343.64</v>
      </c>
      <c r="S263" s="240"/>
      <c r="T263" s="201"/>
      <c r="U263" s="201"/>
      <c r="V263" s="201"/>
    </row>
    <row r="264" spans="1:22" ht="15.75" x14ac:dyDescent="0.25">
      <c r="A264" s="234" t="s">
        <v>411</v>
      </c>
      <c r="B264" s="235" t="s">
        <v>412</v>
      </c>
      <c r="C264" s="234" t="s">
        <v>52</v>
      </c>
      <c r="D264" s="312">
        <v>27.914000000000001</v>
      </c>
      <c r="E264" s="312"/>
      <c r="F264" s="248"/>
      <c r="G264" s="312"/>
      <c r="H264" s="312"/>
      <c r="I264" s="312"/>
      <c r="J264" s="248">
        <f t="shared" si="28"/>
        <v>0</v>
      </c>
      <c r="K264" s="330">
        <f t="shared" si="29"/>
        <v>-27.914000000000001</v>
      </c>
      <c r="L264" s="313"/>
      <c r="M264" s="228">
        <f t="shared" si="30"/>
        <v>0</v>
      </c>
      <c r="N264" s="228">
        <f t="shared" si="26"/>
        <v>0</v>
      </c>
      <c r="O264" s="228">
        <f t="shared" si="27"/>
        <v>0</v>
      </c>
      <c r="P264" s="228">
        <f t="shared" si="27"/>
        <v>0</v>
      </c>
      <c r="Q264" s="228">
        <f t="shared" si="31"/>
        <v>0</v>
      </c>
      <c r="R264" s="343">
        <f t="shared" si="32"/>
        <v>-27.914000000000001</v>
      </c>
      <c r="S264" s="240"/>
      <c r="T264" s="201"/>
      <c r="U264" s="201"/>
      <c r="V264" s="201"/>
    </row>
    <row r="265" spans="1:22" ht="60" x14ac:dyDescent="0.25">
      <c r="A265" s="234" t="s">
        <v>413</v>
      </c>
      <c r="B265" s="235" t="s">
        <v>414</v>
      </c>
      <c r="C265" s="234" t="s">
        <v>52</v>
      </c>
      <c r="D265" s="312">
        <v>3953.027</v>
      </c>
      <c r="E265" s="312"/>
      <c r="F265" s="248"/>
      <c r="G265" s="312"/>
      <c r="H265" s="312"/>
      <c r="I265" s="312"/>
      <c r="J265" s="248">
        <f t="shared" si="28"/>
        <v>0</v>
      </c>
      <c r="K265" s="330">
        <f t="shared" si="29"/>
        <v>-3953.027</v>
      </c>
      <c r="L265" s="313"/>
      <c r="M265" s="228">
        <f t="shared" si="30"/>
        <v>0</v>
      </c>
      <c r="N265" s="228">
        <f t="shared" ref="N265:N328" si="33">G265</f>
        <v>0</v>
      </c>
      <c r="O265" s="228">
        <f t="shared" ref="O265:P328" si="34">H265</f>
        <v>0</v>
      </c>
      <c r="P265" s="228">
        <f t="shared" si="34"/>
        <v>0</v>
      </c>
      <c r="Q265" s="228">
        <f t="shared" si="31"/>
        <v>0</v>
      </c>
      <c r="R265" s="343">
        <f t="shared" si="32"/>
        <v>-3953.027</v>
      </c>
      <c r="S265" s="240"/>
      <c r="T265" s="201"/>
      <c r="U265" s="201"/>
      <c r="V265" s="201"/>
    </row>
    <row r="266" spans="1:22" ht="15.75" x14ac:dyDescent="0.25">
      <c r="A266" s="234" t="s">
        <v>415</v>
      </c>
      <c r="B266" s="235" t="s">
        <v>416</v>
      </c>
      <c r="C266" s="234" t="s">
        <v>52</v>
      </c>
      <c r="D266" s="312">
        <v>1448.15</v>
      </c>
      <c r="E266" s="312"/>
      <c r="F266" s="248"/>
      <c r="G266" s="312"/>
      <c r="H266" s="312"/>
      <c r="I266" s="312"/>
      <c r="J266" s="248">
        <f t="shared" si="28"/>
        <v>0</v>
      </c>
      <c r="K266" s="330">
        <f t="shared" si="29"/>
        <v>-1448.15</v>
      </c>
      <c r="L266" s="313"/>
      <c r="M266" s="228">
        <f t="shared" si="30"/>
        <v>0</v>
      </c>
      <c r="N266" s="228">
        <f t="shared" si="33"/>
        <v>0</v>
      </c>
      <c r="O266" s="228">
        <f t="shared" si="34"/>
        <v>0</v>
      </c>
      <c r="P266" s="228">
        <f t="shared" si="34"/>
        <v>0</v>
      </c>
      <c r="Q266" s="228">
        <f t="shared" si="31"/>
        <v>0</v>
      </c>
      <c r="R266" s="343">
        <f t="shared" si="32"/>
        <v>-1448.15</v>
      </c>
      <c r="S266" s="240"/>
      <c r="T266" s="201"/>
      <c r="U266" s="201"/>
      <c r="V266" s="201"/>
    </row>
    <row r="267" spans="1:22" ht="30" x14ac:dyDescent="0.25">
      <c r="A267" s="234" t="s">
        <v>417</v>
      </c>
      <c r="B267" s="235" t="s">
        <v>418</v>
      </c>
      <c r="C267" s="234" t="s">
        <v>52</v>
      </c>
      <c r="D267" s="312">
        <v>1448.15</v>
      </c>
      <c r="E267" s="312"/>
      <c r="F267" s="248"/>
      <c r="G267" s="312"/>
      <c r="H267" s="312"/>
      <c r="I267" s="312"/>
      <c r="J267" s="248">
        <f t="shared" si="28"/>
        <v>0</v>
      </c>
      <c r="K267" s="330">
        <f t="shared" si="29"/>
        <v>-1448.15</v>
      </c>
      <c r="L267" s="313"/>
      <c r="M267" s="228">
        <f t="shared" si="30"/>
        <v>0</v>
      </c>
      <c r="N267" s="228">
        <f t="shared" si="33"/>
        <v>0</v>
      </c>
      <c r="O267" s="228">
        <f t="shared" si="34"/>
        <v>0</v>
      </c>
      <c r="P267" s="228">
        <f t="shared" si="34"/>
        <v>0</v>
      </c>
      <c r="Q267" s="228">
        <f t="shared" si="31"/>
        <v>0</v>
      </c>
      <c r="R267" s="343">
        <f t="shared" si="32"/>
        <v>-1448.15</v>
      </c>
      <c r="S267" s="240"/>
      <c r="T267" s="201"/>
      <c r="U267" s="201"/>
      <c r="V267" s="201"/>
    </row>
    <row r="268" spans="1:22" ht="15.75" x14ac:dyDescent="0.25">
      <c r="A268" s="234" t="s">
        <v>419</v>
      </c>
      <c r="B268" s="235" t="s">
        <v>420</v>
      </c>
      <c r="C268" s="234" t="s">
        <v>421</v>
      </c>
      <c r="D268" s="312">
        <v>1924</v>
      </c>
      <c r="E268" s="312"/>
      <c r="F268" s="248"/>
      <c r="G268" s="312"/>
      <c r="H268" s="312"/>
      <c r="I268" s="312"/>
      <c r="J268" s="248">
        <f t="shared" si="28"/>
        <v>0</v>
      </c>
      <c r="K268" s="330">
        <f t="shared" si="29"/>
        <v>-1924</v>
      </c>
      <c r="L268" s="313"/>
      <c r="M268" s="228">
        <f t="shared" si="30"/>
        <v>0</v>
      </c>
      <c r="N268" s="228">
        <f t="shared" si="33"/>
        <v>0</v>
      </c>
      <c r="O268" s="228">
        <f t="shared" si="34"/>
        <v>0</v>
      </c>
      <c r="P268" s="228">
        <f t="shared" si="34"/>
        <v>0</v>
      </c>
      <c r="Q268" s="228">
        <f t="shared" si="31"/>
        <v>0</v>
      </c>
      <c r="R268" s="343">
        <f t="shared" si="32"/>
        <v>-1924</v>
      </c>
      <c r="S268" s="240"/>
      <c r="T268" s="201"/>
      <c r="U268" s="201"/>
      <c r="V268" s="201"/>
    </row>
    <row r="269" spans="1:22" ht="30" x14ac:dyDescent="0.25">
      <c r="A269" s="234" t="s">
        <v>422</v>
      </c>
      <c r="B269" s="235" t="s">
        <v>423</v>
      </c>
      <c r="C269" s="234" t="s">
        <v>52</v>
      </c>
      <c r="D269" s="312">
        <v>2487.5149999999999</v>
      </c>
      <c r="E269" s="312"/>
      <c r="F269" s="248"/>
      <c r="G269" s="312"/>
      <c r="H269" s="312"/>
      <c r="I269" s="312"/>
      <c r="J269" s="248">
        <f t="shared" si="28"/>
        <v>0</v>
      </c>
      <c r="K269" s="330">
        <f t="shared" si="29"/>
        <v>-2487.5149999999999</v>
      </c>
      <c r="L269" s="313"/>
      <c r="M269" s="228">
        <f t="shared" si="30"/>
        <v>0</v>
      </c>
      <c r="N269" s="228">
        <f t="shared" si="33"/>
        <v>0</v>
      </c>
      <c r="O269" s="228">
        <f t="shared" si="34"/>
        <v>0</v>
      </c>
      <c r="P269" s="228">
        <f t="shared" si="34"/>
        <v>0</v>
      </c>
      <c r="Q269" s="228">
        <f t="shared" si="31"/>
        <v>0</v>
      </c>
      <c r="R269" s="343">
        <f t="shared" si="32"/>
        <v>-2487.5149999999999</v>
      </c>
      <c r="S269" s="240"/>
      <c r="T269" s="201"/>
      <c r="U269" s="201"/>
      <c r="V269" s="201"/>
    </row>
    <row r="270" spans="1:22" ht="15.75" x14ac:dyDescent="0.25">
      <c r="A270" s="234" t="s">
        <v>424</v>
      </c>
      <c r="B270" s="235" t="s">
        <v>425</v>
      </c>
      <c r="C270" s="234" t="s">
        <v>52</v>
      </c>
      <c r="D270" s="312">
        <v>32578.589</v>
      </c>
      <c r="E270" s="312"/>
      <c r="F270" s="248"/>
      <c r="G270" s="312"/>
      <c r="H270" s="312"/>
      <c r="I270" s="312"/>
      <c r="J270" s="248">
        <f t="shared" si="28"/>
        <v>0</v>
      </c>
      <c r="K270" s="330">
        <f t="shared" si="29"/>
        <v>-32578.589</v>
      </c>
      <c r="L270" s="313"/>
      <c r="M270" s="228">
        <f t="shared" si="30"/>
        <v>0</v>
      </c>
      <c r="N270" s="228">
        <f t="shared" si="33"/>
        <v>0</v>
      </c>
      <c r="O270" s="228">
        <f t="shared" si="34"/>
        <v>0</v>
      </c>
      <c r="P270" s="228">
        <f t="shared" si="34"/>
        <v>0</v>
      </c>
      <c r="Q270" s="228">
        <f t="shared" si="31"/>
        <v>0</v>
      </c>
      <c r="R270" s="343">
        <f t="shared" si="32"/>
        <v>-32578.589</v>
      </c>
      <c r="S270" s="240"/>
      <c r="T270" s="201"/>
      <c r="U270" s="201"/>
      <c r="V270" s="201"/>
    </row>
    <row r="271" spans="1:22" ht="15.75" x14ac:dyDescent="0.25">
      <c r="A271" s="234" t="s">
        <v>426</v>
      </c>
      <c r="B271" s="235" t="s">
        <v>427</v>
      </c>
      <c r="C271" s="234" t="s">
        <v>52</v>
      </c>
      <c r="D271" s="312">
        <v>22357.212</v>
      </c>
      <c r="E271" s="312"/>
      <c r="F271" s="248"/>
      <c r="G271" s="312"/>
      <c r="H271" s="312"/>
      <c r="I271" s="312"/>
      <c r="J271" s="248">
        <f t="shared" si="28"/>
        <v>0</v>
      </c>
      <c r="K271" s="330">
        <f t="shared" si="29"/>
        <v>-22357.212</v>
      </c>
      <c r="L271" s="313"/>
      <c r="M271" s="228">
        <f t="shared" si="30"/>
        <v>0</v>
      </c>
      <c r="N271" s="228">
        <f t="shared" si="33"/>
        <v>0</v>
      </c>
      <c r="O271" s="228">
        <f t="shared" si="34"/>
        <v>0</v>
      </c>
      <c r="P271" s="228">
        <f t="shared" si="34"/>
        <v>0</v>
      </c>
      <c r="Q271" s="228">
        <f t="shared" si="31"/>
        <v>0</v>
      </c>
      <c r="R271" s="343">
        <f t="shared" si="32"/>
        <v>-22357.212</v>
      </c>
      <c r="S271" s="240"/>
      <c r="T271" s="201"/>
      <c r="U271" s="201"/>
      <c r="V271" s="201"/>
    </row>
    <row r="272" spans="1:22" ht="30" x14ac:dyDescent="0.25">
      <c r="A272" s="234" t="s">
        <v>428</v>
      </c>
      <c r="B272" s="235" t="s">
        <v>429</v>
      </c>
      <c r="C272" s="234" t="s">
        <v>52</v>
      </c>
      <c r="D272" s="312">
        <v>54935.800999999999</v>
      </c>
      <c r="E272" s="312"/>
      <c r="F272" s="248"/>
      <c r="G272" s="312"/>
      <c r="H272" s="312"/>
      <c r="I272" s="312"/>
      <c r="J272" s="248">
        <f t="shared" si="28"/>
        <v>0</v>
      </c>
      <c r="K272" s="330">
        <f t="shared" si="29"/>
        <v>-54935.800999999999</v>
      </c>
      <c r="L272" s="313"/>
      <c r="M272" s="228">
        <f t="shared" si="30"/>
        <v>0</v>
      </c>
      <c r="N272" s="228">
        <f t="shared" si="33"/>
        <v>0</v>
      </c>
      <c r="O272" s="228">
        <f t="shared" si="34"/>
        <v>0</v>
      </c>
      <c r="P272" s="228">
        <f t="shared" si="34"/>
        <v>0</v>
      </c>
      <c r="Q272" s="228">
        <f t="shared" si="31"/>
        <v>0</v>
      </c>
      <c r="R272" s="343">
        <f t="shared" si="32"/>
        <v>-54935.800999999999</v>
      </c>
      <c r="S272" s="240"/>
      <c r="T272" s="201"/>
      <c r="U272" s="201"/>
      <c r="V272" s="201"/>
    </row>
    <row r="273" spans="1:22" ht="15.75" x14ac:dyDescent="0.25">
      <c r="A273" s="234" t="s">
        <v>430</v>
      </c>
      <c r="B273" s="235" t="s">
        <v>431</v>
      </c>
      <c r="C273" s="234" t="s">
        <v>52</v>
      </c>
      <c r="D273" s="312">
        <v>1114.652</v>
      </c>
      <c r="E273" s="312"/>
      <c r="F273" s="248"/>
      <c r="G273" s="312"/>
      <c r="H273" s="312"/>
      <c r="I273" s="312"/>
      <c r="J273" s="248">
        <f t="shared" si="28"/>
        <v>0</v>
      </c>
      <c r="K273" s="330">
        <f t="shared" si="29"/>
        <v>-1114.652</v>
      </c>
      <c r="L273" s="313"/>
      <c r="M273" s="228">
        <f t="shared" si="30"/>
        <v>0</v>
      </c>
      <c r="N273" s="228">
        <f t="shared" si="33"/>
        <v>0</v>
      </c>
      <c r="O273" s="228">
        <f t="shared" si="34"/>
        <v>0</v>
      </c>
      <c r="P273" s="228">
        <f t="shared" si="34"/>
        <v>0</v>
      </c>
      <c r="Q273" s="228">
        <f t="shared" si="31"/>
        <v>0</v>
      </c>
      <c r="R273" s="343">
        <f t="shared" si="32"/>
        <v>-1114.652</v>
      </c>
      <c r="S273" s="240"/>
      <c r="T273" s="201"/>
      <c r="U273" s="201"/>
      <c r="V273" s="201"/>
    </row>
    <row r="274" spans="1:22" ht="30" x14ac:dyDescent="0.25">
      <c r="A274" s="234" t="s">
        <v>432</v>
      </c>
      <c r="B274" s="235" t="s">
        <v>433</v>
      </c>
      <c r="C274" s="234" t="s">
        <v>52</v>
      </c>
      <c r="D274" s="312">
        <v>81.48</v>
      </c>
      <c r="E274" s="312"/>
      <c r="F274" s="248"/>
      <c r="G274" s="312"/>
      <c r="H274" s="312"/>
      <c r="I274" s="312"/>
      <c r="J274" s="248">
        <f t="shared" si="28"/>
        <v>0</v>
      </c>
      <c r="K274" s="330">
        <f t="shared" si="29"/>
        <v>-81.48</v>
      </c>
      <c r="L274" s="313"/>
      <c r="M274" s="228">
        <f t="shared" si="30"/>
        <v>0</v>
      </c>
      <c r="N274" s="228">
        <f t="shared" si="33"/>
        <v>0</v>
      </c>
      <c r="O274" s="228">
        <f t="shared" si="34"/>
        <v>0</v>
      </c>
      <c r="P274" s="228">
        <f t="shared" si="34"/>
        <v>0</v>
      </c>
      <c r="Q274" s="228">
        <f t="shared" si="31"/>
        <v>0</v>
      </c>
      <c r="R274" s="343">
        <f t="shared" si="32"/>
        <v>-81.48</v>
      </c>
      <c r="S274" s="240"/>
      <c r="T274" s="201"/>
      <c r="U274" s="201"/>
      <c r="V274" s="201"/>
    </row>
    <row r="275" spans="1:22" ht="15.75" x14ac:dyDescent="0.25">
      <c r="A275" s="234" t="s">
        <v>434</v>
      </c>
      <c r="B275" s="235" t="s">
        <v>435</v>
      </c>
      <c r="C275" s="234" t="s">
        <v>9</v>
      </c>
      <c r="D275" s="312">
        <v>7</v>
      </c>
      <c r="E275" s="312"/>
      <c r="F275" s="248"/>
      <c r="G275" s="312"/>
      <c r="H275" s="312"/>
      <c r="I275" s="312"/>
      <c r="J275" s="248">
        <f t="shared" si="28"/>
        <v>0</v>
      </c>
      <c r="K275" s="330">
        <f t="shared" si="29"/>
        <v>-7</v>
      </c>
      <c r="L275" s="313"/>
      <c r="M275" s="228">
        <f t="shared" si="30"/>
        <v>0</v>
      </c>
      <c r="N275" s="228">
        <f t="shared" si="33"/>
        <v>0</v>
      </c>
      <c r="O275" s="228">
        <f t="shared" si="34"/>
        <v>0</v>
      </c>
      <c r="P275" s="228">
        <f t="shared" si="34"/>
        <v>0</v>
      </c>
      <c r="Q275" s="228">
        <f t="shared" si="31"/>
        <v>0</v>
      </c>
      <c r="R275" s="343">
        <f t="shared" si="32"/>
        <v>-7</v>
      </c>
      <c r="S275" s="240"/>
      <c r="T275" s="201"/>
      <c r="U275" s="201"/>
      <c r="V275" s="201"/>
    </row>
    <row r="276" spans="1:22" ht="15.75" x14ac:dyDescent="0.25">
      <c r="A276" s="234" t="s">
        <v>436</v>
      </c>
      <c r="B276" s="235" t="s">
        <v>437</v>
      </c>
      <c r="C276" s="234" t="s">
        <v>52</v>
      </c>
      <c r="D276" s="312">
        <v>1.9950000000000001</v>
      </c>
      <c r="E276" s="312"/>
      <c r="F276" s="248"/>
      <c r="G276" s="312"/>
      <c r="H276" s="312"/>
      <c r="I276" s="312"/>
      <c r="J276" s="248">
        <f t="shared" si="28"/>
        <v>0</v>
      </c>
      <c r="K276" s="330">
        <f t="shared" si="29"/>
        <v>-1.9950000000000001</v>
      </c>
      <c r="L276" s="313"/>
      <c r="M276" s="228">
        <f t="shared" si="30"/>
        <v>0</v>
      </c>
      <c r="N276" s="228">
        <f t="shared" si="33"/>
        <v>0</v>
      </c>
      <c r="O276" s="228">
        <f t="shared" si="34"/>
        <v>0</v>
      </c>
      <c r="P276" s="228">
        <f t="shared" si="34"/>
        <v>0</v>
      </c>
      <c r="Q276" s="228">
        <f t="shared" si="31"/>
        <v>0</v>
      </c>
      <c r="R276" s="343">
        <f t="shared" si="32"/>
        <v>-1.9950000000000001</v>
      </c>
      <c r="S276" s="240"/>
      <c r="T276" s="201"/>
      <c r="U276" s="201"/>
      <c r="V276" s="201"/>
    </row>
    <row r="277" spans="1:22" ht="15.75" x14ac:dyDescent="0.25">
      <c r="A277" s="234" t="s">
        <v>438</v>
      </c>
      <c r="B277" s="235" t="s">
        <v>439</v>
      </c>
      <c r="C277" s="234" t="s">
        <v>52</v>
      </c>
      <c r="D277" s="312">
        <v>9.9719999999999995</v>
      </c>
      <c r="E277" s="312"/>
      <c r="F277" s="248"/>
      <c r="G277" s="312"/>
      <c r="H277" s="312"/>
      <c r="I277" s="312"/>
      <c r="J277" s="248">
        <f t="shared" si="28"/>
        <v>0</v>
      </c>
      <c r="K277" s="330">
        <f t="shared" si="29"/>
        <v>-9.9719999999999995</v>
      </c>
      <c r="L277" s="313"/>
      <c r="M277" s="228">
        <f t="shared" si="30"/>
        <v>0</v>
      </c>
      <c r="N277" s="228">
        <f t="shared" si="33"/>
        <v>0</v>
      </c>
      <c r="O277" s="228">
        <f t="shared" si="34"/>
        <v>0</v>
      </c>
      <c r="P277" s="228">
        <f t="shared" si="34"/>
        <v>0</v>
      </c>
      <c r="Q277" s="228">
        <f t="shared" si="31"/>
        <v>0</v>
      </c>
      <c r="R277" s="343">
        <f t="shared" si="32"/>
        <v>-9.9719999999999995</v>
      </c>
      <c r="S277" s="240"/>
      <c r="T277" s="201"/>
      <c r="U277" s="201"/>
      <c r="V277" s="201"/>
    </row>
    <row r="278" spans="1:22" ht="15.75" x14ac:dyDescent="0.25">
      <c r="A278" s="234" t="s">
        <v>440</v>
      </c>
      <c r="B278" s="235" t="s">
        <v>441</v>
      </c>
      <c r="C278" s="234" t="s">
        <v>442</v>
      </c>
      <c r="D278" s="312">
        <v>28.524999999999999</v>
      </c>
      <c r="E278" s="312"/>
      <c r="F278" s="248"/>
      <c r="G278" s="312"/>
      <c r="H278" s="312"/>
      <c r="I278" s="312"/>
      <c r="J278" s="248">
        <f t="shared" si="28"/>
        <v>0</v>
      </c>
      <c r="K278" s="330">
        <f t="shared" si="29"/>
        <v>-28.524999999999999</v>
      </c>
      <c r="L278" s="313"/>
      <c r="M278" s="228">
        <f t="shared" si="30"/>
        <v>0</v>
      </c>
      <c r="N278" s="228">
        <f t="shared" si="33"/>
        <v>0</v>
      </c>
      <c r="O278" s="228">
        <f t="shared" si="34"/>
        <v>0</v>
      </c>
      <c r="P278" s="228">
        <f t="shared" si="34"/>
        <v>0</v>
      </c>
      <c r="Q278" s="228">
        <f t="shared" si="31"/>
        <v>0</v>
      </c>
      <c r="R278" s="343">
        <f t="shared" si="32"/>
        <v>-28.524999999999999</v>
      </c>
      <c r="S278" s="240"/>
      <c r="T278" s="201"/>
      <c r="U278" s="201"/>
      <c r="V278" s="201"/>
    </row>
    <row r="279" spans="1:22" ht="15.75" x14ac:dyDescent="0.25">
      <c r="A279" s="234" t="s">
        <v>443</v>
      </c>
      <c r="B279" s="235" t="s">
        <v>444</v>
      </c>
      <c r="C279" s="234" t="s">
        <v>61</v>
      </c>
      <c r="D279" s="312">
        <v>102.61499999999999</v>
      </c>
      <c r="E279" s="312"/>
      <c r="F279" s="248"/>
      <c r="G279" s="312"/>
      <c r="H279" s="312"/>
      <c r="I279" s="312"/>
      <c r="J279" s="248">
        <f t="shared" si="28"/>
        <v>0</v>
      </c>
      <c r="K279" s="330">
        <f t="shared" si="29"/>
        <v>-102.61499999999999</v>
      </c>
      <c r="L279" s="313"/>
      <c r="M279" s="228">
        <f t="shared" si="30"/>
        <v>0</v>
      </c>
      <c r="N279" s="228">
        <f t="shared" si="33"/>
        <v>0</v>
      </c>
      <c r="O279" s="228">
        <f t="shared" si="34"/>
        <v>0</v>
      </c>
      <c r="P279" s="228">
        <f t="shared" si="34"/>
        <v>0</v>
      </c>
      <c r="Q279" s="228">
        <f t="shared" si="31"/>
        <v>0</v>
      </c>
      <c r="R279" s="343">
        <f t="shared" si="32"/>
        <v>-102.61499999999999</v>
      </c>
      <c r="S279" s="240"/>
      <c r="T279" s="201"/>
      <c r="U279" s="201"/>
      <c r="V279" s="201"/>
    </row>
    <row r="280" spans="1:22" ht="28.5" customHeight="1" x14ac:dyDescent="0.25">
      <c r="A280" s="234" t="s">
        <v>445</v>
      </c>
      <c r="B280" s="235" t="s">
        <v>446</v>
      </c>
      <c r="C280" s="234" t="s">
        <v>61</v>
      </c>
      <c r="D280" s="312">
        <v>61.393000000000001</v>
      </c>
      <c r="E280" s="312"/>
      <c r="F280" s="248"/>
      <c r="G280" s="312"/>
      <c r="H280" s="312"/>
      <c r="I280" s="312"/>
      <c r="J280" s="248">
        <f t="shared" si="28"/>
        <v>0</v>
      </c>
      <c r="K280" s="330">
        <f t="shared" si="29"/>
        <v>-61.393000000000001</v>
      </c>
      <c r="L280" s="313"/>
      <c r="M280" s="228">
        <f t="shared" si="30"/>
        <v>0</v>
      </c>
      <c r="N280" s="228">
        <f t="shared" si="33"/>
        <v>0</v>
      </c>
      <c r="O280" s="228">
        <f t="shared" si="34"/>
        <v>0</v>
      </c>
      <c r="P280" s="228">
        <f t="shared" si="34"/>
        <v>0</v>
      </c>
      <c r="Q280" s="228">
        <f t="shared" si="31"/>
        <v>0</v>
      </c>
      <c r="R280" s="343">
        <f t="shared" si="32"/>
        <v>-61.393000000000001</v>
      </c>
      <c r="S280" s="240"/>
      <c r="T280" s="201"/>
      <c r="U280" s="201"/>
      <c r="V280" s="201"/>
    </row>
    <row r="281" spans="1:22" ht="15.75" x14ac:dyDescent="0.25">
      <c r="A281" s="234" t="s">
        <v>447</v>
      </c>
      <c r="B281" s="235" t="s">
        <v>448</v>
      </c>
      <c r="C281" s="234" t="s">
        <v>52</v>
      </c>
      <c r="D281" s="312">
        <v>10261.5</v>
      </c>
      <c r="E281" s="312"/>
      <c r="F281" s="248"/>
      <c r="G281" s="312"/>
      <c r="H281" s="312"/>
      <c r="I281" s="312"/>
      <c r="J281" s="248">
        <f t="shared" si="28"/>
        <v>0</v>
      </c>
      <c r="K281" s="330">
        <f t="shared" si="29"/>
        <v>-10261.5</v>
      </c>
      <c r="L281" s="313"/>
      <c r="M281" s="228">
        <f t="shared" si="30"/>
        <v>0</v>
      </c>
      <c r="N281" s="228">
        <f t="shared" si="33"/>
        <v>0</v>
      </c>
      <c r="O281" s="228">
        <f t="shared" si="34"/>
        <v>0</v>
      </c>
      <c r="P281" s="228">
        <f t="shared" si="34"/>
        <v>0</v>
      </c>
      <c r="Q281" s="228">
        <f t="shared" si="31"/>
        <v>0</v>
      </c>
      <c r="R281" s="343">
        <f t="shared" si="32"/>
        <v>-10261.5</v>
      </c>
      <c r="S281" s="240"/>
      <c r="T281" s="201"/>
      <c r="U281" s="201"/>
      <c r="V281" s="201"/>
    </row>
    <row r="282" spans="1:22" ht="15.75" x14ac:dyDescent="0.25">
      <c r="A282" s="234" t="s">
        <v>449</v>
      </c>
      <c r="B282" s="235" t="s">
        <v>450</v>
      </c>
      <c r="C282" s="234" t="s">
        <v>52</v>
      </c>
      <c r="D282" s="312">
        <v>1090.8</v>
      </c>
      <c r="E282" s="312"/>
      <c r="F282" s="248"/>
      <c r="G282" s="312"/>
      <c r="H282" s="312"/>
      <c r="I282" s="312"/>
      <c r="J282" s="248">
        <f t="shared" si="28"/>
        <v>0</v>
      </c>
      <c r="K282" s="330">
        <f t="shared" si="29"/>
        <v>-1090.8</v>
      </c>
      <c r="L282" s="313"/>
      <c r="M282" s="228">
        <f t="shared" si="30"/>
        <v>0</v>
      </c>
      <c r="N282" s="228">
        <f t="shared" si="33"/>
        <v>0</v>
      </c>
      <c r="O282" s="228">
        <f t="shared" si="34"/>
        <v>0</v>
      </c>
      <c r="P282" s="228">
        <f t="shared" si="34"/>
        <v>0</v>
      </c>
      <c r="Q282" s="228">
        <f t="shared" si="31"/>
        <v>0</v>
      </c>
      <c r="R282" s="343">
        <f t="shared" si="32"/>
        <v>-1090.8</v>
      </c>
      <c r="S282" s="240"/>
      <c r="T282" s="201"/>
      <c r="U282" s="201"/>
      <c r="V282" s="201"/>
    </row>
    <row r="283" spans="1:22" ht="15.75" x14ac:dyDescent="0.25">
      <c r="A283" s="234" t="s">
        <v>451</v>
      </c>
      <c r="B283" s="235" t="s">
        <v>452</v>
      </c>
      <c r="C283" s="234" t="s">
        <v>52</v>
      </c>
      <c r="D283" s="312">
        <v>10261.5</v>
      </c>
      <c r="E283" s="312"/>
      <c r="F283" s="248"/>
      <c r="G283" s="312"/>
      <c r="H283" s="312"/>
      <c r="I283" s="312"/>
      <c r="J283" s="248">
        <f t="shared" si="28"/>
        <v>0</v>
      </c>
      <c r="K283" s="330">
        <f t="shared" si="29"/>
        <v>-10261.5</v>
      </c>
      <c r="L283" s="313"/>
      <c r="M283" s="228">
        <f t="shared" si="30"/>
        <v>0</v>
      </c>
      <c r="N283" s="228">
        <f t="shared" si="33"/>
        <v>0</v>
      </c>
      <c r="O283" s="228">
        <f t="shared" si="34"/>
        <v>0</v>
      </c>
      <c r="P283" s="228">
        <f t="shared" si="34"/>
        <v>0</v>
      </c>
      <c r="Q283" s="228">
        <f t="shared" si="31"/>
        <v>0</v>
      </c>
      <c r="R283" s="343">
        <f t="shared" si="32"/>
        <v>-10261.5</v>
      </c>
      <c r="S283" s="240"/>
      <c r="T283" s="201"/>
      <c r="U283" s="201"/>
      <c r="V283" s="201"/>
    </row>
    <row r="284" spans="1:22" ht="30" x14ac:dyDescent="0.25">
      <c r="A284" s="234" t="s">
        <v>453</v>
      </c>
      <c r="B284" s="235" t="s">
        <v>454</v>
      </c>
      <c r="C284" s="234" t="s">
        <v>37</v>
      </c>
      <c r="D284" s="312">
        <v>1634.6379999999999</v>
      </c>
      <c r="E284" s="312"/>
      <c r="F284" s="248"/>
      <c r="G284" s="312"/>
      <c r="H284" s="312"/>
      <c r="I284" s="312"/>
      <c r="J284" s="248">
        <f t="shared" si="28"/>
        <v>0</v>
      </c>
      <c r="K284" s="330">
        <f t="shared" si="29"/>
        <v>-1634.6379999999999</v>
      </c>
      <c r="L284" s="313"/>
      <c r="M284" s="228">
        <f t="shared" si="30"/>
        <v>0</v>
      </c>
      <c r="N284" s="228">
        <f t="shared" si="33"/>
        <v>0</v>
      </c>
      <c r="O284" s="228">
        <f t="shared" si="34"/>
        <v>0</v>
      </c>
      <c r="P284" s="228">
        <f t="shared" si="34"/>
        <v>0</v>
      </c>
      <c r="Q284" s="228">
        <f t="shared" si="31"/>
        <v>0</v>
      </c>
      <c r="R284" s="343">
        <f t="shared" si="32"/>
        <v>-1634.6379999999999</v>
      </c>
      <c r="S284" s="240"/>
      <c r="T284" s="201"/>
      <c r="U284" s="201"/>
      <c r="V284" s="201"/>
    </row>
    <row r="285" spans="1:22" ht="30" x14ac:dyDescent="0.25">
      <c r="A285" s="234" t="s">
        <v>455</v>
      </c>
      <c r="B285" s="235" t="s">
        <v>456</v>
      </c>
      <c r="C285" s="234" t="s">
        <v>32</v>
      </c>
      <c r="D285" s="312">
        <v>55.335999999999999</v>
      </c>
      <c r="E285" s="312"/>
      <c r="F285" s="248"/>
      <c r="G285" s="312"/>
      <c r="H285" s="312"/>
      <c r="I285" s="312"/>
      <c r="J285" s="248">
        <f t="shared" si="28"/>
        <v>0</v>
      </c>
      <c r="K285" s="330">
        <f t="shared" si="29"/>
        <v>-55.335999999999999</v>
      </c>
      <c r="L285" s="313"/>
      <c r="M285" s="228">
        <f t="shared" si="30"/>
        <v>0</v>
      </c>
      <c r="N285" s="228">
        <f t="shared" si="33"/>
        <v>0</v>
      </c>
      <c r="O285" s="228">
        <f t="shared" si="34"/>
        <v>0</v>
      </c>
      <c r="P285" s="228">
        <f t="shared" si="34"/>
        <v>0</v>
      </c>
      <c r="Q285" s="228">
        <f t="shared" si="31"/>
        <v>0</v>
      </c>
      <c r="R285" s="343">
        <f t="shared" si="32"/>
        <v>-55.335999999999999</v>
      </c>
      <c r="S285" s="240"/>
      <c r="T285" s="201"/>
      <c r="U285" s="201"/>
      <c r="V285" s="201"/>
    </row>
    <row r="286" spans="1:22" ht="30" x14ac:dyDescent="0.25">
      <c r="A286" s="234" t="s">
        <v>457</v>
      </c>
      <c r="B286" s="235" t="s">
        <v>458</v>
      </c>
      <c r="C286" s="234" t="s">
        <v>459</v>
      </c>
      <c r="D286" s="312">
        <v>1214.2</v>
      </c>
      <c r="E286" s="312"/>
      <c r="F286" s="248"/>
      <c r="G286" s="312"/>
      <c r="H286" s="312"/>
      <c r="I286" s="312"/>
      <c r="J286" s="248">
        <f t="shared" si="28"/>
        <v>0</v>
      </c>
      <c r="K286" s="330">
        <f t="shared" si="29"/>
        <v>-1214.2</v>
      </c>
      <c r="L286" s="313"/>
      <c r="M286" s="228">
        <f t="shared" si="30"/>
        <v>0</v>
      </c>
      <c r="N286" s="228">
        <f t="shared" si="33"/>
        <v>0</v>
      </c>
      <c r="O286" s="228">
        <f t="shared" si="34"/>
        <v>0</v>
      </c>
      <c r="P286" s="228">
        <f t="shared" si="34"/>
        <v>0</v>
      </c>
      <c r="Q286" s="228">
        <f t="shared" si="31"/>
        <v>0</v>
      </c>
      <c r="R286" s="343">
        <f t="shared" si="32"/>
        <v>-1214.2</v>
      </c>
      <c r="S286" s="240"/>
      <c r="T286" s="201"/>
      <c r="U286" s="201"/>
      <c r="V286" s="201"/>
    </row>
    <row r="287" spans="1:22" ht="30" x14ac:dyDescent="0.25">
      <c r="A287" s="234" t="s">
        <v>460</v>
      </c>
      <c r="B287" s="235" t="s">
        <v>461</v>
      </c>
      <c r="C287" s="234" t="s">
        <v>459</v>
      </c>
      <c r="D287" s="312">
        <v>380.154</v>
      </c>
      <c r="E287" s="312"/>
      <c r="F287" s="248"/>
      <c r="G287" s="312"/>
      <c r="H287" s="312"/>
      <c r="I287" s="312"/>
      <c r="J287" s="248">
        <f t="shared" si="28"/>
        <v>0</v>
      </c>
      <c r="K287" s="330">
        <f t="shared" si="29"/>
        <v>-380.154</v>
      </c>
      <c r="L287" s="313"/>
      <c r="M287" s="228">
        <f t="shared" si="30"/>
        <v>0</v>
      </c>
      <c r="N287" s="228">
        <f t="shared" si="33"/>
        <v>0</v>
      </c>
      <c r="O287" s="228">
        <f t="shared" si="34"/>
        <v>0</v>
      </c>
      <c r="P287" s="228">
        <f t="shared" si="34"/>
        <v>0</v>
      </c>
      <c r="Q287" s="228">
        <f t="shared" si="31"/>
        <v>0</v>
      </c>
      <c r="R287" s="343">
        <f t="shared" si="32"/>
        <v>-380.154</v>
      </c>
      <c r="S287" s="240"/>
      <c r="T287" s="201"/>
      <c r="U287" s="201"/>
      <c r="V287" s="201"/>
    </row>
    <row r="288" spans="1:22" ht="30" x14ac:dyDescent="0.25">
      <c r="A288" s="234" t="s">
        <v>462</v>
      </c>
      <c r="B288" s="235" t="s">
        <v>463</v>
      </c>
      <c r="C288" s="234" t="s">
        <v>32</v>
      </c>
      <c r="D288" s="312">
        <v>368.04399999999998</v>
      </c>
      <c r="E288" s="312"/>
      <c r="F288" s="248"/>
      <c r="G288" s="312"/>
      <c r="H288" s="312"/>
      <c r="I288" s="312"/>
      <c r="J288" s="248">
        <f t="shared" si="28"/>
        <v>0</v>
      </c>
      <c r="K288" s="330">
        <f t="shared" si="29"/>
        <v>-368.04399999999998</v>
      </c>
      <c r="L288" s="313"/>
      <c r="M288" s="228">
        <f t="shared" si="30"/>
        <v>0</v>
      </c>
      <c r="N288" s="228">
        <f t="shared" si="33"/>
        <v>0</v>
      </c>
      <c r="O288" s="228">
        <f t="shared" si="34"/>
        <v>0</v>
      </c>
      <c r="P288" s="228">
        <f t="shared" si="34"/>
        <v>0</v>
      </c>
      <c r="Q288" s="228">
        <f t="shared" si="31"/>
        <v>0</v>
      </c>
      <c r="R288" s="343">
        <f t="shared" si="32"/>
        <v>-368.04399999999998</v>
      </c>
      <c r="S288" s="240"/>
      <c r="T288" s="201"/>
      <c r="U288" s="201"/>
      <c r="V288" s="201"/>
    </row>
    <row r="289" spans="1:22" ht="30" x14ac:dyDescent="0.25">
      <c r="A289" s="234" t="s">
        <v>464</v>
      </c>
      <c r="B289" s="235" t="s">
        <v>465</v>
      </c>
      <c r="C289" s="234" t="s">
        <v>459</v>
      </c>
      <c r="D289" s="312">
        <v>129.226</v>
      </c>
      <c r="E289" s="312"/>
      <c r="F289" s="248"/>
      <c r="G289" s="312"/>
      <c r="H289" s="312"/>
      <c r="I289" s="312"/>
      <c r="J289" s="248">
        <f t="shared" si="28"/>
        <v>0</v>
      </c>
      <c r="K289" s="330">
        <f t="shared" si="29"/>
        <v>-129.226</v>
      </c>
      <c r="L289" s="313"/>
      <c r="M289" s="228">
        <f t="shared" si="30"/>
        <v>0</v>
      </c>
      <c r="N289" s="228">
        <f t="shared" si="33"/>
        <v>0</v>
      </c>
      <c r="O289" s="228">
        <f t="shared" si="34"/>
        <v>0</v>
      </c>
      <c r="P289" s="228">
        <f t="shared" si="34"/>
        <v>0</v>
      </c>
      <c r="Q289" s="228">
        <f t="shared" si="31"/>
        <v>0</v>
      </c>
      <c r="R289" s="343">
        <f t="shared" si="32"/>
        <v>-129.226</v>
      </c>
      <c r="S289" s="240"/>
      <c r="T289" s="201"/>
      <c r="U289" s="201"/>
      <c r="V289" s="201"/>
    </row>
    <row r="290" spans="1:22" ht="30" x14ac:dyDescent="0.25">
      <c r="A290" s="234" t="s">
        <v>466</v>
      </c>
      <c r="B290" s="235" t="s">
        <v>467</v>
      </c>
      <c r="C290" s="234" t="s">
        <v>459</v>
      </c>
      <c r="D290" s="312">
        <v>514.24900000000002</v>
      </c>
      <c r="E290" s="312"/>
      <c r="F290" s="248"/>
      <c r="G290" s="312"/>
      <c r="H290" s="312"/>
      <c r="I290" s="312"/>
      <c r="J290" s="248">
        <f t="shared" si="28"/>
        <v>0</v>
      </c>
      <c r="K290" s="330">
        <f t="shared" si="29"/>
        <v>-514.24900000000002</v>
      </c>
      <c r="L290" s="313"/>
      <c r="M290" s="228">
        <f t="shared" si="30"/>
        <v>0</v>
      </c>
      <c r="N290" s="228">
        <f t="shared" si="33"/>
        <v>0</v>
      </c>
      <c r="O290" s="228">
        <f t="shared" si="34"/>
        <v>0</v>
      </c>
      <c r="P290" s="228">
        <f t="shared" si="34"/>
        <v>0</v>
      </c>
      <c r="Q290" s="228">
        <f t="shared" si="31"/>
        <v>0</v>
      </c>
      <c r="R290" s="343">
        <f t="shared" si="32"/>
        <v>-514.24900000000002</v>
      </c>
      <c r="S290" s="240"/>
      <c r="T290" s="201"/>
      <c r="U290" s="201"/>
      <c r="V290" s="201"/>
    </row>
    <row r="291" spans="1:22" ht="30" x14ac:dyDescent="0.25">
      <c r="A291" s="234" t="s">
        <v>468</v>
      </c>
      <c r="B291" s="235" t="s">
        <v>41</v>
      </c>
      <c r="C291" s="234" t="s">
        <v>27</v>
      </c>
      <c r="D291" s="312">
        <v>0.67200000000000004</v>
      </c>
      <c r="E291" s="312"/>
      <c r="F291" s="248"/>
      <c r="G291" s="312"/>
      <c r="H291" s="312"/>
      <c r="I291" s="312"/>
      <c r="J291" s="248">
        <f t="shared" si="28"/>
        <v>0</v>
      </c>
      <c r="K291" s="330">
        <f t="shared" si="29"/>
        <v>-0.67200000000000004</v>
      </c>
      <c r="L291" s="313"/>
      <c r="M291" s="228">
        <f t="shared" si="30"/>
        <v>0</v>
      </c>
      <c r="N291" s="228">
        <f t="shared" si="33"/>
        <v>0</v>
      </c>
      <c r="O291" s="228">
        <f t="shared" si="34"/>
        <v>0</v>
      </c>
      <c r="P291" s="228">
        <f t="shared" si="34"/>
        <v>0</v>
      </c>
      <c r="Q291" s="228">
        <f t="shared" si="31"/>
        <v>0</v>
      </c>
      <c r="R291" s="343">
        <f t="shared" si="32"/>
        <v>-0.67200000000000004</v>
      </c>
      <c r="S291" s="240"/>
      <c r="T291" s="201"/>
      <c r="U291" s="201"/>
      <c r="V291" s="201"/>
    </row>
    <row r="292" spans="1:22" ht="30" x14ac:dyDescent="0.25">
      <c r="A292" s="234" t="s">
        <v>469</v>
      </c>
      <c r="B292" s="235" t="s">
        <v>43</v>
      </c>
      <c r="C292" s="234" t="s">
        <v>27</v>
      </c>
      <c r="D292" s="312">
        <v>0.67200000000000004</v>
      </c>
      <c r="E292" s="312"/>
      <c r="F292" s="248"/>
      <c r="G292" s="312"/>
      <c r="H292" s="312"/>
      <c r="I292" s="312"/>
      <c r="J292" s="248">
        <f t="shared" si="28"/>
        <v>0</v>
      </c>
      <c r="K292" s="330">
        <f t="shared" si="29"/>
        <v>-0.67200000000000004</v>
      </c>
      <c r="L292" s="313"/>
      <c r="M292" s="228">
        <f t="shared" si="30"/>
        <v>0</v>
      </c>
      <c r="N292" s="228">
        <f t="shared" si="33"/>
        <v>0</v>
      </c>
      <c r="O292" s="228">
        <f t="shared" si="34"/>
        <v>0</v>
      </c>
      <c r="P292" s="228">
        <f t="shared" si="34"/>
        <v>0</v>
      </c>
      <c r="Q292" s="228">
        <f t="shared" si="31"/>
        <v>0</v>
      </c>
      <c r="R292" s="343">
        <f t="shared" si="32"/>
        <v>-0.67200000000000004</v>
      </c>
      <c r="S292" s="240"/>
      <c r="T292" s="201"/>
      <c r="U292" s="201"/>
      <c r="V292" s="201"/>
    </row>
    <row r="293" spans="1:22" ht="15.75" x14ac:dyDescent="0.25">
      <c r="A293" s="234" t="s">
        <v>470</v>
      </c>
      <c r="B293" s="235" t="s">
        <v>471</v>
      </c>
      <c r="C293" s="234" t="s">
        <v>37</v>
      </c>
      <c r="D293" s="312">
        <v>67.2</v>
      </c>
      <c r="E293" s="312"/>
      <c r="F293" s="248"/>
      <c r="G293" s="312"/>
      <c r="H293" s="312"/>
      <c r="I293" s="312"/>
      <c r="J293" s="248">
        <f t="shared" si="28"/>
        <v>0</v>
      </c>
      <c r="K293" s="330">
        <f t="shared" si="29"/>
        <v>-67.2</v>
      </c>
      <c r="L293" s="313"/>
      <c r="M293" s="228">
        <f t="shared" si="30"/>
        <v>0</v>
      </c>
      <c r="N293" s="228">
        <f t="shared" si="33"/>
        <v>0</v>
      </c>
      <c r="O293" s="228">
        <f t="shared" si="34"/>
        <v>0</v>
      </c>
      <c r="P293" s="228">
        <f t="shared" si="34"/>
        <v>0</v>
      </c>
      <c r="Q293" s="228">
        <f t="shared" si="31"/>
        <v>0</v>
      </c>
      <c r="R293" s="343">
        <f t="shared" si="32"/>
        <v>-67.2</v>
      </c>
      <c r="S293" s="240"/>
      <c r="T293" s="201"/>
      <c r="U293" s="201"/>
      <c r="V293" s="201"/>
    </row>
    <row r="294" spans="1:22" ht="15.75" x14ac:dyDescent="0.25">
      <c r="A294" s="234" t="s">
        <v>472</v>
      </c>
      <c r="B294" s="235" t="s">
        <v>473</v>
      </c>
      <c r="C294" s="234" t="s">
        <v>52</v>
      </c>
      <c r="D294" s="312">
        <v>1247.1500000000001</v>
      </c>
      <c r="E294" s="312"/>
      <c r="F294" s="248"/>
      <c r="G294" s="312"/>
      <c r="H294" s="312"/>
      <c r="I294" s="312"/>
      <c r="J294" s="248">
        <f t="shared" si="28"/>
        <v>0</v>
      </c>
      <c r="K294" s="330">
        <f t="shared" si="29"/>
        <v>-1247.1500000000001</v>
      </c>
      <c r="L294" s="313"/>
      <c r="M294" s="228">
        <f t="shared" si="30"/>
        <v>0</v>
      </c>
      <c r="N294" s="228">
        <f t="shared" si="33"/>
        <v>0</v>
      </c>
      <c r="O294" s="228">
        <f t="shared" si="34"/>
        <v>0</v>
      </c>
      <c r="P294" s="228">
        <f t="shared" si="34"/>
        <v>0</v>
      </c>
      <c r="Q294" s="228">
        <f t="shared" si="31"/>
        <v>0</v>
      </c>
      <c r="R294" s="343">
        <f t="shared" si="32"/>
        <v>-1247.1500000000001</v>
      </c>
      <c r="S294" s="240"/>
      <c r="T294" s="201"/>
      <c r="U294" s="201"/>
      <c r="V294" s="201"/>
    </row>
    <row r="295" spans="1:22" ht="15.75" x14ac:dyDescent="0.25">
      <c r="A295" s="230" t="s">
        <v>474</v>
      </c>
      <c r="B295" s="231" t="s">
        <v>475</v>
      </c>
      <c r="C295" s="230" t="s">
        <v>3</v>
      </c>
      <c r="D295" s="316"/>
      <c r="E295" s="316"/>
      <c r="F295" s="317"/>
      <c r="G295" s="316"/>
      <c r="H295" s="316"/>
      <c r="I295" s="316"/>
      <c r="J295" s="248">
        <f t="shared" si="28"/>
        <v>0</v>
      </c>
      <c r="K295" s="330">
        <f t="shared" si="29"/>
        <v>0</v>
      </c>
      <c r="L295" s="318"/>
      <c r="M295" s="228">
        <f t="shared" si="30"/>
        <v>0</v>
      </c>
      <c r="N295" s="228">
        <f t="shared" si="33"/>
        <v>0</v>
      </c>
      <c r="O295" s="228">
        <f t="shared" si="34"/>
        <v>0</v>
      </c>
      <c r="P295" s="228">
        <f t="shared" si="34"/>
        <v>0</v>
      </c>
      <c r="Q295" s="228">
        <f t="shared" si="31"/>
        <v>0</v>
      </c>
      <c r="R295" s="343">
        <f t="shared" si="32"/>
        <v>0</v>
      </c>
      <c r="S295" s="240"/>
      <c r="T295" s="201"/>
      <c r="U295" s="201"/>
      <c r="V295" s="201"/>
    </row>
    <row r="296" spans="1:22" ht="15.75" x14ac:dyDescent="0.25">
      <c r="A296" s="230" t="s">
        <v>476</v>
      </c>
      <c r="B296" s="231" t="s">
        <v>477</v>
      </c>
      <c r="C296" s="230" t="s">
        <v>3</v>
      </c>
      <c r="D296" s="316"/>
      <c r="E296" s="316"/>
      <c r="F296" s="317"/>
      <c r="G296" s="316"/>
      <c r="H296" s="316"/>
      <c r="I296" s="316"/>
      <c r="J296" s="248">
        <f t="shared" si="28"/>
        <v>0</v>
      </c>
      <c r="K296" s="330">
        <f t="shared" si="29"/>
        <v>0</v>
      </c>
      <c r="L296" s="318"/>
      <c r="M296" s="228">
        <f t="shared" si="30"/>
        <v>0</v>
      </c>
      <c r="N296" s="228">
        <f t="shared" si="33"/>
        <v>0</v>
      </c>
      <c r="O296" s="228">
        <f t="shared" si="34"/>
        <v>0</v>
      </c>
      <c r="P296" s="228">
        <f t="shared" si="34"/>
        <v>0</v>
      </c>
      <c r="Q296" s="228">
        <f t="shared" si="31"/>
        <v>0</v>
      </c>
      <c r="R296" s="343">
        <f t="shared" si="32"/>
        <v>0</v>
      </c>
      <c r="S296" s="240"/>
      <c r="T296" s="201"/>
      <c r="U296" s="201"/>
      <c r="V296" s="201"/>
    </row>
    <row r="297" spans="1:22" ht="15.75" x14ac:dyDescent="0.25">
      <c r="A297" s="234" t="s">
        <v>478</v>
      </c>
      <c r="B297" s="235" t="s">
        <v>479</v>
      </c>
      <c r="C297" s="234" t="s">
        <v>9</v>
      </c>
      <c r="D297" s="312">
        <v>1</v>
      </c>
      <c r="E297" s="312"/>
      <c r="F297" s="248"/>
      <c r="G297" s="312"/>
      <c r="H297" s="312"/>
      <c r="I297" s="312"/>
      <c r="J297" s="248">
        <f t="shared" si="28"/>
        <v>0</v>
      </c>
      <c r="K297" s="330">
        <f t="shared" si="29"/>
        <v>-1</v>
      </c>
      <c r="L297" s="313"/>
      <c r="M297" s="228">
        <f t="shared" si="30"/>
        <v>0</v>
      </c>
      <c r="N297" s="228">
        <f t="shared" si="33"/>
        <v>0</v>
      </c>
      <c r="O297" s="228">
        <f t="shared" si="34"/>
        <v>0</v>
      </c>
      <c r="P297" s="228">
        <f t="shared" si="34"/>
        <v>0</v>
      </c>
      <c r="Q297" s="228">
        <f t="shared" si="31"/>
        <v>0</v>
      </c>
      <c r="R297" s="343">
        <f t="shared" si="32"/>
        <v>-1</v>
      </c>
      <c r="S297" s="240"/>
      <c r="T297" s="201"/>
      <c r="U297" s="201"/>
      <c r="V297" s="201"/>
    </row>
    <row r="298" spans="1:22" ht="15.75" x14ac:dyDescent="0.25">
      <c r="A298" s="234" t="s">
        <v>480</v>
      </c>
      <c r="B298" s="235" t="s">
        <v>481</v>
      </c>
      <c r="C298" s="234" t="s">
        <v>248</v>
      </c>
      <c r="D298" s="312">
        <v>6</v>
      </c>
      <c r="E298" s="312"/>
      <c r="F298" s="248"/>
      <c r="G298" s="312"/>
      <c r="H298" s="312"/>
      <c r="I298" s="312"/>
      <c r="J298" s="248">
        <f t="shared" si="28"/>
        <v>0</v>
      </c>
      <c r="K298" s="330">
        <f t="shared" si="29"/>
        <v>-6</v>
      </c>
      <c r="L298" s="313"/>
      <c r="M298" s="228">
        <f t="shared" si="30"/>
        <v>0</v>
      </c>
      <c r="N298" s="228">
        <f t="shared" si="33"/>
        <v>0</v>
      </c>
      <c r="O298" s="228">
        <f t="shared" si="34"/>
        <v>0</v>
      </c>
      <c r="P298" s="228">
        <f t="shared" si="34"/>
        <v>0</v>
      </c>
      <c r="Q298" s="228">
        <f t="shared" si="31"/>
        <v>0</v>
      </c>
      <c r="R298" s="343">
        <f t="shared" si="32"/>
        <v>-6</v>
      </c>
      <c r="S298" s="240"/>
      <c r="T298" s="201"/>
      <c r="U298" s="201"/>
      <c r="V298" s="201"/>
    </row>
    <row r="299" spans="1:22" ht="15.75" x14ac:dyDescent="0.25">
      <c r="A299" s="234" t="s">
        <v>482</v>
      </c>
      <c r="B299" s="235" t="s">
        <v>483</v>
      </c>
      <c r="C299" s="234" t="s">
        <v>248</v>
      </c>
      <c r="D299" s="312">
        <v>3</v>
      </c>
      <c r="E299" s="312"/>
      <c r="F299" s="248"/>
      <c r="G299" s="312"/>
      <c r="H299" s="312"/>
      <c r="I299" s="312"/>
      <c r="J299" s="248">
        <f t="shared" si="28"/>
        <v>0</v>
      </c>
      <c r="K299" s="330">
        <f t="shared" si="29"/>
        <v>-3</v>
      </c>
      <c r="L299" s="313"/>
      <c r="M299" s="228">
        <f t="shared" si="30"/>
        <v>0</v>
      </c>
      <c r="N299" s="228">
        <f t="shared" si="33"/>
        <v>0</v>
      </c>
      <c r="O299" s="228">
        <f t="shared" si="34"/>
        <v>0</v>
      </c>
      <c r="P299" s="228">
        <f t="shared" si="34"/>
        <v>0</v>
      </c>
      <c r="Q299" s="228">
        <f t="shared" si="31"/>
        <v>0</v>
      </c>
      <c r="R299" s="343">
        <f t="shared" si="32"/>
        <v>-3</v>
      </c>
      <c r="S299" s="240"/>
      <c r="T299" s="201"/>
      <c r="U299" s="201"/>
      <c r="V299" s="201"/>
    </row>
    <row r="300" spans="1:22" ht="15.75" x14ac:dyDescent="0.25">
      <c r="A300" s="234" t="s">
        <v>484</v>
      </c>
      <c r="B300" s="235" t="s">
        <v>485</v>
      </c>
      <c r="C300" s="234" t="s">
        <v>248</v>
      </c>
      <c r="D300" s="312">
        <v>6</v>
      </c>
      <c r="E300" s="312"/>
      <c r="F300" s="248"/>
      <c r="G300" s="312"/>
      <c r="H300" s="312"/>
      <c r="I300" s="312"/>
      <c r="J300" s="248">
        <f t="shared" si="28"/>
        <v>0</v>
      </c>
      <c r="K300" s="330">
        <f t="shared" si="29"/>
        <v>-6</v>
      </c>
      <c r="L300" s="313"/>
      <c r="M300" s="228">
        <f t="shared" si="30"/>
        <v>0</v>
      </c>
      <c r="N300" s="228">
        <f t="shared" si="33"/>
        <v>0</v>
      </c>
      <c r="O300" s="228">
        <f t="shared" si="34"/>
        <v>0</v>
      </c>
      <c r="P300" s="228">
        <f t="shared" si="34"/>
        <v>0</v>
      </c>
      <c r="Q300" s="228">
        <f t="shared" si="31"/>
        <v>0</v>
      </c>
      <c r="R300" s="343">
        <f t="shared" si="32"/>
        <v>-6</v>
      </c>
      <c r="S300" s="240"/>
      <c r="T300" s="201"/>
      <c r="U300" s="201"/>
      <c r="V300" s="201"/>
    </row>
    <row r="301" spans="1:22" ht="15.75" x14ac:dyDescent="0.25">
      <c r="A301" s="234" t="s">
        <v>486</v>
      </c>
      <c r="B301" s="235" t="s">
        <v>487</v>
      </c>
      <c r="C301" s="234" t="s">
        <v>9</v>
      </c>
      <c r="D301" s="312">
        <v>1</v>
      </c>
      <c r="E301" s="312"/>
      <c r="F301" s="248"/>
      <c r="G301" s="312"/>
      <c r="H301" s="312"/>
      <c r="I301" s="312"/>
      <c r="J301" s="248">
        <f t="shared" si="28"/>
        <v>0</v>
      </c>
      <c r="K301" s="330">
        <f t="shared" si="29"/>
        <v>-1</v>
      </c>
      <c r="L301" s="313"/>
      <c r="M301" s="228">
        <f t="shared" si="30"/>
        <v>0</v>
      </c>
      <c r="N301" s="228">
        <f t="shared" si="33"/>
        <v>0</v>
      </c>
      <c r="O301" s="228">
        <f t="shared" si="34"/>
        <v>0</v>
      </c>
      <c r="P301" s="228">
        <f t="shared" si="34"/>
        <v>0</v>
      </c>
      <c r="Q301" s="228">
        <f t="shared" si="31"/>
        <v>0</v>
      </c>
      <c r="R301" s="343">
        <f t="shared" si="32"/>
        <v>-1</v>
      </c>
      <c r="S301" s="240"/>
      <c r="T301" s="201"/>
      <c r="U301" s="201"/>
      <c r="V301" s="201"/>
    </row>
    <row r="302" spans="1:22" ht="15.75" x14ac:dyDescent="0.25">
      <c r="A302" s="234" t="s">
        <v>488</v>
      </c>
      <c r="B302" s="235" t="s">
        <v>489</v>
      </c>
      <c r="C302" s="234" t="s">
        <v>9</v>
      </c>
      <c r="D302" s="312">
        <v>1</v>
      </c>
      <c r="E302" s="312"/>
      <c r="F302" s="248"/>
      <c r="G302" s="312"/>
      <c r="H302" s="312"/>
      <c r="I302" s="312"/>
      <c r="J302" s="248">
        <f t="shared" si="28"/>
        <v>0</v>
      </c>
      <c r="K302" s="330">
        <f t="shared" si="29"/>
        <v>-1</v>
      </c>
      <c r="L302" s="313"/>
      <c r="M302" s="228">
        <f t="shared" si="30"/>
        <v>0</v>
      </c>
      <c r="N302" s="228">
        <f t="shared" si="33"/>
        <v>0</v>
      </c>
      <c r="O302" s="228">
        <f t="shared" si="34"/>
        <v>0</v>
      </c>
      <c r="P302" s="228">
        <f t="shared" si="34"/>
        <v>0</v>
      </c>
      <c r="Q302" s="228">
        <f t="shared" si="31"/>
        <v>0</v>
      </c>
      <c r="R302" s="343">
        <f t="shared" si="32"/>
        <v>-1</v>
      </c>
      <c r="S302" s="240"/>
      <c r="T302" s="201"/>
      <c r="U302" s="201"/>
      <c r="V302" s="201"/>
    </row>
    <row r="303" spans="1:22" ht="15.75" x14ac:dyDescent="0.25">
      <c r="A303" s="234" t="s">
        <v>490</v>
      </c>
      <c r="B303" s="235" t="s">
        <v>491</v>
      </c>
      <c r="C303" s="234" t="s">
        <v>9</v>
      </c>
      <c r="D303" s="312">
        <v>1</v>
      </c>
      <c r="E303" s="312"/>
      <c r="F303" s="248"/>
      <c r="G303" s="312"/>
      <c r="H303" s="312"/>
      <c r="I303" s="312"/>
      <c r="J303" s="248">
        <f t="shared" si="28"/>
        <v>0</v>
      </c>
      <c r="K303" s="330">
        <f t="shared" si="29"/>
        <v>-1</v>
      </c>
      <c r="L303" s="313"/>
      <c r="M303" s="228">
        <f t="shared" si="30"/>
        <v>0</v>
      </c>
      <c r="N303" s="228">
        <f t="shared" si="33"/>
        <v>0</v>
      </c>
      <c r="O303" s="228">
        <f t="shared" si="34"/>
        <v>0</v>
      </c>
      <c r="P303" s="228">
        <f t="shared" si="34"/>
        <v>0</v>
      </c>
      <c r="Q303" s="228">
        <f t="shared" si="31"/>
        <v>0</v>
      </c>
      <c r="R303" s="343">
        <f t="shared" si="32"/>
        <v>-1</v>
      </c>
      <c r="S303" s="240"/>
      <c r="T303" s="201"/>
      <c r="U303" s="201"/>
      <c r="V303" s="201"/>
    </row>
    <row r="304" spans="1:22" ht="15.75" x14ac:dyDescent="0.25">
      <c r="A304" s="234" t="s">
        <v>492</v>
      </c>
      <c r="B304" s="235" t="s">
        <v>493</v>
      </c>
      <c r="C304" s="234" t="s">
        <v>9</v>
      </c>
      <c r="D304" s="312">
        <v>3</v>
      </c>
      <c r="E304" s="312"/>
      <c r="F304" s="248"/>
      <c r="G304" s="312"/>
      <c r="H304" s="312"/>
      <c r="I304" s="312"/>
      <c r="J304" s="248">
        <f t="shared" si="28"/>
        <v>0</v>
      </c>
      <c r="K304" s="330">
        <f t="shared" si="29"/>
        <v>-3</v>
      </c>
      <c r="L304" s="313"/>
      <c r="M304" s="228">
        <f t="shared" si="30"/>
        <v>0</v>
      </c>
      <c r="N304" s="228">
        <f t="shared" si="33"/>
        <v>0</v>
      </c>
      <c r="O304" s="228">
        <f t="shared" si="34"/>
        <v>0</v>
      </c>
      <c r="P304" s="228">
        <f t="shared" si="34"/>
        <v>0</v>
      </c>
      <c r="Q304" s="228">
        <f t="shared" si="31"/>
        <v>0</v>
      </c>
      <c r="R304" s="343">
        <f t="shared" si="32"/>
        <v>-3</v>
      </c>
      <c r="S304" s="240"/>
      <c r="T304" s="201"/>
      <c r="U304" s="201"/>
      <c r="V304" s="201"/>
    </row>
    <row r="305" spans="1:22" ht="15.75" x14ac:dyDescent="0.25">
      <c r="A305" s="234" t="s">
        <v>494</v>
      </c>
      <c r="B305" s="235" t="s">
        <v>495</v>
      </c>
      <c r="C305" s="234" t="s">
        <v>496</v>
      </c>
      <c r="D305" s="312">
        <v>1</v>
      </c>
      <c r="E305" s="312"/>
      <c r="F305" s="248"/>
      <c r="G305" s="312"/>
      <c r="H305" s="312"/>
      <c r="I305" s="312"/>
      <c r="J305" s="248">
        <f t="shared" si="28"/>
        <v>0</v>
      </c>
      <c r="K305" s="330">
        <f t="shared" si="29"/>
        <v>-1</v>
      </c>
      <c r="L305" s="313"/>
      <c r="M305" s="228">
        <f t="shared" si="30"/>
        <v>0</v>
      </c>
      <c r="N305" s="228">
        <f t="shared" si="33"/>
        <v>0</v>
      </c>
      <c r="O305" s="228">
        <f t="shared" si="34"/>
        <v>0</v>
      </c>
      <c r="P305" s="228">
        <f t="shared" si="34"/>
        <v>0</v>
      </c>
      <c r="Q305" s="228">
        <f t="shared" si="31"/>
        <v>0</v>
      </c>
      <c r="R305" s="343">
        <f t="shared" si="32"/>
        <v>-1</v>
      </c>
      <c r="S305" s="240"/>
      <c r="T305" s="201"/>
      <c r="U305" s="201"/>
      <c r="V305" s="201"/>
    </row>
    <row r="306" spans="1:22" ht="30" x14ac:dyDescent="0.25">
      <c r="A306" s="234" t="s">
        <v>497</v>
      </c>
      <c r="B306" s="235" t="s">
        <v>498</v>
      </c>
      <c r="C306" s="234" t="s">
        <v>499</v>
      </c>
      <c r="D306" s="312">
        <v>1</v>
      </c>
      <c r="E306" s="312"/>
      <c r="F306" s="248"/>
      <c r="G306" s="312"/>
      <c r="H306" s="312"/>
      <c r="I306" s="312"/>
      <c r="J306" s="248">
        <f t="shared" si="28"/>
        <v>0</v>
      </c>
      <c r="K306" s="330">
        <f t="shared" si="29"/>
        <v>-1</v>
      </c>
      <c r="L306" s="313"/>
      <c r="M306" s="228">
        <f t="shared" si="30"/>
        <v>0</v>
      </c>
      <c r="N306" s="228">
        <f t="shared" si="33"/>
        <v>0</v>
      </c>
      <c r="O306" s="228">
        <f t="shared" si="34"/>
        <v>0</v>
      </c>
      <c r="P306" s="228">
        <f t="shared" si="34"/>
        <v>0</v>
      </c>
      <c r="Q306" s="228">
        <f t="shared" si="31"/>
        <v>0</v>
      </c>
      <c r="R306" s="343">
        <f t="shared" si="32"/>
        <v>-1</v>
      </c>
      <c r="S306" s="240"/>
      <c r="T306" s="201"/>
      <c r="U306" s="201"/>
      <c r="V306" s="201"/>
    </row>
    <row r="307" spans="1:22" ht="15.75" x14ac:dyDescent="0.25">
      <c r="A307" s="230" t="s">
        <v>500</v>
      </c>
      <c r="B307" s="231" t="s">
        <v>501</v>
      </c>
      <c r="C307" s="244" t="s">
        <v>3</v>
      </c>
      <c r="D307" s="316" t="s">
        <v>3</v>
      </c>
      <c r="E307" s="316"/>
      <c r="F307" s="317"/>
      <c r="G307" s="316"/>
      <c r="H307" s="316"/>
      <c r="I307" s="316"/>
      <c r="J307" s="248">
        <f t="shared" si="28"/>
        <v>0</v>
      </c>
      <c r="K307" s="330"/>
      <c r="L307" s="318"/>
      <c r="M307" s="228">
        <f t="shared" si="30"/>
        <v>0</v>
      </c>
      <c r="N307" s="228">
        <f t="shared" si="33"/>
        <v>0</v>
      </c>
      <c r="O307" s="228">
        <f t="shared" si="34"/>
        <v>0</v>
      </c>
      <c r="P307" s="228">
        <f t="shared" si="34"/>
        <v>0</v>
      </c>
      <c r="Q307" s="228">
        <f t="shared" si="31"/>
        <v>0</v>
      </c>
      <c r="R307" s="343" t="e">
        <f t="shared" si="32"/>
        <v>#VALUE!</v>
      </c>
      <c r="S307" s="240"/>
      <c r="T307" s="201"/>
      <c r="U307" s="201"/>
      <c r="V307" s="201"/>
    </row>
    <row r="308" spans="1:22" ht="15.75" x14ac:dyDescent="0.25">
      <c r="A308" s="234" t="s">
        <v>502</v>
      </c>
      <c r="B308" s="235" t="s">
        <v>503</v>
      </c>
      <c r="C308" s="234" t="s">
        <v>9</v>
      </c>
      <c r="D308" s="312">
        <v>1</v>
      </c>
      <c r="E308" s="312"/>
      <c r="F308" s="248"/>
      <c r="G308" s="312"/>
      <c r="H308" s="312"/>
      <c r="I308" s="312"/>
      <c r="J308" s="248">
        <f t="shared" si="28"/>
        <v>0</v>
      </c>
      <c r="K308" s="330">
        <f t="shared" si="29"/>
        <v>-1</v>
      </c>
      <c r="L308" s="313"/>
      <c r="M308" s="228">
        <f t="shared" si="30"/>
        <v>0</v>
      </c>
      <c r="N308" s="228">
        <f t="shared" si="33"/>
        <v>0</v>
      </c>
      <c r="O308" s="228">
        <f t="shared" si="34"/>
        <v>0</v>
      </c>
      <c r="P308" s="228">
        <f t="shared" si="34"/>
        <v>0</v>
      </c>
      <c r="Q308" s="228">
        <f t="shared" si="31"/>
        <v>0</v>
      </c>
      <c r="R308" s="343">
        <f t="shared" si="32"/>
        <v>-1</v>
      </c>
      <c r="S308" s="240"/>
      <c r="T308" s="201"/>
      <c r="U308" s="201"/>
      <c r="V308" s="201"/>
    </row>
    <row r="309" spans="1:22" ht="15.75" x14ac:dyDescent="0.25">
      <c r="A309" s="234" t="s">
        <v>504</v>
      </c>
      <c r="B309" s="235" t="s">
        <v>505</v>
      </c>
      <c r="C309" s="234" t="s">
        <v>9</v>
      </c>
      <c r="D309" s="312">
        <v>1</v>
      </c>
      <c r="E309" s="312"/>
      <c r="F309" s="248"/>
      <c r="G309" s="312"/>
      <c r="H309" s="312"/>
      <c r="I309" s="312"/>
      <c r="J309" s="248">
        <f t="shared" si="28"/>
        <v>0</v>
      </c>
      <c r="K309" s="330">
        <f t="shared" si="29"/>
        <v>-1</v>
      </c>
      <c r="L309" s="313"/>
      <c r="M309" s="228">
        <f t="shared" si="30"/>
        <v>0</v>
      </c>
      <c r="N309" s="228">
        <f t="shared" si="33"/>
        <v>0</v>
      </c>
      <c r="O309" s="228">
        <f t="shared" si="34"/>
        <v>0</v>
      </c>
      <c r="P309" s="228">
        <f t="shared" si="34"/>
        <v>0</v>
      </c>
      <c r="Q309" s="228">
        <f t="shared" si="31"/>
        <v>0</v>
      </c>
      <c r="R309" s="343">
        <f t="shared" si="32"/>
        <v>-1</v>
      </c>
      <c r="S309" s="240"/>
      <c r="T309" s="201"/>
      <c r="U309" s="201"/>
      <c r="V309" s="201"/>
    </row>
    <row r="310" spans="1:22" ht="15.75" x14ac:dyDescent="0.25">
      <c r="A310" s="234" t="s">
        <v>506</v>
      </c>
      <c r="B310" s="235" t="s">
        <v>507</v>
      </c>
      <c r="C310" s="234" t="s">
        <v>248</v>
      </c>
      <c r="D310" s="312">
        <v>3</v>
      </c>
      <c r="E310" s="312"/>
      <c r="F310" s="248"/>
      <c r="G310" s="312"/>
      <c r="H310" s="312"/>
      <c r="I310" s="312"/>
      <c r="J310" s="248">
        <f t="shared" si="28"/>
        <v>0</v>
      </c>
      <c r="K310" s="330">
        <f t="shared" si="29"/>
        <v>-3</v>
      </c>
      <c r="L310" s="313"/>
      <c r="M310" s="228">
        <f t="shared" si="30"/>
        <v>0</v>
      </c>
      <c r="N310" s="228">
        <f t="shared" si="33"/>
        <v>0</v>
      </c>
      <c r="O310" s="228">
        <f t="shared" si="34"/>
        <v>0</v>
      </c>
      <c r="P310" s="228">
        <f t="shared" si="34"/>
        <v>0</v>
      </c>
      <c r="Q310" s="228">
        <f t="shared" si="31"/>
        <v>0</v>
      </c>
      <c r="R310" s="343">
        <f t="shared" si="32"/>
        <v>-3</v>
      </c>
      <c r="S310" s="240"/>
      <c r="T310" s="201"/>
      <c r="U310" s="201"/>
      <c r="V310" s="201"/>
    </row>
    <row r="311" spans="1:22" ht="15.75" x14ac:dyDescent="0.25">
      <c r="A311" s="234" t="s">
        <v>508</v>
      </c>
      <c r="B311" s="235" t="s">
        <v>509</v>
      </c>
      <c r="C311" s="234" t="s">
        <v>9</v>
      </c>
      <c r="D311" s="312">
        <v>2</v>
      </c>
      <c r="E311" s="312"/>
      <c r="F311" s="248"/>
      <c r="G311" s="312"/>
      <c r="H311" s="312"/>
      <c r="I311" s="312"/>
      <c r="J311" s="248">
        <f t="shared" si="28"/>
        <v>0</v>
      </c>
      <c r="K311" s="330">
        <f t="shared" si="29"/>
        <v>-2</v>
      </c>
      <c r="L311" s="313"/>
      <c r="M311" s="228">
        <f t="shared" si="30"/>
        <v>0</v>
      </c>
      <c r="N311" s="228">
        <f t="shared" si="33"/>
        <v>0</v>
      </c>
      <c r="O311" s="228">
        <f t="shared" si="34"/>
        <v>0</v>
      </c>
      <c r="P311" s="228">
        <f t="shared" si="34"/>
        <v>0</v>
      </c>
      <c r="Q311" s="228">
        <f t="shared" si="31"/>
        <v>0</v>
      </c>
      <c r="R311" s="343">
        <f t="shared" si="32"/>
        <v>-2</v>
      </c>
      <c r="S311" s="240"/>
      <c r="T311" s="201"/>
      <c r="U311" s="201"/>
      <c r="V311" s="201"/>
    </row>
    <row r="312" spans="1:22" ht="15.75" x14ac:dyDescent="0.25">
      <c r="A312" s="234" t="s">
        <v>510</v>
      </c>
      <c r="B312" s="235" t="s">
        <v>511</v>
      </c>
      <c r="C312" s="234" t="s">
        <v>9</v>
      </c>
      <c r="D312" s="312">
        <v>3</v>
      </c>
      <c r="E312" s="312"/>
      <c r="F312" s="248"/>
      <c r="G312" s="312"/>
      <c r="H312" s="312"/>
      <c r="I312" s="312"/>
      <c r="J312" s="248">
        <f t="shared" si="28"/>
        <v>0</v>
      </c>
      <c r="K312" s="330">
        <f t="shared" si="29"/>
        <v>-3</v>
      </c>
      <c r="L312" s="313"/>
      <c r="M312" s="228">
        <f t="shared" si="30"/>
        <v>0</v>
      </c>
      <c r="N312" s="228">
        <f t="shared" si="33"/>
        <v>0</v>
      </c>
      <c r="O312" s="228">
        <f t="shared" si="34"/>
        <v>0</v>
      </c>
      <c r="P312" s="228">
        <f t="shared" si="34"/>
        <v>0</v>
      </c>
      <c r="Q312" s="228">
        <f t="shared" si="31"/>
        <v>0</v>
      </c>
      <c r="R312" s="343">
        <f t="shared" si="32"/>
        <v>-3</v>
      </c>
      <c r="S312" s="240"/>
      <c r="T312" s="201"/>
      <c r="U312" s="201"/>
      <c r="V312" s="201"/>
    </row>
    <row r="313" spans="1:22" ht="15.75" x14ac:dyDescent="0.25">
      <c r="A313" s="234" t="s">
        <v>512</v>
      </c>
      <c r="B313" s="235" t="s">
        <v>495</v>
      </c>
      <c r="C313" s="234" t="s">
        <v>248</v>
      </c>
      <c r="D313" s="312">
        <v>1</v>
      </c>
      <c r="E313" s="312"/>
      <c r="F313" s="248"/>
      <c r="G313" s="312"/>
      <c r="H313" s="312"/>
      <c r="I313" s="312"/>
      <c r="J313" s="248">
        <f t="shared" si="28"/>
        <v>0</v>
      </c>
      <c r="K313" s="330">
        <f t="shared" si="29"/>
        <v>-1</v>
      </c>
      <c r="L313" s="313"/>
      <c r="M313" s="228">
        <f t="shared" si="30"/>
        <v>0</v>
      </c>
      <c r="N313" s="228">
        <f t="shared" si="33"/>
        <v>0</v>
      </c>
      <c r="O313" s="228">
        <f t="shared" si="34"/>
        <v>0</v>
      </c>
      <c r="P313" s="228">
        <f t="shared" si="34"/>
        <v>0</v>
      </c>
      <c r="Q313" s="228">
        <f t="shared" si="31"/>
        <v>0</v>
      </c>
      <c r="R313" s="343">
        <f t="shared" si="32"/>
        <v>-1</v>
      </c>
      <c r="S313" s="240"/>
      <c r="T313" s="201"/>
      <c r="U313" s="201"/>
      <c r="V313" s="201"/>
    </row>
    <row r="314" spans="1:22" ht="30" x14ac:dyDescent="0.25">
      <c r="A314" s="234" t="s">
        <v>513</v>
      </c>
      <c r="B314" s="235" t="s">
        <v>498</v>
      </c>
      <c r="C314" s="234" t="s">
        <v>499</v>
      </c>
      <c r="D314" s="312">
        <v>1</v>
      </c>
      <c r="E314" s="312"/>
      <c r="F314" s="248"/>
      <c r="G314" s="312"/>
      <c r="H314" s="312"/>
      <c r="I314" s="312"/>
      <c r="J314" s="248">
        <f t="shared" ref="J314:J377" si="35">F314+G314+H314+I314</f>
        <v>0</v>
      </c>
      <c r="K314" s="330">
        <f t="shared" ref="K314:K377" si="36">J314-D314</f>
        <v>-1</v>
      </c>
      <c r="L314" s="313"/>
      <c r="M314" s="228">
        <f t="shared" ref="M314:M377" si="37">F314</f>
        <v>0</v>
      </c>
      <c r="N314" s="228">
        <f t="shared" si="33"/>
        <v>0</v>
      </c>
      <c r="O314" s="228">
        <f t="shared" si="34"/>
        <v>0</v>
      </c>
      <c r="P314" s="228">
        <f t="shared" si="34"/>
        <v>0</v>
      </c>
      <c r="Q314" s="228">
        <f t="shared" ref="Q314:Q377" si="38">M314+N314+O314+P314</f>
        <v>0</v>
      </c>
      <c r="R314" s="343">
        <f t="shared" ref="R314:R377" si="39">Q314-D314</f>
        <v>-1</v>
      </c>
      <c r="S314" s="240"/>
      <c r="T314" s="201"/>
      <c r="U314" s="201"/>
      <c r="V314" s="201"/>
    </row>
    <row r="315" spans="1:22" ht="15.75" x14ac:dyDescent="0.25">
      <c r="A315" s="230" t="s">
        <v>514</v>
      </c>
      <c r="B315" s="231" t="s">
        <v>515</v>
      </c>
      <c r="C315" s="230"/>
      <c r="D315" s="316"/>
      <c r="E315" s="316"/>
      <c r="F315" s="317"/>
      <c r="G315" s="316"/>
      <c r="H315" s="316"/>
      <c r="I315" s="316"/>
      <c r="J315" s="248">
        <f t="shared" si="35"/>
        <v>0</v>
      </c>
      <c r="K315" s="330">
        <f t="shared" si="36"/>
        <v>0</v>
      </c>
      <c r="L315" s="318"/>
      <c r="M315" s="228">
        <f t="shared" si="37"/>
        <v>0</v>
      </c>
      <c r="N315" s="228">
        <f t="shared" si="33"/>
        <v>0</v>
      </c>
      <c r="O315" s="228">
        <f t="shared" si="34"/>
        <v>0</v>
      </c>
      <c r="P315" s="228">
        <f t="shared" si="34"/>
        <v>0</v>
      </c>
      <c r="Q315" s="228">
        <f t="shared" si="38"/>
        <v>0</v>
      </c>
      <c r="R315" s="343">
        <f t="shared" si="39"/>
        <v>0</v>
      </c>
      <c r="S315" s="240"/>
      <c r="T315" s="201"/>
      <c r="U315" s="201"/>
      <c r="V315" s="201"/>
    </row>
    <row r="316" spans="1:22" ht="15.75" x14ac:dyDescent="0.25">
      <c r="A316" s="234" t="s">
        <v>516</v>
      </c>
      <c r="B316" s="235" t="s">
        <v>517</v>
      </c>
      <c r="C316" s="234" t="s">
        <v>9</v>
      </c>
      <c r="D316" s="312">
        <v>1</v>
      </c>
      <c r="E316" s="312"/>
      <c r="F316" s="248"/>
      <c r="G316" s="312"/>
      <c r="H316" s="312"/>
      <c r="I316" s="312"/>
      <c r="J316" s="248">
        <f t="shared" si="35"/>
        <v>0</v>
      </c>
      <c r="K316" s="330">
        <f t="shared" si="36"/>
        <v>-1</v>
      </c>
      <c r="L316" s="313"/>
      <c r="M316" s="228">
        <f t="shared" si="37"/>
        <v>0</v>
      </c>
      <c r="N316" s="228">
        <f t="shared" si="33"/>
        <v>0</v>
      </c>
      <c r="O316" s="228">
        <f t="shared" si="34"/>
        <v>0</v>
      </c>
      <c r="P316" s="228">
        <f t="shared" si="34"/>
        <v>0</v>
      </c>
      <c r="Q316" s="228">
        <f t="shared" si="38"/>
        <v>0</v>
      </c>
      <c r="R316" s="343">
        <f t="shared" si="39"/>
        <v>-1</v>
      </c>
      <c r="S316" s="240"/>
      <c r="T316" s="201"/>
      <c r="U316" s="201"/>
      <c r="V316" s="201"/>
    </row>
    <row r="317" spans="1:22" ht="15.75" x14ac:dyDescent="0.25">
      <c r="A317" s="234" t="s">
        <v>518</v>
      </c>
      <c r="B317" s="235" t="s">
        <v>519</v>
      </c>
      <c r="C317" s="234" t="s">
        <v>9</v>
      </c>
      <c r="D317" s="312">
        <v>2</v>
      </c>
      <c r="E317" s="312"/>
      <c r="F317" s="248"/>
      <c r="G317" s="312"/>
      <c r="H317" s="312"/>
      <c r="I317" s="312"/>
      <c r="J317" s="248">
        <f t="shared" si="35"/>
        <v>0</v>
      </c>
      <c r="K317" s="330">
        <f t="shared" si="36"/>
        <v>-2</v>
      </c>
      <c r="L317" s="313"/>
      <c r="M317" s="228">
        <f t="shared" si="37"/>
        <v>0</v>
      </c>
      <c r="N317" s="228">
        <f t="shared" si="33"/>
        <v>0</v>
      </c>
      <c r="O317" s="228">
        <f t="shared" si="34"/>
        <v>0</v>
      </c>
      <c r="P317" s="228">
        <f t="shared" si="34"/>
        <v>0</v>
      </c>
      <c r="Q317" s="228">
        <f t="shared" si="38"/>
        <v>0</v>
      </c>
      <c r="R317" s="343">
        <f t="shared" si="39"/>
        <v>-2</v>
      </c>
      <c r="S317" s="240"/>
      <c r="T317" s="201"/>
      <c r="U317" s="201"/>
      <c r="V317" s="201"/>
    </row>
    <row r="318" spans="1:22" ht="15.75" x14ac:dyDescent="0.25">
      <c r="A318" s="234" t="s">
        <v>520</v>
      </c>
      <c r="B318" s="235" t="s">
        <v>521</v>
      </c>
      <c r="C318" s="234" t="s">
        <v>9</v>
      </c>
      <c r="D318" s="312">
        <v>1</v>
      </c>
      <c r="E318" s="312"/>
      <c r="F318" s="248"/>
      <c r="G318" s="312"/>
      <c r="H318" s="312"/>
      <c r="I318" s="312"/>
      <c r="J318" s="248">
        <f t="shared" si="35"/>
        <v>0</v>
      </c>
      <c r="K318" s="330">
        <f t="shared" si="36"/>
        <v>-1</v>
      </c>
      <c r="L318" s="313"/>
      <c r="M318" s="228">
        <f t="shared" si="37"/>
        <v>0</v>
      </c>
      <c r="N318" s="228">
        <f t="shared" si="33"/>
        <v>0</v>
      </c>
      <c r="O318" s="228">
        <f t="shared" si="34"/>
        <v>0</v>
      </c>
      <c r="P318" s="228">
        <f t="shared" si="34"/>
        <v>0</v>
      </c>
      <c r="Q318" s="228">
        <f t="shared" si="38"/>
        <v>0</v>
      </c>
      <c r="R318" s="343">
        <f t="shared" si="39"/>
        <v>-1</v>
      </c>
      <c r="S318" s="240"/>
      <c r="T318" s="201"/>
      <c r="U318" s="201"/>
      <c r="V318" s="201"/>
    </row>
    <row r="319" spans="1:22" ht="15.75" x14ac:dyDescent="0.25">
      <c r="A319" s="234" t="s">
        <v>522</v>
      </c>
      <c r="B319" s="235" t="s">
        <v>523</v>
      </c>
      <c r="C319" s="234" t="s">
        <v>9</v>
      </c>
      <c r="D319" s="312">
        <v>1</v>
      </c>
      <c r="E319" s="312"/>
      <c r="F319" s="248"/>
      <c r="G319" s="312"/>
      <c r="H319" s="312"/>
      <c r="I319" s="312"/>
      <c r="J319" s="248">
        <f t="shared" si="35"/>
        <v>0</v>
      </c>
      <c r="K319" s="330">
        <f t="shared" si="36"/>
        <v>-1</v>
      </c>
      <c r="L319" s="313"/>
      <c r="M319" s="228">
        <f t="shared" si="37"/>
        <v>0</v>
      </c>
      <c r="N319" s="228">
        <f t="shared" si="33"/>
        <v>0</v>
      </c>
      <c r="O319" s="228">
        <f t="shared" si="34"/>
        <v>0</v>
      </c>
      <c r="P319" s="228">
        <f t="shared" si="34"/>
        <v>0</v>
      </c>
      <c r="Q319" s="228">
        <f t="shared" si="38"/>
        <v>0</v>
      </c>
      <c r="R319" s="343">
        <f t="shared" si="39"/>
        <v>-1</v>
      </c>
      <c r="S319" s="240"/>
      <c r="T319" s="201"/>
      <c r="U319" s="201"/>
      <c r="V319" s="201"/>
    </row>
    <row r="320" spans="1:22" ht="15.75" x14ac:dyDescent="0.25">
      <c r="A320" s="234" t="s">
        <v>524</v>
      </c>
      <c r="B320" s="235" t="s">
        <v>525</v>
      </c>
      <c r="C320" s="234" t="s">
        <v>9</v>
      </c>
      <c r="D320" s="312">
        <v>1</v>
      </c>
      <c r="E320" s="312"/>
      <c r="F320" s="248"/>
      <c r="G320" s="312"/>
      <c r="H320" s="312"/>
      <c r="I320" s="312"/>
      <c r="J320" s="248">
        <f t="shared" si="35"/>
        <v>0</v>
      </c>
      <c r="K320" s="330">
        <f t="shared" si="36"/>
        <v>-1</v>
      </c>
      <c r="L320" s="313"/>
      <c r="M320" s="228">
        <f t="shared" si="37"/>
        <v>0</v>
      </c>
      <c r="N320" s="228">
        <f t="shared" si="33"/>
        <v>0</v>
      </c>
      <c r="O320" s="228">
        <f t="shared" si="34"/>
        <v>0</v>
      </c>
      <c r="P320" s="228">
        <f t="shared" si="34"/>
        <v>0</v>
      </c>
      <c r="Q320" s="228">
        <f t="shared" si="38"/>
        <v>0</v>
      </c>
      <c r="R320" s="343">
        <f t="shared" si="39"/>
        <v>-1</v>
      </c>
      <c r="S320" s="240"/>
      <c r="T320" s="201"/>
      <c r="U320" s="201"/>
      <c r="V320" s="201"/>
    </row>
    <row r="321" spans="1:22" ht="15.75" x14ac:dyDescent="0.25">
      <c r="A321" s="234" t="s">
        <v>526</v>
      </c>
      <c r="B321" s="235" t="s">
        <v>511</v>
      </c>
      <c r="C321" s="234" t="s">
        <v>9</v>
      </c>
      <c r="D321" s="312">
        <v>1</v>
      </c>
      <c r="E321" s="312"/>
      <c r="F321" s="248"/>
      <c r="G321" s="312"/>
      <c r="H321" s="312"/>
      <c r="I321" s="312"/>
      <c r="J321" s="248">
        <f t="shared" si="35"/>
        <v>0</v>
      </c>
      <c r="K321" s="330">
        <f t="shared" si="36"/>
        <v>-1</v>
      </c>
      <c r="L321" s="313"/>
      <c r="M321" s="228">
        <f t="shared" si="37"/>
        <v>0</v>
      </c>
      <c r="N321" s="228">
        <f t="shared" si="33"/>
        <v>0</v>
      </c>
      <c r="O321" s="228">
        <f t="shared" si="34"/>
        <v>0</v>
      </c>
      <c r="P321" s="228">
        <f t="shared" si="34"/>
        <v>0</v>
      </c>
      <c r="Q321" s="228">
        <f t="shared" si="38"/>
        <v>0</v>
      </c>
      <c r="R321" s="343">
        <f t="shared" si="39"/>
        <v>-1</v>
      </c>
      <c r="S321" s="240"/>
      <c r="T321" s="201"/>
      <c r="U321" s="201"/>
      <c r="V321" s="201"/>
    </row>
    <row r="322" spans="1:22" ht="15.75" x14ac:dyDescent="0.25">
      <c r="A322" s="234" t="s">
        <v>527</v>
      </c>
      <c r="B322" s="235" t="s">
        <v>528</v>
      </c>
      <c r="C322" s="234" t="s">
        <v>248</v>
      </c>
      <c r="D322" s="312">
        <v>7</v>
      </c>
      <c r="E322" s="312"/>
      <c r="F322" s="248"/>
      <c r="G322" s="312"/>
      <c r="H322" s="312"/>
      <c r="I322" s="312"/>
      <c r="J322" s="248">
        <f t="shared" si="35"/>
        <v>0</v>
      </c>
      <c r="K322" s="330">
        <f t="shared" si="36"/>
        <v>-7</v>
      </c>
      <c r="L322" s="313"/>
      <c r="M322" s="228">
        <f t="shared" si="37"/>
        <v>0</v>
      </c>
      <c r="N322" s="228">
        <f t="shared" si="33"/>
        <v>0</v>
      </c>
      <c r="O322" s="228">
        <f t="shared" si="34"/>
        <v>0</v>
      </c>
      <c r="P322" s="228">
        <f t="shared" si="34"/>
        <v>0</v>
      </c>
      <c r="Q322" s="228">
        <f t="shared" si="38"/>
        <v>0</v>
      </c>
      <c r="R322" s="343">
        <f t="shared" si="39"/>
        <v>-7</v>
      </c>
      <c r="S322" s="240"/>
      <c r="T322" s="201"/>
      <c r="U322" s="201"/>
      <c r="V322" s="201"/>
    </row>
    <row r="323" spans="1:22" ht="15.75" x14ac:dyDescent="0.25">
      <c r="A323" s="234" t="s">
        <v>529</v>
      </c>
      <c r="B323" s="235" t="s">
        <v>483</v>
      </c>
      <c r="C323" s="234" t="s">
        <v>248</v>
      </c>
      <c r="D323" s="312">
        <v>3</v>
      </c>
      <c r="E323" s="312"/>
      <c r="F323" s="248"/>
      <c r="G323" s="312"/>
      <c r="H323" s="312"/>
      <c r="I323" s="312"/>
      <c r="J323" s="248">
        <f t="shared" si="35"/>
        <v>0</v>
      </c>
      <c r="K323" s="330">
        <f t="shared" si="36"/>
        <v>-3</v>
      </c>
      <c r="L323" s="313"/>
      <c r="M323" s="228">
        <f t="shared" si="37"/>
        <v>0</v>
      </c>
      <c r="N323" s="228">
        <f t="shared" si="33"/>
        <v>0</v>
      </c>
      <c r="O323" s="228">
        <f t="shared" si="34"/>
        <v>0</v>
      </c>
      <c r="P323" s="228">
        <f t="shared" si="34"/>
        <v>0</v>
      </c>
      <c r="Q323" s="228">
        <f t="shared" si="38"/>
        <v>0</v>
      </c>
      <c r="R323" s="343">
        <f t="shared" si="39"/>
        <v>-3</v>
      </c>
      <c r="S323" s="240"/>
      <c r="T323" s="201"/>
      <c r="U323" s="201"/>
      <c r="V323" s="201"/>
    </row>
    <row r="324" spans="1:22" ht="15.75" x14ac:dyDescent="0.25">
      <c r="A324" s="234" t="s">
        <v>530</v>
      </c>
      <c r="B324" s="235" t="s">
        <v>485</v>
      </c>
      <c r="C324" s="234" t="s">
        <v>248</v>
      </c>
      <c r="D324" s="312">
        <v>6</v>
      </c>
      <c r="E324" s="312"/>
      <c r="F324" s="248"/>
      <c r="G324" s="312"/>
      <c r="H324" s="312"/>
      <c r="I324" s="312"/>
      <c r="J324" s="248">
        <f t="shared" si="35"/>
        <v>0</v>
      </c>
      <c r="K324" s="330">
        <f t="shared" si="36"/>
        <v>-6</v>
      </c>
      <c r="L324" s="313"/>
      <c r="M324" s="228">
        <f t="shared" si="37"/>
        <v>0</v>
      </c>
      <c r="N324" s="228">
        <f t="shared" si="33"/>
        <v>0</v>
      </c>
      <c r="O324" s="228">
        <f t="shared" si="34"/>
        <v>0</v>
      </c>
      <c r="P324" s="228">
        <f t="shared" si="34"/>
        <v>0</v>
      </c>
      <c r="Q324" s="228">
        <f t="shared" si="38"/>
        <v>0</v>
      </c>
      <c r="R324" s="343">
        <f t="shared" si="39"/>
        <v>-6</v>
      </c>
      <c r="S324" s="240"/>
      <c r="T324" s="201"/>
      <c r="U324" s="201"/>
      <c r="V324" s="201"/>
    </row>
    <row r="325" spans="1:22" ht="15.75" x14ac:dyDescent="0.25">
      <c r="A325" s="234" t="s">
        <v>531</v>
      </c>
      <c r="B325" s="235" t="s">
        <v>487</v>
      </c>
      <c r="C325" s="234" t="s">
        <v>9</v>
      </c>
      <c r="D325" s="312">
        <v>1</v>
      </c>
      <c r="E325" s="312"/>
      <c r="F325" s="248"/>
      <c r="G325" s="312"/>
      <c r="H325" s="312"/>
      <c r="I325" s="312"/>
      <c r="J325" s="248">
        <f t="shared" si="35"/>
        <v>0</v>
      </c>
      <c r="K325" s="330">
        <f t="shared" si="36"/>
        <v>-1</v>
      </c>
      <c r="L325" s="313"/>
      <c r="M325" s="228">
        <f t="shared" si="37"/>
        <v>0</v>
      </c>
      <c r="N325" s="228">
        <f t="shared" si="33"/>
        <v>0</v>
      </c>
      <c r="O325" s="228">
        <f t="shared" si="34"/>
        <v>0</v>
      </c>
      <c r="P325" s="228">
        <f t="shared" si="34"/>
        <v>0</v>
      </c>
      <c r="Q325" s="228">
        <f t="shared" si="38"/>
        <v>0</v>
      </c>
      <c r="R325" s="343">
        <f t="shared" si="39"/>
        <v>-1</v>
      </c>
      <c r="S325" s="240"/>
      <c r="T325" s="201"/>
      <c r="U325" s="201"/>
      <c r="V325" s="201"/>
    </row>
    <row r="326" spans="1:22" ht="15.75" x14ac:dyDescent="0.25">
      <c r="A326" s="234" t="s">
        <v>532</v>
      </c>
      <c r="B326" s="235" t="s">
        <v>489</v>
      </c>
      <c r="C326" s="234" t="s">
        <v>9</v>
      </c>
      <c r="D326" s="312">
        <v>1</v>
      </c>
      <c r="E326" s="312"/>
      <c r="F326" s="248"/>
      <c r="G326" s="312"/>
      <c r="H326" s="312"/>
      <c r="I326" s="312"/>
      <c r="J326" s="248">
        <f t="shared" si="35"/>
        <v>0</v>
      </c>
      <c r="K326" s="330">
        <f t="shared" si="36"/>
        <v>-1</v>
      </c>
      <c r="L326" s="313"/>
      <c r="M326" s="228">
        <f t="shared" si="37"/>
        <v>0</v>
      </c>
      <c r="N326" s="228">
        <f t="shared" si="33"/>
        <v>0</v>
      </c>
      <c r="O326" s="228">
        <f t="shared" si="34"/>
        <v>0</v>
      </c>
      <c r="P326" s="228">
        <f t="shared" si="34"/>
        <v>0</v>
      </c>
      <c r="Q326" s="228">
        <f t="shared" si="38"/>
        <v>0</v>
      </c>
      <c r="R326" s="343">
        <f t="shared" si="39"/>
        <v>-1</v>
      </c>
      <c r="S326" s="240"/>
      <c r="T326" s="201"/>
      <c r="U326" s="201"/>
      <c r="V326" s="201"/>
    </row>
    <row r="327" spans="1:22" ht="15.75" x14ac:dyDescent="0.25">
      <c r="A327" s="234" t="s">
        <v>533</v>
      </c>
      <c r="B327" s="235" t="s">
        <v>491</v>
      </c>
      <c r="C327" s="234" t="s">
        <v>9</v>
      </c>
      <c r="D327" s="312">
        <v>1</v>
      </c>
      <c r="E327" s="312"/>
      <c r="F327" s="248"/>
      <c r="G327" s="312"/>
      <c r="H327" s="312"/>
      <c r="I327" s="312"/>
      <c r="J327" s="248">
        <f t="shared" si="35"/>
        <v>0</v>
      </c>
      <c r="K327" s="330">
        <f t="shared" si="36"/>
        <v>-1</v>
      </c>
      <c r="L327" s="313"/>
      <c r="M327" s="228">
        <f t="shared" si="37"/>
        <v>0</v>
      </c>
      <c r="N327" s="228">
        <f t="shared" si="33"/>
        <v>0</v>
      </c>
      <c r="O327" s="228">
        <f t="shared" si="34"/>
        <v>0</v>
      </c>
      <c r="P327" s="228">
        <f t="shared" si="34"/>
        <v>0</v>
      </c>
      <c r="Q327" s="228">
        <f t="shared" si="38"/>
        <v>0</v>
      </c>
      <c r="R327" s="343">
        <f t="shared" si="39"/>
        <v>-1</v>
      </c>
      <c r="S327" s="240"/>
      <c r="T327" s="201"/>
      <c r="U327" s="201"/>
      <c r="V327" s="201"/>
    </row>
    <row r="328" spans="1:22" ht="15.75" x14ac:dyDescent="0.25">
      <c r="A328" s="234" t="s">
        <v>534</v>
      </c>
      <c r="B328" s="235" t="s">
        <v>535</v>
      </c>
      <c r="C328" s="234" t="s">
        <v>9</v>
      </c>
      <c r="D328" s="312">
        <v>3</v>
      </c>
      <c r="E328" s="312"/>
      <c r="F328" s="248"/>
      <c r="G328" s="312"/>
      <c r="H328" s="312"/>
      <c r="I328" s="312"/>
      <c r="J328" s="248">
        <f t="shared" si="35"/>
        <v>0</v>
      </c>
      <c r="K328" s="330">
        <f t="shared" si="36"/>
        <v>-3</v>
      </c>
      <c r="L328" s="313"/>
      <c r="M328" s="228">
        <f t="shared" si="37"/>
        <v>0</v>
      </c>
      <c r="N328" s="228">
        <f t="shared" si="33"/>
        <v>0</v>
      </c>
      <c r="O328" s="228">
        <f t="shared" si="34"/>
        <v>0</v>
      </c>
      <c r="P328" s="228">
        <f t="shared" si="34"/>
        <v>0</v>
      </c>
      <c r="Q328" s="228">
        <f t="shared" si="38"/>
        <v>0</v>
      </c>
      <c r="R328" s="343">
        <f t="shared" si="39"/>
        <v>-3</v>
      </c>
      <c r="S328" s="240"/>
      <c r="T328" s="201"/>
      <c r="U328" s="201"/>
      <c r="V328" s="201"/>
    </row>
    <row r="329" spans="1:22" ht="15.75" x14ac:dyDescent="0.25">
      <c r="A329" s="234" t="s">
        <v>536</v>
      </c>
      <c r="B329" s="235" t="s">
        <v>495</v>
      </c>
      <c r="C329" s="234" t="s">
        <v>248</v>
      </c>
      <c r="D329" s="312">
        <v>1</v>
      </c>
      <c r="E329" s="312"/>
      <c r="F329" s="248"/>
      <c r="G329" s="312"/>
      <c r="H329" s="312"/>
      <c r="I329" s="312"/>
      <c r="J329" s="248">
        <f t="shared" si="35"/>
        <v>0</v>
      </c>
      <c r="K329" s="330">
        <f t="shared" si="36"/>
        <v>-1</v>
      </c>
      <c r="L329" s="313"/>
      <c r="M329" s="228">
        <f t="shared" si="37"/>
        <v>0</v>
      </c>
      <c r="N329" s="228">
        <f t="shared" ref="N329:N392" si="40">G329</f>
        <v>0</v>
      </c>
      <c r="O329" s="228">
        <f t="shared" ref="O329:P392" si="41">H329</f>
        <v>0</v>
      </c>
      <c r="P329" s="228">
        <f t="shared" si="41"/>
        <v>0</v>
      </c>
      <c r="Q329" s="228">
        <f t="shared" si="38"/>
        <v>0</v>
      </c>
      <c r="R329" s="343">
        <f t="shared" si="39"/>
        <v>-1</v>
      </c>
      <c r="S329" s="240"/>
      <c r="T329" s="201"/>
      <c r="U329" s="201"/>
      <c r="V329" s="201"/>
    </row>
    <row r="330" spans="1:22" ht="30" x14ac:dyDescent="0.25">
      <c r="A330" s="234" t="s">
        <v>537</v>
      </c>
      <c r="B330" s="235" t="s">
        <v>498</v>
      </c>
      <c r="C330" s="234" t="s">
        <v>499</v>
      </c>
      <c r="D330" s="312">
        <v>1</v>
      </c>
      <c r="E330" s="312"/>
      <c r="F330" s="248"/>
      <c r="G330" s="312"/>
      <c r="H330" s="312"/>
      <c r="I330" s="312"/>
      <c r="J330" s="248">
        <f t="shared" si="35"/>
        <v>0</v>
      </c>
      <c r="K330" s="330">
        <f t="shared" si="36"/>
        <v>-1</v>
      </c>
      <c r="L330" s="313"/>
      <c r="M330" s="228">
        <f t="shared" si="37"/>
        <v>0</v>
      </c>
      <c r="N330" s="228">
        <f t="shared" si="40"/>
        <v>0</v>
      </c>
      <c r="O330" s="228">
        <f t="shared" si="41"/>
        <v>0</v>
      </c>
      <c r="P330" s="228">
        <f t="shared" si="41"/>
        <v>0</v>
      </c>
      <c r="Q330" s="228">
        <f t="shared" si="38"/>
        <v>0</v>
      </c>
      <c r="R330" s="343">
        <f t="shared" si="39"/>
        <v>-1</v>
      </c>
      <c r="S330" s="240"/>
      <c r="T330" s="201"/>
      <c r="U330" s="201"/>
      <c r="V330" s="201"/>
    </row>
    <row r="331" spans="1:22" ht="15.75" x14ac:dyDescent="0.25">
      <c r="A331" s="230" t="s">
        <v>538</v>
      </c>
      <c r="B331" s="231" t="s">
        <v>539</v>
      </c>
      <c r="C331" s="230"/>
      <c r="D331" s="316"/>
      <c r="E331" s="316"/>
      <c r="F331" s="317"/>
      <c r="G331" s="316"/>
      <c r="H331" s="316"/>
      <c r="I331" s="316"/>
      <c r="J331" s="248">
        <f t="shared" si="35"/>
        <v>0</v>
      </c>
      <c r="K331" s="330">
        <f t="shared" si="36"/>
        <v>0</v>
      </c>
      <c r="L331" s="318"/>
      <c r="M331" s="228">
        <f t="shared" si="37"/>
        <v>0</v>
      </c>
      <c r="N331" s="228">
        <f t="shared" si="40"/>
        <v>0</v>
      </c>
      <c r="O331" s="228">
        <f t="shared" si="41"/>
        <v>0</v>
      </c>
      <c r="P331" s="228">
        <f t="shared" si="41"/>
        <v>0</v>
      </c>
      <c r="Q331" s="228">
        <f t="shared" si="38"/>
        <v>0</v>
      </c>
      <c r="R331" s="343">
        <f t="shared" si="39"/>
        <v>0</v>
      </c>
      <c r="S331" s="240"/>
      <c r="T331" s="201"/>
      <c r="U331" s="201"/>
      <c r="V331" s="201"/>
    </row>
    <row r="332" spans="1:22" ht="15.75" x14ac:dyDescent="0.25">
      <c r="A332" s="234" t="s">
        <v>540</v>
      </c>
      <c r="B332" s="235" t="s">
        <v>541</v>
      </c>
      <c r="C332" s="234" t="s">
        <v>9</v>
      </c>
      <c r="D332" s="312">
        <v>1</v>
      </c>
      <c r="E332" s="312"/>
      <c r="F332" s="248"/>
      <c r="G332" s="312"/>
      <c r="H332" s="312"/>
      <c r="I332" s="312"/>
      <c r="J332" s="248">
        <f t="shared" si="35"/>
        <v>0</v>
      </c>
      <c r="K332" s="330">
        <f t="shared" si="36"/>
        <v>-1</v>
      </c>
      <c r="L332" s="313"/>
      <c r="M332" s="228">
        <f t="shared" si="37"/>
        <v>0</v>
      </c>
      <c r="N332" s="228">
        <f t="shared" si="40"/>
        <v>0</v>
      </c>
      <c r="O332" s="228">
        <f t="shared" si="41"/>
        <v>0</v>
      </c>
      <c r="P332" s="228">
        <f t="shared" si="41"/>
        <v>0</v>
      </c>
      <c r="Q332" s="228">
        <f t="shared" si="38"/>
        <v>0</v>
      </c>
      <c r="R332" s="343">
        <f t="shared" si="39"/>
        <v>-1</v>
      </c>
      <c r="S332" s="240"/>
      <c r="T332" s="201"/>
      <c r="U332" s="201"/>
      <c r="V332" s="201"/>
    </row>
    <row r="333" spans="1:22" ht="15.75" x14ac:dyDescent="0.25">
      <c r="A333" s="234" t="s">
        <v>542</v>
      </c>
      <c r="B333" s="235" t="s">
        <v>543</v>
      </c>
      <c r="C333" s="234" t="s">
        <v>9</v>
      </c>
      <c r="D333" s="312">
        <v>1</v>
      </c>
      <c r="E333" s="312"/>
      <c r="F333" s="248"/>
      <c r="G333" s="312"/>
      <c r="H333" s="312"/>
      <c r="I333" s="312"/>
      <c r="J333" s="248">
        <f t="shared" si="35"/>
        <v>0</v>
      </c>
      <c r="K333" s="330">
        <f t="shared" si="36"/>
        <v>-1</v>
      </c>
      <c r="L333" s="313"/>
      <c r="M333" s="228">
        <f t="shared" si="37"/>
        <v>0</v>
      </c>
      <c r="N333" s="228">
        <f t="shared" si="40"/>
        <v>0</v>
      </c>
      <c r="O333" s="228">
        <f t="shared" si="41"/>
        <v>0</v>
      </c>
      <c r="P333" s="228">
        <f t="shared" si="41"/>
        <v>0</v>
      </c>
      <c r="Q333" s="228">
        <f t="shared" si="38"/>
        <v>0</v>
      </c>
      <c r="R333" s="343">
        <f t="shared" si="39"/>
        <v>-1</v>
      </c>
      <c r="S333" s="240"/>
      <c r="T333" s="201"/>
      <c r="U333" s="201"/>
      <c r="V333" s="201"/>
    </row>
    <row r="334" spans="1:22" ht="15.75" x14ac:dyDescent="0.25">
      <c r="A334" s="234" t="s">
        <v>544</v>
      </c>
      <c r="B334" s="235" t="s">
        <v>523</v>
      </c>
      <c r="C334" s="234" t="s">
        <v>9</v>
      </c>
      <c r="D334" s="312">
        <v>1</v>
      </c>
      <c r="E334" s="312"/>
      <c r="F334" s="248"/>
      <c r="G334" s="312"/>
      <c r="H334" s="312"/>
      <c r="I334" s="312"/>
      <c r="J334" s="248">
        <f t="shared" si="35"/>
        <v>0</v>
      </c>
      <c r="K334" s="330">
        <f t="shared" si="36"/>
        <v>-1</v>
      </c>
      <c r="L334" s="313"/>
      <c r="M334" s="228">
        <f t="shared" si="37"/>
        <v>0</v>
      </c>
      <c r="N334" s="228">
        <f t="shared" si="40"/>
        <v>0</v>
      </c>
      <c r="O334" s="228">
        <f t="shared" si="41"/>
        <v>0</v>
      </c>
      <c r="P334" s="228">
        <f t="shared" si="41"/>
        <v>0</v>
      </c>
      <c r="Q334" s="228">
        <f t="shared" si="38"/>
        <v>0</v>
      </c>
      <c r="R334" s="343">
        <f t="shared" si="39"/>
        <v>-1</v>
      </c>
      <c r="S334" s="240"/>
      <c r="T334" s="201"/>
      <c r="U334" s="201"/>
      <c r="V334" s="201"/>
    </row>
    <row r="335" spans="1:22" ht="15.75" x14ac:dyDescent="0.25">
      <c r="A335" s="234" t="s">
        <v>545</v>
      </c>
      <c r="B335" s="235" t="s">
        <v>525</v>
      </c>
      <c r="C335" s="234" t="s">
        <v>9</v>
      </c>
      <c r="D335" s="312">
        <v>1</v>
      </c>
      <c r="E335" s="312"/>
      <c r="F335" s="248"/>
      <c r="G335" s="312"/>
      <c r="H335" s="312"/>
      <c r="I335" s="312"/>
      <c r="J335" s="248">
        <f t="shared" si="35"/>
        <v>0</v>
      </c>
      <c r="K335" s="330">
        <f t="shared" si="36"/>
        <v>-1</v>
      </c>
      <c r="L335" s="313"/>
      <c r="M335" s="228">
        <f t="shared" si="37"/>
        <v>0</v>
      </c>
      <c r="N335" s="228">
        <f t="shared" si="40"/>
        <v>0</v>
      </c>
      <c r="O335" s="228">
        <f t="shared" si="41"/>
        <v>0</v>
      </c>
      <c r="P335" s="228">
        <f t="shared" si="41"/>
        <v>0</v>
      </c>
      <c r="Q335" s="228">
        <f t="shared" si="38"/>
        <v>0</v>
      </c>
      <c r="R335" s="343">
        <f t="shared" si="39"/>
        <v>-1</v>
      </c>
      <c r="S335" s="240"/>
      <c r="T335" s="201"/>
      <c r="U335" s="201"/>
      <c r="V335" s="201"/>
    </row>
    <row r="336" spans="1:22" ht="15.75" x14ac:dyDescent="0.25">
      <c r="A336" s="234" t="s">
        <v>546</v>
      </c>
      <c r="B336" s="235" t="s">
        <v>509</v>
      </c>
      <c r="C336" s="234" t="s">
        <v>9</v>
      </c>
      <c r="D336" s="312">
        <v>3</v>
      </c>
      <c r="E336" s="312"/>
      <c r="F336" s="248"/>
      <c r="G336" s="312"/>
      <c r="H336" s="312"/>
      <c r="I336" s="312"/>
      <c r="J336" s="248">
        <f t="shared" si="35"/>
        <v>0</v>
      </c>
      <c r="K336" s="330">
        <f t="shared" si="36"/>
        <v>-3</v>
      </c>
      <c r="L336" s="313"/>
      <c r="M336" s="228">
        <f t="shared" si="37"/>
        <v>0</v>
      </c>
      <c r="N336" s="228">
        <f t="shared" si="40"/>
        <v>0</v>
      </c>
      <c r="O336" s="228">
        <f t="shared" si="41"/>
        <v>0</v>
      </c>
      <c r="P336" s="228">
        <f t="shared" si="41"/>
        <v>0</v>
      </c>
      <c r="Q336" s="228">
        <f t="shared" si="38"/>
        <v>0</v>
      </c>
      <c r="R336" s="343">
        <f t="shared" si="39"/>
        <v>-3</v>
      </c>
      <c r="S336" s="240"/>
      <c r="T336" s="201"/>
      <c r="U336" s="201"/>
      <c r="V336" s="201"/>
    </row>
    <row r="337" spans="1:22" ht="15.75" x14ac:dyDescent="0.25">
      <c r="A337" s="234" t="s">
        <v>547</v>
      </c>
      <c r="B337" s="235" t="s">
        <v>548</v>
      </c>
      <c r="C337" s="234" t="s">
        <v>9</v>
      </c>
      <c r="D337" s="312">
        <v>2</v>
      </c>
      <c r="E337" s="312"/>
      <c r="F337" s="248"/>
      <c r="G337" s="312"/>
      <c r="H337" s="312"/>
      <c r="I337" s="312"/>
      <c r="J337" s="248">
        <f t="shared" si="35"/>
        <v>0</v>
      </c>
      <c r="K337" s="330">
        <f t="shared" si="36"/>
        <v>-2</v>
      </c>
      <c r="L337" s="313"/>
      <c r="M337" s="228">
        <f t="shared" si="37"/>
        <v>0</v>
      </c>
      <c r="N337" s="228">
        <f t="shared" si="40"/>
        <v>0</v>
      </c>
      <c r="O337" s="228">
        <f t="shared" si="41"/>
        <v>0</v>
      </c>
      <c r="P337" s="228">
        <f t="shared" si="41"/>
        <v>0</v>
      </c>
      <c r="Q337" s="228">
        <f t="shared" si="38"/>
        <v>0</v>
      </c>
      <c r="R337" s="343">
        <f t="shared" si="39"/>
        <v>-2</v>
      </c>
      <c r="S337" s="240"/>
      <c r="T337" s="201"/>
      <c r="U337" s="201"/>
      <c r="V337" s="201"/>
    </row>
    <row r="338" spans="1:22" ht="15.75" x14ac:dyDescent="0.25">
      <c r="A338" s="234" t="s">
        <v>549</v>
      </c>
      <c r="B338" s="235" t="s">
        <v>550</v>
      </c>
      <c r="C338" s="234" t="s">
        <v>248</v>
      </c>
      <c r="D338" s="312">
        <v>7</v>
      </c>
      <c r="E338" s="312"/>
      <c r="F338" s="248"/>
      <c r="G338" s="312"/>
      <c r="H338" s="312"/>
      <c r="I338" s="312"/>
      <c r="J338" s="248">
        <f t="shared" si="35"/>
        <v>0</v>
      </c>
      <c r="K338" s="330">
        <f t="shared" si="36"/>
        <v>-7</v>
      </c>
      <c r="L338" s="313"/>
      <c r="M338" s="228">
        <f t="shared" si="37"/>
        <v>0</v>
      </c>
      <c r="N338" s="228">
        <f t="shared" si="40"/>
        <v>0</v>
      </c>
      <c r="O338" s="228">
        <f t="shared" si="41"/>
        <v>0</v>
      </c>
      <c r="P338" s="228">
        <f t="shared" si="41"/>
        <v>0</v>
      </c>
      <c r="Q338" s="228">
        <f t="shared" si="38"/>
        <v>0</v>
      </c>
      <c r="R338" s="343">
        <f t="shared" si="39"/>
        <v>-7</v>
      </c>
      <c r="S338" s="240"/>
      <c r="T338" s="201"/>
      <c r="U338" s="201"/>
      <c r="V338" s="201"/>
    </row>
    <row r="339" spans="1:22" ht="15.75" x14ac:dyDescent="0.25">
      <c r="A339" s="234" t="s">
        <v>551</v>
      </c>
      <c r="B339" s="235" t="s">
        <v>483</v>
      </c>
      <c r="C339" s="234" t="s">
        <v>248</v>
      </c>
      <c r="D339" s="312">
        <v>3</v>
      </c>
      <c r="E339" s="312"/>
      <c r="F339" s="248"/>
      <c r="G339" s="312"/>
      <c r="H339" s="312"/>
      <c r="I339" s="312"/>
      <c r="J339" s="248">
        <f t="shared" si="35"/>
        <v>0</v>
      </c>
      <c r="K339" s="330">
        <f t="shared" si="36"/>
        <v>-3</v>
      </c>
      <c r="L339" s="313"/>
      <c r="M339" s="228">
        <f t="shared" si="37"/>
        <v>0</v>
      </c>
      <c r="N339" s="228">
        <f t="shared" si="40"/>
        <v>0</v>
      </c>
      <c r="O339" s="228">
        <f t="shared" si="41"/>
        <v>0</v>
      </c>
      <c r="P339" s="228">
        <f t="shared" si="41"/>
        <v>0</v>
      </c>
      <c r="Q339" s="228">
        <f t="shared" si="38"/>
        <v>0</v>
      </c>
      <c r="R339" s="343">
        <f t="shared" si="39"/>
        <v>-3</v>
      </c>
      <c r="S339" s="240"/>
      <c r="T339" s="201"/>
      <c r="U339" s="201"/>
      <c r="V339" s="201"/>
    </row>
    <row r="340" spans="1:22" ht="15.75" x14ac:dyDescent="0.25">
      <c r="A340" s="234" t="s">
        <v>552</v>
      </c>
      <c r="B340" s="235" t="s">
        <v>485</v>
      </c>
      <c r="C340" s="234" t="s">
        <v>248</v>
      </c>
      <c r="D340" s="312">
        <v>6</v>
      </c>
      <c r="E340" s="312"/>
      <c r="F340" s="248"/>
      <c r="G340" s="312"/>
      <c r="H340" s="312"/>
      <c r="I340" s="312"/>
      <c r="J340" s="248">
        <f t="shared" si="35"/>
        <v>0</v>
      </c>
      <c r="K340" s="330">
        <f t="shared" si="36"/>
        <v>-6</v>
      </c>
      <c r="L340" s="313"/>
      <c r="M340" s="228">
        <f t="shared" si="37"/>
        <v>0</v>
      </c>
      <c r="N340" s="228">
        <f t="shared" si="40"/>
        <v>0</v>
      </c>
      <c r="O340" s="228">
        <f t="shared" si="41"/>
        <v>0</v>
      </c>
      <c r="P340" s="228">
        <f t="shared" si="41"/>
        <v>0</v>
      </c>
      <c r="Q340" s="228">
        <f t="shared" si="38"/>
        <v>0</v>
      </c>
      <c r="R340" s="343">
        <f t="shared" si="39"/>
        <v>-6</v>
      </c>
      <c r="S340" s="240"/>
      <c r="T340" s="201"/>
      <c r="U340" s="201"/>
      <c r="V340" s="201"/>
    </row>
    <row r="341" spans="1:22" ht="15.75" x14ac:dyDescent="0.25">
      <c r="A341" s="234" t="s">
        <v>553</v>
      </c>
      <c r="B341" s="235" t="s">
        <v>487</v>
      </c>
      <c r="C341" s="234" t="s">
        <v>9</v>
      </c>
      <c r="D341" s="312">
        <v>1</v>
      </c>
      <c r="E341" s="312"/>
      <c r="F341" s="248"/>
      <c r="G341" s="312"/>
      <c r="H341" s="312"/>
      <c r="I341" s="312"/>
      <c r="J341" s="248">
        <f t="shared" si="35"/>
        <v>0</v>
      </c>
      <c r="K341" s="330">
        <f t="shared" si="36"/>
        <v>-1</v>
      </c>
      <c r="L341" s="313"/>
      <c r="M341" s="228">
        <f t="shared" si="37"/>
        <v>0</v>
      </c>
      <c r="N341" s="228">
        <f t="shared" si="40"/>
        <v>0</v>
      </c>
      <c r="O341" s="228">
        <f t="shared" si="41"/>
        <v>0</v>
      </c>
      <c r="P341" s="228">
        <f t="shared" si="41"/>
        <v>0</v>
      </c>
      <c r="Q341" s="228">
        <f t="shared" si="38"/>
        <v>0</v>
      </c>
      <c r="R341" s="343">
        <f t="shared" si="39"/>
        <v>-1</v>
      </c>
      <c r="S341" s="240"/>
      <c r="T341" s="201"/>
      <c r="U341" s="201"/>
      <c r="V341" s="201"/>
    </row>
    <row r="342" spans="1:22" ht="15.75" x14ac:dyDescent="0.25">
      <c r="A342" s="234" t="s">
        <v>554</v>
      </c>
      <c r="B342" s="235" t="s">
        <v>489</v>
      </c>
      <c r="C342" s="234" t="s">
        <v>9</v>
      </c>
      <c r="D342" s="312">
        <v>1</v>
      </c>
      <c r="E342" s="312"/>
      <c r="F342" s="248"/>
      <c r="G342" s="312"/>
      <c r="H342" s="312"/>
      <c r="I342" s="312"/>
      <c r="J342" s="248">
        <f t="shared" si="35"/>
        <v>0</v>
      </c>
      <c r="K342" s="330">
        <f t="shared" si="36"/>
        <v>-1</v>
      </c>
      <c r="L342" s="313"/>
      <c r="M342" s="228">
        <f t="shared" si="37"/>
        <v>0</v>
      </c>
      <c r="N342" s="228">
        <f t="shared" si="40"/>
        <v>0</v>
      </c>
      <c r="O342" s="228">
        <f t="shared" si="41"/>
        <v>0</v>
      </c>
      <c r="P342" s="228">
        <f t="shared" si="41"/>
        <v>0</v>
      </c>
      <c r="Q342" s="228">
        <f t="shared" si="38"/>
        <v>0</v>
      </c>
      <c r="R342" s="343">
        <f t="shared" si="39"/>
        <v>-1</v>
      </c>
      <c r="S342" s="240"/>
      <c r="T342" s="201"/>
      <c r="U342" s="201"/>
      <c r="V342" s="201"/>
    </row>
    <row r="343" spans="1:22" ht="15.75" x14ac:dyDescent="0.25">
      <c r="A343" s="234" t="s">
        <v>555</v>
      </c>
      <c r="B343" s="235" t="s">
        <v>491</v>
      </c>
      <c r="C343" s="234" t="s">
        <v>9</v>
      </c>
      <c r="D343" s="312">
        <v>1</v>
      </c>
      <c r="E343" s="312"/>
      <c r="F343" s="248"/>
      <c r="G343" s="312"/>
      <c r="H343" s="312"/>
      <c r="I343" s="312"/>
      <c r="J343" s="248">
        <f t="shared" si="35"/>
        <v>0</v>
      </c>
      <c r="K343" s="330">
        <f t="shared" si="36"/>
        <v>-1</v>
      </c>
      <c r="L343" s="313"/>
      <c r="M343" s="228">
        <f t="shared" si="37"/>
        <v>0</v>
      </c>
      <c r="N343" s="228">
        <f t="shared" si="40"/>
        <v>0</v>
      </c>
      <c r="O343" s="228">
        <f t="shared" si="41"/>
        <v>0</v>
      </c>
      <c r="P343" s="228">
        <f t="shared" si="41"/>
        <v>0</v>
      </c>
      <c r="Q343" s="228">
        <f t="shared" si="38"/>
        <v>0</v>
      </c>
      <c r="R343" s="343">
        <f t="shared" si="39"/>
        <v>-1</v>
      </c>
      <c r="S343" s="240"/>
      <c r="T343" s="201"/>
      <c r="U343" s="201"/>
      <c r="V343" s="201"/>
    </row>
    <row r="344" spans="1:22" ht="15.75" x14ac:dyDescent="0.25">
      <c r="A344" s="234" t="s">
        <v>556</v>
      </c>
      <c r="B344" s="235" t="s">
        <v>557</v>
      </c>
      <c r="C344" s="234" t="s">
        <v>9</v>
      </c>
      <c r="D344" s="312">
        <v>3</v>
      </c>
      <c r="E344" s="312"/>
      <c r="F344" s="248"/>
      <c r="G344" s="312"/>
      <c r="H344" s="312"/>
      <c r="I344" s="312"/>
      <c r="J344" s="248">
        <f t="shared" si="35"/>
        <v>0</v>
      </c>
      <c r="K344" s="330">
        <f t="shared" si="36"/>
        <v>-3</v>
      </c>
      <c r="L344" s="313"/>
      <c r="M344" s="228">
        <f t="shared" si="37"/>
        <v>0</v>
      </c>
      <c r="N344" s="228">
        <f t="shared" si="40"/>
        <v>0</v>
      </c>
      <c r="O344" s="228">
        <f t="shared" si="41"/>
        <v>0</v>
      </c>
      <c r="P344" s="228">
        <f t="shared" si="41"/>
        <v>0</v>
      </c>
      <c r="Q344" s="228">
        <f t="shared" si="38"/>
        <v>0</v>
      </c>
      <c r="R344" s="343">
        <f t="shared" si="39"/>
        <v>-3</v>
      </c>
      <c r="S344" s="240"/>
      <c r="T344" s="201"/>
      <c r="U344" s="201"/>
      <c r="V344" s="201"/>
    </row>
    <row r="345" spans="1:22" ht="15.75" x14ac:dyDescent="0.25">
      <c r="A345" s="234" t="s">
        <v>558</v>
      </c>
      <c r="B345" s="235" t="s">
        <v>495</v>
      </c>
      <c r="C345" s="234" t="s">
        <v>248</v>
      </c>
      <c r="D345" s="312">
        <v>1</v>
      </c>
      <c r="E345" s="312"/>
      <c r="F345" s="248"/>
      <c r="G345" s="312"/>
      <c r="H345" s="312"/>
      <c r="I345" s="312"/>
      <c r="J345" s="248">
        <f t="shared" si="35"/>
        <v>0</v>
      </c>
      <c r="K345" s="330">
        <f t="shared" si="36"/>
        <v>-1</v>
      </c>
      <c r="L345" s="313"/>
      <c r="M345" s="228">
        <f t="shared" si="37"/>
        <v>0</v>
      </c>
      <c r="N345" s="228">
        <f t="shared" si="40"/>
        <v>0</v>
      </c>
      <c r="O345" s="228">
        <f t="shared" si="41"/>
        <v>0</v>
      </c>
      <c r="P345" s="228">
        <f t="shared" si="41"/>
        <v>0</v>
      </c>
      <c r="Q345" s="228">
        <f t="shared" si="38"/>
        <v>0</v>
      </c>
      <c r="R345" s="343">
        <f t="shared" si="39"/>
        <v>-1</v>
      </c>
      <c r="S345" s="240"/>
      <c r="T345" s="201"/>
      <c r="U345" s="201"/>
      <c r="V345" s="201"/>
    </row>
    <row r="346" spans="1:22" ht="30" x14ac:dyDescent="0.25">
      <c r="A346" s="234" t="s">
        <v>559</v>
      </c>
      <c r="B346" s="235" t="s">
        <v>498</v>
      </c>
      <c r="C346" s="234" t="s">
        <v>499</v>
      </c>
      <c r="D346" s="312">
        <v>1</v>
      </c>
      <c r="E346" s="312"/>
      <c r="F346" s="248"/>
      <c r="G346" s="312"/>
      <c r="H346" s="312"/>
      <c r="I346" s="312"/>
      <c r="J346" s="248">
        <f t="shared" si="35"/>
        <v>0</v>
      </c>
      <c r="K346" s="330">
        <f t="shared" si="36"/>
        <v>-1</v>
      </c>
      <c r="L346" s="313"/>
      <c r="M346" s="228">
        <f t="shared" si="37"/>
        <v>0</v>
      </c>
      <c r="N346" s="228">
        <f t="shared" si="40"/>
        <v>0</v>
      </c>
      <c r="O346" s="228">
        <f t="shared" si="41"/>
        <v>0</v>
      </c>
      <c r="P346" s="228">
        <f t="shared" si="41"/>
        <v>0</v>
      </c>
      <c r="Q346" s="228">
        <f t="shared" si="38"/>
        <v>0</v>
      </c>
      <c r="R346" s="343">
        <f t="shared" si="39"/>
        <v>-1</v>
      </c>
      <c r="S346" s="240"/>
      <c r="T346" s="201"/>
      <c r="U346" s="201"/>
      <c r="V346" s="201"/>
    </row>
    <row r="347" spans="1:22" ht="15.75" x14ac:dyDescent="0.25">
      <c r="A347" s="230" t="s">
        <v>560</v>
      </c>
      <c r="B347" s="231" t="s">
        <v>561</v>
      </c>
      <c r="C347" s="230"/>
      <c r="D347" s="316"/>
      <c r="E347" s="316"/>
      <c r="F347" s="317"/>
      <c r="G347" s="316"/>
      <c r="H347" s="316"/>
      <c r="I347" s="316"/>
      <c r="J347" s="248">
        <f t="shared" si="35"/>
        <v>0</v>
      </c>
      <c r="K347" s="330">
        <f t="shared" si="36"/>
        <v>0</v>
      </c>
      <c r="L347" s="318"/>
      <c r="M347" s="228">
        <f t="shared" si="37"/>
        <v>0</v>
      </c>
      <c r="N347" s="228">
        <f t="shared" si="40"/>
        <v>0</v>
      </c>
      <c r="O347" s="228">
        <f t="shared" si="41"/>
        <v>0</v>
      </c>
      <c r="P347" s="228">
        <f t="shared" si="41"/>
        <v>0</v>
      </c>
      <c r="Q347" s="228">
        <f t="shared" si="38"/>
        <v>0</v>
      </c>
      <c r="R347" s="343">
        <f t="shared" si="39"/>
        <v>0</v>
      </c>
      <c r="S347" s="240"/>
      <c r="T347" s="201"/>
      <c r="U347" s="201"/>
      <c r="V347" s="201"/>
    </row>
    <row r="348" spans="1:22" ht="15.75" x14ac:dyDescent="0.25">
      <c r="A348" s="234" t="s">
        <v>562</v>
      </c>
      <c r="B348" s="235" t="s">
        <v>505</v>
      </c>
      <c r="C348" s="234" t="s">
        <v>9</v>
      </c>
      <c r="D348" s="312">
        <v>6</v>
      </c>
      <c r="E348" s="312"/>
      <c r="F348" s="248"/>
      <c r="G348" s="312"/>
      <c r="H348" s="312"/>
      <c r="I348" s="312"/>
      <c r="J348" s="248">
        <f t="shared" si="35"/>
        <v>0</v>
      </c>
      <c r="K348" s="330">
        <f t="shared" si="36"/>
        <v>-6</v>
      </c>
      <c r="L348" s="313"/>
      <c r="M348" s="228">
        <f t="shared" si="37"/>
        <v>0</v>
      </c>
      <c r="N348" s="228">
        <f t="shared" si="40"/>
        <v>0</v>
      </c>
      <c r="O348" s="228">
        <f t="shared" si="41"/>
        <v>0</v>
      </c>
      <c r="P348" s="228">
        <f t="shared" si="41"/>
        <v>0</v>
      </c>
      <c r="Q348" s="228">
        <f t="shared" si="38"/>
        <v>0</v>
      </c>
      <c r="R348" s="343">
        <f t="shared" si="39"/>
        <v>-6</v>
      </c>
      <c r="S348" s="240"/>
      <c r="T348" s="201"/>
      <c r="U348" s="201"/>
      <c r="V348" s="201"/>
    </row>
    <row r="349" spans="1:22" ht="15.75" x14ac:dyDescent="0.25">
      <c r="A349" s="234" t="s">
        <v>563</v>
      </c>
      <c r="B349" s="235" t="s">
        <v>509</v>
      </c>
      <c r="C349" s="234" t="s">
        <v>9</v>
      </c>
      <c r="D349" s="312">
        <v>3</v>
      </c>
      <c r="E349" s="312"/>
      <c r="F349" s="248"/>
      <c r="G349" s="312"/>
      <c r="H349" s="312"/>
      <c r="I349" s="312"/>
      <c r="J349" s="248">
        <f t="shared" si="35"/>
        <v>0</v>
      </c>
      <c r="K349" s="330">
        <f t="shared" si="36"/>
        <v>-3</v>
      </c>
      <c r="L349" s="313"/>
      <c r="M349" s="228">
        <f t="shared" si="37"/>
        <v>0</v>
      </c>
      <c r="N349" s="228">
        <f t="shared" si="40"/>
        <v>0</v>
      </c>
      <c r="O349" s="228">
        <f t="shared" si="41"/>
        <v>0</v>
      </c>
      <c r="P349" s="228">
        <f t="shared" si="41"/>
        <v>0</v>
      </c>
      <c r="Q349" s="228">
        <f t="shared" si="38"/>
        <v>0</v>
      </c>
      <c r="R349" s="343">
        <f t="shared" si="39"/>
        <v>-3</v>
      </c>
      <c r="S349" s="240"/>
      <c r="T349" s="201"/>
      <c r="U349" s="201"/>
      <c r="V349" s="201"/>
    </row>
    <row r="350" spans="1:22" ht="15.75" x14ac:dyDescent="0.25">
      <c r="A350" s="234" t="s">
        <v>564</v>
      </c>
      <c r="B350" s="235" t="s">
        <v>565</v>
      </c>
      <c r="C350" s="234" t="s">
        <v>9</v>
      </c>
      <c r="D350" s="312">
        <v>2</v>
      </c>
      <c r="E350" s="312"/>
      <c r="F350" s="248"/>
      <c r="G350" s="312"/>
      <c r="H350" s="312"/>
      <c r="I350" s="312"/>
      <c r="J350" s="248">
        <f t="shared" si="35"/>
        <v>0</v>
      </c>
      <c r="K350" s="330">
        <f t="shared" si="36"/>
        <v>-2</v>
      </c>
      <c r="L350" s="313"/>
      <c r="M350" s="228">
        <f t="shared" si="37"/>
        <v>0</v>
      </c>
      <c r="N350" s="228">
        <f t="shared" si="40"/>
        <v>0</v>
      </c>
      <c r="O350" s="228">
        <f t="shared" si="41"/>
        <v>0</v>
      </c>
      <c r="P350" s="228">
        <f t="shared" si="41"/>
        <v>0</v>
      </c>
      <c r="Q350" s="228">
        <f t="shared" si="38"/>
        <v>0</v>
      </c>
      <c r="R350" s="343">
        <f t="shared" si="39"/>
        <v>-2</v>
      </c>
      <c r="S350" s="240"/>
      <c r="T350" s="201"/>
      <c r="U350" s="201"/>
      <c r="V350" s="201"/>
    </row>
    <row r="351" spans="1:22" ht="15.75" x14ac:dyDescent="0.25">
      <c r="A351" s="234" t="s">
        <v>566</v>
      </c>
      <c r="B351" s="235" t="s">
        <v>511</v>
      </c>
      <c r="C351" s="234" t="s">
        <v>9</v>
      </c>
      <c r="D351" s="312">
        <v>1</v>
      </c>
      <c r="E351" s="312"/>
      <c r="F351" s="248"/>
      <c r="G351" s="312"/>
      <c r="H351" s="312"/>
      <c r="I351" s="312"/>
      <c r="J351" s="248">
        <f t="shared" si="35"/>
        <v>0</v>
      </c>
      <c r="K351" s="330">
        <f t="shared" si="36"/>
        <v>-1</v>
      </c>
      <c r="L351" s="313"/>
      <c r="M351" s="228">
        <f t="shared" si="37"/>
        <v>0</v>
      </c>
      <c r="N351" s="228">
        <f t="shared" si="40"/>
        <v>0</v>
      </c>
      <c r="O351" s="228">
        <f t="shared" si="41"/>
        <v>0</v>
      </c>
      <c r="P351" s="228">
        <f t="shared" si="41"/>
        <v>0</v>
      </c>
      <c r="Q351" s="228">
        <f t="shared" si="38"/>
        <v>0</v>
      </c>
      <c r="R351" s="343">
        <f t="shared" si="39"/>
        <v>-1</v>
      </c>
      <c r="S351" s="240"/>
      <c r="T351" s="201"/>
      <c r="U351" s="201"/>
      <c r="V351" s="201"/>
    </row>
    <row r="352" spans="1:22" ht="15.75" x14ac:dyDescent="0.25">
      <c r="A352" s="234" t="s">
        <v>567</v>
      </c>
      <c r="B352" s="235" t="s">
        <v>548</v>
      </c>
      <c r="C352" s="234" t="s">
        <v>9</v>
      </c>
      <c r="D352" s="312">
        <v>2</v>
      </c>
      <c r="E352" s="312"/>
      <c r="F352" s="248"/>
      <c r="G352" s="312"/>
      <c r="H352" s="312"/>
      <c r="I352" s="312"/>
      <c r="J352" s="248">
        <f t="shared" si="35"/>
        <v>0</v>
      </c>
      <c r="K352" s="330">
        <f t="shared" si="36"/>
        <v>-2</v>
      </c>
      <c r="L352" s="313"/>
      <c r="M352" s="228">
        <f t="shared" si="37"/>
        <v>0</v>
      </c>
      <c r="N352" s="228">
        <f t="shared" si="40"/>
        <v>0</v>
      </c>
      <c r="O352" s="228">
        <f t="shared" si="41"/>
        <v>0</v>
      </c>
      <c r="P352" s="228">
        <f t="shared" si="41"/>
        <v>0</v>
      </c>
      <c r="Q352" s="228">
        <f t="shared" si="38"/>
        <v>0</v>
      </c>
      <c r="R352" s="343">
        <f t="shared" si="39"/>
        <v>-2</v>
      </c>
      <c r="S352" s="240"/>
      <c r="T352" s="201"/>
      <c r="U352" s="201"/>
      <c r="V352" s="201"/>
    </row>
    <row r="353" spans="1:22" ht="15.75" x14ac:dyDescent="0.25">
      <c r="A353" s="234" t="s">
        <v>568</v>
      </c>
      <c r="B353" s="235" t="s">
        <v>495</v>
      </c>
      <c r="C353" s="234" t="s">
        <v>248</v>
      </c>
      <c r="D353" s="312">
        <v>1</v>
      </c>
      <c r="E353" s="312"/>
      <c r="F353" s="248"/>
      <c r="G353" s="312"/>
      <c r="H353" s="312"/>
      <c r="I353" s="312"/>
      <c r="J353" s="248">
        <f t="shared" si="35"/>
        <v>0</v>
      </c>
      <c r="K353" s="330">
        <f t="shared" si="36"/>
        <v>-1</v>
      </c>
      <c r="L353" s="313"/>
      <c r="M353" s="228">
        <f t="shared" si="37"/>
        <v>0</v>
      </c>
      <c r="N353" s="228">
        <f t="shared" si="40"/>
        <v>0</v>
      </c>
      <c r="O353" s="228">
        <f t="shared" si="41"/>
        <v>0</v>
      </c>
      <c r="P353" s="228">
        <f t="shared" si="41"/>
        <v>0</v>
      </c>
      <c r="Q353" s="228">
        <f t="shared" si="38"/>
        <v>0</v>
      </c>
      <c r="R353" s="343">
        <f t="shared" si="39"/>
        <v>-1</v>
      </c>
      <c r="S353" s="240"/>
      <c r="T353" s="201"/>
      <c r="U353" s="201"/>
      <c r="V353" s="201"/>
    </row>
    <row r="354" spans="1:22" ht="30" x14ac:dyDescent="0.25">
      <c r="A354" s="234" t="s">
        <v>569</v>
      </c>
      <c r="B354" s="235" t="s">
        <v>498</v>
      </c>
      <c r="C354" s="234" t="s">
        <v>499</v>
      </c>
      <c r="D354" s="312">
        <v>1</v>
      </c>
      <c r="E354" s="312"/>
      <c r="F354" s="248"/>
      <c r="G354" s="312"/>
      <c r="H354" s="312"/>
      <c r="I354" s="312"/>
      <c r="J354" s="248">
        <f t="shared" si="35"/>
        <v>0</v>
      </c>
      <c r="K354" s="330">
        <f t="shared" si="36"/>
        <v>-1</v>
      </c>
      <c r="L354" s="313"/>
      <c r="M354" s="228">
        <f t="shared" si="37"/>
        <v>0</v>
      </c>
      <c r="N354" s="228">
        <f t="shared" si="40"/>
        <v>0</v>
      </c>
      <c r="O354" s="228">
        <f t="shared" si="41"/>
        <v>0</v>
      </c>
      <c r="P354" s="228">
        <f t="shared" si="41"/>
        <v>0</v>
      </c>
      <c r="Q354" s="228">
        <f t="shared" si="38"/>
        <v>0</v>
      </c>
      <c r="R354" s="343">
        <f t="shared" si="39"/>
        <v>-1</v>
      </c>
      <c r="S354" s="240"/>
      <c r="T354" s="201"/>
      <c r="U354" s="201"/>
      <c r="V354" s="201"/>
    </row>
    <row r="355" spans="1:22" ht="15.75" x14ac:dyDescent="0.25">
      <c r="A355" s="230" t="s">
        <v>570</v>
      </c>
      <c r="B355" s="231" t="s">
        <v>571</v>
      </c>
      <c r="C355" s="230"/>
      <c r="D355" s="316"/>
      <c r="E355" s="316"/>
      <c r="F355" s="317"/>
      <c r="G355" s="316"/>
      <c r="H355" s="316"/>
      <c r="I355" s="316"/>
      <c r="J355" s="248">
        <f t="shared" si="35"/>
        <v>0</v>
      </c>
      <c r="K355" s="330">
        <f t="shared" si="36"/>
        <v>0</v>
      </c>
      <c r="L355" s="318"/>
      <c r="M355" s="228">
        <f t="shared" si="37"/>
        <v>0</v>
      </c>
      <c r="N355" s="228">
        <f t="shared" si="40"/>
        <v>0</v>
      </c>
      <c r="O355" s="228">
        <f t="shared" si="41"/>
        <v>0</v>
      </c>
      <c r="P355" s="228">
        <f t="shared" si="41"/>
        <v>0</v>
      </c>
      <c r="Q355" s="228">
        <f t="shared" si="38"/>
        <v>0</v>
      </c>
      <c r="R355" s="343">
        <f t="shared" si="39"/>
        <v>0</v>
      </c>
      <c r="S355" s="240"/>
      <c r="T355" s="201"/>
      <c r="U355" s="201"/>
      <c r="V355" s="201"/>
    </row>
    <row r="356" spans="1:22" ht="15.75" x14ac:dyDescent="0.25">
      <c r="A356" s="234" t="s">
        <v>572</v>
      </c>
      <c r="B356" s="235" t="s">
        <v>505</v>
      </c>
      <c r="C356" s="234" t="s">
        <v>9</v>
      </c>
      <c r="D356" s="312">
        <v>5</v>
      </c>
      <c r="E356" s="312"/>
      <c r="F356" s="248"/>
      <c r="G356" s="312"/>
      <c r="H356" s="312"/>
      <c r="I356" s="312"/>
      <c r="J356" s="248">
        <f t="shared" si="35"/>
        <v>0</v>
      </c>
      <c r="K356" s="330">
        <f t="shared" si="36"/>
        <v>-5</v>
      </c>
      <c r="L356" s="313"/>
      <c r="M356" s="228">
        <f t="shared" si="37"/>
        <v>0</v>
      </c>
      <c r="N356" s="228">
        <f t="shared" si="40"/>
        <v>0</v>
      </c>
      <c r="O356" s="228">
        <f t="shared" si="41"/>
        <v>0</v>
      </c>
      <c r="P356" s="228">
        <f t="shared" si="41"/>
        <v>0</v>
      </c>
      <c r="Q356" s="228">
        <f t="shared" si="38"/>
        <v>0</v>
      </c>
      <c r="R356" s="343">
        <f t="shared" si="39"/>
        <v>-5</v>
      </c>
      <c r="S356" s="240"/>
      <c r="T356" s="201"/>
      <c r="U356" s="201"/>
      <c r="V356" s="201"/>
    </row>
    <row r="357" spans="1:22" ht="15.75" x14ac:dyDescent="0.25">
      <c r="A357" s="234" t="s">
        <v>573</v>
      </c>
      <c r="B357" s="235" t="s">
        <v>507</v>
      </c>
      <c r="C357" s="234" t="s">
        <v>9</v>
      </c>
      <c r="D357" s="312">
        <v>3</v>
      </c>
      <c r="E357" s="312"/>
      <c r="F357" s="248"/>
      <c r="G357" s="312"/>
      <c r="H357" s="312"/>
      <c r="I357" s="312"/>
      <c r="J357" s="248">
        <f t="shared" si="35"/>
        <v>0</v>
      </c>
      <c r="K357" s="330">
        <f t="shared" si="36"/>
        <v>-3</v>
      </c>
      <c r="L357" s="313"/>
      <c r="M357" s="228">
        <f t="shared" si="37"/>
        <v>0</v>
      </c>
      <c r="N357" s="228">
        <f t="shared" si="40"/>
        <v>0</v>
      </c>
      <c r="O357" s="228">
        <f t="shared" si="41"/>
        <v>0</v>
      </c>
      <c r="P357" s="228">
        <f t="shared" si="41"/>
        <v>0</v>
      </c>
      <c r="Q357" s="228">
        <f t="shared" si="38"/>
        <v>0</v>
      </c>
      <c r="R357" s="343">
        <f t="shared" si="39"/>
        <v>-3</v>
      </c>
      <c r="S357" s="240"/>
      <c r="T357" s="201"/>
      <c r="U357" s="201"/>
      <c r="V357" s="201"/>
    </row>
    <row r="358" spans="1:22" ht="15.75" x14ac:dyDescent="0.25">
      <c r="A358" s="234" t="s">
        <v>574</v>
      </c>
      <c r="B358" s="235" t="s">
        <v>525</v>
      </c>
      <c r="C358" s="234" t="s">
        <v>9</v>
      </c>
      <c r="D358" s="312">
        <v>1</v>
      </c>
      <c r="E358" s="312"/>
      <c r="F358" s="248"/>
      <c r="G358" s="312"/>
      <c r="H358" s="312"/>
      <c r="I358" s="312"/>
      <c r="J358" s="248">
        <f t="shared" si="35"/>
        <v>0</v>
      </c>
      <c r="K358" s="330">
        <f t="shared" si="36"/>
        <v>-1</v>
      </c>
      <c r="L358" s="313"/>
      <c r="M358" s="228">
        <f t="shared" si="37"/>
        <v>0</v>
      </c>
      <c r="N358" s="228">
        <f t="shared" si="40"/>
        <v>0</v>
      </c>
      <c r="O358" s="228">
        <f t="shared" si="41"/>
        <v>0</v>
      </c>
      <c r="P358" s="228">
        <f t="shared" si="41"/>
        <v>0</v>
      </c>
      <c r="Q358" s="228">
        <f t="shared" si="38"/>
        <v>0</v>
      </c>
      <c r="R358" s="343">
        <f t="shared" si="39"/>
        <v>-1</v>
      </c>
      <c r="S358" s="240"/>
      <c r="T358" s="201"/>
      <c r="U358" s="201"/>
      <c r="V358" s="201"/>
    </row>
    <row r="359" spans="1:22" ht="15.75" x14ac:dyDescent="0.25">
      <c r="A359" s="234" t="s">
        <v>575</v>
      </c>
      <c r="B359" s="235" t="s">
        <v>509</v>
      </c>
      <c r="C359" s="234" t="s">
        <v>9</v>
      </c>
      <c r="D359" s="312">
        <v>5</v>
      </c>
      <c r="E359" s="312"/>
      <c r="F359" s="248"/>
      <c r="G359" s="312"/>
      <c r="H359" s="312"/>
      <c r="I359" s="312"/>
      <c r="J359" s="248">
        <f t="shared" si="35"/>
        <v>0</v>
      </c>
      <c r="K359" s="330">
        <f t="shared" si="36"/>
        <v>-5</v>
      </c>
      <c r="L359" s="313"/>
      <c r="M359" s="228">
        <f t="shared" si="37"/>
        <v>0</v>
      </c>
      <c r="N359" s="228">
        <f t="shared" si="40"/>
        <v>0</v>
      </c>
      <c r="O359" s="228">
        <f t="shared" si="41"/>
        <v>0</v>
      </c>
      <c r="P359" s="228">
        <f t="shared" si="41"/>
        <v>0</v>
      </c>
      <c r="Q359" s="228">
        <f t="shared" si="38"/>
        <v>0</v>
      </c>
      <c r="R359" s="343">
        <f t="shared" si="39"/>
        <v>-5</v>
      </c>
      <c r="S359" s="240"/>
      <c r="T359" s="201"/>
      <c r="U359" s="201"/>
      <c r="V359" s="201"/>
    </row>
    <row r="360" spans="1:22" ht="15.75" x14ac:dyDescent="0.25">
      <c r="A360" s="234" t="s">
        <v>576</v>
      </c>
      <c r="B360" s="235" t="s">
        <v>495</v>
      </c>
      <c r="C360" s="234" t="s">
        <v>248</v>
      </c>
      <c r="D360" s="312">
        <v>1</v>
      </c>
      <c r="E360" s="312"/>
      <c r="F360" s="248"/>
      <c r="G360" s="312"/>
      <c r="H360" s="312"/>
      <c r="I360" s="312"/>
      <c r="J360" s="248">
        <f t="shared" si="35"/>
        <v>0</v>
      </c>
      <c r="K360" s="330">
        <f t="shared" si="36"/>
        <v>-1</v>
      </c>
      <c r="L360" s="313"/>
      <c r="M360" s="228">
        <f t="shared" si="37"/>
        <v>0</v>
      </c>
      <c r="N360" s="228">
        <f t="shared" si="40"/>
        <v>0</v>
      </c>
      <c r="O360" s="228">
        <f t="shared" si="41"/>
        <v>0</v>
      </c>
      <c r="P360" s="228">
        <f t="shared" si="41"/>
        <v>0</v>
      </c>
      <c r="Q360" s="228">
        <f t="shared" si="38"/>
        <v>0</v>
      </c>
      <c r="R360" s="343">
        <f t="shared" si="39"/>
        <v>-1</v>
      </c>
      <c r="S360" s="240"/>
      <c r="T360" s="201"/>
      <c r="U360" s="201"/>
      <c r="V360" s="201"/>
    </row>
    <row r="361" spans="1:22" ht="30" x14ac:dyDescent="0.25">
      <c r="A361" s="234" t="s">
        <v>577</v>
      </c>
      <c r="B361" s="235" t="s">
        <v>498</v>
      </c>
      <c r="C361" s="234" t="s">
        <v>499</v>
      </c>
      <c r="D361" s="312">
        <v>1</v>
      </c>
      <c r="E361" s="312"/>
      <c r="F361" s="248"/>
      <c r="G361" s="312"/>
      <c r="H361" s="312"/>
      <c r="I361" s="312"/>
      <c r="J361" s="248">
        <f t="shared" si="35"/>
        <v>0</v>
      </c>
      <c r="K361" s="330">
        <f t="shared" si="36"/>
        <v>-1</v>
      </c>
      <c r="L361" s="313"/>
      <c r="M361" s="228">
        <f t="shared" si="37"/>
        <v>0</v>
      </c>
      <c r="N361" s="228">
        <f t="shared" si="40"/>
        <v>0</v>
      </c>
      <c r="O361" s="228">
        <f t="shared" si="41"/>
        <v>0</v>
      </c>
      <c r="P361" s="228">
        <f t="shared" si="41"/>
        <v>0</v>
      </c>
      <c r="Q361" s="228">
        <f t="shared" si="38"/>
        <v>0</v>
      </c>
      <c r="R361" s="343">
        <f t="shared" si="39"/>
        <v>-1</v>
      </c>
      <c r="S361" s="240"/>
      <c r="T361" s="201"/>
      <c r="U361" s="201"/>
      <c r="V361" s="201"/>
    </row>
    <row r="362" spans="1:22" ht="15.75" x14ac:dyDescent="0.25">
      <c r="A362" s="230" t="s">
        <v>578</v>
      </c>
      <c r="B362" s="231" t="s">
        <v>579</v>
      </c>
      <c r="C362" s="230"/>
      <c r="D362" s="316"/>
      <c r="E362" s="316"/>
      <c r="F362" s="317"/>
      <c r="G362" s="316"/>
      <c r="H362" s="316"/>
      <c r="I362" s="316"/>
      <c r="J362" s="248">
        <f t="shared" si="35"/>
        <v>0</v>
      </c>
      <c r="K362" s="330">
        <f t="shared" si="36"/>
        <v>0</v>
      </c>
      <c r="L362" s="318"/>
      <c r="M362" s="228">
        <f t="shared" si="37"/>
        <v>0</v>
      </c>
      <c r="N362" s="228">
        <f t="shared" si="40"/>
        <v>0</v>
      </c>
      <c r="O362" s="228">
        <f t="shared" si="41"/>
        <v>0</v>
      </c>
      <c r="P362" s="228">
        <f t="shared" si="41"/>
        <v>0</v>
      </c>
      <c r="Q362" s="228">
        <f t="shared" si="38"/>
        <v>0</v>
      </c>
      <c r="R362" s="343">
        <f t="shared" si="39"/>
        <v>0</v>
      </c>
      <c r="S362" s="240"/>
      <c r="T362" s="201"/>
      <c r="U362" s="201"/>
      <c r="V362" s="201"/>
    </row>
    <row r="363" spans="1:22" ht="15.75" x14ac:dyDescent="0.25">
      <c r="A363" s="234" t="s">
        <v>580</v>
      </c>
      <c r="B363" s="235" t="s">
        <v>581</v>
      </c>
      <c r="C363" s="234" t="s">
        <v>9</v>
      </c>
      <c r="D363" s="312">
        <v>1</v>
      </c>
      <c r="E363" s="312"/>
      <c r="F363" s="248"/>
      <c r="G363" s="312"/>
      <c r="H363" s="312"/>
      <c r="I363" s="312"/>
      <c r="J363" s="248">
        <f t="shared" si="35"/>
        <v>0</v>
      </c>
      <c r="K363" s="330">
        <f t="shared" si="36"/>
        <v>-1</v>
      </c>
      <c r="L363" s="313"/>
      <c r="M363" s="228">
        <f t="shared" si="37"/>
        <v>0</v>
      </c>
      <c r="N363" s="228">
        <f t="shared" si="40"/>
        <v>0</v>
      </c>
      <c r="O363" s="228">
        <f t="shared" si="41"/>
        <v>0</v>
      </c>
      <c r="P363" s="228">
        <f t="shared" si="41"/>
        <v>0</v>
      </c>
      <c r="Q363" s="228">
        <f t="shared" si="38"/>
        <v>0</v>
      </c>
      <c r="R363" s="343">
        <f t="shared" si="39"/>
        <v>-1</v>
      </c>
      <c r="S363" s="240"/>
      <c r="T363" s="201"/>
      <c r="U363" s="201"/>
      <c r="V363" s="201"/>
    </row>
    <row r="364" spans="1:22" ht="15.75" x14ac:dyDescent="0.25">
      <c r="A364" s="234" t="s">
        <v>582</v>
      </c>
      <c r="B364" s="235" t="s">
        <v>485</v>
      </c>
      <c r="C364" s="234" t="s">
        <v>248</v>
      </c>
      <c r="D364" s="312">
        <v>3</v>
      </c>
      <c r="E364" s="312"/>
      <c r="F364" s="248"/>
      <c r="G364" s="312"/>
      <c r="H364" s="312"/>
      <c r="I364" s="312"/>
      <c r="J364" s="248">
        <f t="shared" si="35"/>
        <v>0</v>
      </c>
      <c r="K364" s="330">
        <f t="shared" si="36"/>
        <v>-3</v>
      </c>
      <c r="L364" s="313"/>
      <c r="M364" s="228">
        <f t="shared" si="37"/>
        <v>0</v>
      </c>
      <c r="N364" s="228">
        <f t="shared" si="40"/>
        <v>0</v>
      </c>
      <c r="O364" s="228">
        <f t="shared" si="41"/>
        <v>0</v>
      </c>
      <c r="P364" s="228">
        <f t="shared" si="41"/>
        <v>0</v>
      </c>
      <c r="Q364" s="228">
        <f t="shared" si="38"/>
        <v>0</v>
      </c>
      <c r="R364" s="343">
        <f t="shared" si="39"/>
        <v>-3</v>
      </c>
      <c r="S364" s="240"/>
      <c r="T364" s="201"/>
      <c r="U364" s="201"/>
      <c r="V364" s="201"/>
    </row>
    <row r="365" spans="1:22" ht="15.75" x14ac:dyDescent="0.25">
      <c r="A365" s="234" t="s">
        <v>583</v>
      </c>
      <c r="B365" s="235" t="s">
        <v>483</v>
      </c>
      <c r="C365" s="234" t="s">
        <v>248</v>
      </c>
      <c r="D365" s="312">
        <v>3</v>
      </c>
      <c r="E365" s="312"/>
      <c r="F365" s="248"/>
      <c r="G365" s="312"/>
      <c r="H365" s="312"/>
      <c r="I365" s="312"/>
      <c r="J365" s="248">
        <f t="shared" si="35"/>
        <v>0</v>
      </c>
      <c r="K365" s="330">
        <f t="shared" si="36"/>
        <v>-3</v>
      </c>
      <c r="L365" s="313"/>
      <c r="M365" s="228">
        <f t="shared" si="37"/>
        <v>0</v>
      </c>
      <c r="N365" s="228">
        <f t="shared" si="40"/>
        <v>0</v>
      </c>
      <c r="O365" s="228">
        <f t="shared" si="41"/>
        <v>0</v>
      </c>
      <c r="P365" s="228">
        <f t="shared" si="41"/>
        <v>0</v>
      </c>
      <c r="Q365" s="228">
        <f t="shared" si="38"/>
        <v>0</v>
      </c>
      <c r="R365" s="343">
        <f t="shared" si="39"/>
        <v>-3</v>
      </c>
      <c r="S365" s="240"/>
      <c r="T365" s="201"/>
      <c r="U365" s="201"/>
      <c r="V365" s="201"/>
    </row>
    <row r="366" spans="1:22" ht="15.75" x14ac:dyDescent="0.25">
      <c r="A366" s="234" t="s">
        <v>584</v>
      </c>
      <c r="B366" s="235" t="s">
        <v>585</v>
      </c>
      <c r="C366" s="234" t="s">
        <v>9</v>
      </c>
      <c r="D366" s="312">
        <v>1</v>
      </c>
      <c r="E366" s="312"/>
      <c r="F366" s="248"/>
      <c r="G366" s="312"/>
      <c r="H366" s="312"/>
      <c r="I366" s="312"/>
      <c r="J366" s="248">
        <f t="shared" si="35"/>
        <v>0</v>
      </c>
      <c r="K366" s="330">
        <f t="shared" si="36"/>
        <v>-1</v>
      </c>
      <c r="L366" s="313"/>
      <c r="M366" s="228">
        <f t="shared" si="37"/>
        <v>0</v>
      </c>
      <c r="N366" s="228">
        <f t="shared" si="40"/>
        <v>0</v>
      </c>
      <c r="O366" s="228">
        <f t="shared" si="41"/>
        <v>0</v>
      </c>
      <c r="P366" s="228">
        <f t="shared" si="41"/>
        <v>0</v>
      </c>
      <c r="Q366" s="228">
        <f t="shared" si="38"/>
        <v>0</v>
      </c>
      <c r="R366" s="343">
        <f t="shared" si="39"/>
        <v>-1</v>
      </c>
      <c r="S366" s="240"/>
      <c r="T366" s="201"/>
      <c r="U366" s="201"/>
      <c r="V366" s="201"/>
    </row>
    <row r="367" spans="1:22" ht="15.75" x14ac:dyDescent="0.25">
      <c r="A367" s="234" t="s">
        <v>586</v>
      </c>
      <c r="B367" s="235" t="s">
        <v>587</v>
      </c>
      <c r="C367" s="234" t="s">
        <v>9</v>
      </c>
      <c r="D367" s="312">
        <v>1</v>
      </c>
      <c r="E367" s="312"/>
      <c r="F367" s="248"/>
      <c r="G367" s="312"/>
      <c r="H367" s="312"/>
      <c r="I367" s="312"/>
      <c r="J367" s="248">
        <f t="shared" si="35"/>
        <v>0</v>
      </c>
      <c r="K367" s="330">
        <f t="shared" si="36"/>
        <v>-1</v>
      </c>
      <c r="L367" s="313"/>
      <c r="M367" s="228">
        <f t="shared" si="37"/>
        <v>0</v>
      </c>
      <c r="N367" s="228">
        <f t="shared" si="40"/>
        <v>0</v>
      </c>
      <c r="O367" s="228">
        <f t="shared" si="41"/>
        <v>0</v>
      </c>
      <c r="P367" s="228">
        <f t="shared" si="41"/>
        <v>0</v>
      </c>
      <c r="Q367" s="228">
        <f t="shared" si="38"/>
        <v>0</v>
      </c>
      <c r="R367" s="343">
        <f t="shared" si="39"/>
        <v>-1</v>
      </c>
      <c r="S367" s="240"/>
      <c r="T367" s="201"/>
      <c r="U367" s="201"/>
      <c r="V367" s="201"/>
    </row>
    <row r="368" spans="1:22" ht="15.75" x14ac:dyDescent="0.25">
      <c r="A368" s="234" t="s">
        <v>588</v>
      </c>
      <c r="B368" s="235" t="s">
        <v>589</v>
      </c>
      <c r="C368" s="234" t="s">
        <v>9</v>
      </c>
      <c r="D368" s="312">
        <v>1</v>
      </c>
      <c r="E368" s="312"/>
      <c r="F368" s="248"/>
      <c r="G368" s="312"/>
      <c r="H368" s="312"/>
      <c r="I368" s="312"/>
      <c r="J368" s="248">
        <f t="shared" si="35"/>
        <v>0</v>
      </c>
      <c r="K368" s="330">
        <f t="shared" si="36"/>
        <v>-1</v>
      </c>
      <c r="L368" s="313"/>
      <c r="M368" s="228">
        <f t="shared" si="37"/>
        <v>0</v>
      </c>
      <c r="N368" s="228">
        <f t="shared" si="40"/>
        <v>0</v>
      </c>
      <c r="O368" s="228">
        <f t="shared" si="41"/>
        <v>0</v>
      </c>
      <c r="P368" s="228">
        <f t="shared" si="41"/>
        <v>0</v>
      </c>
      <c r="Q368" s="228">
        <f t="shared" si="38"/>
        <v>0</v>
      </c>
      <c r="R368" s="343">
        <f t="shared" si="39"/>
        <v>-1</v>
      </c>
      <c r="S368" s="240"/>
      <c r="T368" s="201"/>
      <c r="U368" s="201"/>
      <c r="V368" s="201"/>
    </row>
    <row r="369" spans="1:22" ht="15.75" x14ac:dyDescent="0.25">
      <c r="A369" s="234" t="s">
        <v>590</v>
      </c>
      <c r="B369" s="235" t="s">
        <v>591</v>
      </c>
      <c r="C369" s="234" t="s">
        <v>9</v>
      </c>
      <c r="D369" s="312">
        <v>3</v>
      </c>
      <c r="E369" s="312"/>
      <c r="F369" s="248"/>
      <c r="G369" s="312"/>
      <c r="H369" s="312"/>
      <c r="I369" s="312"/>
      <c r="J369" s="248">
        <f t="shared" si="35"/>
        <v>0</v>
      </c>
      <c r="K369" s="330">
        <f t="shared" si="36"/>
        <v>-3</v>
      </c>
      <c r="L369" s="313"/>
      <c r="M369" s="228">
        <f t="shared" si="37"/>
        <v>0</v>
      </c>
      <c r="N369" s="228">
        <f t="shared" si="40"/>
        <v>0</v>
      </c>
      <c r="O369" s="228">
        <f t="shared" si="41"/>
        <v>0</v>
      </c>
      <c r="P369" s="228">
        <f t="shared" si="41"/>
        <v>0</v>
      </c>
      <c r="Q369" s="228">
        <f t="shared" si="38"/>
        <v>0</v>
      </c>
      <c r="R369" s="343">
        <f t="shared" si="39"/>
        <v>-3</v>
      </c>
      <c r="S369" s="240"/>
      <c r="T369" s="201"/>
      <c r="U369" s="201"/>
      <c r="V369" s="201"/>
    </row>
    <row r="370" spans="1:22" ht="15.75" x14ac:dyDescent="0.25">
      <c r="A370" s="234" t="s">
        <v>592</v>
      </c>
      <c r="B370" s="235" t="s">
        <v>593</v>
      </c>
      <c r="C370" s="234" t="s">
        <v>9</v>
      </c>
      <c r="D370" s="312">
        <v>12</v>
      </c>
      <c r="E370" s="312"/>
      <c r="F370" s="248"/>
      <c r="G370" s="312"/>
      <c r="H370" s="312"/>
      <c r="I370" s="312"/>
      <c r="J370" s="248">
        <f t="shared" si="35"/>
        <v>0</v>
      </c>
      <c r="K370" s="330">
        <f t="shared" si="36"/>
        <v>-12</v>
      </c>
      <c r="L370" s="313"/>
      <c r="M370" s="228">
        <f t="shared" si="37"/>
        <v>0</v>
      </c>
      <c r="N370" s="228">
        <f t="shared" si="40"/>
        <v>0</v>
      </c>
      <c r="O370" s="228">
        <f t="shared" si="41"/>
        <v>0</v>
      </c>
      <c r="P370" s="228">
        <f t="shared" si="41"/>
        <v>0</v>
      </c>
      <c r="Q370" s="228">
        <f t="shared" si="38"/>
        <v>0</v>
      </c>
      <c r="R370" s="343">
        <f t="shared" si="39"/>
        <v>-12</v>
      </c>
      <c r="S370" s="240"/>
      <c r="T370" s="201"/>
      <c r="U370" s="201"/>
      <c r="V370" s="201"/>
    </row>
    <row r="371" spans="1:22" ht="15.75" x14ac:dyDescent="0.25">
      <c r="A371" s="234" t="s">
        <v>594</v>
      </c>
      <c r="B371" s="235" t="s">
        <v>595</v>
      </c>
      <c r="C371" s="234" t="s">
        <v>9</v>
      </c>
      <c r="D371" s="312">
        <v>2</v>
      </c>
      <c r="E371" s="312"/>
      <c r="F371" s="248"/>
      <c r="G371" s="312"/>
      <c r="H371" s="312"/>
      <c r="I371" s="312"/>
      <c r="J371" s="248">
        <f t="shared" si="35"/>
        <v>0</v>
      </c>
      <c r="K371" s="330">
        <f t="shared" si="36"/>
        <v>-2</v>
      </c>
      <c r="L371" s="313"/>
      <c r="M371" s="228">
        <f t="shared" si="37"/>
        <v>0</v>
      </c>
      <c r="N371" s="228">
        <f t="shared" si="40"/>
        <v>0</v>
      </c>
      <c r="O371" s="228">
        <f t="shared" si="41"/>
        <v>0</v>
      </c>
      <c r="P371" s="228">
        <f t="shared" si="41"/>
        <v>0</v>
      </c>
      <c r="Q371" s="228">
        <f t="shared" si="38"/>
        <v>0</v>
      </c>
      <c r="R371" s="343">
        <f t="shared" si="39"/>
        <v>-2</v>
      </c>
      <c r="S371" s="240"/>
      <c r="T371" s="201"/>
      <c r="U371" s="201"/>
      <c r="V371" s="201"/>
    </row>
    <row r="372" spans="1:22" ht="15.75" x14ac:dyDescent="0.25">
      <c r="A372" s="234" t="s">
        <v>596</v>
      </c>
      <c r="B372" s="235" t="s">
        <v>597</v>
      </c>
      <c r="C372" s="234" t="s">
        <v>9</v>
      </c>
      <c r="D372" s="312">
        <v>3</v>
      </c>
      <c r="E372" s="312"/>
      <c r="F372" s="248"/>
      <c r="G372" s="312"/>
      <c r="H372" s="312"/>
      <c r="I372" s="312"/>
      <c r="J372" s="248">
        <f t="shared" si="35"/>
        <v>0</v>
      </c>
      <c r="K372" s="330">
        <f t="shared" si="36"/>
        <v>-3</v>
      </c>
      <c r="L372" s="313"/>
      <c r="M372" s="228">
        <f t="shared" si="37"/>
        <v>0</v>
      </c>
      <c r="N372" s="228">
        <f t="shared" si="40"/>
        <v>0</v>
      </c>
      <c r="O372" s="228">
        <f t="shared" si="41"/>
        <v>0</v>
      </c>
      <c r="P372" s="228">
        <f t="shared" si="41"/>
        <v>0</v>
      </c>
      <c r="Q372" s="228">
        <f t="shared" si="38"/>
        <v>0</v>
      </c>
      <c r="R372" s="343">
        <f t="shared" si="39"/>
        <v>-3</v>
      </c>
      <c r="S372" s="240"/>
      <c r="T372" s="201"/>
      <c r="U372" s="201"/>
      <c r="V372" s="201"/>
    </row>
    <row r="373" spans="1:22" ht="15.75" x14ac:dyDescent="0.25">
      <c r="A373" s="234" t="s">
        <v>598</v>
      </c>
      <c r="B373" s="235" t="s">
        <v>599</v>
      </c>
      <c r="C373" s="234" t="s">
        <v>9</v>
      </c>
      <c r="D373" s="312">
        <v>2</v>
      </c>
      <c r="E373" s="312"/>
      <c r="F373" s="248"/>
      <c r="G373" s="312"/>
      <c r="H373" s="312"/>
      <c r="I373" s="312"/>
      <c r="J373" s="248">
        <f t="shared" si="35"/>
        <v>0</v>
      </c>
      <c r="K373" s="330">
        <f t="shared" si="36"/>
        <v>-2</v>
      </c>
      <c r="L373" s="313"/>
      <c r="M373" s="228">
        <f t="shared" si="37"/>
        <v>0</v>
      </c>
      <c r="N373" s="228">
        <f t="shared" si="40"/>
        <v>0</v>
      </c>
      <c r="O373" s="228">
        <f t="shared" si="41"/>
        <v>0</v>
      </c>
      <c r="P373" s="228">
        <f t="shared" si="41"/>
        <v>0</v>
      </c>
      <c r="Q373" s="228">
        <f t="shared" si="38"/>
        <v>0</v>
      </c>
      <c r="R373" s="343">
        <f t="shared" si="39"/>
        <v>-2</v>
      </c>
      <c r="S373" s="240"/>
      <c r="T373" s="201"/>
      <c r="U373" s="201"/>
      <c r="V373" s="201"/>
    </row>
    <row r="374" spans="1:22" ht="15.75" x14ac:dyDescent="0.25">
      <c r="A374" s="234" t="s">
        <v>600</v>
      </c>
      <c r="B374" s="235" t="s">
        <v>495</v>
      </c>
      <c r="C374" s="234" t="s">
        <v>248</v>
      </c>
      <c r="D374" s="312">
        <v>1</v>
      </c>
      <c r="E374" s="312"/>
      <c r="F374" s="248"/>
      <c r="G374" s="312"/>
      <c r="H374" s="312"/>
      <c r="I374" s="312"/>
      <c r="J374" s="248">
        <f t="shared" si="35"/>
        <v>0</v>
      </c>
      <c r="K374" s="330">
        <f t="shared" si="36"/>
        <v>-1</v>
      </c>
      <c r="L374" s="313"/>
      <c r="M374" s="228">
        <f t="shared" si="37"/>
        <v>0</v>
      </c>
      <c r="N374" s="228">
        <f t="shared" si="40"/>
        <v>0</v>
      </c>
      <c r="O374" s="228">
        <f t="shared" si="41"/>
        <v>0</v>
      </c>
      <c r="P374" s="228">
        <f t="shared" si="41"/>
        <v>0</v>
      </c>
      <c r="Q374" s="228">
        <f t="shared" si="38"/>
        <v>0</v>
      </c>
      <c r="R374" s="343">
        <f t="shared" si="39"/>
        <v>-1</v>
      </c>
      <c r="S374" s="240"/>
      <c r="T374" s="201"/>
      <c r="U374" s="201"/>
      <c r="V374" s="201"/>
    </row>
    <row r="375" spans="1:22" ht="30" x14ac:dyDescent="0.25">
      <c r="A375" s="234" t="s">
        <v>601</v>
      </c>
      <c r="B375" s="235" t="s">
        <v>602</v>
      </c>
      <c r="C375" s="234" t="s">
        <v>499</v>
      </c>
      <c r="D375" s="312">
        <v>1</v>
      </c>
      <c r="E375" s="312"/>
      <c r="F375" s="248"/>
      <c r="G375" s="312"/>
      <c r="H375" s="312"/>
      <c r="I375" s="312"/>
      <c r="J375" s="248">
        <f t="shared" si="35"/>
        <v>0</v>
      </c>
      <c r="K375" s="330">
        <f t="shared" si="36"/>
        <v>-1</v>
      </c>
      <c r="L375" s="313"/>
      <c r="M375" s="228">
        <f t="shared" si="37"/>
        <v>0</v>
      </c>
      <c r="N375" s="228">
        <f t="shared" si="40"/>
        <v>0</v>
      </c>
      <c r="O375" s="228">
        <f t="shared" si="41"/>
        <v>0</v>
      </c>
      <c r="P375" s="228">
        <f t="shared" si="41"/>
        <v>0</v>
      </c>
      <c r="Q375" s="228">
        <f t="shared" si="38"/>
        <v>0</v>
      </c>
      <c r="R375" s="343">
        <f t="shared" si="39"/>
        <v>-1</v>
      </c>
      <c r="S375" s="240"/>
      <c r="T375" s="201"/>
      <c r="U375" s="201"/>
      <c r="V375" s="201"/>
    </row>
    <row r="376" spans="1:22" ht="15.75" x14ac:dyDescent="0.25">
      <c r="A376" s="230" t="s">
        <v>603</v>
      </c>
      <c r="B376" s="231" t="s">
        <v>604</v>
      </c>
      <c r="C376" s="230"/>
      <c r="D376" s="316"/>
      <c r="E376" s="316"/>
      <c r="F376" s="317"/>
      <c r="G376" s="316"/>
      <c r="H376" s="316"/>
      <c r="I376" s="316"/>
      <c r="J376" s="248">
        <f t="shared" si="35"/>
        <v>0</v>
      </c>
      <c r="K376" s="330">
        <f t="shared" si="36"/>
        <v>0</v>
      </c>
      <c r="L376" s="318"/>
      <c r="M376" s="228">
        <f t="shared" si="37"/>
        <v>0</v>
      </c>
      <c r="N376" s="228">
        <f t="shared" si="40"/>
        <v>0</v>
      </c>
      <c r="O376" s="228">
        <f t="shared" si="41"/>
        <v>0</v>
      </c>
      <c r="P376" s="228">
        <f t="shared" si="41"/>
        <v>0</v>
      </c>
      <c r="Q376" s="228">
        <f t="shared" si="38"/>
        <v>0</v>
      </c>
      <c r="R376" s="343">
        <f t="shared" si="39"/>
        <v>0</v>
      </c>
      <c r="S376" s="240"/>
      <c r="T376" s="201"/>
      <c r="U376" s="201"/>
      <c r="V376" s="201"/>
    </row>
    <row r="377" spans="1:22" ht="15.75" x14ac:dyDescent="0.25">
      <c r="A377" s="234" t="s">
        <v>605</v>
      </c>
      <c r="B377" s="235" t="s">
        <v>525</v>
      </c>
      <c r="C377" s="234" t="s">
        <v>9</v>
      </c>
      <c r="D377" s="312">
        <v>1</v>
      </c>
      <c r="E377" s="312"/>
      <c r="F377" s="248"/>
      <c r="G377" s="312"/>
      <c r="H377" s="312"/>
      <c r="I377" s="312"/>
      <c r="J377" s="248">
        <f t="shared" si="35"/>
        <v>0</v>
      </c>
      <c r="K377" s="330">
        <f t="shared" si="36"/>
        <v>-1</v>
      </c>
      <c r="L377" s="313"/>
      <c r="M377" s="228">
        <f t="shared" si="37"/>
        <v>0</v>
      </c>
      <c r="N377" s="228">
        <f t="shared" si="40"/>
        <v>0</v>
      </c>
      <c r="O377" s="228">
        <f t="shared" si="41"/>
        <v>0</v>
      </c>
      <c r="P377" s="228">
        <f t="shared" si="41"/>
        <v>0</v>
      </c>
      <c r="Q377" s="228">
        <f t="shared" si="38"/>
        <v>0</v>
      </c>
      <c r="R377" s="343">
        <f t="shared" si="39"/>
        <v>-1</v>
      </c>
      <c r="S377" s="240"/>
      <c r="T377" s="201"/>
      <c r="U377" s="201"/>
      <c r="V377" s="201"/>
    </row>
    <row r="378" spans="1:22" ht="15.75" x14ac:dyDescent="0.25">
      <c r="A378" s="234" t="s">
        <v>606</v>
      </c>
      <c r="B378" s="235" t="s">
        <v>485</v>
      </c>
      <c r="C378" s="234" t="s">
        <v>248</v>
      </c>
      <c r="D378" s="312">
        <v>3</v>
      </c>
      <c r="E378" s="312"/>
      <c r="F378" s="248"/>
      <c r="G378" s="312"/>
      <c r="H378" s="312"/>
      <c r="I378" s="312"/>
      <c r="J378" s="248">
        <f t="shared" ref="J378:J441" si="42">F378+G378+H378+I378</f>
        <v>0</v>
      </c>
      <c r="K378" s="330">
        <f t="shared" ref="K378:K441" si="43">J378-D378</f>
        <v>-3</v>
      </c>
      <c r="L378" s="313"/>
      <c r="M378" s="228">
        <f t="shared" ref="M378:M441" si="44">F378</f>
        <v>0</v>
      </c>
      <c r="N378" s="228">
        <f t="shared" si="40"/>
        <v>0</v>
      </c>
      <c r="O378" s="228">
        <f t="shared" si="41"/>
        <v>0</v>
      </c>
      <c r="P378" s="228">
        <f t="shared" si="41"/>
        <v>0</v>
      </c>
      <c r="Q378" s="228">
        <f t="shared" ref="Q378:Q441" si="45">M378+N378+O378+P378</f>
        <v>0</v>
      </c>
      <c r="R378" s="343">
        <f t="shared" ref="R378:R441" si="46">Q378-D378</f>
        <v>-3</v>
      </c>
      <c r="S378" s="240"/>
      <c r="T378" s="201"/>
      <c r="U378" s="201"/>
      <c r="V378" s="201"/>
    </row>
    <row r="379" spans="1:22" ht="15.75" x14ac:dyDescent="0.25">
      <c r="A379" s="234" t="s">
        <v>607</v>
      </c>
      <c r="B379" s="235" t="s">
        <v>483</v>
      </c>
      <c r="C379" s="234" t="s">
        <v>248</v>
      </c>
      <c r="D379" s="312">
        <v>3</v>
      </c>
      <c r="E379" s="312"/>
      <c r="F379" s="248"/>
      <c r="G379" s="312"/>
      <c r="H379" s="312"/>
      <c r="I379" s="312"/>
      <c r="J379" s="248">
        <f t="shared" si="42"/>
        <v>0</v>
      </c>
      <c r="K379" s="330">
        <f t="shared" si="43"/>
        <v>-3</v>
      </c>
      <c r="L379" s="313"/>
      <c r="M379" s="228">
        <f t="shared" si="44"/>
        <v>0</v>
      </c>
      <c r="N379" s="228">
        <f t="shared" si="40"/>
        <v>0</v>
      </c>
      <c r="O379" s="228">
        <f t="shared" si="41"/>
        <v>0</v>
      </c>
      <c r="P379" s="228">
        <f t="shared" si="41"/>
        <v>0</v>
      </c>
      <c r="Q379" s="228">
        <f t="shared" si="45"/>
        <v>0</v>
      </c>
      <c r="R379" s="343">
        <f t="shared" si="46"/>
        <v>-3</v>
      </c>
      <c r="S379" s="240"/>
      <c r="T379" s="201"/>
      <c r="U379" s="201"/>
      <c r="V379" s="201"/>
    </row>
    <row r="380" spans="1:22" ht="15.75" x14ac:dyDescent="0.25">
      <c r="A380" s="234" t="s">
        <v>608</v>
      </c>
      <c r="B380" s="235" t="s">
        <v>589</v>
      </c>
      <c r="C380" s="234" t="s">
        <v>9</v>
      </c>
      <c r="D380" s="312">
        <v>8</v>
      </c>
      <c r="E380" s="312"/>
      <c r="F380" s="248"/>
      <c r="G380" s="312"/>
      <c r="H380" s="312"/>
      <c r="I380" s="312"/>
      <c r="J380" s="248">
        <f t="shared" si="42"/>
        <v>0</v>
      </c>
      <c r="K380" s="330">
        <f t="shared" si="43"/>
        <v>-8</v>
      </c>
      <c r="L380" s="313"/>
      <c r="M380" s="228">
        <f t="shared" si="44"/>
        <v>0</v>
      </c>
      <c r="N380" s="228">
        <f t="shared" si="40"/>
        <v>0</v>
      </c>
      <c r="O380" s="228">
        <f t="shared" si="41"/>
        <v>0</v>
      </c>
      <c r="P380" s="228">
        <f t="shared" si="41"/>
        <v>0</v>
      </c>
      <c r="Q380" s="228">
        <f t="shared" si="45"/>
        <v>0</v>
      </c>
      <c r="R380" s="343">
        <f t="shared" si="46"/>
        <v>-8</v>
      </c>
      <c r="S380" s="240"/>
      <c r="T380" s="201"/>
      <c r="U380" s="201"/>
      <c r="V380" s="201"/>
    </row>
    <row r="381" spans="1:22" ht="15.75" x14ac:dyDescent="0.25">
      <c r="A381" s="234" t="s">
        <v>609</v>
      </c>
      <c r="B381" s="235" t="s">
        <v>591</v>
      </c>
      <c r="C381" s="234" t="s">
        <v>9</v>
      </c>
      <c r="D381" s="312">
        <v>5</v>
      </c>
      <c r="E381" s="312"/>
      <c r="F381" s="248"/>
      <c r="G381" s="312"/>
      <c r="H381" s="312"/>
      <c r="I381" s="312"/>
      <c r="J381" s="248">
        <f t="shared" si="42"/>
        <v>0</v>
      </c>
      <c r="K381" s="330">
        <f t="shared" si="43"/>
        <v>-5</v>
      </c>
      <c r="L381" s="313"/>
      <c r="M381" s="228">
        <f t="shared" si="44"/>
        <v>0</v>
      </c>
      <c r="N381" s="228">
        <f t="shared" si="40"/>
        <v>0</v>
      </c>
      <c r="O381" s="228">
        <f t="shared" si="41"/>
        <v>0</v>
      </c>
      <c r="P381" s="228">
        <f t="shared" si="41"/>
        <v>0</v>
      </c>
      <c r="Q381" s="228">
        <f t="shared" si="45"/>
        <v>0</v>
      </c>
      <c r="R381" s="343">
        <f t="shared" si="46"/>
        <v>-5</v>
      </c>
      <c r="S381" s="240"/>
      <c r="T381" s="201"/>
      <c r="U381" s="201"/>
      <c r="V381" s="201"/>
    </row>
    <row r="382" spans="1:22" ht="15.75" x14ac:dyDescent="0.25">
      <c r="A382" s="234" t="s">
        <v>610</v>
      </c>
      <c r="B382" s="235" t="s">
        <v>611</v>
      </c>
      <c r="C382" s="234" t="s">
        <v>9</v>
      </c>
      <c r="D382" s="312">
        <v>1</v>
      </c>
      <c r="E382" s="312"/>
      <c r="F382" s="248"/>
      <c r="G382" s="312"/>
      <c r="H382" s="312"/>
      <c r="I382" s="312"/>
      <c r="J382" s="248">
        <f t="shared" si="42"/>
        <v>0</v>
      </c>
      <c r="K382" s="330">
        <f t="shared" si="43"/>
        <v>-1</v>
      </c>
      <c r="L382" s="313"/>
      <c r="M382" s="228">
        <f t="shared" si="44"/>
        <v>0</v>
      </c>
      <c r="N382" s="228">
        <f t="shared" si="40"/>
        <v>0</v>
      </c>
      <c r="O382" s="228">
        <f t="shared" si="41"/>
        <v>0</v>
      </c>
      <c r="P382" s="228">
        <f t="shared" si="41"/>
        <v>0</v>
      </c>
      <c r="Q382" s="228">
        <f t="shared" si="45"/>
        <v>0</v>
      </c>
      <c r="R382" s="343">
        <f t="shared" si="46"/>
        <v>-1</v>
      </c>
      <c r="S382" s="240"/>
      <c r="T382" s="201"/>
      <c r="U382" s="201"/>
      <c r="V382" s="201"/>
    </row>
    <row r="383" spans="1:22" ht="15.75" x14ac:dyDescent="0.25">
      <c r="A383" s="234" t="s">
        <v>612</v>
      </c>
      <c r="B383" s="235" t="s">
        <v>593</v>
      </c>
      <c r="C383" s="234" t="s">
        <v>9</v>
      </c>
      <c r="D383" s="312">
        <v>8</v>
      </c>
      <c r="E383" s="312"/>
      <c r="F383" s="248"/>
      <c r="G383" s="312"/>
      <c r="H383" s="312"/>
      <c r="I383" s="312"/>
      <c r="J383" s="248">
        <f t="shared" si="42"/>
        <v>0</v>
      </c>
      <c r="K383" s="330">
        <f t="shared" si="43"/>
        <v>-8</v>
      </c>
      <c r="L383" s="313"/>
      <c r="M383" s="228">
        <f t="shared" si="44"/>
        <v>0</v>
      </c>
      <c r="N383" s="228">
        <f t="shared" si="40"/>
        <v>0</v>
      </c>
      <c r="O383" s="228">
        <f t="shared" si="41"/>
        <v>0</v>
      </c>
      <c r="P383" s="228">
        <f t="shared" si="41"/>
        <v>0</v>
      </c>
      <c r="Q383" s="228">
        <f t="shared" si="45"/>
        <v>0</v>
      </c>
      <c r="R383" s="343">
        <f t="shared" si="46"/>
        <v>-8</v>
      </c>
      <c r="S383" s="240"/>
      <c r="T383" s="201"/>
      <c r="U383" s="201"/>
      <c r="V383" s="201"/>
    </row>
    <row r="384" spans="1:22" ht="15.75" x14ac:dyDescent="0.25">
      <c r="A384" s="234" t="s">
        <v>613</v>
      </c>
      <c r="B384" s="235" t="s">
        <v>495</v>
      </c>
      <c r="C384" s="234" t="s">
        <v>248</v>
      </c>
      <c r="D384" s="312">
        <v>1</v>
      </c>
      <c r="E384" s="312"/>
      <c r="F384" s="248"/>
      <c r="G384" s="312"/>
      <c r="H384" s="312"/>
      <c r="I384" s="312"/>
      <c r="J384" s="248">
        <f t="shared" si="42"/>
        <v>0</v>
      </c>
      <c r="K384" s="330">
        <f t="shared" si="43"/>
        <v>-1</v>
      </c>
      <c r="L384" s="313"/>
      <c r="M384" s="228">
        <f t="shared" si="44"/>
        <v>0</v>
      </c>
      <c r="N384" s="228">
        <f t="shared" si="40"/>
        <v>0</v>
      </c>
      <c r="O384" s="228">
        <f t="shared" si="41"/>
        <v>0</v>
      </c>
      <c r="P384" s="228">
        <f t="shared" si="41"/>
        <v>0</v>
      </c>
      <c r="Q384" s="228">
        <f t="shared" si="45"/>
        <v>0</v>
      </c>
      <c r="R384" s="343">
        <f t="shared" si="46"/>
        <v>-1</v>
      </c>
      <c r="S384" s="240"/>
      <c r="T384" s="201"/>
      <c r="U384" s="201"/>
      <c r="V384" s="201"/>
    </row>
    <row r="385" spans="1:22" ht="30" x14ac:dyDescent="0.25">
      <c r="A385" s="234" t="s">
        <v>614</v>
      </c>
      <c r="B385" s="235" t="s">
        <v>602</v>
      </c>
      <c r="C385" s="234" t="s">
        <v>499</v>
      </c>
      <c r="D385" s="312">
        <v>1</v>
      </c>
      <c r="E385" s="312"/>
      <c r="F385" s="248"/>
      <c r="G385" s="312"/>
      <c r="H385" s="312"/>
      <c r="I385" s="312"/>
      <c r="J385" s="248">
        <f t="shared" si="42"/>
        <v>0</v>
      </c>
      <c r="K385" s="330">
        <f t="shared" si="43"/>
        <v>-1</v>
      </c>
      <c r="L385" s="313"/>
      <c r="M385" s="228">
        <f t="shared" si="44"/>
        <v>0</v>
      </c>
      <c r="N385" s="228">
        <f t="shared" si="40"/>
        <v>0</v>
      </c>
      <c r="O385" s="228">
        <f t="shared" si="41"/>
        <v>0</v>
      </c>
      <c r="P385" s="228">
        <f t="shared" si="41"/>
        <v>0</v>
      </c>
      <c r="Q385" s="228">
        <f t="shared" si="45"/>
        <v>0</v>
      </c>
      <c r="R385" s="343">
        <f t="shared" si="46"/>
        <v>-1</v>
      </c>
      <c r="S385" s="240"/>
      <c r="T385" s="201"/>
      <c r="U385" s="201"/>
      <c r="V385" s="201"/>
    </row>
    <row r="386" spans="1:22" ht="15.75" x14ac:dyDescent="0.25">
      <c r="A386" s="230" t="s">
        <v>615</v>
      </c>
      <c r="B386" s="231" t="s">
        <v>616</v>
      </c>
      <c r="C386" s="230"/>
      <c r="D386" s="316"/>
      <c r="E386" s="316"/>
      <c r="F386" s="317"/>
      <c r="G386" s="316"/>
      <c r="H386" s="316"/>
      <c r="I386" s="316"/>
      <c r="J386" s="248">
        <f t="shared" si="42"/>
        <v>0</v>
      </c>
      <c r="K386" s="330">
        <f t="shared" si="43"/>
        <v>0</v>
      </c>
      <c r="L386" s="318"/>
      <c r="M386" s="228">
        <f t="shared" si="44"/>
        <v>0</v>
      </c>
      <c r="N386" s="228">
        <f t="shared" si="40"/>
        <v>0</v>
      </c>
      <c r="O386" s="228">
        <f t="shared" si="41"/>
        <v>0</v>
      </c>
      <c r="P386" s="228">
        <f t="shared" si="41"/>
        <v>0</v>
      </c>
      <c r="Q386" s="228">
        <f t="shared" si="45"/>
        <v>0</v>
      </c>
      <c r="R386" s="343">
        <f t="shared" si="46"/>
        <v>0</v>
      </c>
      <c r="S386" s="240"/>
      <c r="T386" s="201"/>
      <c r="U386" s="201"/>
      <c r="V386" s="201"/>
    </row>
    <row r="387" spans="1:22" ht="15.75" x14ac:dyDescent="0.25">
      <c r="A387" s="234" t="s">
        <v>617</v>
      </c>
      <c r="B387" s="235" t="s">
        <v>618</v>
      </c>
      <c r="C387" s="234" t="s">
        <v>9</v>
      </c>
      <c r="D387" s="312">
        <v>1</v>
      </c>
      <c r="E387" s="312"/>
      <c r="F387" s="248"/>
      <c r="G387" s="312"/>
      <c r="H387" s="312"/>
      <c r="I387" s="312"/>
      <c r="J387" s="248">
        <f t="shared" si="42"/>
        <v>0</v>
      </c>
      <c r="K387" s="330">
        <f t="shared" si="43"/>
        <v>-1</v>
      </c>
      <c r="L387" s="313"/>
      <c r="M387" s="228">
        <f t="shared" si="44"/>
        <v>0</v>
      </c>
      <c r="N387" s="228">
        <f t="shared" si="40"/>
        <v>0</v>
      </c>
      <c r="O387" s="228">
        <f t="shared" si="41"/>
        <v>0</v>
      </c>
      <c r="P387" s="228">
        <f t="shared" si="41"/>
        <v>0</v>
      </c>
      <c r="Q387" s="228">
        <f t="shared" si="45"/>
        <v>0</v>
      </c>
      <c r="R387" s="343">
        <f t="shared" si="46"/>
        <v>-1</v>
      </c>
      <c r="S387" s="240"/>
      <c r="T387" s="201"/>
      <c r="U387" s="201"/>
      <c r="V387" s="201"/>
    </row>
    <row r="388" spans="1:22" ht="15.75" x14ac:dyDescent="0.25">
      <c r="A388" s="234" t="s">
        <v>619</v>
      </c>
      <c r="B388" s="235" t="s">
        <v>485</v>
      </c>
      <c r="C388" s="234" t="s">
        <v>248</v>
      </c>
      <c r="D388" s="312">
        <v>3</v>
      </c>
      <c r="E388" s="312"/>
      <c r="F388" s="248"/>
      <c r="G388" s="312"/>
      <c r="H388" s="312"/>
      <c r="I388" s="312"/>
      <c r="J388" s="248">
        <f t="shared" si="42"/>
        <v>0</v>
      </c>
      <c r="K388" s="330">
        <f t="shared" si="43"/>
        <v>-3</v>
      </c>
      <c r="L388" s="313"/>
      <c r="M388" s="228">
        <f t="shared" si="44"/>
        <v>0</v>
      </c>
      <c r="N388" s="228">
        <f t="shared" si="40"/>
        <v>0</v>
      </c>
      <c r="O388" s="228">
        <f t="shared" si="41"/>
        <v>0</v>
      </c>
      <c r="P388" s="228">
        <f t="shared" si="41"/>
        <v>0</v>
      </c>
      <c r="Q388" s="228">
        <f t="shared" si="45"/>
        <v>0</v>
      </c>
      <c r="R388" s="343">
        <f t="shared" si="46"/>
        <v>-3</v>
      </c>
      <c r="S388" s="240"/>
      <c r="T388" s="201"/>
      <c r="U388" s="201"/>
      <c r="V388" s="201"/>
    </row>
    <row r="389" spans="1:22" ht="15.75" x14ac:dyDescent="0.25">
      <c r="A389" s="234" t="s">
        <v>620</v>
      </c>
      <c r="B389" s="235" t="s">
        <v>483</v>
      </c>
      <c r="C389" s="234" t="s">
        <v>248</v>
      </c>
      <c r="D389" s="312">
        <v>3</v>
      </c>
      <c r="E389" s="312"/>
      <c r="F389" s="248"/>
      <c r="G389" s="312"/>
      <c r="H389" s="312"/>
      <c r="I389" s="312"/>
      <c r="J389" s="248">
        <f t="shared" si="42"/>
        <v>0</v>
      </c>
      <c r="K389" s="330">
        <f t="shared" si="43"/>
        <v>-3</v>
      </c>
      <c r="L389" s="313"/>
      <c r="M389" s="228">
        <f t="shared" si="44"/>
        <v>0</v>
      </c>
      <c r="N389" s="228">
        <f t="shared" si="40"/>
        <v>0</v>
      </c>
      <c r="O389" s="228">
        <f t="shared" si="41"/>
        <v>0</v>
      </c>
      <c r="P389" s="228">
        <f t="shared" si="41"/>
        <v>0</v>
      </c>
      <c r="Q389" s="228">
        <f t="shared" si="45"/>
        <v>0</v>
      </c>
      <c r="R389" s="343">
        <f t="shared" si="46"/>
        <v>-3</v>
      </c>
      <c r="S389" s="240"/>
      <c r="T389" s="201"/>
      <c r="U389" s="201"/>
      <c r="V389" s="201"/>
    </row>
    <row r="390" spans="1:22" ht="15.75" x14ac:dyDescent="0.25">
      <c r="A390" s="234" t="s">
        <v>621</v>
      </c>
      <c r="B390" s="235" t="s">
        <v>622</v>
      </c>
      <c r="C390" s="234" t="s">
        <v>9</v>
      </c>
      <c r="D390" s="312">
        <v>1</v>
      </c>
      <c r="E390" s="312"/>
      <c r="F390" s="248"/>
      <c r="G390" s="312"/>
      <c r="H390" s="312"/>
      <c r="I390" s="312"/>
      <c r="J390" s="248">
        <f t="shared" si="42"/>
        <v>0</v>
      </c>
      <c r="K390" s="330">
        <f t="shared" si="43"/>
        <v>-1</v>
      </c>
      <c r="L390" s="313"/>
      <c r="M390" s="228">
        <f t="shared" si="44"/>
        <v>0</v>
      </c>
      <c r="N390" s="228">
        <f t="shared" si="40"/>
        <v>0</v>
      </c>
      <c r="O390" s="228">
        <f t="shared" si="41"/>
        <v>0</v>
      </c>
      <c r="P390" s="228">
        <f t="shared" si="41"/>
        <v>0</v>
      </c>
      <c r="Q390" s="228">
        <f t="shared" si="45"/>
        <v>0</v>
      </c>
      <c r="R390" s="343">
        <f t="shared" si="46"/>
        <v>-1</v>
      </c>
      <c r="S390" s="240"/>
      <c r="T390" s="201"/>
      <c r="U390" s="201"/>
      <c r="V390" s="201"/>
    </row>
    <row r="391" spans="1:22" ht="15.75" x14ac:dyDescent="0.25">
      <c r="A391" s="234" t="s">
        <v>623</v>
      </c>
      <c r="B391" s="235" t="s">
        <v>624</v>
      </c>
      <c r="C391" s="234" t="s">
        <v>9</v>
      </c>
      <c r="D391" s="312">
        <v>1</v>
      </c>
      <c r="E391" s="312"/>
      <c r="F391" s="248"/>
      <c r="G391" s="312"/>
      <c r="H391" s="312"/>
      <c r="I391" s="312"/>
      <c r="J391" s="248">
        <f t="shared" si="42"/>
        <v>0</v>
      </c>
      <c r="K391" s="330">
        <f t="shared" si="43"/>
        <v>-1</v>
      </c>
      <c r="L391" s="313"/>
      <c r="M391" s="228">
        <f t="shared" si="44"/>
        <v>0</v>
      </c>
      <c r="N391" s="228">
        <f t="shared" si="40"/>
        <v>0</v>
      </c>
      <c r="O391" s="228">
        <f t="shared" si="41"/>
        <v>0</v>
      </c>
      <c r="P391" s="228">
        <f t="shared" si="41"/>
        <v>0</v>
      </c>
      <c r="Q391" s="228">
        <f t="shared" si="45"/>
        <v>0</v>
      </c>
      <c r="R391" s="343">
        <f t="shared" si="46"/>
        <v>-1</v>
      </c>
      <c r="S391" s="240"/>
      <c r="T391" s="201"/>
      <c r="U391" s="201"/>
      <c r="V391" s="201"/>
    </row>
    <row r="392" spans="1:22" ht="15.75" x14ac:dyDescent="0.25">
      <c r="A392" s="234" t="s">
        <v>625</v>
      </c>
      <c r="B392" s="235" t="s">
        <v>626</v>
      </c>
      <c r="C392" s="234" t="s">
        <v>9</v>
      </c>
      <c r="D392" s="312">
        <v>1</v>
      </c>
      <c r="E392" s="312"/>
      <c r="F392" s="248"/>
      <c r="G392" s="312"/>
      <c r="H392" s="312"/>
      <c r="I392" s="312"/>
      <c r="J392" s="248">
        <f t="shared" si="42"/>
        <v>0</v>
      </c>
      <c r="K392" s="330">
        <f t="shared" si="43"/>
        <v>-1</v>
      </c>
      <c r="L392" s="313"/>
      <c r="M392" s="228">
        <f t="shared" si="44"/>
        <v>0</v>
      </c>
      <c r="N392" s="228">
        <f t="shared" si="40"/>
        <v>0</v>
      </c>
      <c r="O392" s="228">
        <f t="shared" si="41"/>
        <v>0</v>
      </c>
      <c r="P392" s="228">
        <f t="shared" si="41"/>
        <v>0</v>
      </c>
      <c r="Q392" s="228">
        <f t="shared" si="45"/>
        <v>0</v>
      </c>
      <c r="R392" s="343">
        <f t="shared" si="46"/>
        <v>-1</v>
      </c>
      <c r="S392" s="240"/>
      <c r="T392" s="201"/>
      <c r="U392" s="201"/>
      <c r="V392" s="201"/>
    </row>
    <row r="393" spans="1:22" ht="15.75" x14ac:dyDescent="0.25">
      <c r="A393" s="234" t="s">
        <v>627</v>
      </c>
      <c r="B393" s="235" t="s">
        <v>628</v>
      </c>
      <c r="C393" s="234" t="s">
        <v>9</v>
      </c>
      <c r="D393" s="312">
        <v>2</v>
      </c>
      <c r="E393" s="312"/>
      <c r="F393" s="248"/>
      <c r="G393" s="312"/>
      <c r="H393" s="312"/>
      <c r="I393" s="312"/>
      <c r="J393" s="248">
        <f t="shared" si="42"/>
        <v>0</v>
      </c>
      <c r="K393" s="330">
        <f t="shared" si="43"/>
        <v>-2</v>
      </c>
      <c r="L393" s="313"/>
      <c r="M393" s="228">
        <f t="shared" si="44"/>
        <v>0</v>
      </c>
      <c r="N393" s="228">
        <f t="shared" ref="N393:N456" si="47">G393</f>
        <v>0</v>
      </c>
      <c r="O393" s="228">
        <f t="shared" ref="O393:P456" si="48">H393</f>
        <v>0</v>
      </c>
      <c r="P393" s="228">
        <f t="shared" si="48"/>
        <v>0</v>
      </c>
      <c r="Q393" s="228">
        <f t="shared" si="45"/>
        <v>0</v>
      </c>
      <c r="R393" s="343">
        <f t="shared" si="46"/>
        <v>-2</v>
      </c>
      <c r="S393" s="240"/>
      <c r="T393" s="201"/>
      <c r="U393" s="201"/>
      <c r="V393" s="201"/>
    </row>
    <row r="394" spans="1:22" ht="15.75" x14ac:dyDescent="0.25">
      <c r="A394" s="234" t="s">
        <v>629</v>
      </c>
      <c r="B394" s="235" t="s">
        <v>593</v>
      </c>
      <c r="C394" s="234" t="s">
        <v>9</v>
      </c>
      <c r="D394" s="312">
        <v>1</v>
      </c>
      <c r="E394" s="312"/>
      <c r="F394" s="248"/>
      <c r="G394" s="312"/>
      <c r="H394" s="312"/>
      <c r="I394" s="312"/>
      <c r="J394" s="248">
        <f t="shared" si="42"/>
        <v>0</v>
      </c>
      <c r="K394" s="330">
        <f t="shared" si="43"/>
        <v>-1</v>
      </c>
      <c r="L394" s="313"/>
      <c r="M394" s="228">
        <f t="shared" si="44"/>
        <v>0</v>
      </c>
      <c r="N394" s="228">
        <f t="shared" si="47"/>
        <v>0</v>
      </c>
      <c r="O394" s="228">
        <f t="shared" si="48"/>
        <v>0</v>
      </c>
      <c r="P394" s="228">
        <f t="shared" si="48"/>
        <v>0</v>
      </c>
      <c r="Q394" s="228">
        <f t="shared" si="45"/>
        <v>0</v>
      </c>
      <c r="R394" s="343">
        <f t="shared" si="46"/>
        <v>-1</v>
      </c>
      <c r="S394" s="240"/>
      <c r="T394" s="201"/>
      <c r="U394" s="201"/>
      <c r="V394" s="201"/>
    </row>
    <row r="395" spans="1:22" ht="15.75" x14ac:dyDescent="0.25">
      <c r="A395" s="234" t="s">
        <v>630</v>
      </c>
      <c r="B395" s="235" t="s">
        <v>495</v>
      </c>
      <c r="C395" s="234" t="s">
        <v>248</v>
      </c>
      <c r="D395" s="312">
        <v>1</v>
      </c>
      <c r="E395" s="312"/>
      <c r="F395" s="248"/>
      <c r="G395" s="312"/>
      <c r="H395" s="312"/>
      <c r="I395" s="312"/>
      <c r="J395" s="248">
        <f t="shared" si="42"/>
        <v>0</v>
      </c>
      <c r="K395" s="330">
        <f t="shared" si="43"/>
        <v>-1</v>
      </c>
      <c r="L395" s="313"/>
      <c r="M395" s="228">
        <f t="shared" si="44"/>
        <v>0</v>
      </c>
      <c r="N395" s="228">
        <f t="shared" si="47"/>
        <v>0</v>
      </c>
      <c r="O395" s="228">
        <f t="shared" si="48"/>
        <v>0</v>
      </c>
      <c r="P395" s="228">
        <f t="shared" si="48"/>
        <v>0</v>
      </c>
      <c r="Q395" s="228">
        <f t="shared" si="45"/>
        <v>0</v>
      </c>
      <c r="R395" s="343">
        <f t="shared" si="46"/>
        <v>-1</v>
      </c>
      <c r="S395" s="240"/>
      <c r="T395" s="201"/>
      <c r="U395" s="201"/>
      <c r="V395" s="201"/>
    </row>
    <row r="396" spans="1:22" ht="30" x14ac:dyDescent="0.25">
      <c r="A396" s="234" t="s">
        <v>631</v>
      </c>
      <c r="B396" s="235" t="s">
        <v>602</v>
      </c>
      <c r="C396" s="234" t="s">
        <v>499</v>
      </c>
      <c r="D396" s="312">
        <v>1</v>
      </c>
      <c r="E396" s="312"/>
      <c r="F396" s="248"/>
      <c r="G396" s="312"/>
      <c r="H396" s="312"/>
      <c r="I396" s="312"/>
      <c r="J396" s="248">
        <f t="shared" si="42"/>
        <v>0</v>
      </c>
      <c r="K396" s="330">
        <f t="shared" si="43"/>
        <v>-1</v>
      </c>
      <c r="L396" s="313"/>
      <c r="M396" s="228">
        <f t="shared" si="44"/>
        <v>0</v>
      </c>
      <c r="N396" s="228">
        <f t="shared" si="47"/>
        <v>0</v>
      </c>
      <c r="O396" s="228">
        <f t="shared" si="48"/>
        <v>0</v>
      </c>
      <c r="P396" s="228">
        <f t="shared" si="48"/>
        <v>0</v>
      </c>
      <c r="Q396" s="228">
        <f t="shared" si="45"/>
        <v>0</v>
      </c>
      <c r="R396" s="343">
        <f t="shared" si="46"/>
        <v>-1</v>
      </c>
      <c r="S396" s="240"/>
      <c r="T396" s="201"/>
      <c r="U396" s="201"/>
      <c r="V396" s="201"/>
    </row>
    <row r="397" spans="1:22" ht="15.75" x14ac:dyDescent="0.25">
      <c r="A397" s="230" t="s">
        <v>632</v>
      </c>
      <c r="B397" s="231" t="s">
        <v>633</v>
      </c>
      <c r="C397" s="230"/>
      <c r="D397" s="316"/>
      <c r="E397" s="316"/>
      <c r="F397" s="317"/>
      <c r="G397" s="316"/>
      <c r="H397" s="316"/>
      <c r="I397" s="316"/>
      <c r="J397" s="248">
        <f t="shared" si="42"/>
        <v>0</v>
      </c>
      <c r="K397" s="330">
        <f t="shared" si="43"/>
        <v>0</v>
      </c>
      <c r="L397" s="318"/>
      <c r="M397" s="228">
        <f t="shared" si="44"/>
        <v>0</v>
      </c>
      <c r="N397" s="228">
        <f t="shared" si="47"/>
        <v>0</v>
      </c>
      <c r="O397" s="228">
        <f t="shared" si="48"/>
        <v>0</v>
      </c>
      <c r="P397" s="228">
        <f t="shared" si="48"/>
        <v>0</v>
      </c>
      <c r="Q397" s="228">
        <f t="shared" si="45"/>
        <v>0</v>
      </c>
      <c r="R397" s="343">
        <f t="shared" si="46"/>
        <v>0</v>
      </c>
      <c r="S397" s="240"/>
      <c r="T397" s="201"/>
      <c r="U397" s="201"/>
      <c r="V397" s="201"/>
    </row>
    <row r="398" spans="1:22" ht="15.75" x14ac:dyDescent="0.25">
      <c r="A398" s="234" t="s">
        <v>634</v>
      </c>
      <c r="B398" s="235" t="s">
        <v>635</v>
      </c>
      <c r="C398" s="234" t="s">
        <v>9</v>
      </c>
      <c r="D398" s="312">
        <v>1</v>
      </c>
      <c r="E398" s="312"/>
      <c r="F398" s="248"/>
      <c r="G398" s="312"/>
      <c r="H398" s="312"/>
      <c r="I398" s="312"/>
      <c r="J398" s="248">
        <f t="shared" si="42"/>
        <v>0</v>
      </c>
      <c r="K398" s="330">
        <f t="shared" si="43"/>
        <v>-1</v>
      </c>
      <c r="L398" s="313"/>
      <c r="M398" s="228">
        <f t="shared" si="44"/>
        <v>0</v>
      </c>
      <c r="N398" s="228">
        <f t="shared" si="47"/>
        <v>0</v>
      </c>
      <c r="O398" s="228">
        <f t="shared" si="48"/>
        <v>0</v>
      </c>
      <c r="P398" s="228">
        <f t="shared" si="48"/>
        <v>0</v>
      </c>
      <c r="Q398" s="228">
        <f t="shared" si="45"/>
        <v>0</v>
      </c>
      <c r="R398" s="343">
        <f t="shared" si="46"/>
        <v>-1</v>
      </c>
      <c r="S398" s="240"/>
      <c r="T398" s="201"/>
      <c r="U398" s="201"/>
      <c r="V398" s="201"/>
    </row>
    <row r="399" spans="1:22" ht="15.75" x14ac:dyDescent="0.25">
      <c r="A399" s="234" t="s">
        <v>636</v>
      </c>
      <c r="B399" s="235" t="s">
        <v>485</v>
      </c>
      <c r="C399" s="234" t="s">
        <v>248</v>
      </c>
      <c r="D399" s="312">
        <v>3</v>
      </c>
      <c r="E399" s="312"/>
      <c r="F399" s="248"/>
      <c r="G399" s="312"/>
      <c r="H399" s="312"/>
      <c r="I399" s="312"/>
      <c r="J399" s="248">
        <f t="shared" si="42"/>
        <v>0</v>
      </c>
      <c r="K399" s="330">
        <f t="shared" si="43"/>
        <v>-3</v>
      </c>
      <c r="L399" s="313"/>
      <c r="M399" s="228">
        <f t="shared" si="44"/>
        <v>0</v>
      </c>
      <c r="N399" s="228">
        <f t="shared" si="47"/>
        <v>0</v>
      </c>
      <c r="O399" s="228">
        <f t="shared" si="48"/>
        <v>0</v>
      </c>
      <c r="P399" s="228">
        <f t="shared" si="48"/>
        <v>0</v>
      </c>
      <c r="Q399" s="228">
        <f t="shared" si="45"/>
        <v>0</v>
      </c>
      <c r="R399" s="343">
        <f t="shared" si="46"/>
        <v>-3</v>
      </c>
      <c r="S399" s="240"/>
      <c r="T399" s="201"/>
      <c r="U399" s="201"/>
      <c r="V399" s="201"/>
    </row>
    <row r="400" spans="1:22" ht="15.75" x14ac:dyDescent="0.25">
      <c r="A400" s="234" t="s">
        <v>637</v>
      </c>
      <c r="B400" s="235" t="s">
        <v>483</v>
      </c>
      <c r="C400" s="234" t="s">
        <v>248</v>
      </c>
      <c r="D400" s="312">
        <v>3</v>
      </c>
      <c r="E400" s="312"/>
      <c r="F400" s="248"/>
      <c r="G400" s="312"/>
      <c r="H400" s="312"/>
      <c r="I400" s="312"/>
      <c r="J400" s="248">
        <f t="shared" si="42"/>
        <v>0</v>
      </c>
      <c r="K400" s="330">
        <f t="shared" si="43"/>
        <v>-3</v>
      </c>
      <c r="L400" s="313"/>
      <c r="M400" s="228">
        <f t="shared" si="44"/>
        <v>0</v>
      </c>
      <c r="N400" s="228">
        <f t="shared" si="47"/>
        <v>0</v>
      </c>
      <c r="O400" s="228">
        <f t="shared" si="48"/>
        <v>0</v>
      </c>
      <c r="P400" s="228">
        <f t="shared" si="48"/>
        <v>0</v>
      </c>
      <c r="Q400" s="228">
        <f t="shared" si="45"/>
        <v>0</v>
      </c>
      <c r="R400" s="343">
        <f t="shared" si="46"/>
        <v>-3</v>
      </c>
      <c r="S400" s="240"/>
      <c r="T400" s="201"/>
      <c r="U400" s="201"/>
      <c r="V400" s="201"/>
    </row>
    <row r="401" spans="1:22" ht="15.75" x14ac:dyDescent="0.25">
      <c r="A401" s="234" t="s">
        <v>638</v>
      </c>
      <c r="B401" s="235" t="s">
        <v>639</v>
      </c>
      <c r="C401" s="234" t="s">
        <v>9</v>
      </c>
      <c r="D401" s="312">
        <v>2</v>
      </c>
      <c r="E401" s="312"/>
      <c r="F401" s="248"/>
      <c r="G401" s="312"/>
      <c r="H401" s="312"/>
      <c r="I401" s="312"/>
      <c r="J401" s="248">
        <f t="shared" si="42"/>
        <v>0</v>
      </c>
      <c r="K401" s="330">
        <f t="shared" si="43"/>
        <v>-2</v>
      </c>
      <c r="L401" s="313"/>
      <c r="M401" s="228">
        <f t="shared" si="44"/>
        <v>0</v>
      </c>
      <c r="N401" s="228">
        <f t="shared" si="47"/>
        <v>0</v>
      </c>
      <c r="O401" s="228">
        <f t="shared" si="48"/>
        <v>0</v>
      </c>
      <c r="P401" s="228">
        <f t="shared" si="48"/>
        <v>0</v>
      </c>
      <c r="Q401" s="228">
        <f t="shared" si="45"/>
        <v>0</v>
      </c>
      <c r="R401" s="343">
        <f t="shared" si="46"/>
        <v>-2</v>
      </c>
      <c r="S401" s="240"/>
      <c r="T401" s="201"/>
      <c r="U401" s="201"/>
      <c r="V401" s="201"/>
    </row>
    <row r="402" spans="1:22" ht="15.75" x14ac:dyDescent="0.25">
      <c r="A402" s="234" t="s">
        <v>640</v>
      </c>
      <c r="B402" s="235" t="s">
        <v>626</v>
      </c>
      <c r="C402" s="234" t="s">
        <v>9</v>
      </c>
      <c r="D402" s="312">
        <v>1</v>
      </c>
      <c r="E402" s="312"/>
      <c r="F402" s="248"/>
      <c r="G402" s="312"/>
      <c r="H402" s="312"/>
      <c r="I402" s="312"/>
      <c r="J402" s="248">
        <f t="shared" si="42"/>
        <v>0</v>
      </c>
      <c r="K402" s="330">
        <f t="shared" si="43"/>
        <v>-1</v>
      </c>
      <c r="L402" s="313"/>
      <c r="M402" s="228">
        <f t="shared" si="44"/>
        <v>0</v>
      </c>
      <c r="N402" s="228">
        <f t="shared" si="47"/>
        <v>0</v>
      </c>
      <c r="O402" s="228">
        <f t="shared" si="48"/>
        <v>0</v>
      </c>
      <c r="P402" s="228">
        <f t="shared" si="48"/>
        <v>0</v>
      </c>
      <c r="Q402" s="228">
        <f t="shared" si="45"/>
        <v>0</v>
      </c>
      <c r="R402" s="343">
        <f t="shared" si="46"/>
        <v>-1</v>
      </c>
      <c r="S402" s="240"/>
      <c r="T402" s="201"/>
      <c r="U402" s="201"/>
      <c r="V402" s="201"/>
    </row>
    <row r="403" spans="1:22" ht="15.75" x14ac:dyDescent="0.25">
      <c r="A403" s="234" t="s">
        <v>641</v>
      </c>
      <c r="B403" s="235" t="s">
        <v>628</v>
      </c>
      <c r="C403" s="234" t="s">
        <v>9</v>
      </c>
      <c r="D403" s="312">
        <v>2</v>
      </c>
      <c r="E403" s="312"/>
      <c r="F403" s="248"/>
      <c r="G403" s="312"/>
      <c r="H403" s="312"/>
      <c r="I403" s="312"/>
      <c r="J403" s="248">
        <f t="shared" si="42"/>
        <v>0</v>
      </c>
      <c r="K403" s="330">
        <f t="shared" si="43"/>
        <v>-2</v>
      </c>
      <c r="L403" s="313"/>
      <c r="M403" s="228">
        <f t="shared" si="44"/>
        <v>0</v>
      </c>
      <c r="N403" s="228">
        <f t="shared" si="47"/>
        <v>0</v>
      </c>
      <c r="O403" s="228">
        <f t="shared" si="48"/>
        <v>0</v>
      </c>
      <c r="P403" s="228">
        <f t="shared" si="48"/>
        <v>0</v>
      </c>
      <c r="Q403" s="228">
        <f t="shared" si="45"/>
        <v>0</v>
      </c>
      <c r="R403" s="343">
        <f t="shared" si="46"/>
        <v>-2</v>
      </c>
      <c r="S403" s="240"/>
      <c r="T403" s="201"/>
      <c r="U403" s="201"/>
      <c r="V403" s="201"/>
    </row>
    <row r="404" spans="1:22" ht="15.75" x14ac:dyDescent="0.25">
      <c r="A404" s="234" t="s">
        <v>642</v>
      </c>
      <c r="B404" s="235" t="s">
        <v>593</v>
      </c>
      <c r="C404" s="234" t="s">
        <v>9</v>
      </c>
      <c r="D404" s="312">
        <v>1</v>
      </c>
      <c r="E404" s="312"/>
      <c r="F404" s="248"/>
      <c r="G404" s="312"/>
      <c r="H404" s="312"/>
      <c r="I404" s="312"/>
      <c r="J404" s="248">
        <f t="shared" si="42"/>
        <v>0</v>
      </c>
      <c r="K404" s="330">
        <f t="shared" si="43"/>
        <v>-1</v>
      </c>
      <c r="L404" s="313"/>
      <c r="M404" s="228">
        <f t="shared" si="44"/>
        <v>0</v>
      </c>
      <c r="N404" s="228">
        <f t="shared" si="47"/>
        <v>0</v>
      </c>
      <c r="O404" s="228">
        <f t="shared" si="48"/>
        <v>0</v>
      </c>
      <c r="P404" s="228">
        <f t="shared" si="48"/>
        <v>0</v>
      </c>
      <c r="Q404" s="228">
        <f t="shared" si="45"/>
        <v>0</v>
      </c>
      <c r="R404" s="343">
        <f t="shared" si="46"/>
        <v>-1</v>
      </c>
      <c r="S404" s="240"/>
      <c r="T404" s="201"/>
      <c r="U404" s="201"/>
      <c r="V404" s="201"/>
    </row>
    <row r="405" spans="1:22" ht="15.75" x14ac:dyDescent="0.25">
      <c r="A405" s="234" t="s">
        <v>643</v>
      </c>
      <c r="B405" s="235" t="s">
        <v>495</v>
      </c>
      <c r="C405" s="234" t="s">
        <v>248</v>
      </c>
      <c r="D405" s="312">
        <v>1</v>
      </c>
      <c r="E405" s="312"/>
      <c r="F405" s="248"/>
      <c r="G405" s="312"/>
      <c r="H405" s="312"/>
      <c r="I405" s="312"/>
      <c r="J405" s="248">
        <f t="shared" si="42"/>
        <v>0</v>
      </c>
      <c r="K405" s="330">
        <f t="shared" si="43"/>
        <v>-1</v>
      </c>
      <c r="L405" s="313"/>
      <c r="M405" s="228">
        <f t="shared" si="44"/>
        <v>0</v>
      </c>
      <c r="N405" s="228">
        <f t="shared" si="47"/>
        <v>0</v>
      </c>
      <c r="O405" s="228">
        <f t="shared" si="48"/>
        <v>0</v>
      </c>
      <c r="P405" s="228">
        <f t="shared" si="48"/>
        <v>0</v>
      </c>
      <c r="Q405" s="228">
        <f t="shared" si="45"/>
        <v>0</v>
      </c>
      <c r="R405" s="343">
        <f t="shared" si="46"/>
        <v>-1</v>
      </c>
      <c r="S405" s="240"/>
      <c r="T405" s="201"/>
      <c r="U405" s="201"/>
      <c r="V405" s="201"/>
    </row>
    <row r="406" spans="1:22" ht="30" x14ac:dyDescent="0.25">
      <c r="A406" s="234" t="s">
        <v>644</v>
      </c>
      <c r="B406" s="235" t="s">
        <v>645</v>
      </c>
      <c r="C406" s="234" t="s">
        <v>499</v>
      </c>
      <c r="D406" s="312">
        <v>1</v>
      </c>
      <c r="E406" s="312"/>
      <c r="F406" s="248"/>
      <c r="G406" s="312"/>
      <c r="H406" s="312"/>
      <c r="I406" s="312"/>
      <c r="J406" s="248">
        <f t="shared" si="42"/>
        <v>0</v>
      </c>
      <c r="K406" s="330">
        <f t="shared" si="43"/>
        <v>-1</v>
      </c>
      <c r="L406" s="313"/>
      <c r="M406" s="228">
        <f t="shared" si="44"/>
        <v>0</v>
      </c>
      <c r="N406" s="228">
        <f t="shared" si="47"/>
        <v>0</v>
      </c>
      <c r="O406" s="228">
        <f t="shared" si="48"/>
        <v>0</v>
      </c>
      <c r="P406" s="228">
        <f t="shared" si="48"/>
        <v>0</v>
      </c>
      <c r="Q406" s="228">
        <f t="shared" si="45"/>
        <v>0</v>
      </c>
      <c r="R406" s="343">
        <f t="shared" si="46"/>
        <v>-1</v>
      </c>
      <c r="S406" s="240"/>
      <c r="T406" s="201"/>
      <c r="U406" s="201"/>
      <c r="V406" s="201"/>
    </row>
    <row r="407" spans="1:22" ht="15.75" x14ac:dyDescent="0.25">
      <c r="A407" s="230" t="s">
        <v>646</v>
      </c>
      <c r="B407" s="231" t="s">
        <v>647</v>
      </c>
      <c r="C407" s="230"/>
      <c r="D407" s="316"/>
      <c r="E407" s="316"/>
      <c r="F407" s="317"/>
      <c r="G407" s="316"/>
      <c r="H407" s="316"/>
      <c r="I407" s="316"/>
      <c r="J407" s="248">
        <f t="shared" si="42"/>
        <v>0</v>
      </c>
      <c r="K407" s="330">
        <f t="shared" si="43"/>
        <v>0</v>
      </c>
      <c r="L407" s="318"/>
      <c r="M407" s="228">
        <f t="shared" si="44"/>
        <v>0</v>
      </c>
      <c r="N407" s="228">
        <f t="shared" si="47"/>
        <v>0</v>
      </c>
      <c r="O407" s="228">
        <f t="shared" si="48"/>
        <v>0</v>
      </c>
      <c r="P407" s="228">
        <f t="shared" si="48"/>
        <v>0</v>
      </c>
      <c r="Q407" s="228">
        <f t="shared" si="45"/>
        <v>0</v>
      </c>
      <c r="R407" s="343">
        <f t="shared" si="46"/>
        <v>0</v>
      </c>
      <c r="S407" s="240"/>
      <c r="T407" s="201"/>
      <c r="U407" s="201"/>
      <c r="V407" s="201"/>
    </row>
    <row r="408" spans="1:22" ht="15.75" x14ac:dyDescent="0.25">
      <c r="A408" s="234" t="s">
        <v>648</v>
      </c>
      <c r="B408" s="235" t="s">
        <v>649</v>
      </c>
      <c r="C408" s="234" t="s">
        <v>9</v>
      </c>
      <c r="D408" s="312">
        <v>1</v>
      </c>
      <c r="E408" s="312"/>
      <c r="F408" s="248"/>
      <c r="G408" s="312"/>
      <c r="H408" s="312"/>
      <c r="I408" s="312"/>
      <c r="J408" s="248">
        <f t="shared" si="42"/>
        <v>0</v>
      </c>
      <c r="K408" s="330">
        <f t="shared" si="43"/>
        <v>-1</v>
      </c>
      <c r="L408" s="313"/>
      <c r="M408" s="228">
        <f t="shared" si="44"/>
        <v>0</v>
      </c>
      <c r="N408" s="228">
        <f t="shared" si="47"/>
        <v>0</v>
      </c>
      <c r="O408" s="228">
        <f t="shared" si="48"/>
        <v>0</v>
      </c>
      <c r="P408" s="228">
        <f t="shared" si="48"/>
        <v>0</v>
      </c>
      <c r="Q408" s="228">
        <f t="shared" si="45"/>
        <v>0</v>
      </c>
      <c r="R408" s="343">
        <f t="shared" si="46"/>
        <v>-1</v>
      </c>
      <c r="S408" s="240"/>
      <c r="T408" s="201"/>
      <c r="U408" s="201"/>
      <c r="V408" s="201"/>
    </row>
    <row r="409" spans="1:22" ht="15.75" x14ac:dyDescent="0.25">
      <c r="A409" s="234" t="s">
        <v>650</v>
      </c>
      <c r="B409" s="235" t="s">
        <v>485</v>
      </c>
      <c r="C409" s="234" t="s">
        <v>248</v>
      </c>
      <c r="D409" s="312">
        <v>3</v>
      </c>
      <c r="E409" s="312"/>
      <c r="F409" s="248"/>
      <c r="G409" s="312"/>
      <c r="H409" s="312"/>
      <c r="I409" s="312"/>
      <c r="J409" s="248">
        <f t="shared" si="42"/>
        <v>0</v>
      </c>
      <c r="K409" s="330">
        <f t="shared" si="43"/>
        <v>-3</v>
      </c>
      <c r="L409" s="313"/>
      <c r="M409" s="228">
        <f t="shared" si="44"/>
        <v>0</v>
      </c>
      <c r="N409" s="228">
        <f t="shared" si="47"/>
        <v>0</v>
      </c>
      <c r="O409" s="228">
        <f t="shared" si="48"/>
        <v>0</v>
      </c>
      <c r="P409" s="228">
        <f t="shared" si="48"/>
        <v>0</v>
      </c>
      <c r="Q409" s="228">
        <f t="shared" si="45"/>
        <v>0</v>
      </c>
      <c r="R409" s="343">
        <f t="shared" si="46"/>
        <v>-3</v>
      </c>
      <c r="S409" s="240"/>
      <c r="T409" s="201"/>
      <c r="U409" s="201"/>
      <c r="V409" s="201"/>
    </row>
    <row r="410" spans="1:22" ht="15.75" x14ac:dyDescent="0.25">
      <c r="A410" s="234" t="s">
        <v>651</v>
      </c>
      <c r="B410" s="235" t="s">
        <v>483</v>
      </c>
      <c r="C410" s="234" t="s">
        <v>248</v>
      </c>
      <c r="D410" s="312">
        <v>3</v>
      </c>
      <c r="E410" s="312"/>
      <c r="F410" s="248"/>
      <c r="G410" s="312"/>
      <c r="H410" s="312"/>
      <c r="I410" s="312"/>
      <c r="J410" s="248">
        <f t="shared" si="42"/>
        <v>0</v>
      </c>
      <c r="K410" s="330">
        <f t="shared" si="43"/>
        <v>-3</v>
      </c>
      <c r="L410" s="313"/>
      <c r="M410" s="228">
        <f t="shared" si="44"/>
        <v>0</v>
      </c>
      <c r="N410" s="228">
        <f t="shared" si="47"/>
        <v>0</v>
      </c>
      <c r="O410" s="228">
        <f t="shared" si="48"/>
        <v>0</v>
      </c>
      <c r="P410" s="228">
        <f t="shared" si="48"/>
        <v>0</v>
      </c>
      <c r="Q410" s="228">
        <f t="shared" si="45"/>
        <v>0</v>
      </c>
      <c r="R410" s="343">
        <f t="shared" si="46"/>
        <v>-3</v>
      </c>
      <c r="S410" s="240"/>
      <c r="T410" s="201"/>
      <c r="U410" s="201"/>
      <c r="V410" s="201"/>
    </row>
    <row r="411" spans="1:22" ht="15.75" x14ac:dyDescent="0.25">
      <c r="A411" s="234" t="s">
        <v>652</v>
      </c>
      <c r="B411" s="235" t="s">
        <v>653</v>
      </c>
      <c r="C411" s="234" t="s">
        <v>9</v>
      </c>
      <c r="D411" s="312">
        <v>2</v>
      </c>
      <c r="E411" s="312"/>
      <c r="F411" s="248"/>
      <c r="G411" s="312"/>
      <c r="H411" s="312"/>
      <c r="I411" s="312"/>
      <c r="J411" s="248">
        <f t="shared" si="42"/>
        <v>0</v>
      </c>
      <c r="K411" s="330">
        <f t="shared" si="43"/>
        <v>-2</v>
      </c>
      <c r="L411" s="313"/>
      <c r="M411" s="228">
        <f t="shared" si="44"/>
        <v>0</v>
      </c>
      <c r="N411" s="228">
        <f t="shared" si="47"/>
        <v>0</v>
      </c>
      <c r="O411" s="228">
        <f t="shared" si="48"/>
        <v>0</v>
      </c>
      <c r="P411" s="228">
        <f t="shared" si="48"/>
        <v>0</v>
      </c>
      <c r="Q411" s="228">
        <f t="shared" si="45"/>
        <v>0</v>
      </c>
      <c r="R411" s="343">
        <f t="shared" si="46"/>
        <v>-2</v>
      </c>
      <c r="S411" s="240"/>
      <c r="T411" s="201"/>
      <c r="U411" s="201"/>
      <c r="V411" s="201"/>
    </row>
    <row r="412" spans="1:22" ht="15.75" x14ac:dyDescent="0.25">
      <c r="A412" s="234" t="s">
        <v>654</v>
      </c>
      <c r="B412" s="235" t="s">
        <v>587</v>
      </c>
      <c r="C412" s="234" t="s">
        <v>9</v>
      </c>
      <c r="D412" s="312">
        <v>2</v>
      </c>
      <c r="E412" s="312"/>
      <c r="F412" s="248"/>
      <c r="G412" s="312"/>
      <c r="H412" s="312"/>
      <c r="I412" s="312"/>
      <c r="J412" s="248">
        <f t="shared" si="42"/>
        <v>0</v>
      </c>
      <c r="K412" s="330">
        <f t="shared" si="43"/>
        <v>-2</v>
      </c>
      <c r="L412" s="313"/>
      <c r="M412" s="228">
        <f t="shared" si="44"/>
        <v>0</v>
      </c>
      <c r="N412" s="228">
        <f t="shared" si="47"/>
        <v>0</v>
      </c>
      <c r="O412" s="228">
        <f t="shared" si="48"/>
        <v>0</v>
      </c>
      <c r="P412" s="228">
        <f t="shared" si="48"/>
        <v>0</v>
      </c>
      <c r="Q412" s="228">
        <f t="shared" si="45"/>
        <v>0</v>
      </c>
      <c r="R412" s="343">
        <f t="shared" si="46"/>
        <v>-2</v>
      </c>
      <c r="S412" s="240"/>
      <c r="T412" s="201"/>
      <c r="U412" s="201"/>
      <c r="V412" s="201"/>
    </row>
    <row r="413" spans="1:22" ht="15.75" x14ac:dyDescent="0.25">
      <c r="A413" s="234" t="s">
        <v>655</v>
      </c>
      <c r="B413" s="235" t="s">
        <v>628</v>
      </c>
      <c r="C413" s="234" t="s">
        <v>9</v>
      </c>
      <c r="D413" s="312">
        <v>2</v>
      </c>
      <c r="E413" s="312"/>
      <c r="F413" s="248"/>
      <c r="G413" s="312"/>
      <c r="H413" s="312"/>
      <c r="I413" s="312"/>
      <c r="J413" s="248">
        <f t="shared" si="42"/>
        <v>0</v>
      </c>
      <c r="K413" s="330">
        <f t="shared" si="43"/>
        <v>-2</v>
      </c>
      <c r="L413" s="313"/>
      <c r="M413" s="228">
        <f t="shared" si="44"/>
        <v>0</v>
      </c>
      <c r="N413" s="228">
        <f t="shared" si="47"/>
        <v>0</v>
      </c>
      <c r="O413" s="228">
        <f t="shared" si="48"/>
        <v>0</v>
      </c>
      <c r="P413" s="228">
        <f t="shared" si="48"/>
        <v>0</v>
      </c>
      <c r="Q413" s="228">
        <f t="shared" si="45"/>
        <v>0</v>
      </c>
      <c r="R413" s="343">
        <f t="shared" si="46"/>
        <v>-2</v>
      </c>
      <c r="S413" s="240"/>
      <c r="T413" s="201"/>
      <c r="U413" s="201"/>
      <c r="V413" s="201"/>
    </row>
    <row r="414" spans="1:22" ht="15.75" x14ac:dyDescent="0.25">
      <c r="A414" s="234" t="s">
        <v>656</v>
      </c>
      <c r="B414" s="235" t="s">
        <v>593</v>
      </c>
      <c r="C414" s="234" t="s">
        <v>9</v>
      </c>
      <c r="D414" s="312">
        <v>1</v>
      </c>
      <c r="E414" s="312"/>
      <c r="F414" s="248"/>
      <c r="G414" s="312"/>
      <c r="H414" s="312"/>
      <c r="I414" s="312"/>
      <c r="J414" s="248">
        <f t="shared" si="42"/>
        <v>0</v>
      </c>
      <c r="K414" s="330">
        <f t="shared" si="43"/>
        <v>-1</v>
      </c>
      <c r="L414" s="313"/>
      <c r="M414" s="228">
        <f t="shared" si="44"/>
        <v>0</v>
      </c>
      <c r="N414" s="228">
        <f t="shared" si="47"/>
        <v>0</v>
      </c>
      <c r="O414" s="228">
        <f t="shared" si="48"/>
        <v>0</v>
      </c>
      <c r="P414" s="228">
        <f t="shared" si="48"/>
        <v>0</v>
      </c>
      <c r="Q414" s="228">
        <f t="shared" si="45"/>
        <v>0</v>
      </c>
      <c r="R414" s="343">
        <f t="shared" si="46"/>
        <v>-1</v>
      </c>
      <c r="S414" s="240"/>
      <c r="T414" s="201"/>
      <c r="U414" s="201"/>
      <c r="V414" s="201"/>
    </row>
    <row r="415" spans="1:22" ht="15.75" x14ac:dyDescent="0.25">
      <c r="A415" s="234" t="s">
        <v>657</v>
      </c>
      <c r="B415" s="235" t="s">
        <v>495</v>
      </c>
      <c r="C415" s="234" t="s">
        <v>248</v>
      </c>
      <c r="D415" s="312">
        <v>1</v>
      </c>
      <c r="E415" s="312"/>
      <c r="F415" s="248"/>
      <c r="G415" s="312"/>
      <c r="H415" s="312"/>
      <c r="I415" s="312"/>
      <c r="J415" s="248">
        <f t="shared" si="42"/>
        <v>0</v>
      </c>
      <c r="K415" s="330">
        <f t="shared" si="43"/>
        <v>-1</v>
      </c>
      <c r="L415" s="313"/>
      <c r="M415" s="228">
        <f t="shared" si="44"/>
        <v>0</v>
      </c>
      <c r="N415" s="228">
        <f t="shared" si="47"/>
        <v>0</v>
      </c>
      <c r="O415" s="228">
        <f t="shared" si="48"/>
        <v>0</v>
      </c>
      <c r="P415" s="228">
        <f t="shared" si="48"/>
        <v>0</v>
      </c>
      <c r="Q415" s="228">
        <f t="shared" si="45"/>
        <v>0</v>
      </c>
      <c r="R415" s="343">
        <f t="shared" si="46"/>
        <v>-1</v>
      </c>
      <c r="S415" s="240"/>
      <c r="T415" s="201"/>
      <c r="U415" s="201"/>
      <c r="V415" s="201"/>
    </row>
    <row r="416" spans="1:22" ht="30" x14ac:dyDescent="0.25">
      <c r="A416" s="234" t="s">
        <v>658</v>
      </c>
      <c r="B416" s="235" t="s">
        <v>645</v>
      </c>
      <c r="C416" s="234" t="s">
        <v>499</v>
      </c>
      <c r="D416" s="312">
        <v>1</v>
      </c>
      <c r="E416" s="312"/>
      <c r="F416" s="248"/>
      <c r="G416" s="312"/>
      <c r="H416" s="312"/>
      <c r="I416" s="312"/>
      <c r="J416" s="248">
        <f t="shared" si="42"/>
        <v>0</v>
      </c>
      <c r="K416" s="330">
        <f t="shared" si="43"/>
        <v>-1</v>
      </c>
      <c r="L416" s="313"/>
      <c r="M416" s="228">
        <f t="shared" si="44"/>
        <v>0</v>
      </c>
      <c r="N416" s="228">
        <f t="shared" si="47"/>
        <v>0</v>
      </c>
      <c r="O416" s="228">
        <f t="shared" si="48"/>
        <v>0</v>
      </c>
      <c r="P416" s="228">
        <f t="shared" si="48"/>
        <v>0</v>
      </c>
      <c r="Q416" s="228">
        <f t="shared" si="45"/>
        <v>0</v>
      </c>
      <c r="R416" s="343">
        <f t="shared" si="46"/>
        <v>-1</v>
      </c>
      <c r="S416" s="240"/>
      <c r="T416" s="201"/>
      <c r="U416" s="201"/>
      <c r="V416" s="201"/>
    </row>
    <row r="417" spans="1:22" ht="15.75" x14ac:dyDescent="0.25">
      <c r="A417" s="230" t="s">
        <v>659</v>
      </c>
      <c r="B417" s="231" t="s">
        <v>660</v>
      </c>
      <c r="C417" s="230"/>
      <c r="D417" s="316"/>
      <c r="E417" s="316"/>
      <c r="F417" s="317"/>
      <c r="G417" s="316"/>
      <c r="H417" s="316"/>
      <c r="I417" s="316"/>
      <c r="J417" s="248">
        <f t="shared" si="42"/>
        <v>0</v>
      </c>
      <c r="K417" s="330">
        <f t="shared" si="43"/>
        <v>0</v>
      </c>
      <c r="L417" s="318"/>
      <c r="M417" s="228">
        <f t="shared" si="44"/>
        <v>0</v>
      </c>
      <c r="N417" s="228">
        <f t="shared" si="47"/>
        <v>0</v>
      </c>
      <c r="O417" s="228">
        <f t="shared" si="48"/>
        <v>0</v>
      </c>
      <c r="P417" s="228">
        <f t="shared" si="48"/>
        <v>0</v>
      </c>
      <c r="Q417" s="228">
        <f t="shared" si="45"/>
        <v>0</v>
      </c>
      <c r="R417" s="343">
        <f t="shared" si="46"/>
        <v>0</v>
      </c>
      <c r="S417" s="240"/>
      <c r="T417" s="201"/>
      <c r="U417" s="201"/>
      <c r="V417" s="201"/>
    </row>
    <row r="418" spans="1:22" ht="15.75" x14ac:dyDescent="0.25">
      <c r="A418" s="234" t="s">
        <v>661</v>
      </c>
      <c r="B418" s="235" t="s">
        <v>649</v>
      </c>
      <c r="C418" s="234" t="s">
        <v>9</v>
      </c>
      <c r="D418" s="312">
        <v>1</v>
      </c>
      <c r="E418" s="312"/>
      <c r="F418" s="248"/>
      <c r="G418" s="312"/>
      <c r="H418" s="312"/>
      <c r="I418" s="312"/>
      <c r="J418" s="248">
        <f t="shared" si="42"/>
        <v>0</v>
      </c>
      <c r="K418" s="330">
        <f t="shared" si="43"/>
        <v>-1</v>
      </c>
      <c r="L418" s="313"/>
      <c r="M418" s="228">
        <f t="shared" si="44"/>
        <v>0</v>
      </c>
      <c r="N418" s="228">
        <f t="shared" si="47"/>
        <v>0</v>
      </c>
      <c r="O418" s="228">
        <f t="shared" si="48"/>
        <v>0</v>
      </c>
      <c r="P418" s="228">
        <f t="shared" si="48"/>
        <v>0</v>
      </c>
      <c r="Q418" s="228">
        <f t="shared" si="45"/>
        <v>0</v>
      </c>
      <c r="R418" s="343">
        <f t="shared" si="46"/>
        <v>-1</v>
      </c>
      <c r="S418" s="240"/>
      <c r="T418" s="201"/>
      <c r="U418" s="201"/>
      <c r="V418" s="201"/>
    </row>
    <row r="419" spans="1:22" ht="15.75" x14ac:dyDescent="0.25">
      <c r="A419" s="234" t="s">
        <v>662</v>
      </c>
      <c r="B419" s="235" t="s">
        <v>485</v>
      </c>
      <c r="C419" s="234" t="s">
        <v>248</v>
      </c>
      <c r="D419" s="312">
        <v>3</v>
      </c>
      <c r="E419" s="312"/>
      <c r="F419" s="248"/>
      <c r="G419" s="312"/>
      <c r="H419" s="312"/>
      <c r="I419" s="312"/>
      <c r="J419" s="248">
        <f t="shared" si="42"/>
        <v>0</v>
      </c>
      <c r="K419" s="330">
        <f t="shared" si="43"/>
        <v>-3</v>
      </c>
      <c r="L419" s="313"/>
      <c r="M419" s="228">
        <f t="shared" si="44"/>
        <v>0</v>
      </c>
      <c r="N419" s="228">
        <f t="shared" si="47"/>
        <v>0</v>
      </c>
      <c r="O419" s="228">
        <f t="shared" si="48"/>
        <v>0</v>
      </c>
      <c r="P419" s="228">
        <f t="shared" si="48"/>
        <v>0</v>
      </c>
      <c r="Q419" s="228">
        <f t="shared" si="45"/>
        <v>0</v>
      </c>
      <c r="R419" s="343">
        <f t="shared" si="46"/>
        <v>-3</v>
      </c>
      <c r="S419" s="240"/>
      <c r="T419" s="201"/>
      <c r="U419" s="201"/>
      <c r="V419" s="201"/>
    </row>
    <row r="420" spans="1:22" ht="15.75" x14ac:dyDescent="0.25">
      <c r="A420" s="234" t="s">
        <v>663</v>
      </c>
      <c r="B420" s="235" t="s">
        <v>483</v>
      </c>
      <c r="C420" s="234" t="s">
        <v>248</v>
      </c>
      <c r="D420" s="312">
        <v>3</v>
      </c>
      <c r="E420" s="312"/>
      <c r="F420" s="248"/>
      <c r="G420" s="312"/>
      <c r="H420" s="312"/>
      <c r="I420" s="312"/>
      <c r="J420" s="248">
        <f t="shared" si="42"/>
        <v>0</v>
      </c>
      <c r="K420" s="330">
        <f t="shared" si="43"/>
        <v>-3</v>
      </c>
      <c r="L420" s="313"/>
      <c r="M420" s="228">
        <f t="shared" si="44"/>
        <v>0</v>
      </c>
      <c r="N420" s="228">
        <f t="shared" si="47"/>
        <v>0</v>
      </c>
      <c r="O420" s="228">
        <f t="shared" si="48"/>
        <v>0</v>
      </c>
      <c r="P420" s="228">
        <f t="shared" si="48"/>
        <v>0</v>
      </c>
      <c r="Q420" s="228">
        <f t="shared" si="45"/>
        <v>0</v>
      </c>
      <c r="R420" s="343">
        <f t="shared" si="46"/>
        <v>-3</v>
      </c>
      <c r="S420" s="240"/>
      <c r="T420" s="201"/>
      <c r="U420" s="201"/>
      <c r="V420" s="201"/>
    </row>
    <row r="421" spans="1:22" ht="15.75" x14ac:dyDescent="0.25">
      <c r="A421" s="234" t="s">
        <v>664</v>
      </c>
      <c r="B421" s="235" t="s">
        <v>587</v>
      </c>
      <c r="C421" s="234" t="s">
        <v>9</v>
      </c>
      <c r="D421" s="312">
        <v>1</v>
      </c>
      <c r="E421" s="312"/>
      <c r="F421" s="248"/>
      <c r="G421" s="312"/>
      <c r="H421" s="312"/>
      <c r="I421" s="312"/>
      <c r="J421" s="248">
        <f t="shared" si="42"/>
        <v>0</v>
      </c>
      <c r="K421" s="330">
        <f t="shared" si="43"/>
        <v>-1</v>
      </c>
      <c r="L421" s="313"/>
      <c r="M421" s="228">
        <f t="shared" si="44"/>
        <v>0</v>
      </c>
      <c r="N421" s="228">
        <f t="shared" si="47"/>
        <v>0</v>
      </c>
      <c r="O421" s="228">
        <f t="shared" si="48"/>
        <v>0</v>
      </c>
      <c r="P421" s="228">
        <f t="shared" si="48"/>
        <v>0</v>
      </c>
      <c r="Q421" s="228">
        <f t="shared" si="45"/>
        <v>0</v>
      </c>
      <c r="R421" s="343">
        <f t="shared" si="46"/>
        <v>-1</v>
      </c>
      <c r="S421" s="240"/>
      <c r="T421" s="201"/>
      <c r="U421" s="201"/>
      <c r="V421" s="201"/>
    </row>
    <row r="422" spans="1:22" ht="15.75" x14ac:dyDescent="0.25">
      <c r="A422" s="234" t="s">
        <v>665</v>
      </c>
      <c r="B422" s="235" t="s">
        <v>589</v>
      </c>
      <c r="C422" s="234" t="s">
        <v>9</v>
      </c>
      <c r="D422" s="312">
        <v>7</v>
      </c>
      <c r="E422" s="312"/>
      <c r="F422" s="248"/>
      <c r="G422" s="312"/>
      <c r="H422" s="312"/>
      <c r="I422" s="312"/>
      <c r="J422" s="248">
        <f t="shared" si="42"/>
        <v>0</v>
      </c>
      <c r="K422" s="330">
        <f t="shared" si="43"/>
        <v>-7</v>
      </c>
      <c r="L422" s="313"/>
      <c r="M422" s="228">
        <f t="shared" si="44"/>
        <v>0</v>
      </c>
      <c r="N422" s="228">
        <f t="shared" si="47"/>
        <v>0</v>
      </c>
      <c r="O422" s="228">
        <f t="shared" si="48"/>
        <v>0</v>
      </c>
      <c r="P422" s="228">
        <f t="shared" si="48"/>
        <v>0</v>
      </c>
      <c r="Q422" s="228">
        <f t="shared" si="45"/>
        <v>0</v>
      </c>
      <c r="R422" s="343">
        <f t="shared" si="46"/>
        <v>-7</v>
      </c>
      <c r="S422" s="240"/>
      <c r="T422" s="201"/>
      <c r="U422" s="201"/>
      <c r="V422" s="201"/>
    </row>
    <row r="423" spans="1:22" ht="15.75" x14ac:dyDescent="0.25">
      <c r="A423" s="234" t="s">
        <v>666</v>
      </c>
      <c r="B423" s="235" t="s">
        <v>667</v>
      </c>
      <c r="C423" s="234" t="s">
        <v>9</v>
      </c>
      <c r="D423" s="312">
        <v>1</v>
      </c>
      <c r="E423" s="312"/>
      <c r="F423" s="248"/>
      <c r="G423" s="312"/>
      <c r="H423" s="312"/>
      <c r="I423" s="312"/>
      <c r="J423" s="248">
        <f t="shared" si="42"/>
        <v>0</v>
      </c>
      <c r="K423" s="330">
        <f t="shared" si="43"/>
        <v>-1</v>
      </c>
      <c r="L423" s="313"/>
      <c r="M423" s="228">
        <f t="shared" si="44"/>
        <v>0</v>
      </c>
      <c r="N423" s="228">
        <f t="shared" si="47"/>
        <v>0</v>
      </c>
      <c r="O423" s="228">
        <f t="shared" si="48"/>
        <v>0</v>
      </c>
      <c r="P423" s="228">
        <f t="shared" si="48"/>
        <v>0</v>
      </c>
      <c r="Q423" s="228">
        <f t="shared" si="45"/>
        <v>0</v>
      </c>
      <c r="R423" s="343">
        <f t="shared" si="46"/>
        <v>-1</v>
      </c>
      <c r="S423" s="240"/>
      <c r="T423" s="201"/>
      <c r="U423" s="201"/>
      <c r="V423" s="201"/>
    </row>
    <row r="424" spans="1:22" ht="15.75" x14ac:dyDescent="0.25">
      <c r="A424" s="234" t="s">
        <v>668</v>
      </c>
      <c r="B424" s="235" t="s">
        <v>611</v>
      </c>
      <c r="C424" s="234" t="s">
        <v>9</v>
      </c>
      <c r="D424" s="312">
        <v>2</v>
      </c>
      <c r="E424" s="312"/>
      <c r="F424" s="248"/>
      <c r="G424" s="312"/>
      <c r="H424" s="312"/>
      <c r="I424" s="312"/>
      <c r="J424" s="248">
        <f t="shared" si="42"/>
        <v>0</v>
      </c>
      <c r="K424" s="330">
        <f t="shared" si="43"/>
        <v>-2</v>
      </c>
      <c r="L424" s="313"/>
      <c r="M424" s="228">
        <f t="shared" si="44"/>
        <v>0</v>
      </c>
      <c r="N424" s="228">
        <f t="shared" si="47"/>
        <v>0</v>
      </c>
      <c r="O424" s="228">
        <f t="shared" si="48"/>
        <v>0</v>
      </c>
      <c r="P424" s="228">
        <f t="shared" si="48"/>
        <v>0</v>
      </c>
      <c r="Q424" s="228">
        <f t="shared" si="45"/>
        <v>0</v>
      </c>
      <c r="R424" s="343">
        <f t="shared" si="46"/>
        <v>-2</v>
      </c>
      <c r="S424" s="240"/>
      <c r="T424" s="201"/>
      <c r="U424" s="201"/>
      <c r="V424" s="201"/>
    </row>
    <row r="425" spans="1:22" ht="15.75" x14ac:dyDescent="0.25">
      <c r="A425" s="234" t="s">
        <v>669</v>
      </c>
      <c r="B425" s="235" t="s">
        <v>593</v>
      </c>
      <c r="C425" s="234" t="s">
        <v>9</v>
      </c>
      <c r="D425" s="312">
        <v>1</v>
      </c>
      <c r="E425" s="312"/>
      <c r="F425" s="248"/>
      <c r="G425" s="312"/>
      <c r="H425" s="312"/>
      <c r="I425" s="312"/>
      <c r="J425" s="248">
        <f t="shared" si="42"/>
        <v>0</v>
      </c>
      <c r="K425" s="330">
        <f t="shared" si="43"/>
        <v>-1</v>
      </c>
      <c r="L425" s="313"/>
      <c r="M425" s="228">
        <f t="shared" si="44"/>
        <v>0</v>
      </c>
      <c r="N425" s="228">
        <f t="shared" si="47"/>
        <v>0</v>
      </c>
      <c r="O425" s="228">
        <f t="shared" si="48"/>
        <v>0</v>
      </c>
      <c r="P425" s="228">
        <f t="shared" si="48"/>
        <v>0</v>
      </c>
      <c r="Q425" s="228">
        <f t="shared" si="45"/>
        <v>0</v>
      </c>
      <c r="R425" s="343">
        <f t="shared" si="46"/>
        <v>-1</v>
      </c>
      <c r="S425" s="240"/>
      <c r="T425" s="201"/>
      <c r="U425" s="201"/>
      <c r="V425" s="201"/>
    </row>
    <row r="426" spans="1:22" ht="15.75" x14ac:dyDescent="0.25">
      <c r="A426" s="234" t="s">
        <v>670</v>
      </c>
      <c r="B426" s="235" t="s">
        <v>495</v>
      </c>
      <c r="C426" s="234" t="s">
        <v>248</v>
      </c>
      <c r="D426" s="312">
        <v>1</v>
      </c>
      <c r="E426" s="312"/>
      <c r="F426" s="248"/>
      <c r="G426" s="312"/>
      <c r="H426" s="312"/>
      <c r="I426" s="312"/>
      <c r="J426" s="248">
        <f t="shared" si="42"/>
        <v>0</v>
      </c>
      <c r="K426" s="330">
        <f t="shared" si="43"/>
        <v>-1</v>
      </c>
      <c r="L426" s="313"/>
      <c r="M426" s="228">
        <f t="shared" si="44"/>
        <v>0</v>
      </c>
      <c r="N426" s="228">
        <f t="shared" si="47"/>
        <v>0</v>
      </c>
      <c r="O426" s="228">
        <f t="shared" si="48"/>
        <v>0</v>
      </c>
      <c r="P426" s="228">
        <f t="shared" si="48"/>
        <v>0</v>
      </c>
      <c r="Q426" s="228">
        <f t="shared" si="45"/>
        <v>0</v>
      </c>
      <c r="R426" s="343">
        <f t="shared" si="46"/>
        <v>-1</v>
      </c>
      <c r="S426" s="240"/>
      <c r="T426" s="201"/>
      <c r="U426" s="201"/>
      <c r="V426" s="201"/>
    </row>
    <row r="427" spans="1:22" ht="30" x14ac:dyDescent="0.25">
      <c r="A427" s="234" t="s">
        <v>671</v>
      </c>
      <c r="B427" s="235" t="s">
        <v>672</v>
      </c>
      <c r="C427" s="234" t="s">
        <v>499</v>
      </c>
      <c r="D427" s="312">
        <v>1</v>
      </c>
      <c r="E427" s="312"/>
      <c r="F427" s="248"/>
      <c r="G427" s="312"/>
      <c r="H427" s="312"/>
      <c r="I427" s="312"/>
      <c r="J427" s="248">
        <f t="shared" si="42"/>
        <v>0</v>
      </c>
      <c r="K427" s="330">
        <f t="shared" si="43"/>
        <v>-1</v>
      </c>
      <c r="L427" s="313"/>
      <c r="M427" s="228">
        <f t="shared" si="44"/>
        <v>0</v>
      </c>
      <c r="N427" s="228">
        <f t="shared" si="47"/>
        <v>0</v>
      </c>
      <c r="O427" s="228">
        <f t="shared" si="48"/>
        <v>0</v>
      </c>
      <c r="P427" s="228">
        <f t="shared" si="48"/>
        <v>0</v>
      </c>
      <c r="Q427" s="228">
        <f t="shared" si="45"/>
        <v>0</v>
      </c>
      <c r="R427" s="343">
        <f t="shared" si="46"/>
        <v>-1</v>
      </c>
      <c r="S427" s="240"/>
      <c r="T427" s="201"/>
      <c r="U427" s="201"/>
      <c r="V427" s="201"/>
    </row>
    <row r="428" spans="1:22" ht="15.75" x14ac:dyDescent="0.25">
      <c r="A428" s="230" t="s">
        <v>673</v>
      </c>
      <c r="B428" s="231" t="s">
        <v>674</v>
      </c>
      <c r="C428" s="230"/>
      <c r="D428" s="316"/>
      <c r="E428" s="316"/>
      <c r="F428" s="317"/>
      <c r="G428" s="316"/>
      <c r="H428" s="316"/>
      <c r="I428" s="316"/>
      <c r="J428" s="248">
        <f t="shared" si="42"/>
        <v>0</v>
      </c>
      <c r="K428" s="330">
        <f t="shared" si="43"/>
        <v>0</v>
      </c>
      <c r="L428" s="318"/>
      <c r="M428" s="228">
        <f t="shared" si="44"/>
        <v>0</v>
      </c>
      <c r="N428" s="228">
        <f t="shared" si="47"/>
        <v>0</v>
      </c>
      <c r="O428" s="228">
        <f t="shared" si="48"/>
        <v>0</v>
      </c>
      <c r="P428" s="228">
        <f t="shared" si="48"/>
        <v>0</v>
      </c>
      <c r="Q428" s="228">
        <f t="shared" si="45"/>
        <v>0</v>
      </c>
      <c r="R428" s="343">
        <f t="shared" si="46"/>
        <v>0</v>
      </c>
      <c r="S428" s="240"/>
      <c r="T428" s="201"/>
      <c r="U428" s="201"/>
      <c r="V428" s="201"/>
    </row>
    <row r="429" spans="1:22" ht="15.75" x14ac:dyDescent="0.25">
      <c r="A429" s="234" t="s">
        <v>675</v>
      </c>
      <c r="B429" s="235" t="s">
        <v>676</v>
      </c>
      <c r="C429" s="234" t="s">
        <v>9</v>
      </c>
      <c r="D429" s="312">
        <v>11</v>
      </c>
      <c r="E429" s="312"/>
      <c r="F429" s="248"/>
      <c r="G429" s="312"/>
      <c r="H429" s="312"/>
      <c r="I429" s="312"/>
      <c r="J429" s="248">
        <f t="shared" si="42"/>
        <v>0</v>
      </c>
      <c r="K429" s="330">
        <f t="shared" si="43"/>
        <v>-11</v>
      </c>
      <c r="L429" s="313"/>
      <c r="M429" s="228">
        <f t="shared" si="44"/>
        <v>0</v>
      </c>
      <c r="N429" s="228">
        <f t="shared" si="47"/>
        <v>0</v>
      </c>
      <c r="O429" s="228">
        <f t="shared" si="48"/>
        <v>0</v>
      </c>
      <c r="P429" s="228">
        <f t="shared" si="48"/>
        <v>0</v>
      </c>
      <c r="Q429" s="228">
        <f t="shared" si="45"/>
        <v>0</v>
      </c>
      <c r="R429" s="343">
        <f t="shared" si="46"/>
        <v>-11</v>
      </c>
      <c r="S429" s="240"/>
      <c r="T429" s="201"/>
      <c r="U429" s="201"/>
      <c r="V429" s="201"/>
    </row>
    <row r="430" spans="1:22" ht="15.75" x14ac:dyDescent="0.25">
      <c r="A430" s="234" t="s">
        <v>677</v>
      </c>
      <c r="B430" s="235" t="s">
        <v>485</v>
      </c>
      <c r="C430" s="234" t="s">
        <v>248</v>
      </c>
      <c r="D430" s="312">
        <v>33</v>
      </c>
      <c r="E430" s="312"/>
      <c r="F430" s="248"/>
      <c r="G430" s="312"/>
      <c r="H430" s="312"/>
      <c r="I430" s="312"/>
      <c r="J430" s="248">
        <f t="shared" si="42"/>
        <v>0</v>
      </c>
      <c r="K430" s="330">
        <f t="shared" si="43"/>
        <v>-33</v>
      </c>
      <c r="L430" s="313"/>
      <c r="M430" s="228">
        <f t="shared" si="44"/>
        <v>0</v>
      </c>
      <c r="N430" s="228">
        <f t="shared" si="47"/>
        <v>0</v>
      </c>
      <c r="O430" s="228">
        <f t="shared" si="48"/>
        <v>0</v>
      </c>
      <c r="P430" s="228">
        <f t="shared" si="48"/>
        <v>0</v>
      </c>
      <c r="Q430" s="228">
        <f t="shared" si="45"/>
        <v>0</v>
      </c>
      <c r="R430" s="343">
        <f t="shared" si="46"/>
        <v>-33</v>
      </c>
      <c r="S430" s="240"/>
      <c r="T430" s="201"/>
      <c r="U430" s="201"/>
      <c r="V430" s="201"/>
    </row>
    <row r="431" spans="1:22" ht="15.75" x14ac:dyDescent="0.25">
      <c r="A431" s="234" t="s">
        <v>678</v>
      </c>
      <c r="B431" s="235" t="s">
        <v>483</v>
      </c>
      <c r="C431" s="234" t="s">
        <v>248</v>
      </c>
      <c r="D431" s="312">
        <v>33</v>
      </c>
      <c r="E431" s="312"/>
      <c r="F431" s="248"/>
      <c r="G431" s="312"/>
      <c r="H431" s="312"/>
      <c r="I431" s="312"/>
      <c r="J431" s="248">
        <f t="shared" si="42"/>
        <v>0</v>
      </c>
      <c r="K431" s="330">
        <f t="shared" si="43"/>
        <v>-33</v>
      </c>
      <c r="L431" s="313"/>
      <c r="M431" s="228">
        <f t="shared" si="44"/>
        <v>0</v>
      </c>
      <c r="N431" s="228">
        <f t="shared" si="47"/>
        <v>0</v>
      </c>
      <c r="O431" s="228">
        <f t="shared" si="48"/>
        <v>0</v>
      </c>
      <c r="P431" s="228">
        <f t="shared" si="48"/>
        <v>0</v>
      </c>
      <c r="Q431" s="228">
        <f t="shared" si="45"/>
        <v>0</v>
      </c>
      <c r="R431" s="343">
        <f t="shared" si="46"/>
        <v>-33</v>
      </c>
      <c r="S431" s="240"/>
      <c r="T431" s="201"/>
      <c r="U431" s="201"/>
      <c r="V431" s="201"/>
    </row>
    <row r="432" spans="1:22" ht="15.75" x14ac:dyDescent="0.25">
      <c r="A432" s="234" t="s">
        <v>679</v>
      </c>
      <c r="B432" s="235" t="s">
        <v>653</v>
      </c>
      <c r="C432" s="234" t="s">
        <v>9</v>
      </c>
      <c r="D432" s="312">
        <v>231</v>
      </c>
      <c r="E432" s="312"/>
      <c r="F432" s="248"/>
      <c r="G432" s="312"/>
      <c r="H432" s="312"/>
      <c r="I432" s="312"/>
      <c r="J432" s="248">
        <f t="shared" si="42"/>
        <v>0</v>
      </c>
      <c r="K432" s="330">
        <f t="shared" si="43"/>
        <v>-231</v>
      </c>
      <c r="L432" s="313"/>
      <c r="M432" s="228">
        <f t="shared" si="44"/>
        <v>0</v>
      </c>
      <c r="N432" s="228">
        <f t="shared" si="47"/>
        <v>0</v>
      </c>
      <c r="O432" s="228">
        <f t="shared" si="48"/>
        <v>0</v>
      </c>
      <c r="P432" s="228">
        <f t="shared" si="48"/>
        <v>0</v>
      </c>
      <c r="Q432" s="228">
        <f t="shared" si="45"/>
        <v>0</v>
      </c>
      <c r="R432" s="343">
        <f t="shared" si="46"/>
        <v>-231</v>
      </c>
      <c r="S432" s="240"/>
      <c r="T432" s="201"/>
      <c r="U432" s="201"/>
      <c r="V432" s="201"/>
    </row>
    <row r="433" spans="1:22" ht="15.75" x14ac:dyDescent="0.25">
      <c r="A433" s="234" t="s">
        <v>680</v>
      </c>
      <c r="B433" s="235" t="s">
        <v>495</v>
      </c>
      <c r="C433" s="234" t="s">
        <v>248</v>
      </c>
      <c r="D433" s="312">
        <v>11</v>
      </c>
      <c r="E433" s="312"/>
      <c r="F433" s="248"/>
      <c r="G433" s="312"/>
      <c r="H433" s="312"/>
      <c r="I433" s="312"/>
      <c r="J433" s="248">
        <f t="shared" si="42"/>
        <v>0</v>
      </c>
      <c r="K433" s="330">
        <f t="shared" si="43"/>
        <v>-11</v>
      </c>
      <c r="L433" s="313"/>
      <c r="M433" s="228">
        <f t="shared" si="44"/>
        <v>0</v>
      </c>
      <c r="N433" s="228">
        <f t="shared" si="47"/>
        <v>0</v>
      </c>
      <c r="O433" s="228">
        <f t="shared" si="48"/>
        <v>0</v>
      </c>
      <c r="P433" s="228">
        <f t="shared" si="48"/>
        <v>0</v>
      </c>
      <c r="Q433" s="228">
        <f t="shared" si="45"/>
        <v>0</v>
      </c>
      <c r="R433" s="343">
        <f t="shared" si="46"/>
        <v>-11</v>
      </c>
      <c r="S433" s="240"/>
      <c r="T433" s="201"/>
      <c r="U433" s="201"/>
      <c r="V433" s="201"/>
    </row>
    <row r="434" spans="1:22" ht="30" x14ac:dyDescent="0.25">
      <c r="A434" s="234" t="s">
        <v>681</v>
      </c>
      <c r="B434" s="235" t="s">
        <v>682</v>
      </c>
      <c r="C434" s="234" t="s">
        <v>499</v>
      </c>
      <c r="D434" s="312">
        <v>11</v>
      </c>
      <c r="E434" s="312"/>
      <c r="F434" s="248"/>
      <c r="G434" s="312"/>
      <c r="H434" s="312"/>
      <c r="I434" s="312"/>
      <c r="J434" s="248">
        <f t="shared" si="42"/>
        <v>0</v>
      </c>
      <c r="K434" s="330">
        <f t="shared" si="43"/>
        <v>-11</v>
      </c>
      <c r="L434" s="313"/>
      <c r="M434" s="228">
        <f t="shared" si="44"/>
        <v>0</v>
      </c>
      <c r="N434" s="228">
        <f t="shared" si="47"/>
        <v>0</v>
      </c>
      <c r="O434" s="228">
        <f t="shared" si="48"/>
        <v>0</v>
      </c>
      <c r="P434" s="228">
        <f t="shared" si="48"/>
        <v>0</v>
      </c>
      <c r="Q434" s="228">
        <f t="shared" si="45"/>
        <v>0</v>
      </c>
      <c r="R434" s="343">
        <f t="shared" si="46"/>
        <v>-11</v>
      </c>
      <c r="S434" s="240"/>
      <c r="T434" s="201"/>
      <c r="U434" s="201"/>
      <c r="V434" s="201"/>
    </row>
    <row r="435" spans="1:22" ht="15.75" x14ac:dyDescent="0.25">
      <c r="A435" s="230" t="s">
        <v>683</v>
      </c>
      <c r="B435" s="231" t="s">
        <v>684</v>
      </c>
      <c r="C435" s="230"/>
      <c r="D435" s="316"/>
      <c r="E435" s="316"/>
      <c r="F435" s="317"/>
      <c r="G435" s="316"/>
      <c r="H435" s="316"/>
      <c r="I435" s="316"/>
      <c r="J435" s="248">
        <f t="shared" si="42"/>
        <v>0</v>
      </c>
      <c r="K435" s="330">
        <f t="shared" si="43"/>
        <v>0</v>
      </c>
      <c r="L435" s="318"/>
      <c r="M435" s="228">
        <f t="shared" si="44"/>
        <v>0</v>
      </c>
      <c r="N435" s="228">
        <f t="shared" si="47"/>
        <v>0</v>
      </c>
      <c r="O435" s="228">
        <f t="shared" si="48"/>
        <v>0</v>
      </c>
      <c r="P435" s="228">
        <f t="shared" si="48"/>
        <v>0</v>
      </c>
      <c r="Q435" s="228">
        <f t="shared" si="45"/>
        <v>0</v>
      </c>
      <c r="R435" s="343">
        <f t="shared" si="46"/>
        <v>0</v>
      </c>
      <c r="S435" s="240"/>
      <c r="T435" s="201"/>
      <c r="U435" s="201"/>
      <c r="V435" s="201"/>
    </row>
    <row r="436" spans="1:22" ht="15.75" x14ac:dyDescent="0.25">
      <c r="A436" s="234" t="s">
        <v>685</v>
      </c>
      <c r="B436" s="235" t="s">
        <v>686</v>
      </c>
      <c r="C436" s="234" t="s">
        <v>9</v>
      </c>
      <c r="D436" s="312">
        <v>1</v>
      </c>
      <c r="E436" s="312"/>
      <c r="F436" s="248"/>
      <c r="G436" s="312"/>
      <c r="H436" s="312"/>
      <c r="I436" s="312"/>
      <c r="J436" s="248">
        <f t="shared" si="42"/>
        <v>0</v>
      </c>
      <c r="K436" s="330">
        <f t="shared" si="43"/>
        <v>-1</v>
      </c>
      <c r="L436" s="313"/>
      <c r="M436" s="228">
        <f t="shared" si="44"/>
        <v>0</v>
      </c>
      <c r="N436" s="228">
        <f t="shared" si="47"/>
        <v>0</v>
      </c>
      <c r="O436" s="228">
        <f t="shared" si="48"/>
        <v>0</v>
      </c>
      <c r="P436" s="228">
        <f t="shared" si="48"/>
        <v>0</v>
      </c>
      <c r="Q436" s="228">
        <f t="shared" si="45"/>
        <v>0</v>
      </c>
      <c r="R436" s="343">
        <f t="shared" si="46"/>
        <v>-1</v>
      </c>
      <c r="S436" s="240"/>
      <c r="T436" s="201"/>
      <c r="U436" s="201"/>
      <c r="V436" s="201"/>
    </row>
    <row r="437" spans="1:22" ht="15.75" x14ac:dyDescent="0.25">
      <c r="A437" s="234" t="s">
        <v>687</v>
      </c>
      <c r="B437" s="235" t="s">
        <v>485</v>
      </c>
      <c r="C437" s="234" t="s">
        <v>248</v>
      </c>
      <c r="D437" s="312">
        <v>3</v>
      </c>
      <c r="E437" s="312"/>
      <c r="F437" s="248"/>
      <c r="G437" s="312"/>
      <c r="H437" s="312"/>
      <c r="I437" s="312"/>
      <c r="J437" s="248">
        <f t="shared" si="42"/>
        <v>0</v>
      </c>
      <c r="K437" s="330">
        <f t="shared" si="43"/>
        <v>-3</v>
      </c>
      <c r="L437" s="313"/>
      <c r="M437" s="228">
        <f t="shared" si="44"/>
        <v>0</v>
      </c>
      <c r="N437" s="228">
        <f t="shared" si="47"/>
        <v>0</v>
      </c>
      <c r="O437" s="228">
        <f t="shared" si="48"/>
        <v>0</v>
      </c>
      <c r="P437" s="228">
        <f t="shared" si="48"/>
        <v>0</v>
      </c>
      <c r="Q437" s="228">
        <f t="shared" si="45"/>
        <v>0</v>
      </c>
      <c r="R437" s="343">
        <f t="shared" si="46"/>
        <v>-3</v>
      </c>
      <c r="S437" s="240"/>
      <c r="T437" s="201"/>
      <c r="U437" s="201"/>
      <c r="V437" s="201"/>
    </row>
    <row r="438" spans="1:22" ht="15.75" x14ac:dyDescent="0.25">
      <c r="A438" s="234" t="s">
        <v>688</v>
      </c>
      <c r="B438" s="235" t="s">
        <v>483</v>
      </c>
      <c r="C438" s="234" t="s">
        <v>248</v>
      </c>
      <c r="D438" s="312">
        <v>3</v>
      </c>
      <c r="E438" s="312"/>
      <c r="F438" s="248"/>
      <c r="G438" s="312"/>
      <c r="H438" s="312"/>
      <c r="I438" s="312"/>
      <c r="J438" s="248">
        <f t="shared" si="42"/>
        <v>0</v>
      </c>
      <c r="K438" s="330">
        <f t="shared" si="43"/>
        <v>-3</v>
      </c>
      <c r="L438" s="313"/>
      <c r="M438" s="228">
        <f t="shared" si="44"/>
        <v>0</v>
      </c>
      <c r="N438" s="228">
        <f t="shared" si="47"/>
        <v>0</v>
      </c>
      <c r="O438" s="228">
        <f t="shared" si="48"/>
        <v>0</v>
      </c>
      <c r="P438" s="228">
        <f t="shared" si="48"/>
        <v>0</v>
      </c>
      <c r="Q438" s="228">
        <f t="shared" si="45"/>
        <v>0</v>
      </c>
      <c r="R438" s="343">
        <f t="shared" si="46"/>
        <v>-3</v>
      </c>
      <c r="S438" s="240"/>
      <c r="T438" s="201"/>
      <c r="U438" s="201"/>
      <c r="V438" s="201"/>
    </row>
    <row r="439" spans="1:22" ht="15.75" x14ac:dyDescent="0.25">
      <c r="A439" s="234" t="s">
        <v>689</v>
      </c>
      <c r="B439" s="235" t="s">
        <v>690</v>
      </c>
      <c r="C439" s="234" t="s">
        <v>9</v>
      </c>
      <c r="D439" s="312">
        <v>5</v>
      </c>
      <c r="E439" s="312"/>
      <c r="F439" s="248"/>
      <c r="G439" s="312"/>
      <c r="H439" s="312"/>
      <c r="I439" s="312"/>
      <c r="J439" s="248">
        <f t="shared" si="42"/>
        <v>0</v>
      </c>
      <c r="K439" s="330">
        <f t="shared" si="43"/>
        <v>-5</v>
      </c>
      <c r="L439" s="313"/>
      <c r="M439" s="228">
        <f t="shared" si="44"/>
        <v>0</v>
      </c>
      <c r="N439" s="228">
        <f t="shared" si="47"/>
        <v>0</v>
      </c>
      <c r="O439" s="228">
        <f t="shared" si="48"/>
        <v>0</v>
      </c>
      <c r="P439" s="228">
        <f t="shared" si="48"/>
        <v>0</v>
      </c>
      <c r="Q439" s="228">
        <f t="shared" si="45"/>
        <v>0</v>
      </c>
      <c r="R439" s="343">
        <f t="shared" si="46"/>
        <v>-5</v>
      </c>
      <c r="S439" s="240"/>
      <c r="T439" s="201"/>
      <c r="U439" s="201"/>
      <c r="V439" s="201"/>
    </row>
    <row r="440" spans="1:22" ht="15.75" x14ac:dyDescent="0.25">
      <c r="A440" s="234" t="s">
        <v>691</v>
      </c>
      <c r="B440" s="235" t="s">
        <v>653</v>
      </c>
      <c r="C440" s="234" t="s">
        <v>9</v>
      </c>
      <c r="D440" s="312">
        <v>11</v>
      </c>
      <c r="E440" s="312"/>
      <c r="F440" s="248"/>
      <c r="G440" s="312"/>
      <c r="H440" s="312"/>
      <c r="I440" s="312"/>
      <c r="J440" s="248">
        <f t="shared" si="42"/>
        <v>0</v>
      </c>
      <c r="K440" s="330">
        <f t="shared" si="43"/>
        <v>-11</v>
      </c>
      <c r="L440" s="313"/>
      <c r="M440" s="228">
        <f t="shared" si="44"/>
        <v>0</v>
      </c>
      <c r="N440" s="228">
        <f t="shared" si="47"/>
        <v>0</v>
      </c>
      <c r="O440" s="228">
        <f t="shared" si="48"/>
        <v>0</v>
      </c>
      <c r="P440" s="228">
        <f t="shared" si="48"/>
        <v>0</v>
      </c>
      <c r="Q440" s="228">
        <f t="shared" si="45"/>
        <v>0</v>
      </c>
      <c r="R440" s="343">
        <f t="shared" si="46"/>
        <v>-11</v>
      </c>
      <c r="S440" s="240"/>
      <c r="T440" s="201"/>
      <c r="U440" s="201"/>
      <c r="V440" s="201"/>
    </row>
    <row r="441" spans="1:22" ht="15.75" x14ac:dyDescent="0.25">
      <c r="A441" s="234" t="s">
        <v>692</v>
      </c>
      <c r="B441" s="235" t="s">
        <v>495</v>
      </c>
      <c r="C441" s="234" t="s">
        <v>248</v>
      </c>
      <c r="D441" s="312">
        <v>1</v>
      </c>
      <c r="E441" s="312"/>
      <c r="F441" s="248"/>
      <c r="G441" s="312"/>
      <c r="H441" s="312"/>
      <c r="I441" s="312"/>
      <c r="J441" s="248">
        <f t="shared" si="42"/>
        <v>0</v>
      </c>
      <c r="K441" s="330">
        <f t="shared" si="43"/>
        <v>-1</v>
      </c>
      <c r="L441" s="313"/>
      <c r="M441" s="228">
        <f t="shared" si="44"/>
        <v>0</v>
      </c>
      <c r="N441" s="228">
        <f t="shared" si="47"/>
        <v>0</v>
      </c>
      <c r="O441" s="228">
        <f t="shared" si="48"/>
        <v>0</v>
      </c>
      <c r="P441" s="228">
        <f t="shared" si="48"/>
        <v>0</v>
      </c>
      <c r="Q441" s="228">
        <f t="shared" si="45"/>
        <v>0</v>
      </c>
      <c r="R441" s="343">
        <f t="shared" si="46"/>
        <v>-1</v>
      </c>
      <c r="S441" s="240"/>
      <c r="T441" s="201"/>
      <c r="U441" s="201"/>
      <c r="V441" s="201"/>
    </row>
    <row r="442" spans="1:22" ht="30" x14ac:dyDescent="0.25">
      <c r="A442" s="234" t="s">
        <v>693</v>
      </c>
      <c r="B442" s="235" t="s">
        <v>682</v>
      </c>
      <c r="C442" s="234" t="s">
        <v>499</v>
      </c>
      <c r="D442" s="312">
        <v>1</v>
      </c>
      <c r="E442" s="312"/>
      <c r="F442" s="248"/>
      <c r="G442" s="312"/>
      <c r="H442" s="312"/>
      <c r="I442" s="312"/>
      <c r="J442" s="248">
        <f t="shared" ref="J442:J505" si="49">F442+G442+H442+I442</f>
        <v>0</v>
      </c>
      <c r="K442" s="330">
        <f t="shared" ref="K442:K505" si="50">J442-D442</f>
        <v>-1</v>
      </c>
      <c r="L442" s="313"/>
      <c r="M442" s="228">
        <f t="shared" ref="M442:M505" si="51">F442</f>
        <v>0</v>
      </c>
      <c r="N442" s="228">
        <f t="shared" si="47"/>
        <v>0</v>
      </c>
      <c r="O442" s="228">
        <f t="shared" si="48"/>
        <v>0</v>
      </c>
      <c r="P442" s="228">
        <f t="shared" si="48"/>
        <v>0</v>
      </c>
      <c r="Q442" s="228">
        <f t="shared" ref="Q442:Q505" si="52">M442+N442+O442+P442</f>
        <v>0</v>
      </c>
      <c r="R442" s="343">
        <f t="shared" ref="R442:R505" si="53">Q442-D442</f>
        <v>-1</v>
      </c>
      <c r="S442" s="240"/>
      <c r="T442" s="201"/>
      <c r="U442" s="201"/>
      <c r="V442" s="201"/>
    </row>
    <row r="443" spans="1:22" ht="15.75" x14ac:dyDescent="0.25">
      <c r="A443" s="230" t="s">
        <v>694</v>
      </c>
      <c r="B443" s="231" t="s">
        <v>695</v>
      </c>
      <c r="C443" s="230"/>
      <c r="D443" s="316"/>
      <c r="E443" s="316"/>
      <c r="F443" s="317"/>
      <c r="G443" s="316"/>
      <c r="H443" s="316"/>
      <c r="I443" s="316"/>
      <c r="J443" s="248">
        <f t="shared" si="49"/>
        <v>0</v>
      </c>
      <c r="K443" s="330">
        <f t="shared" si="50"/>
        <v>0</v>
      </c>
      <c r="L443" s="318"/>
      <c r="M443" s="228">
        <f t="shared" si="51"/>
        <v>0</v>
      </c>
      <c r="N443" s="228">
        <f t="shared" si="47"/>
        <v>0</v>
      </c>
      <c r="O443" s="228">
        <f t="shared" si="48"/>
        <v>0</v>
      </c>
      <c r="P443" s="228">
        <f t="shared" si="48"/>
        <v>0</v>
      </c>
      <c r="Q443" s="228">
        <f t="shared" si="52"/>
        <v>0</v>
      </c>
      <c r="R443" s="343">
        <f t="shared" si="53"/>
        <v>0</v>
      </c>
      <c r="S443" s="240"/>
      <c r="T443" s="201"/>
      <c r="U443" s="201"/>
      <c r="V443" s="201"/>
    </row>
    <row r="444" spans="1:22" ht="15.75" x14ac:dyDescent="0.25">
      <c r="A444" s="234" t="s">
        <v>696</v>
      </c>
      <c r="B444" s="235" t="s">
        <v>697</v>
      </c>
      <c r="C444" s="234" t="s">
        <v>9</v>
      </c>
      <c r="D444" s="312">
        <v>1</v>
      </c>
      <c r="E444" s="312"/>
      <c r="F444" s="248"/>
      <c r="G444" s="312"/>
      <c r="H444" s="312"/>
      <c r="I444" s="312"/>
      <c r="J444" s="248">
        <f t="shared" si="49"/>
        <v>0</v>
      </c>
      <c r="K444" s="330">
        <f t="shared" si="50"/>
        <v>-1</v>
      </c>
      <c r="L444" s="313"/>
      <c r="M444" s="228">
        <f t="shared" si="51"/>
        <v>0</v>
      </c>
      <c r="N444" s="228">
        <f t="shared" si="47"/>
        <v>0</v>
      </c>
      <c r="O444" s="228">
        <f t="shared" si="48"/>
        <v>0</v>
      </c>
      <c r="P444" s="228">
        <f t="shared" si="48"/>
        <v>0</v>
      </c>
      <c r="Q444" s="228">
        <f t="shared" si="52"/>
        <v>0</v>
      </c>
      <c r="R444" s="343">
        <f t="shared" si="53"/>
        <v>-1</v>
      </c>
      <c r="S444" s="240"/>
      <c r="T444" s="201"/>
      <c r="U444" s="201"/>
      <c r="V444" s="201"/>
    </row>
    <row r="445" spans="1:22" ht="15.75" x14ac:dyDescent="0.25">
      <c r="A445" s="234" t="s">
        <v>698</v>
      </c>
      <c r="B445" s="235" t="s">
        <v>485</v>
      </c>
      <c r="C445" s="234" t="s">
        <v>248</v>
      </c>
      <c r="D445" s="312">
        <v>3</v>
      </c>
      <c r="E445" s="312"/>
      <c r="F445" s="248"/>
      <c r="G445" s="312"/>
      <c r="H445" s="312"/>
      <c r="I445" s="312"/>
      <c r="J445" s="248">
        <f t="shared" si="49"/>
        <v>0</v>
      </c>
      <c r="K445" s="330">
        <f t="shared" si="50"/>
        <v>-3</v>
      </c>
      <c r="L445" s="313"/>
      <c r="M445" s="228">
        <f t="shared" si="51"/>
        <v>0</v>
      </c>
      <c r="N445" s="228">
        <f t="shared" si="47"/>
        <v>0</v>
      </c>
      <c r="O445" s="228">
        <f t="shared" si="48"/>
        <v>0</v>
      </c>
      <c r="P445" s="228">
        <f t="shared" si="48"/>
        <v>0</v>
      </c>
      <c r="Q445" s="228">
        <f t="shared" si="52"/>
        <v>0</v>
      </c>
      <c r="R445" s="343">
        <f t="shared" si="53"/>
        <v>-3</v>
      </c>
      <c r="S445" s="240"/>
      <c r="T445" s="201"/>
      <c r="U445" s="201"/>
      <c r="V445" s="201"/>
    </row>
    <row r="446" spans="1:22" ht="15.75" x14ac:dyDescent="0.25">
      <c r="A446" s="234" t="s">
        <v>699</v>
      </c>
      <c r="B446" s="235" t="s">
        <v>483</v>
      </c>
      <c r="C446" s="234" t="s">
        <v>248</v>
      </c>
      <c r="D446" s="312">
        <v>3</v>
      </c>
      <c r="E446" s="312"/>
      <c r="F446" s="248"/>
      <c r="G446" s="312"/>
      <c r="H446" s="312"/>
      <c r="I446" s="312"/>
      <c r="J446" s="248">
        <f t="shared" si="49"/>
        <v>0</v>
      </c>
      <c r="K446" s="330">
        <f t="shared" si="50"/>
        <v>-3</v>
      </c>
      <c r="L446" s="313"/>
      <c r="M446" s="228">
        <f t="shared" si="51"/>
        <v>0</v>
      </c>
      <c r="N446" s="228">
        <f t="shared" si="47"/>
        <v>0</v>
      </c>
      <c r="O446" s="228">
        <f t="shared" si="48"/>
        <v>0</v>
      </c>
      <c r="P446" s="228">
        <f t="shared" si="48"/>
        <v>0</v>
      </c>
      <c r="Q446" s="228">
        <f t="shared" si="52"/>
        <v>0</v>
      </c>
      <c r="R446" s="343">
        <f t="shared" si="53"/>
        <v>-3</v>
      </c>
      <c r="S446" s="240"/>
      <c r="T446" s="201"/>
      <c r="U446" s="201"/>
      <c r="V446" s="201"/>
    </row>
    <row r="447" spans="1:22" ht="15.75" x14ac:dyDescent="0.25">
      <c r="A447" s="234" t="s">
        <v>700</v>
      </c>
      <c r="B447" s="235" t="s">
        <v>690</v>
      </c>
      <c r="C447" s="234" t="s">
        <v>9</v>
      </c>
      <c r="D447" s="312">
        <v>4</v>
      </c>
      <c r="E447" s="312"/>
      <c r="F447" s="248"/>
      <c r="G447" s="312"/>
      <c r="H447" s="312"/>
      <c r="I447" s="312"/>
      <c r="J447" s="248">
        <f t="shared" si="49"/>
        <v>0</v>
      </c>
      <c r="K447" s="330">
        <f t="shared" si="50"/>
        <v>-4</v>
      </c>
      <c r="L447" s="313"/>
      <c r="M447" s="228">
        <f t="shared" si="51"/>
        <v>0</v>
      </c>
      <c r="N447" s="228">
        <f t="shared" si="47"/>
        <v>0</v>
      </c>
      <c r="O447" s="228">
        <f t="shared" si="48"/>
        <v>0</v>
      </c>
      <c r="P447" s="228">
        <f t="shared" si="48"/>
        <v>0</v>
      </c>
      <c r="Q447" s="228">
        <f t="shared" si="52"/>
        <v>0</v>
      </c>
      <c r="R447" s="343">
        <f t="shared" si="53"/>
        <v>-4</v>
      </c>
      <c r="S447" s="240"/>
      <c r="T447" s="201"/>
      <c r="U447" s="201"/>
      <c r="V447" s="201"/>
    </row>
    <row r="448" spans="1:22" ht="15.75" x14ac:dyDescent="0.25">
      <c r="A448" s="234" t="s">
        <v>701</v>
      </c>
      <c r="B448" s="235" t="s">
        <v>653</v>
      </c>
      <c r="C448" s="234" t="s">
        <v>9</v>
      </c>
      <c r="D448" s="312">
        <v>2</v>
      </c>
      <c r="E448" s="312"/>
      <c r="F448" s="248"/>
      <c r="G448" s="312"/>
      <c r="H448" s="312"/>
      <c r="I448" s="312"/>
      <c r="J448" s="248">
        <f t="shared" si="49"/>
        <v>0</v>
      </c>
      <c r="K448" s="330">
        <f t="shared" si="50"/>
        <v>-2</v>
      </c>
      <c r="L448" s="313"/>
      <c r="M448" s="228">
        <f t="shared" si="51"/>
        <v>0</v>
      </c>
      <c r="N448" s="228">
        <f t="shared" si="47"/>
        <v>0</v>
      </c>
      <c r="O448" s="228">
        <f t="shared" si="48"/>
        <v>0</v>
      </c>
      <c r="P448" s="228">
        <f t="shared" si="48"/>
        <v>0</v>
      </c>
      <c r="Q448" s="228">
        <f t="shared" si="52"/>
        <v>0</v>
      </c>
      <c r="R448" s="343">
        <f t="shared" si="53"/>
        <v>-2</v>
      </c>
      <c r="S448" s="240"/>
      <c r="T448" s="201"/>
      <c r="U448" s="201"/>
      <c r="V448" s="201"/>
    </row>
    <row r="449" spans="1:22" ht="15.75" x14ac:dyDescent="0.25">
      <c r="A449" s="234" t="s">
        <v>702</v>
      </c>
      <c r="B449" s="235" t="s">
        <v>495</v>
      </c>
      <c r="C449" s="234" t="s">
        <v>248</v>
      </c>
      <c r="D449" s="312">
        <v>1</v>
      </c>
      <c r="E449" s="312"/>
      <c r="F449" s="248"/>
      <c r="G449" s="312"/>
      <c r="H449" s="312"/>
      <c r="I449" s="312"/>
      <c r="J449" s="248">
        <f t="shared" si="49"/>
        <v>0</v>
      </c>
      <c r="K449" s="330">
        <f t="shared" si="50"/>
        <v>-1</v>
      </c>
      <c r="L449" s="313"/>
      <c r="M449" s="228">
        <f t="shared" si="51"/>
        <v>0</v>
      </c>
      <c r="N449" s="228">
        <f t="shared" si="47"/>
        <v>0</v>
      </c>
      <c r="O449" s="228">
        <f t="shared" si="48"/>
        <v>0</v>
      </c>
      <c r="P449" s="228">
        <f t="shared" si="48"/>
        <v>0</v>
      </c>
      <c r="Q449" s="228">
        <f t="shared" si="52"/>
        <v>0</v>
      </c>
      <c r="R449" s="343">
        <f t="shared" si="53"/>
        <v>-1</v>
      </c>
      <c r="S449" s="240"/>
      <c r="T449" s="201"/>
      <c r="U449" s="201"/>
      <c r="V449" s="201"/>
    </row>
    <row r="450" spans="1:22" ht="30" x14ac:dyDescent="0.25">
      <c r="A450" s="234" t="s">
        <v>703</v>
      </c>
      <c r="B450" s="235" t="s">
        <v>645</v>
      </c>
      <c r="C450" s="234" t="s">
        <v>499</v>
      </c>
      <c r="D450" s="312">
        <v>1</v>
      </c>
      <c r="E450" s="312"/>
      <c r="F450" s="248"/>
      <c r="G450" s="312"/>
      <c r="H450" s="312"/>
      <c r="I450" s="312"/>
      <c r="J450" s="248">
        <f t="shared" si="49"/>
        <v>0</v>
      </c>
      <c r="K450" s="330">
        <f t="shared" si="50"/>
        <v>-1</v>
      </c>
      <c r="L450" s="313"/>
      <c r="M450" s="228">
        <f t="shared" si="51"/>
        <v>0</v>
      </c>
      <c r="N450" s="228">
        <f t="shared" si="47"/>
        <v>0</v>
      </c>
      <c r="O450" s="228">
        <f t="shared" si="48"/>
        <v>0</v>
      </c>
      <c r="P450" s="228">
        <f t="shared" si="48"/>
        <v>0</v>
      </c>
      <c r="Q450" s="228">
        <f t="shared" si="52"/>
        <v>0</v>
      </c>
      <c r="R450" s="343">
        <f t="shared" si="53"/>
        <v>-1</v>
      </c>
      <c r="S450" s="240"/>
      <c r="T450" s="201"/>
      <c r="U450" s="201"/>
      <c r="V450" s="201"/>
    </row>
    <row r="451" spans="1:22" ht="15.75" x14ac:dyDescent="0.25">
      <c r="A451" s="230" t="s">
        <v>704</v>
      </c>
      <c r="B451" s="231" t="s">
        <v>705</v>
      </c>
      <c r="C451" s="230"/>
      <c r="D451" s="316"/>
      <c r="E451" s="316"/>
      <c r="F451" s="317"/>
      <c r="G451" s="316"/>
      <c r="H451" s="316"/>
      <c r="I451" s="316"/>
      <c r="J451" s="248">
        <f t="shared" si="49"/>
        <v>0</v>
      </c>
      <c r="K451" s="330">
        <f t="shared" si="50"/>
        <v>0</v>
      </c>
      <c r="L451" s="318"/>
      <c r="M451" s="228">
        <f t="shared" si="51"/>
        <v>0</v>
      </c>
      <c r="N451" s="228">
        <f t="shared" si="47"/>
        <v>0</v>
      </c>
      <c r="O451" s="228">
        <f t="shared" si="48"/>
        <v>0</v>
      </c>
      <c r="P451" s="228">
        <f t="shared" si="48"/>
        <v>0</v>
      </c>
      <c r="Q451" s="228">
        <f t="shared" si="52"/>
        <v>0</v>
      </c>
      <c r="R451" s="343">
        <f t="shared" si="53"/>
        <v>0</v>
      </c>
      <c r="S451" s="240"/>
      <c r="T451" s="201"/>
      <c r="U451" s="201"/>
      <c r="V451" s="201"/>
    </row>
    <row r="452" spans="1:22" ht="15.75" x14ac:dyDescent="0.25">
      <c r="A452" s="234" t="s">
        <v>706</v>
      </c>
      <c r="B452" s="235" t="s">
        <v>707</v>
      </c>
      <c r="C452" s="234" t="s">
        <v>9</v>
      </c>
      <c r="D452" s="312">
        <v>1</v>
      </c>
      <c r="E452" s="312"/>
      <c r="F452" s="248"/>
      <c r="G452" s="312"/>
      <c r="H452" s="312"/>
      <c r="I452" s="312"/>
      <c r="J452" s="248">
        <f t="shared" si="49"/>
        <v>0</v>
      </c>
      <c r="K452" s="330">
        <f t="shared" si="50"/>
        <v>-1</v>
      </c>
      <c r="L452" s="313"/>
      <c r="M452" s="228">
        <f t="shared" si="51"/>
        <v>0</v>
      </c>
      <c r="N452" s="228">
        <f t="shared" si="47"/>
        <v>0</v>
      </c>
      <c r="O452" s="228">
        <f t="shared" si="48"/>
        <v>0</v>
      </c>
      <c r="P452" s="228">
        <f t="shared" si="48"/>
        <v>0</v>
      </c>
      <c r="Q452" s="228">
        <f t="shared" si="52"/>
        <v>0</v>
      </c>
      <c r="R452" s="343">
        <f t="shared" si="53"/>
        <v>-1</v>
      </c>
      <c r="S452" s="240"/>
      <c r="T452" s="201"/>
      <c r="U452" s="201"/>
      <c r="V452" s="201"/>
    </row>
    <row r="453" spans="1:22" ht="15.75" x14ac:dyDescent="0.25">
      <c r="A453" s="234" t="s">
        <v>708</v>
      </c>
      <c r="B453" s="235" t="s">
        <v>485</v>
      </c>
      <c r="C453" s="234" t="s">
        <v>248</v>
      </c>
      <c r="D453" s="312">
        <v>3</v>
      </c>
      <c r="E453" s="312"/>
      <c r="F453" s="248"/>
      <c r="G453" s="312"/>
      <c r="H453" s="312"/>
      <c r="I453" s="312"/>
      <c r="J453" s="248">
        <f t="shared" si="49"/>
        <v>0</v>
      </c>
      <c r="K453" s="330">
        <f t="shared" si="50"/>
        <v>-3</v>
      </c>
      <c r="L453" s="313"/>
      <c r="M453" s="228">
        <f t="shared" si="51"/>
        <v>0</v>
      </c>
      <c r="N453" s="228">
        <f t="shared" si="47"/>
        <v>0</v>
      </c>
      <c r="O453" s="228">
        <f t="shared" si="48"/>
        <v>0</v>
      </c>
      <c r="P453" s="228">
        <f t="shared" si="48"/>
        <v>0</v>
      </c>
      <c r="Q453" s="228">
        <f t="shared" si="52"/>
        <v>0</v>
      </c>
      <c r="R453" s="343">
        <f t="shared" si="53"/>
        <v>-3</v>
      </c>
      <c r="S453" s="240"/>
      <c r="T453" s="201"/>
      <c r="U453" s="201"/>
      <c r="V453" s="201"/>
    </row>
    <row r="454" spans="1:22" ht="15.75" x14ac:dyDescent="0.25">
      <c r="A454" s="234" t="s">
        <v>709</v>
      </c>
      <c r="B454" s="235" t="s">
        <v>483</v>
      </c>
      <c r="C454" s="234" t="s">
        <v>248</v>
      </c>
      <c r="D454" s="312">
        <v>3</v>
      </c>
      <c r="E454" s="312"/>
      <c r="F454" s="248"/>
      <c r="G454" s="312"/>
      <c r="H454" s="312"/>
      <c r="I454" s="312"/>
      <c r="J454" s="248">
        <f t="shared" si="49"/>
        <v>0</v>
      </c>
      <c r="K454" s="330">
        <f t="shared" si="50"/>
        <v>-3</v>
      </c>
      <c r="L454" s="313"/>
      <c r="M454" s="228">
        <f t="shared" si="51"/>
        <v>0</v>
      </c>
      <c r="N454" s="228">
        <f t="shared" si="47"/>
        <v>0</v>
      </c>
      <c r="O454" s="228">
        <f t="shared" si="48"/>
        <v>0</v>
      </c>
      <c r="P454" s="228">
        <f t="shared" si="48"/>
        <v>0</v>
      </c>
      <c r="Q454" s="228">
        <f t="shared" si="52"/>
        <v>0</v>
      </c>
      <c r="R454" s="343">
        <f t="shared" si="53"/>
        <v>-3</v>
      </c>
      <c r="S454" s="240"/>
      <c r="T454" s="201"/>
      <c r="U454" s="201"/>
      <c r="V454" s="201"/>
    </row>
    <row r="455" spans="1:22" ht="15.75" x14ac:dyDescent="0.25">
      <c r="A455" s="234" t="s">
        <v>710</v>
      </c>
      <c r="B455" s="235" t="s">
        <v>667</v>
      </c>
      <c r="C455" s="234" t="s">
        <v>9</v>
      </c>
      <c r="D455" s="312">
        <v>1</v>
      </c>
      <c r="E455" s="312"/>
      <c r="F455" s="248"/>
      <c r="G455" s="312"/>
      <c r="H455" s="312"/>
      <c r="I455" s="312"/>
      <c r="J455" s="248">
        <f t="shared" si="49"/>
        <v>0</v>
      </c>
      <c r="K455" s="330">
        <f t="shared" si="50"/>
        <v>-1</v>
      </c>
      <c r="L455" s="313"/>
      <c r="M455" s="228">
        <f t="shared" si="51"/>
        <v>0</v>
      </c>
      <c r="N455" s="228">
        <f t="shared" si="47"/>
        <v>0</v>
      </c>
      <c r="O455" s="228">
        <f t="shared" si="48"/>
        <v>0</v>
      </c>
      <c r="P455" s="228">
        <f t="shared" si="48"/>
        <v>0</v>
      </c>
      <c r="Q455" s="228">
        <f t="shared" si="52"/>
        <v>0</v>
      </c>
      <c r="R455" s="343">
        <f t="shared" si="53"/>
        <v>-1</v>
      </c>
      <c r="S455" s="240"/>
      <c r="T455" s="201"/>
      <c r="U455" s="201"/>
      <c r="V455" s="201"/>
    </row>
    <row r="456" spans="1:22" ht="15.75" x14ac:dyDescent="0.25">
      <c r="A456" s="234" t="s">
        <v>711</v>
      </c>
      <c r="B456" s="235" t="s">
        <v>593</v>
      </c>
      <c r="C456" s="234" t="s">
        <v>9</v>
      </c>
      <c r="D456" s="312">
        <v>3</v>
      </c>
      <c r="E456" s="312"/>
      <c r="F456" s="248"/>
      <c r="G456" s="312"/>
      <c r="H456" s="312"/>
      <c r="I456" s="312"/>
      <c r="J456" s="248">
        <f t="shared" si="49"/>
        <v>0</v>
      </c>
      <c r="K456" s="330">
        <f t="shared" si="50"/>
        <v>-3</v>
      </c>
      <c r="L456" s="313"/>
      <c r="M456" s="228">
        <f t="shared" si="51"/>
        <v>0</v>
      </c>
      <c r="N456" s="228">
        <f t="shared" si="47"/>
        <v>0</v>
      </c>
      <c r="O456" s="228">
        <f t="shared" si="48"/>
        <v>0</v>
      </c>
      <c r="P456" s="228">
        <f t="shared" si="48"/>
        <v>0</v>
      </c>
      <c r="Q456" s="228">
        <f t="shared" si="52"/>
        <v>0</v>
      </c>
      <c r="R456" s="343">
        <f t="shared" si="53"/>
        <v>-3</v>
      </c>
      <c r="S456" s="240"/>
      <c r="T456" s="201"/>
      <c r="U456" s="201"/>
      <c r="V456" s="201"/>
    </row>
    <row r="457" spans="1:22" ht="15.75" x14ac:dyDescent="0.25">
      <c r="A457" s="234" t="s">
        <v>712</v>
      </c>
      <c r="B457" s="235" t="s">
        <v>595</v>
      </c>
      <c r="C457" s="234" t="s">
        <v>9</v>
      </c>
      <c r="D457" s="312">
        <v>1</v>
      </c>
      <c r="E457" s="312"/>
      <c r="F457" s="248"/>
      <c r="G457" s="312"/>
      <c r="H457" s="312"/>
      <c r="I457" s="312"/>
      <c r="J457" s="248">
        <f t="shared" si="49"/>
        <v>0</v>
      </c>
      <c r="K457" s="330">
        <f t="shared" si="50"/>
        <v>-1</v>
      </c>
      <c r="L457" s="313"/>
      <c r="M457" s="228">
        <f t="shared" si="51"/>
        <v>0</v>
      </c>
      <c r="N457" s="228">
        <f t="shared" ref="N457:N520" si="54">G457</f>
        <v>0</v>
      </c>
      <c r="O457" s="228">
        <f t="shared" ref="O457:P520" si="55">H457</f>
        <v>0</v>
      </c>
      <c r="P457" s="228">
        <f t="shared" si="55"/>
        <v>0</v>
      </c>
      <c r="Q457" s="228">
        <f t="shared" si="52"/>
        <v>0</v>
      </c>
      <c r="R457" s="343">
        <f t="shared" si="53"/>
        <v>-1</v>
      </c>
      <c r="S457" s="240"/>
      <c r="T457" s="201"/>
      <c r="U457" s="201"/>
      <c r="V457" s="201"/>
    </row>
    <row r="458" spans="1:22" ht="15.75" x14ac:dyDescent="0.25">
      <c r="A458" s="234" t="s">
        <v>713</v>
      </c>
      <c r="B458" s="235" t="s">
        <v>599</v>
      </c>
      <c r="C458" s="234" t="s">
        <v>9</v>
      </c>
      <c r="D458" s="312">
        <v>1</v>
      </c>
      <c r="E458" s="312"/>
      <c r="F458" s="248"/>
      <c r="G458" s="312"/>
      <c r="H458" s="312"/>
      <c r="I458" s="312"/>
      <c r="J458" s="248">
        <f t="shared" si="49"/>
        <v>0</v>
      </c>
      <c r="K458" s="330">
        <f t="shared" si="50"/>
        <v>-1</v>
      </c>
      <c r="L458" s="313"/>
      <c r="M458" s="228">
        <f t="shared" si="51"/>
        <v>0</v>
      </c>
      <c r="N458" s="228">
        <f t="shared" si="54"/>
        <v>0</v>
      </c>
      <c r="O458" s="228">
        <f t="shared" si="55"/>
        <v>0</v>
      </c>
      <c r="P458" s="228">
        <f t="shared" si="55"/>
        <v>0</v>
      </c>
      <c r="Q458" s="228">
        <f t="shared" si="52"/>
        <v>0</v>
      </c>
      <c r="R458" s="343">
        <f t="shared" si="53"/>
        <v>-1</v>
      </c>
      <c r="S458" s="240"/>
      <c r="T458" s="201"/>
      <c r="U458" s="201"/>
      <c r="V458" s="201"/>
    </row>
    <row r="459" spans="1:22" ht="15.75" x14ac:dyDescent="0.25">
      <c r="A459" s="234" t="s">
        <v>714</v>
      </c>
      <c r="B459" s="235" t="s">
        <v>495</v>
      </c>
      <c r="C459" s="234" t="s">
        <v>248</v>
      </c>
      <c r="D459" s="312">
        <v>1</v>
      </c>
      <c r="E459" s="312"/>
      <c r="F459" s="248"/>
      <c r="G459" s="312"/>
      <c r="H459" s="312"/>
      <c r="I459" s="312"/>
      <c r="J459" s="248">
        <f t="shared" si="49"/>
        <v>0</v>
      </c>
      <c r="K459" s="330">
        <f t="shared" si="50"/>
        <v>-1</v>
      </c>
      <c r="L459" s="313"/>
      <c r="M459" s="228">
        <f t="shared" si="51"/>
        <v>0</v>
      </c>
      <c r="N459" s="228">
        <f t="shared" si="54"/>
        <v>0</v>
      </c>
      <c r="O459" s="228">
        <f t="shared" si="55"/>
        <v>0</v>
      </c>
      <c r="P459" s="228">
        <f t="shared" si="55"/>
        <v>0</v>
      </c>
      <c r="Q459" s="228">
        <f t="shared" si="52"/>
        <v>0</v>
      </c>
      <c r="R459" s="343">
        <f t="shared" si="53"/>
        <v>-1</v>
      </c>
      <c r="S459" s="240"/>
      <c r="T459" s="201"/>
      <c r="U459" s="201"/>
      <c r="V459" s="201"/>
    </row>
    <row r="460" spans="1:22" ht="30" x14ac:dyDescent="0.25">
      <c r="A460" s="234" t="s">
        <v>715</v>
      </c>
      <c r="B460" s="235" t="s">
        <v>716</v>
      </c>
      <c r="C460" s="234" t="s">
        <v>499</v>
      </c>
      <c r="D460" s="312">
        <v>1</v>
      </c>
      <c r="E460" s="312"/>
      <c r="F460" s="248"/>
      <c r="G460" s="312"/>
      <c r="H460" s="312"/>
      <c r="I460" s="312"/>
      <c r="J460" s="248">
        <f t="shared" si="49"/>
        <v>0</v>
      </c>
      <c r="K460" s="330">
        <f t="shared" si="50"/>
        <v>-1</v>
      </c>
      <c r="L460" s="313"/>
      <c r="M460" s="228">
        <f t="shared" si="51"/>
        <v>0</v>
      </c>
      <c r="N460" s="228">
        <f t="shared" si="54"/>
        <v>0</v>
      </c>
      <c r="O460" s="228">
        <f t="shared" si="55"/>
        <v>0</v>
      </c>
      <c r="P460" s="228">
        <f t="shared" si="55"/>
        <v>0</v>
      </c>
      <c r="Q460" s="228">
        <f t="shared" si="52"/>
        <v>0</v>
      </c>
      <c r="R460" s="343">
        <f t="shared" si="53"/>
        <v>-1</v>
      </c>
      <c r="S460" s="240"/>
      <c r="T460" s="201"/>
      <c r="U460" s="201"/>
      <c r="V460" s="201"/>
    </row>
    <row r="461" spans="1:22" ht="28.5" x14ac:dyDescent="0.25">
      <c r="A461" s="230" t="s">
        <v>717</v>
      </c>
      <c r="B461" s="231" t="s">
        <v>718</v>
      </c>
      <c r="C461" s="230"/>
      <c r="D461" s="316"/>
      <c r="E461" s="316"/>
      <c r="F461" s="317"/>
      <c r="G461" s="316"/>
      <c r="H461" s="316"/>
      <c r="I461" s="316"/>
      <c r="J461" s="248">
        <f t="shared" si="49"/>
        <v>0</v>
      </c>
      <c r="K461" s="330">
        <f t="shared" si="50"/>
        <v>0</v>
      </c>
      <c r="L461" s="318"/>
      <c r="M461" s="228">
        <f t="shared" si="51"/>
        <v>0</v>
      </c>
      <c r="N461" s="228">
        <f t="shared" si="54"/>
        <v>0</v>
      </c>
      <c r="O461" s="228">
        <f t="shared" si="55"/>
        <v>0</v>
      </c>
      <c r="P461" s="228">
        <f t="shared" si="55"/>
        <v>0</v>
      </c>
      <c r="Q461" s="228">
        <f t="shared" si="52"/>
        <v>0</v>
      </c>
      <c r="R461" s="343">
        <f t="shared" si="53"/>
        <v>0</v>
      </c>
      <c r="S461" s="240"/>
      <c r="T461" s="201"/>
      <c r="U461" s="201"/>
      <c r="V461" s="201"/>
    </row>
    <row r="462" spans="1:22" ht="15.75" x14ac:dyDescent="0.25">
      <c r="A462" s="234" t="s">
        <v>719</v>
      </c>
      <c r="B462" s="235" t="s">
        <v>707</v>
      </c>
      <c r="C462" s="234" t="s">
        <v>9</v>
      </c>
      <c r="D462" s="312">
        <v>2</v>
      </c>
      <c r="E462" s="312"/>
      <c r="F462" s="248"/>
      <c r="G462" s="312"/>
      <c r="H462" s="312"/>
      <c r="I462" s="312"/>
      <c r="J462" s="248">
        <f t="shared" si="49"/>
        <v>0</v>
      </c>
      <c r="K462" s="330">
        <f t="shared" si="50"/>
        <v>-2</v>
      </c>
      <c r="L462" s="313"/>
      <c r="M462" s="228">
        <f t="shared" si="51"/>
        <v>0</v>
      </c>
      <c r="N462" s="228">
        <f t="shared" si="54"/>
        <v>0</v>
      </c>
      <c r="O462" s="228">
        <f t="shared" si="55"/>
        <v>0</v>
      </c>
      <c r="P462" s="228">
        <f t="shared" si="55"/>
        <v>0</v>
      </c>
      <c r="Q462" s="228">
        <f t="shared" si="52"/>
        <v>0</v>
      </c>
      <c r="R462" s="343">
        <f t="shared" si="53"/>
        <v>-2</v>
      </c>
      <c r="S462" s="240"/>
      <c r="T462" s="201"/>
      <c r="U462" s="201"/>
      <c r="V462" s="201"/>
    </row>
    <row r="463" spans="1:22" ht="15.75" x14ac:dyDescent="0.25">
      <c r="A463" s="234" t="s">
        <v>720</v>
      </c>
      <c r="B463" s="235" t="s">
        <v>485</v>
      </c>
      <c r="C463" s="234" t="s">
        <v>248</v>
      </c>
      <c r="D463" s="312">
        <v>6</v>
      </c>
      <c r="E463" s="312"/>
      <c r="F463" s="248"/>
      <c r="G463" s="312"/>
      <c r="H463" s="312"/>
      <c r="I463" s="312"/>
      <c r="J463" s="248">
        <f t="shared" si="49"/>
        <v>0</v>
      </c>
      <c r="K463" s="330">
        <f t="shared" si="50"/>
        <v>-6</v>
      </c>
      <c r="L463" s="313"/>
      <c r="M463" s="228">
        <f t="shared" si="51"/>
        <v>0</v>
      </c>
      <c r="N463" s="228">
        <f t="shared" si="54"/>
        <v>0</v>
      </c>
      <c r="O463" s="228">
        <f t="shared" si="55"/>
        <v>0</v>
      </c>
      <c r="P463" s="228">
        <f t="shared" si="55"/>
        <v>0</v>
      </c>
      <c r="Q463" s="228">
        <f t="shared" si="52"/>
        <v>0</v>
      </c>
      <c r="R463" s="343">
        <f t="shared" si="53"/>
        <v>-6</v>
      </c>
      <c r="S463" s="240"/>
      <c r="T463" s="201"/>
      <c r="U463" s="201"/>
      <c r="V463" s="201"/>
    </row>
    <row r="464" spans="1:22" ht="15.75" x14ac:dyDescent="0.25">
      <c r="A464" s="234" t="s">
        <v>721</v>
      </c>
      <c r="B464" s="235" t="s">
        <v>483</v>
      </c>
      <c r="C464" s="234" t="s">
        <v>248</v>
      </c>
      <c r="D464" s="312">
        <v>6</v>
      </c>
      <c r="E464" s="312"/>
      <c r="F464" s="248"/>
      <c r="G464" s="312"/>
      <c r="H464" s="312"/>
      <c r="I464" s="312"/>
      <c r="J464" s="248">
        <f t="shared" si="49"/>
        <v>0</v>
      </c>
      <c r="K464" s="330">
        <f t="shared" si="50"/>
        <v>-6</v>
      </c>
      <c r="L464" s="313"/>
      <c r="M464" s="228">
        <f t="shared" si="51"/>
        <v>0</v>
      </c>
      <c r="N464" s="228">
        <f t="shared" si="54"/>
        <v>0</v>
      </c>
      <c r="O464" s="228">
        <f t="shared" si="55"/>
        <v>0</v>
      </c>
      <c r="P464" s="228">
        <f t="shared" si="55"/>
        <v>0</v>
      </c>
      <c r="Q464" s="228">
        <f t="shared" si="52"/>
        <v>0</v>
      </c>
      <c r="R464" s="343">
        <f t="shared" si="53"/>
        <v>-6</v>
      </c>
      <c r="S464" s="240"/>
      <c r="T464" s="201"/>
      <c r="U464" s="201"/>
      <c r="V464" s="201"/>
    </row>
    <row r="465" spans="1:22" ht="15.75" x14ac:dyDescent="0.25">
      <c r="A465" s="234" t="s">
        <v>722</v>
      </c>
      <c r="B465" s="235" t="s">
        <v>591</v>
      </c>
      <c r="C465" s="234" t="s">
        <v>9</v>
      </c>
      <c r="D465" s="312">
        <v>2</v>
      </c>
      <c r="E465" s="312"/>
      <c r="F465" s="248"/>
      <c r="G465" s="312"/>
      <c r="H465" s="312"/>
      <c r="I465" s="312"/>
      <c r="J465" s="248">
        <f t="shared" si="49"/>
        <v>0</v>
      </c>
      <c r="K465" s="330">
        <f t="shared" si="50"/>
        <v>-2</v>
      </c>
      <c r="L465" s="313"/>
      <c r="M465" s="228">
        <f t="shared" si="51"/>
        <v>0</v>
      </c>
      <c r="N465" s="228">
        <f t="shared" si="54"/>
        <v>0</v>
      </c>
      <c r="O465" s="228">
        <f t="shared" si="55"/>
        <v>0</v>
      </c>
      <c r="P465" s="228">
        <f t="shared" si="55"/>
        <v>0</v>
      </c>
      <c r="Q465" s="228">
        <f t="shared" si="52"/>
        <v>0</v>
      </c>
      <c r="R465" s="343">
        <f t="shared" si="53"/>
        <v>-2</v>
      </c>
      <c r="S465" s="240"/>
      <c r="T465" s="201"/>
      <c r="U465" s="201"/>
      <c r="V465" s="201"/>
    </row>
    <row r="466" spans="1:22" ht="15.75" x14ac:dyDescent="0.25">
      <c r="A466" s="234" t="s">
        <v>723</v>
      </c>
      <c r="B466" s="235" t="s">
        <v>611</v>
      </c>
      <c r="C466" s="234" t="s">
        <v>9</v>
      </c>
      <c r="D466" s="312">
        <v>2</v>
      </c>
      <c r="E466" s="312"/>
      <c r="F466" s="248"/>
      <c r="G466" s="312"/>
      <c r="H466" s="312"/>
      <c r="I466" s="312"/>
      <c r="J466" s="248">
        <f t="shared" si="49"/>
        <v>0</v>
      </c>
      <c r="K466" s="330">
        <f t="shared" si="50"/>
        <v>-2</v>
      </c>
      <c r="L466" s="313"/>
      <c r="M466" s="228">
        <f t="shared" si="51"/>
        <v>0</v>
      </c>
      <c r="N466" s="228">
        <f t="shared" si="54"/>
        <v>0</v>
      </c>
      <c r="O466" s="228">
        <f t="shared" si="55"/>
        <v>0</v>
      </c>
      <c r="P466" s="228">
        <f t="shared" si="55"/>
        <v>0</v>
      </c>
      <c r="Q466" s="228">
        <f t="shared" si="52"/>
        <v>0</v>
      </c>
      <c r="R466" s="343">
        <f t="shared" si="53"/>
        <v>-2</v>
      </c>
      <c r="S466" s="240"/>
      <c r="T466" s="201"/>
      <c r="U466" s="201"/>
      <c r="V466" s="201"/>
    </row>
    <row r="467" spans="1:22" ht="15.75" x14ac:dyDescent="0.25">
      <c r="A467" s="234" t="s">
        <v>724</v>
      </c>
      <c r="B467" s="235" t="s">
        <v>593</v>
      </c>
      <c r="C467" s="234" t="s">
        <v>9</v>
      </c>
      <c r="D467" s="312">
        <v>18</v>
      </c>
      <c r="E467" s="312"/>
      <c r="F467" s="248"/>
      <c r="G467" s="312"/>
      <c r="H467" s="312"/>
      <c r="I467" s="312"/>
      <c r="J467" s="248">
        <f t="shared" si="49"/>
        <v>0</v>
      </c>
      <c r="K467" s="330">
        <f t="shared" si="50"/>
        <v>-18</v>
      </c>
      <c r="L467" s="313"/>
      <c r="M467" s="228">
        <f t="shared" si="51"/>
        <v>0</v>
      </c>
      <c r="N467" s="228">
        <f t="shared" si="54"/>
        <v>0</v>
      </c>
      <c r="O467" s="228">
        <f t="shared" si="55"/>
        <v>0</v>
      </c>
      <c r="P467" s="228">
        <f t="shared" si="55"/>
        <v>0</v>
      </c>
      <c r="Q467" s="228">
        <f t="shared" si="52"/>
        <v>0</v>
      </c>
      <c r="R467" s="343">
        <f t="shared" si="53"/>
        <v>-18</v>
      </c>
      <c r="S467" s="240"/>
      <c r="T467" s="201"/>
      <c r="U467" s="201"/>
      <c r="V467" s="201"/>
    </row>
    <row r="468" spans="1:22" ht="15.75" x14ac:dyDescent="0.25">
      <c r="A468" s="234" t="s">
        <v>725</v>
      </c>
      <c r="B468" s="235" t="s">
        <v>595</v>
      </c>
      <c r="C468" s="234" t="s">
        <v>9</v>
      </c>
      <c r="D468" s="312">
        <v>4</v>
      </c>
      <c r="E468" s="312"/>
      <c r="F468" s="248"/>
      <c r="G468" s="312"/>
      <c r="H468" s="312"/>
      <c r="I468" s="312"/>
      <c r="J468" s="248">
        <f t="shared" si="49"/>
        <v>0</v>
      </c>
      <c r="K468" s="330">
        <f t="shared" si="50"/>
        <v>-4</v>
      </c>
      <c r="L468" s="313"/>
      <c r="M468" s="228">
        <f t="shared" si="51"/>
        <v>0</v>
      </c>
      <c r="N468" s="228">
        <f t="shared" si="54"/>
        <v>0</v>
      </c>
      <c r="O468" s="228">
        <f t="shared" si="55"/>
        <v>0</v>
      </c>
      <c r="P468" s="228">
        <f t="shared" si="55"/>
        <v>0</v>
      </c>
      <c r="Q468" s="228">
        <f t="shared" si="52"/>
        <v>0</v>
      </c>
      <c r="R468" s="343">
        <f t="shared" si="53"/>
        <v>-4</v>
      </c>
      <c r="S468" s="240"/>
      <c r="T468" s="201"/>
      <c r="U468" s="201"/>
      <c r="V468" s="201"/>
    </row>
    <row r="469" spans="1:22" ht="15.75" x14ac:dyDescent="0.25">
      <c r="A469" s="234" t="s">
        <v>726</v>
      </c>
      <c r="B469" s="235" t="s">
        <v>597</v>
      </c>
      <c r="C469" s="234" t="s">
        <v>9</v>
      </c>
      <c r="D469" s="312">
        <v>12</v>
      </c>
      <c r="E469" s="312"/>
      <c r="F469" s="248"/>
      <c r="G469" s="312"/>
      <c r="H469" s="312"/>
      <c r="I469" s="312"/>
      <c r="J469" s="248">
        <f t="shared" si="49"/>
        <v>0</v>
      </c>
      <c r="K469" s="330">
        <f t="shared" si="50"/>
        <v>-12</v>
      </c>
      <c r="L469" s="313"/>
      <c r="M469" s="228">
        <f t="shared" si="51"/>
        <v>0</v>
      </c>
      <c r="N469" s="228">
        <f t="shared" si="54"/>
        <v>0</v>
      </c>
      <c r="O469" s="228">
        <f t="shared" si="55"/>
        <v>0</v>
      </c>
      <c r="P469" s="228">
        <f t="shared" si="55"/>
        <v>0</v>
      </c>
      <c r="Q469" s="228">
        <f t="shared" si="52"/>
        <v>0</v>
      </c>
      <c r="R469" s="343">
        <f t="shared" si="53"/>
        <v>-12</v>
      </c>
      <c r="S469" s="240"/>
      <c r="T469" s="201"/>
      <c r="U469" s="201"/>
      <c r="V469" s="201"/>
    </row>
    <row r="470" spans="1:22" ht="15.75" x14ac:dyDescent="0.25">
      <c r="A470" s="234" t="s">
        <v>727</v>
      </c>
      <c r="B470" s="235" t="s">
        <v>599</v>
      </c>
      <c r="C470" s="234" t="s">
        <v>9</v>
      </c>
      <c r="D470" s="312">
        <v>4</v>
      </c>
      <c r="E470" s="312"/>
      <c r="F470" s="248"/>
      <c r="G470" s="312"/>
      <c r="H470" s="312"/>
      <c r="I470" s="312"/>
      <c r="J470" s="248">
        <f t="shared" si="49"/>
        <v>0</v>
      </c>
      <c r="K470" s="330">
        <f t="shared" si="50"/>
        <v>-4</v>
      </c>
      <c r="L470" s="313"/>
      <c r="M470" s="228">
        <f t="shared" si="51"/>
        <v>0</v>
      </c>
      <c r="N470" s="228">
        <f t="shared" si="54"/>
        <v>0</v>
      </c>
      <c r="O470" s="228">
        <f t="shared" si="55"/>
        <v>0</v>
      </c>
      <c r="P470" s="228">
        <f t="shared" si="55"/>
        <v>0</v>
      </c>
      <c r="Q470" s="228">
        <f t="shared" si="52"/>
        <v>0</v>
      </c>
      <c r="R470" s="343">
        <f t="shared" si="53"/>
        <v>-4</v>
      </c>
      <c r="S470" s="240"/>
      <c r="T470" s="201"/>
      <c r="U470" s="201"/>
      <c r="V470" s="201"/>
    </row>
    <row r="471" spans="1:22" ht="15.75" x14ac:dyDescent="0.25">
      <c r="A471" s="234" t="s">
        <v>728</v>
      </c>
      <c r="B471" s="235" t="s">
        <v>495</v>
      </c>
      <c r="C471" s="234" t="s">
        <v>248</v>
      </c>
      <c r="D471" s="312">
        <v>2</v>
      </c>
      <c r="E471" s="312"/>
      <c r="F471" s="248"/>
      <c r="G471" s="312"/>
      <c r="H471" s="312"/>
      <c r="I471" s="312"/>
      <c r="J471" s="248">
        <f t="shared" si="49"/>
        <v>0</v>
      </c>
      <c r="K471" s="330">
        <f t="shared" si="50"/>
        <v>-2</v>
      </c>
      <c r="L471" s="313"/>
      <c r="M471" s="228">
        <f t="shared" si="51"/>
        <v>0</v>
      </c>
      <c r="N471" s="228">
        <f t="shared" si="54"/>
        <v>0</v>
      </c>
      <c r="O471" s="228">
        <f t="shared" si="55"/>
        <v>0</v>
      </c>
      <c r="P471" s="228">
        <f t="shared" si="55"/>
        <v>0</v>
      </c>
      <c r="Q471" s="228">
        <f t="shared" si="52"/>
        <v>0</v>
      </c>
      <c r="R471" s="343">
        <f t="shared" si="53"/>
        <v>-2</v>
      </c>
      <c r="S471" s="240"/>
      <c r="T471" s="201"/>
      <c r="U471" s="201"/>
      <c r="V471" s="201"/>
    </row>
    <row r="472" spans="1:22" ht="30" x14ac:dyDescent="0.25">
      <c r="A472" s="234" t="s">
        <v>729</v>
      </c>
      <c r="B472" s="235" t="s">
        <v>672</v>
      </c>
      <c r="C472" s="234" t="s">
        <v>499</v>
      </c>
      <c r="D472" s="312">
        <v>2</v>
      </c>
      <c r="E472" s="312"/>
      <c r="F472" s="248"/>
      <c r="G472" s="312"/>
      <c r="H472" s="312"/>
      <c r="I472" s="312"/>
      <c r="J472" s="248">
        <f t="shared" si="49"/>
        <v>0</v>
      </c>
      <c r="K472" s="330">
        <f t="shared" si="50"/>
        <v>-2</v>
      </c>
      <c r="L472" s="313"/>
      <c r="M472" s="228">
        <f t="shared" si="51"/>
        <v>0</v>
      </c>
      <c r="N472" s="228">
        <f t="shared" si="54"/>
        <v>0</v>
      </c>
      <c r="O472" s="228">
        <f t="shared" si="55"/>
        <v>0</v>
      </c>
      <c r="P472" s="228">
        <f t="shared" si="55"/>
        <v>0</v>
      </c>
      <c r="Q472" s="228">
        <f t="shared" si="52"/>
        <v>0</v>
      </c>
      <c r="R472" s="343">
        <f t="shared" si="53"/>
        <v>-2</v>
      </c>
      <c r="S472" s="240"/>
      <c r="T472" s="201"/>
      <c r="U472" s="201"/>
      <c r="V472" s="201"/>
    </row>
    <row r="473" spans="1:22" ht="28.5" x14ac:dyDescent="0.25">
      <c r="A473" s="230" t="s">
        <v>730</v>
      </c>
      <c r="B473" s="231" t="s">
        <v>731</v>
      </c>
      <c r="C473" s="230"/>
      <c r="D473" s="316"/>
      <c r="E473" s="316"/>
      <c r="F473" s="317"/>
      <c r="G473" s="316"/>
      <c r="H473" s="316"/>
      <c r="I473" s="316"/>
      <c r="J473" s="248">
        <f t="shared" si="49"/>
        <v>0</v>
      </c>
      <c r="K473" s="330">
        <f t="shared" si="50"/>
        <v>0</v>
      </c>
      <c r="L473" s="318"/>
      <c r="M473" s="228">
        <f t="shared" si="51"/>
        <v>0</v>
      </c>
      <c r="N473" s="228">
        <f t="shared" si="54"/>
        <v>0</v>
      </c>
      <c r="O473" s="228">
        <f t="shared" si="55"/>
        <v>0</v>
      </c>
      <c r="P473" s="228">
        <f t="shared" si="55"/>
        <v>0</v>
      </c>
      <c r="Q473" s="228">
        <f t="shared" si="52"/>
        <v>0</v>
      </c>
      <c r="R473" s="343">
        <f t="shared" si="53"/>
        <v>0</v>
      </c>
      <c r="S473" s="240"/>
      <c r="T473" s="201"/>
      <c r="U473" s="201"/>
      <c r="V473" s="201"/>
    </row>
    <row r="474" spans="1:22" ht="15.75" x14ac:dyDescent="0.25">
      <c r="A474" s="234" t="s">
        <v>732</v>
      </c>
      <c r="B474" s="235" t="s">
        <v>707</v>
      </c>
      <c r="C474" s="234" t="s">
        <v>9</v>
      </c>
      <c r="D474" s="312">
        <v>4</v>
      </c>
      <c r="E474" s="312"/>
      <c r="F474" s="248"/>
      <c r="G474" s="312"/>
      <c r="H474" s="312"/>
      <c r="I474" s="312"/>
      <c r="J474" s="248">
        <f t="shared" si="49"/>
        <v>0</v>
      </c>
      <c r="K474" s="330">
        <f t="shared" si="50"/>
        <v>-4</v>
      </c>
      <c r="L474" s="313"/>
      <c r="M474" s="228">
        <f t="shared" si="51"/>
        <v>0</v>
      </c>
      <c r="N474" s="228">
        <f t="shared" si="54"/>
        <v>0</v>
      </c>
      <c r="O474" s="228">
        <f t="shared" si="55"/>
        <v>0</v>
      </c>
      <c r="P474" s="228">
        <f t="shared" si="55"/>
        <v>0</v>
      </c>
      <c r="Q474" s="228">
        <f t="shared" si="52"/>
        <v>0</v>
      </c>
      <c r="R474" s="343">
        <f t="shared" si="53"/>
        <v>-4</v>
      </c>
      <c r="S474" s="240"/>
      <c r="T474" s="201"/>
      <c r="U474" s="201"/>
      <c r="V474" s="201"/>
    </row>
    <row r="475" spans="1:22" ht="15.75" x14ac:dyDescent="0.25">
      <c r="A475" s="234" t="s">
        <v>733</v>
      </c>
      <c r="B475" s="235" t="s">
        <v>485</v>
      </c>
      <c r="C475" s="234" t="s">
        <v>248</v>
      </c>
      <c r="D475" s="312">
        <v>12</v>
      </c>
      <c r="E475" s="312"/>
      <c r="F475" s="248"/>
      <c r="G475" s="312"/>
      <c r="H475" s="312"/>
      <c r="I475" s="312"/>
      <c r="J475" s="248">
        <f t="shared" si="49"/>
        <v>0</v>
      </c>
      <c r="K475" s="330">
        <f t="shared" si="50"/>
        <v>-12</v>
      </c>
      <c r="L475" s="313"/>
      <c r="M475" s="228">
        <f t="shared" si="51"/>
        <v>0</v>
      </c>
      <c r="N475" s="228">
        <f t="shared" si="54"/>
        <v>0</v>
      </c>
      <c r="O475" s="228">
        <f t="shared" si="55"/>
        <v>0</v>
      </c>
      <c r="P475" s="228">
        <f t="shared" si="55"/>
        <v>0</v>
      </c>
      <c r="Q475" s="228">
        <f t="shared" si="52"/>
        <v>0</v>
      </c>
      <c r="R475" s="343">
        <f t="shared" si="53"/>
        <v>-12</v>
      </c>
      <c r="S475" s="240"/>
      <c r="T475" s="201"/>
      <c r="U475" s="201"/>
      <c r="V475" s="201"/>
    </row>
    <row r="476" spans="1:22" ht="15.75" x14ac:dyDescent="0.25">
      <c r="A476" s="234" t="s">
        <v>734</v>
      </c>
      <c r="B476" s="235" t="s">
        <v>483</v>
      </c>
      <c r="C476" s="234" t="s">
        <v>248</v>
      </c>
      <c r="D476" s="312">
        <v>12</v>
      </c>
      <c r="E476" s="312"/>
      <c r="F476" s="248"/>
      <c r="G476" s="312"/>
      <c r="H476" s="312"/>
      <c r="I476" s="312"/>
      <c r="J476" s="248">
        <f t="shared" si="49"/>
        <v>0</v>
      </c>
      <c r="K476" s="330">
        <f t="shared" si="50"/>
        <v>-12</v>
      </c>
      <c r="L476" s="313"/>
      <c r="M476" s="228">
        <f t="shared" si="51"/>
        <v>0</v>
      </c>
      <c r="N476" s="228">
        <f t="shared" si="54"/>
        <v>0</v>
      </c>
      <c r="O476" s="228">
        <f t="shared" si="55"/>
        <v>0</v>
      </c>
      <c r="P476" s="228">
        <f t="shared" si="55"/>
        <v>0</v>
      </c>
      <c r="Q476" s="228">
        <f t="shared" si="52"/>
        <v>0</v>
      </c>
      <c r="R476" s="343">
        <f t="shared" si="53"/>
        <v>-12</v>
      </c>
      <c r="S476" s="240"/>
      <c r="T476" s="201"/>
      <c r="U476" s="201"/>
      <c r="V476" s="201"/>
    </row>
    <row r="477" spans="1:22" ht="15.75" x14ac:dyDescent="0.25">
      <c r="A477" s="234" t="s">
        <v>735</v>
      </c>
      <c r="B477" s="235" t="s">
        <v>591</v>
      </c>
      <c r="C477" s="234" t="s">
        <v>9</v>
      </c>
      <c r="D477" s="312">
        <v>8</v>
      </c>
      <c r="E477" s="312"/>
      <c r="F477" s="248"/>
      <c r="G477" s="312"/>
      <c r="H477" s="312"/>
      <c r="I477" s="312"/>
      <c r="J477" s="248">
        <f t="shared" si="49"/>
        <v>0</v>
      </c>
      <c r="K477" s="330">
        <f t="shared" si="50"/>
        <v>-8</v>
      </c>
      <c r="L477" s="313"/>
      <c r="M477" s="228">
        <f t="shared" si="51"/>
        <v>0</v>
      </c>
      <c r="N477" s="228">
        <f t="shared" si="54"/>
        <v>0</v>
      </c>
      <c r="O477" s="228">
        <f t="shared" si="55"/>
        <v>0</v>
      </c>
      <c r="P477" s="228">
        <f t="shared" si="55"/>
        <v>0</v>
      </c>
      <c r="Q477" s="228">
        <f t="shared" si="52"/>
        <v>0</v>
      </c>
      <c r="R477" s="343">
        <f t="shared" si="53"/>
        <v>-8</v>
      </c>
      <c r="S477" s="240"/>
      <c r="T477" s="201"/>
      <c r="U477" s="201"/>
      <c r="V477" s="201"/>
    </row>
    <row r="478" spans="1:22" ht="15.75" x14ac:dyDescent="0.25">
      <c r="A478" s="234" t="s">
        <v>736</v>
      </c>
      <c r="B478" s="235" t="s">
        <v>611</v>
      </c>
      <c r="C478" s="234" t="s">
        <v>9</v>
      </c>
      <c r="D478" s="312">
        <v>4</v>
      </c>
      <c r="E478" s="312"/>
      <c r="F478" s="248"/>
      <c r="G478" s="312"/>
      <c r="H478" s="312"/>
      <c r="I478" s="312"/>
      <c r="J478" s="248">
        <f t="shared" si="49"/>
        <v>0</v>
      </c>
      <c r="K478" s="330">
        <f t="shared" si="50"/>
        <v>-4</v>
      </c>
      <c r="L478" s="313"/>
      <c r="M478" s="228">
        <f t="shared" si="51"/>
        <v>0</v>
      </c>
      <c r="N478" s="228">
        <f t="shared" si="54"/>
        <v>0</v>
      </c>
      <c r="O478" s="228">
        <f t="shared" si="55"/>
        <v>0</v>
      </c>
      <c r="P478" s="228">
        <f t="shared" si="55"/>
        <v>0</v>
      </c>
      <c r="Q478" s="228">
        <f t="shared" si="52"/>
        <v>0</v>
      </c>
      <c r="R478" s="343">
        <f t="shared" si="53"/>
        <v>-4</v>
      </c>
      <c r="S478" s="240"/>
      <c r="T478" s="201"/>
      <c r="U478" s="201"/>
      <c r="V478" s="201"/>
    </row>
    <row r="479" spans="1:22" ht="15.75" x14ac:dyDescent="0.25">
      <c r="A479" s="234" t="s">
        <v>737</v>
      </c>
      <c r="B479" s="235" t="s">
        <v>593</v>
      </c>
      <c r="C479" s="234" t="s">
        <v>9</v>
      </c>
      <c r="D479" s="312">
        <v>36</v>
      </c>
      <c r="E479" s="312"/>
      <c r="F479" s="248"/>
      <c r="G479" s="312"/>
      <c r="H479" s="312"/>
      <c r="I479" s="312"/>
      <c r="J479" s="248">
        <f t="shared" si="49"/>
        <v>0</v>
      </c>
      <c r="K479" s="330">
        <f t="shared" si="50"/>
        <v>-36</v>
      </c>
      <c r="L479" s="313"/>
      <c r="M479" s="228">
        <f t="shared" si="51"/>
        <v>0</v>
      </c>
      <c r="N479" s="228">
        <f t="shared" si="54"/>
        <v>0</v>
      </c>
      <c r="O479" s="228">
        <f t="shared" si="55"/>
        <v>0</v>
      </c>
      <c r="P479" s="228">
        <f t="shared" si="55"/>
        <v>0</v>
      </c>
      <c r="Q479" s="228">
        <f t="shared" si="52"/>
        <v>0</v>
      </c>
      <c r="R479" s="343">
        <f t="shared" si="53"/>
        <v>-36</v>
      </c>
      <c r="S479" s="240"/>
      <c r="T479" s="201"/>
      <c r="U479" s="201"/>
      <c r="V479" s="201"/>
    </row>
    <row r="480" spans="1:22" ht="15.75" x14ac:dyDescent="0.25">
      <c r="A480" s="234" t="s">
        <v>738</v>
      </c>
      <c r="B480" s="235" t="s">
        <v>595</v>
      </c>
      <c r="C480" s="234" t="s">
        <v>9</v>
      </c>
      <c r="D480" s="312">
        <v>8</v>
      </c>
      <c r="E480" s="312"/>
      <c r="F480" s="248"/>
      <c r="G480" s="312"/>
      <c r="H480" s="312"/>
      <c r="I480" s="312"/>
      <c r="J480" s="248">
        <f t="shared" si="49"/>
        <v>0</v>
      </c>
      <c r="K480" s="330">
        <f t="shared" si="50"/>
        <v>-8</v>
      </c>
      <c r="L480" s="313"/>
      <c r="M480" s="228">
        <f t="shared" si="51"/>
        <v>0</v>
      </c>
      <c r="N480" s="228">
        <f t="shared" si="54"/>
        <v>0</v>
      </c>
      <c r="O480" s="228">
        <f t="shared" si="55"/>
        <v>0</v>
      </c>
      <c r="P480" s="228">
        <f t="shared" si="55"/>
        <v>0</v>
      </c>
      <c r="Q480" s="228">
        <f t="shared" si="52"/>
        <v>0</v>
      </c>
      <c r="R480" s="343">
        <f t="shared" si="53"/>
        <v>-8</v>
      </c>
      <c r="S480" s="240"/>
      <c r="T480" s="201"/>
      <c r="U480" s="201"/>
      <c r="V480" s="201"/>
    </row>
    <row r="481" spans="1:22" ht="15.75" x14ac:dyDescent="0.25">
      <c r="A481" s="234" t="s">
        <v>739</v>
      </c>
      <c r="B481" s="235" t="s">
        <v>597</v>
      </c>
      <c r="C481" s="234" t="s">
        <v>9</v>
      </c>
      <c r="D481" s="312">
        <v>24</v>
      </c>
      <c r="E481" s="312"/>
      <c r="F481" s="248"/>
      <c r="G481" s="312"/>
      <c r="H481" s="312"/>
      <c r="I481" s="312"/>
      <c r="J481" s="248">
        <f t="shared" si="49"/>
        <v>0</v>
      </c>
      <c r="K481" s="330">
        <f t="shared" si="50"/>
        <v>-24</v>
      </c>
      <c r="L481" s="313"/>
      <c r="M481" s="228">
        <f t="shared" si="51"/>
        <v>0</v>
      </c>
      <c r="N481" s="228">
        <f t="shared" si="54"/>
        <v>0</v>
      </c>
      <c r="O481" s="228">
        <f t="shared" si="55"/>
        <v>0</v>
      </c>
      <c r="P481" s="228">
        <f t="shared" si="55"/>
        <v>0</v>
      </c>
      <c r="Q481" s="228">
        <f t="shared" si="52"/>
        <v>0</v>
      </c>
      <c r="R481" s="343">
        <f t="shared" si="53"/>
        <v>-24</v>
      </c>
      <c r="S481" s="240"/>
      <c r="T481" s="201"/>
      <c r="U481" s="201"/>
      <c r="V481" s="201"/>
    </row>
    <row r="482" spans="1:22" ht="15.75" x14ac:dyDescent="0.25">
      <c r="A482" s="234" t="s">
        <v>740</v>
      </c>
      <c r="B482" s="235" t="s">
        <v>599</v>
      </c>
      <c r="C482" s="234" t="s">
        <v>9</v>
      </c>
      <c r="D482" s="312">
        <v>8</v>
      </c>
      <c r="E482" s="312"/>
      <c r="F482" s="248"/>
      <c r="G482" s="312"/>
      <c r="H482" s="312"/>
      <c r="I482" s="312"/>
      <c r="J482" s="248">
        <f t="shared" si="49"/>
        <v>0</v>
      </c>
      <c r="K482" s="330">
        <f t="shared" si="50"/>
        <v>-8</v>
      </c>
      <c r="L482" s="313"/>
      <c r="M482" s="228">
        <f t="shared" si="51"/>
        <v>0</v>
      </c>
      <c r="N482" s="228">
        <f t="shared" si="54"/>
        <v>0</v>
      </c>
      <c r="O482" s="228">
        <f t="shared" si="55"/>
        <v>0</v>
      </c>
      <c r="P482" s="228">
        <f t="shared" si="55"/>
        <v>0</v>
      </c>
      <c r="Q482" s="228">
        <f t="shared" si="52"/>
        <v>0</v>
      </c>
      <c r="R482" s="343">
        <f t="shared" si="53"/>
        <v>-8</v>
      </c>
      <c r="S482" s="240"/>
      <c r="T482" s="201"/>
      <c r="U482" s="201"/>
      <c r="V482" s="201"/>
    </row>
    <row r="483" spans="1:22" ht="15.75" x14ac:dyDescent="0.25">
      <c r="A483" s="234" t="s">
        <v>741</v>
      </c>
      <c r="B483" s="235" t="s">
        <v>495</v>
      </c>
      <c r="C483" s="234" t="s">
        <v>248</v>
      </c>
      <c r="D483" s="312">
        <v>4</v>
      </c>
      <c r="E483" s="312"/>
      <c r="F483" s="248"/>
      <c r="G483" s="312"/>
      <c r="H483" s="312"/>
      <c r="I483" s="312"/>
      <c r="J483" s="248">
        <f t="shared" si="49"/>
        <v>0</v>
      </c>
      <c r="K483" s="330">
        <f t="shared" si="50"/>
        <v>-4</v>
      </c>
      <c r="L483" s="313"/>
      <c r="M483" s="228">
        <f t="shared" si="51"/>
        <v>0</v>
      </c>
      <c r="N483" s="228">
        <f t="shared" si="54"/>
        <v>0</v>
      </c>
      <c r="O483" s="228">
        <f t="shared" si="55"/>
        <v>0</v>
      </c>
      <c r="P483" s="228">
        <f t="shared" si="55"/>
        <v>0</v>
      </c>
      <c r="Q483" s="228">
        <f t="shared" si="52"/>
        <v>0</v>
      </c>
      <c r="R483" s="343">
        <f t="shared" si="53"/>
        <v>-4</v>
      </c>
      <c r="S483" s="240"/>
      <c r="T483" s="201"/>
      <c r="U483" s="201"/>
      <c r="V483" s="201"/>
    </row>
    <row r="484" spans="1:22" ht="30" x14ac:dyDescent="0.25">
      <c r="A484" s="234" t="s">
        <v>742</v>
      </c>
      <c r="B484" s="235" t="s">
        <v>672</v>
      </c>
      <c r="C484" s="234" t="s">
        <v>499</v>
      </c>
      <c r="D484" s="312">
        <v>4</v>
      </c>
      <c r="E484" s="312"/>
      <c r="F484" s="248"/>
      <c r="G484" s="312"/>
      <c r="H484" s="312"/>
      <c r="I484" s="312"/>
      <c r="J484" s="248">
        <f t="shared" si="49"/>
        <v>0</v>
      </c>
      <c r="K484" s="330">
        <f t="shared" si="50"/>
        <v>-4</v>
      </c>
      <c r="L484" s="313"/>
      <c r="M484" s="228">
        <f t="shared" si="51"/>
        <v>0</v>
      </c>
      <c r="N484" s="228">
        <f t="shared" si="54"/>
        <v>0</v>
      </c>
      <c r="O484" s="228">
        <f t="shared" si="55"/>
        <v>0</v>
      </c>
      <c r="P484" s="228">
        <f t="shared" si="55"/>
        <v>0</v>
      </c>
      <c r="Q484" s="228">
        <f t="shared" si="52"/>
        <v>0</v>
      </c>
      <c r="R484" s="343">
        <f t="shared" si="53"/>
        <v>-4</v>
      </c>
      <c r="S484" s="240"/>
      <c r="T484" s="201"/>
      <c r="U484" s="201"/>
      <c r="V484" s="201"/>
    </row>
    <row r="485" spans="1:22" ht="28.5" x14ac:dyDescent="0.25">
      <c r="A485" s="230" t="s">
        <v>743</v>
      </c>
      <c r="B485" s="231" t="s">
        <v>744</v>
      </c>
      <c r="C485" s="230"/>
      <c r="D485" s="316"/>
      <c r="E485" s="316"/>
      <c r="F485" s="317"/>
      <c r="G485" s="316"/>
      <c r="H485" s="316"/>
      <c r="I485" s="316"/>
      <c r="J485" s="248">
        <f t="shared" si="49"/>
        <v>0</v>
      </c>
      <c r="K485" s="330">
        <f t="shared" si="50"/>
        <v>0</v>
      </c>
      <c r="L485" s="318"/>
      <c r="M485" s="228">
        <f t="shared" si="51"/>
        <v>0</v>
      </c>
      <c r="N485" s="228">
        <f t="shared" si="54"/>
        <v>0</v>
      </c>
      <c r="O485" s="228">
        <f t="shared" si="55"/>
        <v>0</v>
      </c>
      <c r="P485" s="228">
        <f t="shared" si="55"/>
        <v>0</v>
      </c>
      <c r="Q485" s="228">
        <f t="shared" si="52"/>
        <v>0</v>
      </c>
      <c r="R485" s="343">
        <f t="shared" si="53"/>
        <v>0</v>
      </c>
      <c r="S485" s="240"/>
      <c r="T485" s="201"/>
      <c r="U485" s="201"/>
      <c r="V485" s="201"/>
    </row>
    <row r="486" spans="1:22" ht="15.75" x14ac:dyDescent="0.25">
      <c r="A486" s="234" t="s">
        <v>745</v>
      </c>
      <c r="B486" s="235" t="s">
        <v>686</v>
      </c>
      <c r="C486" s="234" t="s">
        <v>9</v>
      </c>
      <c r="D486" s="312">
        <v>2</v>
      </c>
      <c r="E486" s="312"/>
      <c r="F486" s="248"/>
      <c r="G486" s="312"/>
      <c r="H486" s="312"/>
      <c r="I486" s="312"/>
      <c r="J486" s="248">
        <f t="shared" si="49"/>
        <v>0</v>
      </c>
      <c r="K486" s="330">
        <f t="shared" si="50"/>
        <v>-2</v>
      </c>
      <c r="L486" s="313"/>
      <c r="M486" s="228">
        <f t="shared" si="51"/>
        <v>0</v>
      </c>
      <c r="N486" s="228">
        <f t="shared" si="54"/>
        <v>0</v>
      </c>
      <c r="O486" s="228">
        <f t="shared" si="55"/>
        <v>0</v>
      </c>
      <c r="P486" s="228">
        <f t="shared" si="55"/>
        <v>0</v>
      </c>
      <c r="Q486" s="228">
        <f t="shared" si="52"/>
        <v>0</v>
      </c>
      <c r="R486" s="343">
        <f t="shared" si="53"/>
        <v>-2</v>
      </c>
      <c r="S486" s="240"/>
      <c r="T486" s="201"/>
      <c r="U486" s="201"/>
      <c r="V486" s="201"/>
    </row>
    <row r="487" spans="1:22" ht="15.75" x14ac:dyDescent="0.25">
      <c r="A487" s="234" t="s">
        <v>746</v>
      </c>
      <c r="B487" s="235" t="s">
        <v>747</v>
      </c>
      <c r="C487" s="234" t="s">
        <v>248</v>
      </c>
      <c r="D487" s="312">
        <v>6</v>
      </c>
      <c r="E487" s="312"/>
      <c r="F487" s="248"/>
      <c r="G487" s="312"/>
      <c r="H487" s="312"/>
      <c r="I487" s="312"/>
      <c r="J487" s="248">
        <f t="shared" si="49"/>
        <v>0</v>
      </c>
      <c r="K487" s="330">
        <f t="shared" si="50"/>
        <v>-6</v>
      </c>
      <c r="L487" s="313"/>
      <c r="M487" s="228">
        <f t="shared" si="51"/>
        <v>0</v>
      </c>
      <c r="N487" s="228">
        <f t="shared" si="54"/>
        <v>0</v>
      </c>
      <c r="O487" s="228">
        <f t="shared" si="55"/>
        <v>0</v>
      </c>
      <c r="P487" s="228">
        <f t="shared" si="55"/>
        <v>0</v>
      </c>
      <c r="Q487" s="228">
        <f t="shared" si="52"/>
        <v>0</v>
      </c>
      <c r="R487" s="343">
        <f t="shared" si="53"/>
        <v>-6</v>
      </c>
      <c r="S487" s="240"/>
      <c r="T487" s="201"/>
      <c r="U487" s="201"/>
      <c r="V487" s="201"/>
    </row>
    <row r="488" spans="1:22" ht="15.75" x14ac:dyDescent="0.25">
      <c r="A488" s="234" t="s">
        <v>748</v>
      </c>
      <c r="B488" s="235" t="s">
        <v>483</v>
      </c>
      <c r="C488" s="234" t="s">
        <v>248</v>
      </c>
      <c r="D488" s="312">
        <v>6</v>
      </c>
      <c r="E488" s="312"/>
      <c r="F488" s="248"/>
      <c r="G488" s="312"/>
      <c r="H488" s="312"/>
      <c r="I488" s="312"/>
      <c r="J488" s="248">
        <f t="shared" si="49"/>
        <v>0</v>
      </c>
      <c r="K488" s="330">
        <f t="shared" si="50"/>
        <v>-6</v>
      </c>
      <c r="L488" s="313"/>
      <c r="M488" s="228">
        <f t="shared" si="51"/>
        <v>0</v>
      </c>
      <c r="N488" s="228">
        <f t="shared" si="54"/>
        <v>0</v>
      </c>
      <c r="O488" s="228">
        <f t="shared" si="55"/>
        <v>0</v>
      </c>
      <c r="P488" s="228">
        <f t="shared" si="55"/>
        <v>0</v>
      </c>
      <c r="Q488" s="228">
        <f t="shared" si="52"/>
        <v>0</v>
      </c>
      <c r="R488" s="343">
        <f t="shared" si="53"/>
        <v>-6</v>
      </c>
      <c r="S488" s="240"/>
      <c r="T488" s="201"/>
      <c r="U488" s="201"/>
      <c r="V488" s="201"/>
    </row>
    <row r="489" spans="1:22" ht="15.75" x14ac:dyDescent="0.25">
      <c r="A489" s="234" t="s">
        <v>749</v>
      </c>
      <c r="B489" s="235" t="s">
        <v>489</v>
      </c>
      <c r="C489" s="234" t="s">
        <v>9</v>
      </c>
      <c r="D489" s="312">
        <v>2</v>
      </c>
      <c r="E489" s="312"/>
      <c r="F489" s="248"/>
      <c r="G489" s="312"/>
      <c r="H489" s="312"/>
      <c r="I489" s="312"/>
      <c r="J489" s="248">
        <f t="shared" si="49"/>
        <v>0</v>
      </c>
      <c r="K489" s="330">
        <f t="shared" si="50"/>
        <v>-2</v>
      </c>
      <c r="L489" s="313"/>
      <c r="M489" s="228">
        <f t="shared" si="51"/>
        <v>0</v>
      </c>
      <c r="N489" s="228">
        <f t="shared" si="54"/>
        <v>0</v>
      </c>
      <c r="O489" s="228">
        <f t="shared" si="55"/>
        <v>0</v>
      </c>
      <c r="P489" s="228">
        <f t="shared" si="55"/>
        <v>0</v>
      </c>
      <c r="Q489" s="228">
        <f t="shared" si="52"/>
        <v>0</v>
      </c>
      <c r="R489" s="343">
        <f t="shared" si="53"/>
        <v>-2</v>
      </c>
      <c r="S489" s="240"/>
      <c r="T489" s="201"/>
      <c r="U489" s="201"/>
      <c r="V489" s="201"/>
    </row>
    <row r="490" spans="1:22" ht="15.75" x14ac:dyDescent="0.25">
      <c r="A490" s="234" t="s">
        <v>750</v>
      </c>
      <c r="B490" s="235" t="s">
        <v>491</v>
      </c>
      <c r="C490" s="234" t="s">
        <v>9</v>
      </c>
      <c r="D490" s="312">
        <v>2</v>
      </c>
      <c r="E490" s="312"/>
      <c r="F490" s="248"/>
      <c r="G490" s="312"/>
      <c r="H490" s="312"/>
      <c r="I490" s="312"/>
      <c r="J490" s="248">
        <f t="shared" si="49"/>
        <v>0</v>
      </c>
      <c r="K490" s="330">
        <f t="shared" si="50"/>
        <v>-2</v>
      </c>
      <c r="L490" s="313"/>
      <c r="M490" s="228">
        <f t="shared" si="51"/>
        <v>0</v>
      </c>
      <c r="N490" s="228">
        <f t="shared" si="54"/>
        <v>0</v>
      </c>
      <c r="O490" s="228">
        <f t="shared" si="55"/>
        <v>0</v>
      </c>
      <c r="P490" s="228">
        <f t="shared" si="55"/>
        <v>0</v>
      </c>
      <c r="Q490" s="228">
        <f t="shared" si="52"/>
        <v>0</v>
      </c>
      <c r="R490" s="343">
        <f t="shared" si="53"/>
        <v>-2</v>
      </c>
      <c r="S490" s="240"/>
      <c r="T490" s="201"/>
      <c r="U490" s="201"/>
      <c r="V490" s="201"/>
    </row>
    <row r="491" spans="1:22" ht="30" x14ac:dyDescent="0.25">
      <c r="A491" s="234" t="s">
        <v>751</v>
      </c>
      <c r="B491" s="235" t="s">
        <v>645</v>
      </c>
      <c r="C491" s="234" t="s">
        <v>499</v>
      </c>
      <c r="D491" s="312">
        <v>2</v>
      </c>
      <c r="E491" s="312"/>
      <c r="F491" s="248"/>
      <c r="G491" s="312"/>
      <c r="H491" s="312"/>
      <c r="I491" s="312"/>
      <c r="J491" s="248">
        <f t="shared" si="49"/>
        <v>0</v>
      </c>
      <c r="K491" s="330">
        <f t="shared" si="50"/>
        <v>-2</v>
      </c>
      <c r="L491" s="313"/>
      <c r="M491" s="228">
        <f t="shared" si="51"/>
        <v>0</v>
      </c>
      <c r="N491" s="228">
        <f t="shared" si="54"/>
        <v>0</v>
      </c>
      <c r="O491" s="228">
        <f t="shared" si="55"/>
        <v>0</v>
      </c>
      <c r="P491" s="228">
        <f t="shared" si="55"/>
        <v>0</v>
      </c>
      <c r="Q491" s="228">
        <f t="shared" si="52"/>
        <v>0</v>
      </c>
      <c r="R491" s="343">
        <f t="shared" si="53"/>
        <v>-2</v>
      </c>
      <c r="S491" s="240"/>
      <c r="T491" s="201"/>
      <c r="U491" s="201"/>
      <c r="V491" s="201"/>
    </row>
    <row r="492" spans="1:22" ht="28.5" x14ac:dyDescent="0.25">
      <c r="A492" s="230" t="s">
        <v>752</v>
      </c>
      <c r="B492" s="231" t="s">
        <v>753</v>
      </c>
      <c r="C492" s="230"/>
      <c r="D492" s="316"/>
      <c r="E492" s="316"/>
      <c r="F492" s="317"/>
      <c r="G492" s="316"/>
      <c r="H492" s="316"/>
      <c r="I492" s="316"/>
      <c r="J492" s="248">
        <f t="shared" si="49"/>
        <v>0</v>
      </c>
      <c r="K492" s="330">
        <f t="shared" si="50"/>
        <v>0</v>
      </c>
      <c r="L492" s="318"/>
      <c r="M492" s="228">
        <f t="shared" si="51"/>
        <v>0</v>
      </c>
      <c r="N492" s="228">
        <f t="shared" si="54"/>
        <v>0</v>
      </c>
      <c r="O492" s="228">
        <f t="shared" si="55"/>
        <v>0</v>
      </c>
      <c r="P492" s="228">
        <f t="shared" si="55"/>
        <v>0</v>
      </c>
      <c r="Q492" s="228">
        <f t="shared" si="52"/>
        <v>0</v>
      </c>
      <c r="R492" s="343">
        <f t="shared" si="53"/>
        <v>0</v>
      </c>
      <c r="S492" s="240"/>
      <c r="T492" s="201"/>
      <c r="U492" s="201"/>
      <c r="V492" s="201"/>
    </row>
    <row r="493" spans="1:22" ht="15.75" x14ac:dyDescent="0.25">
      <c r="A493" s="234" t="s">
        <v>754</v>
      </c>
      <c r="B493" s="235" t="s">
        <v>649</v>
      </c>
      <c r="C493" s="234" t="s">
        <v>9</v>
      </c>
      <c r="D493" s="312">
        <v>3</v>
      </c>
      <c r="E493" s="312"/>
      <c r="F493" s="248"/>
      <c r="G493" s="312"/>
      <c r="H493" s="312"/>
      <c r="I493" s="312"/>
      <c r="J493" s="248">
        <f t="shared" si="49"/>
        <v>0</v>
      </c>
      <c r="K493" s="330">
        <f t="shared" si="50"/>
        <v>-3</v>
      </c>
      <c r="L493" s="313"/>
      <c r="M493" s="228">
        <f t="shared" si="51"/>
        <v>0</v>
      </c>
      <c r="N493" s="228">
        <f t="shared" si="54"/>
        <v>0</v>
      </c>
      <c r="O493" s="228">
        <f t="shared" si="55"/>
        <v>0</v>
      </c>
      <c r="P493" s="228">
        <f t="shared" si="55"/>
        <v>0</v>
      </c>
      <c r="Q493" s="228">
        <f t="shared" si="52"/>
        <v>0</v>
      </c>
      <c r="R493" s="343">
        <f t="shared" si="53"/>
        <v>-3</v>
      </c>
      <c r="S493" s="240"/>
      <c r="T493" s="201"/>
      <c r="U493" s="201"/>
      <c r="V493" s="201"/>
    </row>
    <row r="494" spans="1:22" ht="15.75" x14ac:dyDescent="0.25">
      <c r="A494" s="234" t="s">
        <v>755</v>
      </c>
      <c r="B494" s="235" t="s">
        <v>747</v>
      </c>
      <c r="C494" s="234" t="s">
        <v>248</v>
      </c>
      <c r="D494" s="312">
        <v>9</v>
      </c>
      <c r="E494" s="312"/>
      <c r="F494" s="248"/>
      <c r="G494" s="312"/>
      <c r="H494" s="312"/>
      <c r="I494" s="312"/>
      <c r="J494" s="248">
        <f t="shared" si="49"/>
        <v>0</v>
      </c>
      <c r="K494" s="330">
        <f t="shared" si="50"/>
        <v>-9</v>
      </c>
      <c r="L494" s="313"/>
      <c r="M494" s="228">
        <f t="shared" si="51"/>
        <v>0</v>
      </c>
      <c r="N494" s="228">
        <f t="shared" si="54"/>
        <v>0</v>
      </c>
      <c r="O494" s="228">
        <f t="shared" si="55"/>
        <v>0</v>
      </c>
      <c r="P494" s="228">
        <f t="shared" si="55"/>
        <v>0</v>
      </c>
      <c r="Q494" s="228">
        <f t="shared" si="52"/>
        <v>0</v>
      </c>
      <c r="R494" s="343">
        <f t="shared" si="53"/>
        <v>-9</v>
      </c>
      <c r="S494" s="240"/>
      <c r="T494" s="201"/>
      <c r="U494" s="201"/>
      <c r="V494" s="201"/>
    </row>
    <row r="495" spans="1:22" ht="15.75" x14ac:dyDescent="0.25">
      <c r="A495" s="234" t="s">
        <v>756</v>
      </c>
      <c r="B495" s="235" t="s">
        <v>483</v>
      </c>
      <c r="C495" s="234" t="s">
        <v>248</v>
      </c>
      <c r="D495" s="312">
        <v>9</v>
      </c>
      <c r="E495" s="312"/>
      <c r="F495" s="248"/>
      <c r="G495" s="312"/>
      <c r="H495" s="312"/>
      <c r="I495" s="312"/>
      <c r="J495" s="248">
        <f t="shared" si="49"/>
        <v>0</v>
      </c>
      <c r="K495" s="330">
        <f t="shared" si="50"/>
        <v>-9</v>
      </c>
      <c r="L495" s="313"/>
      <c r="M495" s="228">
        <f t="shared" si="51"/>
        <v>0</v>
      </c>
      <c r="N495" s="228">
        <f t="shared" si="54"/>
        <v>0</v>
      </c>
      <c r="O495" s="228">
        <f t="shared" si="55"/>
        <v>0</v>
      </c>
      <c r="P495" s="228">
        <f t="shared" si="55"/>
        <v>0</v>
      </c>
      <c r="Q495" s="228">
        <f t="shared" si="52"/>
        <v>0</v>
      </c>
      <c r="R495" s="343">
        <f t="shared" si="53"/>
        <v>-9</v>
      </c>
      <c r="S495" s="240"/>
      <c r="T495" s="201"/>
      <c r="U495" s="201"/>
      <c r="V495" s="201"/>
    </row>
    <row r="496" spans="1:22" ht="15.75" x14ac:dyDescent="0.25">
      <c r="A496" s="234" t="s">
        <v>757</v>
      </c>
      <c r="B496" s="235" t="s">
        <v>489</v>
      </c>
      <c r="C496" s="234" t="s">
        <v>9</v>
      </c>
      <c r="D496" s="312">
        <v>3</v>
      </c>
      <c r="E496" s="312"/>
      <c r="F496" s="248"/>
      <c r="G496" s="312"/>
      <c r="H496" s="312"/>
      <c r="I496" s="312"/>
      <c r="J496" s="248">
        <f t="shared" si="49"/>
        <v>0</v>
      </c>
      <c r="K496" s="330">
        <f t="shared" si="50"/>
        <v>-3</v>
      </c>
      <c r="L496" s="313"/>
      <c r="M496" s="228">
        <f t="shared" si="51"/>
        <v>0</v>
      </c>
      <c r="N496" s="228">
        <f t="shared" si="54"/>
        <v>0</v>
      </c>
      <c r="O496" s="228">
        <f t="shared" si="55"/>
        <v>0</v>
      </c>
      <c r="P496" s="228">
        <f t="shared" si="55"/>
        <v>0</v>
      </c>
      <c r="Q496" s="228">
        <f t="shared" si="52"/>
        <v>0</v>
      </c>
      <c r="R496" s="343">
        <f t="shared" si="53"/>
        <v>-3</v>
      </c>
      <c r="S496" s="240"/>
      <c r="T496" s="201"/>
      <c r="U496" s="201"/>
      <c r="V496" s="201"/>
    </row>
    <row r="497" spans="1:22" ht="15.75" x14ac:dyDescent="0.25">
      <c r="A497" s="234" t="s">
        <v>758</v>
      </c>
      <c r="B497" s="235" t="s">
        <v>491</v>
      </c>
      <c r="C497" s="234" t="s">
        <v>9</v>
      </c>
      <c r="D497" s="312">
        <v>3</v>
      </c>
      <c r="E497" s="312"/>
      <c r="F497" s="248"/>
      <c r="G497" s="312"/>
      <c r="H497" s="312"/>
      <c r="I497" s="312"/>
      <c r="J497" s="248">
        <f t="shared" si="49"/>
        <v>0</v>
      </c>
      <c r="K497" s="330">
        <f t="shared" si="50"/>
        <v>-3</v>
      </c>
      <c r="L497" s="313"/>
      <c r="M497" s="228">
        <f t="shared" si="51"/>
        <v>0</v>
      </c>
      <c r="N497" s="228">
        <f t="shared" si="54"/>
        <v>0</v>
      </c>
      <c r="O497" s="228">
        <f t="shared" si="55"/>
        <v>0</v>
      </c>
      <c r="P497" s="228">
        <f t="shared" si="55"/>
        <v>0</v>
      </c>
      <c r="Q497" s="228">
        <f t="shared" si="52"/>
        <v>0</v>
      </c>
      <c r="R497" s="343">
        <f t="shared" si="53"/>
        <v>-3</v>
      </c>
      <c r="S497" s="240"/>
      <c r="T497" s="201"/>
      <c r="U497" s="201"/>
      <c r="V497" s="201"/>
    </row>
    <row r="498" spans="1:22" ht="30" x14ac:dyDescent="0.25">
      <c r="A498" s="234" t="s">
        <v>759</v>
      </c>
      <c r="B498" s="235" t="s">
        <v>645</v>
      </c>
      <c r="C498" s="234" t="s">
        <v>499</v>
      </c>
      <c r="D498" s="312">
        <v>3</v>
      </c>
      <c r="E498" s="312"/>
      <c r="F498" s="248"/>
      <c r="G498" s="312"/>
      <c r="H498" s="312"/>
      <c r="I498" s="312"/>
      <c r="J498" s="248">
        <f t="shared" si="49"/>
        <v>0</v>
      </c>
      <c r="K498" s="330">
        <f t="shared" si="50"/>
        <v>-3</v>
      </c>
      <c r="L498" s="313"/>
      <c r="M498" s="228">
        <f t="shared" si="51"/>
        <v>0</v>
      </c>
      <c r="N498" s="228">
        <f t="shared" si="54"/>
        <v>0</v>
      </c>
      <c r="O498" s="228">
        <f t="shared" si="55"/>
        <v>0</v>
      </c>
      <c r="P498" s="228">
        <f t="shared" si="55"/>
        <v>0</v>
      </c>
      <c r="Q498" s="228">
        <f t="shared" si="52"/>
        <v>0</v>
      </c>
      <c r="R498" s="343">
        <f t="shared" si="53"/>
        <v>-3</v>
      </c>
      <c r="S498" s="240"/>
      <c r="T498" s="201"/>
      <c r="U498" s="201"/>
      <c r="V498" s="201"/>
    </row>
    <row r="499" spans="1:22" ht="15.75" x14ac:dyDescent="0.25">
      <c r="A499" s="230" t="s">
        <v>760</v>
      </c>
      <c r="B499" s="231" t="s">
        <v>761</v>
      </c>
      <c r="C499" s="230"/>
      <c r="D499" s="316"/>
      <c r="E499" s="316"/>
      <c r="F499" s="317"/>
      <c r="G499" s="316"/>
      <c r="H499" s="316"/>
      <c r="I499" s="316"/>
      <c r="J499" s="248">
        <f t="shared" si="49"/>
        <v>0</v>
      </c>
      <c r="K499" s="330">
        <f t="shared" si="50"/>
        <v>0</v>
      </c>
      <c r="L499" s="318"/>
      <c r="M499" s="228">
        <f t="shared" si="51"/>
        <v>0</v>
      </c>
      <c r="N499" s="228">
        <f t="shared" si="54"/>
        <v>0</v>
      </c>
      <c r="O499" s="228">
        <f t="shared" si="55"/>
        <v>0</v>
      </c>
      <c r="P499" s="228">
        <f t="shared" si="55"/>
        <v>0</v>
      </c>
      <c r="Q499" s="228">
        <f t="shared" si="52"/>
        <v>0</v>
      </c>
      <c r="R499" s="343">
        <f t="shared" si="53"/>
        <v>0</v>
      </c>
      <c r="S499" s="240"/>
      <c r="T499" s="201"/>
      <c r="U499" s="201"/>
      <c r="V499" s="201"/>
    </row>
    <row r="500" spans="1:22" ht="15.75" x14ac:dyDescent="0.25">
      <c r="A500" s="234" t="s">
        <v>762</v>
      </c>
      <c r="B500" s="235" t="s">
        <v>686</v>
      </c>
      <c r="C500" s="234" t="s">
        <v>9</v>
      </c>
      <c r="D500" s="312">
        <v>1</v>
      </c>
      <c r="E500" s="312"/>
      <c r="F500" s="248"/>
      <c r="G500" s="312"/>
      <c r="H500" s="312"/>
      <c r="I500" s="312"/>
      <c r="J500" s="248">
        <f t="shared" si="49"/>
        <v>0</v>
      </c>
      <c r="K500" s="330">
        <f t="shared" si="50"/>
        <v>-1</v>
      </c>
      <c r="L500" s="313"/>
      <c r="M500" s="228">
        <f t="shared" si="51"/>
        <v>0</v>
      </c>
      <c r="N500" s="228">
        <f t="shared" si="54"/>
        <v>0</v>
      </c>
      <c r="O500" s="228">
        <f t="shared" si="55"/>
        <v>0</v>
      </c>
      <c r="P500" s="228">
        <f t="shared" si="55"/>
        <v>0</v>
      </c>
      <c r="Q500" s="228">
        <f t="shared" si="52"/>
        <v>0</v>
      </c>
      <c r="R500" s="343">
        <f t="shared" si="53"/>
        <v>-1</v>
      </c>
      <c r="S500" s="240"/>
      <c r="T500" s="201"/>
      <c r="U500" s="201"/>
      <c r="V500" s="201"/>
    </row>
    <row r="501" spans="1:22" ht="15.75" x14ac:dyDescent="0.25">
      <c r="A501" s="234" t="s">
        <v>763</v>
      </c>
      <c r="B501" s="235" t="s">
        <v>747</v>
      </c>
      <c r="C501" s="234" t="s">
        <v>248</v>
      </c>
      <c r="D501" s="312">
        <v>3</v>
      </c>
      <c r="E501" s="312"/>
      <c r="F501" s="248"/>
      <c r="G501" s="312"/>
      <c r="H501" s="312"/>
      <c r="I501" s="312"/>
      <c r="J501" s="248">
        <f t="shared" si="49"/>
        <v>0</v>
      </c>
      <c r="K501" s="330">
        <f t="shared" si="50"/>
        <v>-3</v>
      </c>
      <c r="L501" s="313"/>
      <c r="M501" s="228">
        <f t="shared" si="51"/>
        <v>0</v>
      </c>
      <c r="N501" s="228">
        <f t="shared" si="54"/>
        <v>0</v>
      </c>
      <c r="O501" s="228">
        <f t="shared" si="55"/>
        <v>0</v>
      </c>
      <c r="P501" s="228">
        <f t="shared" si="55"/>
        <v>0</v>
      </c>
      <c r="Q501" s="228">
        <f t="shared" si="52"/>
        <v>0</v>
      </c>
      <c r="R501" s="343">
        <f t="shared" si="53"/>
        <v>-3</v>
      </c>
      <c r="S501" s="240"/>
      <c r="T501" s="201"/>
      <c r="U501" s="201"/>
      <c r="V501" s="201"/>
    </row>
    <row r="502" spans="1:22" ht="15.75" x14ac:dyDescent="0.25">
      <c r="A502" s="234" t="s">
        <v>764</v>
      </c>
      <c r="B502" s="235" t="s">
        <v>483</v>
      </c>
      <c r="C502" s="234" t="s">
        <v>248</v>
      </c>
      <c r="D502" s="312">
        <v>3</v>
      </c>
      <c r="E502" s="312"/>
      <c r="F502" s="248"/>
      <c r="G502" s="312"/>
      <c r="H502" s="312"/>
      <c r="I502" s="312"/>
      <c r="J502" s="248">
        <f t="shared" si="49"/>
        <v>0</v>
      </c>
      <c r="K502" s="330">
        <f t="shared" si="50"/>
        <v>-3</v>
      </c>
      <c r="L502" s="313"/>
      <c r="M502" s="228">
        <f t="shared" si="51"/>
        <v>0</v>
      </c>
      <c r="N502" s="228">
        <f t="shared" si="54"/>
        <v>0</v>
      </c>
      <c r="O502" s="228">
        <f t="shared" si="55"/>
        <v>0</v>
      </c>
      <c r="P502" s="228">
        <f t="shared" si="55"/>
        <v>0</v>
      </c>
      <c r="Q502" s="228">
        <f t="shared" si="52"/>
        <v>0</v>
      </c>
      <c r="R502" s="343">
        <f t="shared" si="53"/>
        <v>-3</v>
      </c>
      <c r="S502" s="240"/>
      <c r="T502" s="201"/>
      <c r="U502" s="201"/>
      <c r="V502" s="201"/>
    </row>
    <row r="503" spans="1:22" ht="15.75" x14ac:dyDescent="0.25">
      <c r="A503" s="234" t="s">
        <v>765</v>
      </c>
      <c r="B503" s="235" t="s">
        <v>489</v>
      </c>
      <c r="C503" s="234" t="s">
        <v>9</v>
      </c>
      <c r="D503" s="312">
        <v>1</v>
      </c>
      <c r="E503" s="312"/>
      <c r="F503" s="248"/>
      <c r="G503" s="312"/>
      <c r="H503" s="312"/>
      <c r="I503" s="312"/>
      <c r="J503" s="248">
        <f t="shared" si="49"/>
        <v>0</v>
      </c>
      <c r="K503" s="330">
        <f t="shared" si="50"/>
        <v>-1</v>
      </c>
      <c r="L503" s="313"/>
      <c r="M503" s="228">
        <f t="shared" si="51"/>
        <v>0</v>
      </c>
      <c r="N503" s="228">
        <f t="shared" si="54"/>
        <v>0</v>
      </c>
      <c r="O503" s="228">
        <f t="shared" si="55"/>
        <v>0</v>
      </c>
      <c r="P503" s="228">
        <f t="shared" si="55"/>
        <v>0</v>
      </c>
      <c r="Q503" s="228">
        <f t="shared" si="52"/>
        <v>0</v>
      </c>
      <c r="R503" s="343">
        <f t="shared" si="53"/>
        <v>-1</v>
      </c>
      <c r="S503" s="240"/>
      <c r="T503" s="201"/>
      <c r="U503" s="201"/>
      <c r="V503" s="201"/>
    </row>
    <row r="504" spans="1:22" ht="15.75" x14ac:dyDescent="0.25">
      <c r="A504" s="234" t="s">
        <v>766</v>
      </c>
      <c r="B504" s="235" t="s">
        <v>491</v>
      </c>
      <c r="C504" s="234" t="s">
        <v>9</v>
      </c>
      <c r="D504" s="312">
        <v>1</v>
      </c>
      <c r="E504" s="312"/>
      <c r="F504" s="248"/>
      <c r="G504" s="312"/>
      <c r="H504" s="312"/>
      <c r="I504" s="312"/>
      <c r="J504" s="248">
        <f t="shared" si="49"/>
        <v>0</v>
      </c>
      <c r="K504" s="330">
        <f t="shared" si="50"/>
        <v>-1</v>
      </c>
      <c r="L504" s="313"/>
      <c r="M504" s="228">
        <f t="shared" si="51"/>
        <v>0</v>
      </c>
      <c r="N504" s="228">
        <f t="shared" si="54"/>
        <v>0</v>
      </c>
      <c r="O504" s="228">
        <f t="shared" si="55"/>
        <v>0</v>
      </c>
      <c r="P504" s="228">
        <f t="shared" si="55"/>
        <v>0</v>
      </c>
      <c r="Q504" s="228">
        <f t="shared" si="52"/>
        <v>0</v>
      </c>
      <c r="R504" s="343">
        <f t="shared" si="53"/>
        <v>-1</v>
      </c>
      <c r="S504" s="240"/>
      <c r="T504" s="201"/>
      <c r="U504" s="201"/>
      <c r="V504" s="201"/>
    </row>
    <row r="505" spans="1:22" ht="30" x14ac:dyDescent="0.25">
      <c r="A505" s="234" t="s">
        <v>767</v>
      </c>
      <c r="B505" s="235" t="s">
        <v>645</v>
      </c>
      <c r="C505" s="234" t="s">
        <v>499</v>
      </c>
      <c r="D505" s="312">
        <v>1</v>
      </c>
      <c r="E505" s="312"/>
      <c r="F505" s="248"/>
      <c r="G505" s="312"/>
      <c r="H505" s="312"/>
      <c r="I505" s="312"/>
      <c r="J505" s="248">
        <f t="shared" si="49"/>
        <v>0</v>
      </c>
      <c r="K505" s="330">
        <f t="shared" si="50"/>
        <v>-1</v>
      </c>
      <c r="L505" s="313"/>
      <c r="M505" s="228">
        <f t="shared" si="51"/>
        <v>0</v>
      </c>
      <c r="N505" s="228">
        <f t="shared" si="54"/>
        <v>0</v>
      </c>
      <c r="O505" s="228">
        <f t="shared" si="55"/>
        <v>0</v>
      </c>
      <c r="P505" s="228">
        <f t="shared" si="55"/>
        <v>0</v>
      </c>
      <c r="Q505" s="228">
        <f t="shared" si="52"/>
        <v>0</v>
      </c>
      <c r="R505" s="343">
        <f t="shared" si="53"/>
        <v>-1</v>
      </c>
      <c r="S505" s="240"/>
      <c r="T505" s="201"/>
      <c r="U505" s="201"/>
      <c r="V505" s="201"/>
    </row>
    <row r="506" spans="1:22" ht="15.75" x14ac:dyDescent="0.25">
      <c r="A506" s="230" t="s">
        <v>768</v>
      </c>
      <c r="B506" s="231" t="s">
        <v>769</v>
      </c>
      <c r="C506" s="230"/>
      <c r="D506" s="316"/>
      <c r="E506" s="316"/>
      <c r="F506" s="317"/>
      <c r="G506" s="316"/>
      <c r="H506" s="316"/>
      <c r="I506" s="316"/>
      <c r="J506" s="248">
        <f t="shared" ref="J506:J569" si="56">F506+G506+H506+I506</f>
        <v>0</v>
      </c>
      <c r="K506" s="330">
        <f t="shared" ref="K506:K569" si="57">J506-D506</f>
        <v>0</v>
      </c>
      <c r="L506" s="318"/>
      <c r="M506" s="228">
        <f t="shared" ref="M506:M569" si="58">F506</f>
        <v>0</v>
      </c>
      <c r="N506" s="228">
        <f t="shared" si="54"/>
        <v>0</v>
      </c>
      <c r="O506" s="228">
        <f t="shared" si="55"/>
        <v>0</v>
      </c>
      <c r="P506" s="228">
        <f t="shared" si="55"/>
        <v>0</v>
      </c>
      <c r="Q506" s="228">
        <f t="shared" ref="Q506:Q569" si="59">M506+N506+O506+P506</f>
        <v>0</v>
      </c>
      <c r="R506" s="343">
        <f t="shared" ref="R506:R569" si="60">Q506-D506</f>
        <v>0</v>
      </c>
      <c r="S506" s="240"/>
      <c r="T506" s="201"/>
      <c r="U506" s="201"/>
      <c r="V506" s="201"/>
    </row>
    <row r="507" spans="1:22" ht="15.75" x14ac:dyDescent="0.25">
      <c r="A507" s="234" t="s">
        <v>770</v>
      </c>
      <c r="B507" s="235" t="s">
        <v>771</v>
      </c>
      <c r="C507" s="234" t="s">
        <v>9</v>
      </c>
      <c r="D507" s="312">
        <v>1</v>
      </c>
      <c r="E507" s="312"/>
      <c r="F507" s="248"/>
      <c r="G507" s="312"/>
      <c r="H507" s="312"/>
      <c r="I507" s="312"/>
      <c r="J507" s="248">
        <f t="shared" si="56"/>
        <v>0</v>
      </c>
      <c r="K507" s="330">
        <f t="shared" si="57"/>
        <v>-1</v>
      </c>
      <c r="L507" s="313"/>
      <c r="M507" s="228">
        <f t="shared" si="58"/>
        <v>0</v>
      </c>
      <c r="N507" s="228">
        <f t="shared" si="54"/>
        <v>0</v>
      </c>
      <c r="O507" s="228">
        <f t="shared" si="55"/>
        <v>0</v>
      </c>
      <c r="P507" s="228">
        <f t="shared" si="55"/>
        <v>0</v>
      </c>
      <c r="Q507" s="228">
        <f t="shared" si="59"/>
        <v>0</v>
      </c>
      <c r="R507" s="343">
        <f t="shared" si="60"/>
        <v>-1</v>
      </c>
      <c r="S507" s="240"/>
      <c r="T507" s="201"/>
      <c r="U507" s="201"/>
      <c r="V507" s="201"/>
    </row>
    <row r="508" spans="1:22" ht="15.75" x14ac:dyDescent="0.25">
      <c r="A508" s="234" t="s">
        <v>772</v>
      </c>
      <c r="B508" s="235" t="s">
        <v>747</v>
      </c>
      <c r="C508" s="234" t="s">
        <v>248</v>
      </c>
      <c r="D508" s="312">
        <v>3</v>
      </c>
      <c r="E508" s="312"/>
      <c r="F508" s="248"/>
      <c r="G508" s="312"/>
      <c r="H508" s="312"/>
      <c r="I508" s="312"/>
      <c r="J508" s="248">
        <f t="shared" si="56"/>
        <v>0</v>
      </c>
      <c r="K508" s="330">
        <f t="shared" si="57"/>
        <v>-3</v>
      </c>
      <c r="L508" s="313"/>
      <c r="M508" s="228">
        <f t="shared" si="58"/>
        <v>0</v>
      </c>
      <c r="N508" s="228">
        <f t="shared" si="54"/>
        <v>0</v>
      </c>
      <c r="O508" s="228">
        <f t="shared" si="55"/>
        <v>0</v>
      </c>
      <c r="P508" s="228">
        <f t="shared" si="55"/>
        <v>0</v>
      </c>
      <c r="Q508" s="228">
        <f t="shared" si="59"/>
        <v>0</v>
      </c>
      <c r="R508" s="343">
        <f t="shared" si="60"/>
        <v>-3</v>
      </c>
      <c r="S508" s="240"/>
      <c r="T508" s="201"/>
      <c r="U508" s="201"/>
      <c r="V508" s="201"/>
    </row>
    <row r="509" spans="1:22" ht="15.75" x14ac:dyDescent="0.25">
      <c r="A509" s="234" t="s">
        <v>773</v>
      </c>
      <c r="B509" s="235" t="s">
        <v>483</v>
      </c>
      <c r="C509" s="234" t="s">
        <v>248</v>
      </c>
      <c r="D509" s="312">
        <v>3</v>
      </c>
      <c r="E509" s="312"/>
      <c r="F509" s="248"/>
      <c r="G509" s="312"/>
      <c r="H509" s="312"/>
      <c r="I509" s="312"/>
      <c r="J509" s="248">
        <f t="shared" si="56"/>
        <v>0</v>
      </c>
      <c r="K509" s="330">
        <f t="shared" si="57"/>
        <v>-3</v>
      </c>
      <c r="L509" s="313"/>
      <c r="M509" s="228">
        <f t="shared" si="58"/>
        <v>0</v>
      </c>
      <c r="N509" s="228">
        <f t="shared" si="54"/>
        <v>0</v>
      </c>
      <c r="O509" s="228">
        <f t="shared" si="55"/>
        <v>0</v>
      </c>
      <c r="P509" s="228">
        <f t="shared" si="55"/>
        <v>0</v>
      </c>
      <c r="Q509" s="228">
        <f t="shared" si="59"/>
        <v>0</v>
      </c>
      <c r="R509" s="343">
        <f t="shared" si="60"/>
        <v>-3</v>
      </c>
      <c r="S509" s="240"/>
      <c r="T509" s="201"/>
      <c r="U509" s="201"/>
      <c r="V509" s="201"/>
    </row>
    <row r="510" spans="1:22" ht="15.75" x14ac:dyDescent="0.25">
      <c r="A510" s="234" t="s">
        <v>774</v>
      </c>
      <c r="B510" s="235" t="s">
        <v>489</v>
      </c>
      <c r="C510" s="234" t="s">
        <v>9</v>
      </c>
      <c r="D510" s="312">
        <v>1</v>
      </c>
      <c r="E510" s="312"/>
      <c r="F510" s="248"/>
      <c r="G510" s="312"/>
      <c r="H510" s="312"/>
      <c r="I510" s="312"/>
      <c r="J510" s="248">
        <f t="shared" si="56"/>
        <v>0</v>
      </c>
      <c r="K510" s="330">
        <f t="shared" si="57"/>
        <v>-1</v>
      </c>
      <c r="L510" s="313"/>
      <c r="M510" s="228">
        <f t="shared" si="58"/>
        <v>0</v>
      </c>
      <c r="N510" s="228">
        <f t="shared" si="54"/>
        <v>0</v>
      </c>
      <c r="O510" s="228">
        <f t="shared" si="55"/>
        <v>0</v>
      </c>
      <c r="P510" s="228">
        <f t="shared" si="55"/>
        <v>0</v>
      </c>
      <c r="Q510" s="228">
        <f t="shared" si="59"/>
        <v>0</v>
      </c>
      <c r="R510" s="343">
        <f t="shared" si="60"/>
        <v>-1</v>
      </c>
      <c r="S510" s="240"/>
      <c r="T510" s="201"/>
      <c r="U510" s="201"/>
      <c r="V510" s="201"/>
    </row>
    <row r="511" spans="1:22" ht="15.75" x14ac:dyDescent="0.25">
      <c r="A511" s="234" t="s">
        <v>775</v>
      </c>
      <c r="B511" s="235" t="s">
        <v>491</v>
      </c>
      <c r="C511" s="234" t="s">
        <v>9</v>
      </c>
      <c r="D511" s="312">
        <v>1</v>
      </c>
      <c r="E511" s="312"/>
      <c r="F511" s="248"/>
      <c r="G511" s="312"/>
      <c r="H511" s="312"/>
      <c r="I511" s="312"/>
      <c r="J511" s="248">
        <f t="shared" si="56"/>
        <v>0</v>
      </c>
      <c r="K511" s="330">
        <f t="shared" si="57"/>
        <v>-1</v>
      </c>
      <c r="L511" s="313"/>
      <c r="M511" s="228">
        <f t="shared" si="58"/>
        <v>0</v>
      </c>
      <c r="N511" s="228">
        <f t="shared" si="54"/>
        <v>0</v>
      </c>
      <c r="O511" s="228">
        <f t="shared" si="55"/>
        <v>0</v>
      </c>
      <c r="P511" s="228">
        <f t="shared" si="55"/>
        <v>0</v>
      </c>
      <c r="Q511" s="228">
        <f t="shared" si="59"/>
        <v>0</v>
      </c>
      <c r="R511" s="343">
        <f t="shared" si="60"/>
        <v>-1</v>
      </c>
      <c r="S511" s="240"/>
      <c r="T511" s="201"/>
      <c r="U511" s="201"/>
      <c r="V511" s="201"/>
    </row>
    <row r="512" spans="1:22" ht="15.75" x14ac:dyDescent="0.25">
      <c r="A512" s="234" t="s">
        <v>776</v>
      </c>
      <c r="B512" s="235" t="s">
        <v>777</v>
      </c>
      <c r="C512" s="234" t="s">
        <v>9</v>
      </c>
      <c r="D512" s="312">
        <v>2</v>
      </c>
      <c r="E512" s="312"/>
      <c r="F512" s="248"/>
      <c r="G512" s="312"/>
      <c r="H512" s="312"/>
      <c r="I512" s="312"/>
      <c r="J512" s="248">
        <f t="shared" si="56"/>
        <v>0</v>
      </c>
      <c r="K512" s="330">
        <f t="shared" si="57"/>
        <v>-2</v>
      </c>
      <c r="L512" s="313"/>
      <c r="M512" s="228">
        <f t="shared" si="58"/>
        <v>0</v>
      </c>
      <c r="N512" s="228">
        <f t="shared" si="54"/>
        <v>0</v>
      </c>
      <c r="O512" s="228">
        <f t="shared" si="55"/>
        <v>0</v>
      </c>
      <c r="P512" s="228">
        <f t="shared" si="55"/>
        <v>0</v>
      </c>
      <c r="Q512" s="228">
        <f t="shared" si="59"/>
        <v>0</v>
      </c>
      <c r="R512" s="343">
        <f t="shared" si="60"/>
        <v>-2</v>
      </c>
      <c r="S512" s="240"/>
      <c r="T512" s="201"/>
      <c r="U512" s="201"/>
      <c r="V512" s="201"/>
    </row>
    <row r="513" spans="1:22" ht="15.75" x14ac:dyDescent="0.25">
      <c r="A513" s="234" t="s">
        <v>778</v>
      </c>
      <c r="B513" s="235" t="s">
        <v>779</v>
      </c>
      <c r="C513" s="234" t="s">
        <v>9</v>
      </c>
      <c r="D513" s="312">
        <v>2</v>
      </c>
      <c r="E513" s="312"/>
      <c r="F513" s="248"/>
      <c r="G513" s="312"/>
      <c r="H513" s="312"/>
      <c r="I513" s="312"/>
      <c r="J513" s="248">
        <f t="shared" si="56"/>
        <v>0</v>
      </c>
      <c r="K513" s="330">
        <f t="shared" si="57"/>
        <v>-2</v>
      </c>
      <c r="L513" s="313"/>
      <c r="M513" s="228">
        <f t="shared" si="58"/>
        <v>0</v>
      </c>
      <c r="N513" s="228">
        <f t="shared" si="54"/>
        <v>0</v>
      </c>
      <c r="O513" s="228">
        <f t="shared" si="55"/>
        <v>0</v>
      </c>
      <c r="P513" s="228">
        <f t="shared" si="55"/>
        <v>0</v>
      </c>
      <c r="Q513" s="228">
        <f t="shared" si="59"/>
        <v>0</v>
      </c>
      <c r="R513" s="343">
        <f t="shared" si="60"/>
        <v>-2</v>
      </c>
      <c r="S513" s="240"/>
      <c r="T513" s="201"/>
      <c r="U513" s="201"/>
      <c r="V513" s="201"/>
    </row>
    <row r="514" spans="1:22" ht="15.75" x14ac:dyDescent="0.25">
      <c r="A514" s="234" t="s">
        <v>780</v>
      </c>
      <c r="B514" s="235" t="s">
        <v>781</v>
      </c>
      <c r="C514" s="234" t="s">
        <v>9</v>
      </c>
      <c r="D514" s="312">
        <v>1</v>
      </c>
      <c r="E514" s="312"/>
      <c r="F514" s="248"/>
      <c r="G514" s="312"/>
      <c r="H514" s="312"/>
      <c r="I514" s="312"/>
      <c r="J514" s="248">
        <f t="shared" si="56"/>
        <v>0</v>
      </c>
      <c r="K514" s="330">
        <f t="shared" si="57"/>
        <v>-1</v>
      </c>
      <c r="L514" s="313"/>
      <c r="M514" s="228">
        <f t="shared" si="58"/>
        <v>0</v>
      </c>
      <c r="N514" s="228">
        <f t="shared" si="54"/>
        <v>0</v>
      </c>
      <c r="O514" s="228">
        <f t="shared" si="55"/>
        <v>0</v>
      </c>
      <c r="P514" s="228">
        <f t="shared" si="55"/>
        <v>0</v>
      </c>
      <c r="Q514" s="228">
        <f t="shared" si="59"/>
        <v>0</v>
      </c>
      <c r="R514" s="343">
        <f t="shared" si="60"/>
        <v>-1</v>
      </c>
      <c r="S514" s="240"/>
      <c r="T514" s="201"/>
      <c r="U514" s="201"/>
      <c r="V514" s="201"/>
    </row>
    <row r="515" spans="1:22" ht="15.75" x14ac:dyDescent="0.25">
      <c r="A515" s="234" t="s">
        <v>782</v>
      </c>
      <c r="B515" s="235" t="s">
        <v>495</v>
      </c>
      <c r="C515" s="234" t="s">
        <v>248</v>
      </c>
      <c r="D515" s="312">
        <v>1</v>
      </c>
      <c r="E515" s="312"/>
      <c r="F515" s="248"/>
      <c r="G515" s="312"/>
      <c r="H515" s="312"/>
      <c r="I515" s="312"/>
      <c r="J515" s="248">
        <f t="shared" si="56"/>
        <v>0</v>
      </c>
      <c r="K515" s="330">
        <f t="shared" si="57"/>
        <v>-1</v>
      </c>
      <c r="L515" s="313"/>
      <c r="M515" s="228">
        <f t="shared" si="58"/>
        <v>0</v>
      </c>
      <c r="N515" s="228">
        <f t="shared" si="54"/>
        <v>0</v>
      </c>
      <c r="O515" s="228">
        <f t="shared" si="55"/>
        <v>0</v>
      </c>
      <c r="P515" s="228">
        <f t="shared" si="55"/>
        <v>0</v>
      </c>
      <c r="Q515" s="228">
        <f t="shared" si="59"/>
        <v>0</v>
      </c>
      <c r="R515" s="343">
        <f t="shared" si="60"/>
        <v>-1</v>
      </c>
      <c r="S515" s="240"/>
      <c r="T515" s="201"/>
      <c r="U515" s="201"/>
      <c r="V515" s="201"/>
    </row>
    <row r="516" spans="1:22" ht="30" x14ac:dyDescent="0.25">
      <c r="A516" s="234" t="s">
        <v>783</v>
      </c>
      <c r="B516" s="235" t="s">
        <v>784</v>
      </c>
      <c r="C516" s="234" t="s">
        <v>499</v>
      </c>
      <c r="D516" s="312">
        <v>1</v>
      </c>
      <c r="E516" s="312"/>
      <c r="F516" s="248"/>
      <c r="G516" s="312"/>
      <c r="H516" s="312"/>
      <c r="I516" s="312"/>
      <c r="J516" s="248">
        <f t="shared" si="56"/>
        <v>0</v>
      </c>
      <c r="K516" s="330">
        <f t="shared" si="57"/>
        <v>-1</v>
      </c>
      <c r="L516" s="313"/>
      <c r="M516" s="228">
        <f t="shared" si="58"/>
        <v>0</v>
      </c>
      <c r="N516" s="228">
        <f t="shared" si="54"/>
        <v>0</v>
      </c>
      <c r="O516" s="228">
        <f t="shared" si="55"/>
        <v>0</v>
      </c>
      <c r="P516" s="228">
        <f t="shared" si="55"/>
        <v>0</v>
      </c>
      <c r="Q516" s="228">
        <f t="shared" si="59"/>
        <v>0</v>
      </c>
      <c r="R516" s="343">
        <f t="shared" si="60"/>
        <v>-1</v>
      </c>
      <c r="S516" s="240"/>
      <c r="T516" s="201"/>
      <c r="U516" s="201"/>
      <c r="V516" s="201"/>
    </row>
    <row r="517" spans="1:22" ht="15.75" x14ac:dyDescent="0.25">
      <c r="A517" s="230" t="s">
        <v>785</v>
      </c>
      <c r="B517" s="231" t="s">
        <v>786</v>
      </c>
      <c r="C517" s="230"/>
      <c r="D517" s="316"/>
      <c r="E517" s="316"/>
      <c r="F517" s="317"/>
      <c r="G517" s="316"/>
      <c r="H517" s="316"/>
      <c r="I517" s="316"/>
      <c r="J517" s="248">
        <f t="shared" si="56"/>
        <v>0</v>
      </c>
      <c r="K517" s="330">
        <f t="shared" si="57"/>
        <v>0</v>
      </c>
      <c r="L517" s="318"/>
      <c r="M517" s="228">
        <f t="shared" si="58"/>
        <v>0</v>
      </c>
      <c r="N517" s="228">
        <f t="shared" si="54"/>
        <v>0</v>
      </c>
      <c r="O517" s="228">
        <f t="shared" si="55"/>
        <v>0</v>
      </c>
      <c r="P517" s="228">
        <f t="shared" si="55"/>
        <v>0</v>
      </c>
      <c r="Q517" s="228">
        <f t="shared" si="59"/>
        <v>0</v>
      </c>
      <c r="R517" s="343">
        <f t="shared" si="60"/>
        <v>0</v>
      </c>
      <c r="S517" s="240"/>
      <c r="T517" s="201"/>
      <c r="U517" s="201"/>
      <c r="V517" s="201"/>
    </row>
    <row r="518" spans="1:22" ht="15.75" x14ac:dyDescent="0.25">
      <c r="A518" s="234" t="s">
        <v>787</v>
      </c>
      <c r="B518" s="235" t="s">
        <v>509</v>
      </c>
      <c r="C518" s="234" t="s">
        <v>9</v>
      </c>
      <c r="D518" s="312">
        <v>1</v>
      </c>
      <c r="E518" s="312"/>
      <c r="F518" s="248"/>
      <c r="G518" s="312"/>
      <c r="H518" s="312"/>
      <c r="I518" s="312"/>
      <c r="J518" s="248">
        <f t="shared" si="56"/>
        <v>0</v>
      </c>
      <c r="K518" s="330">
        <f t="shared" si="57"/>
        <v>-1</v>
      </c>
      <c r="L518" s="313"/>
      <c r="M518" s="228">
        <f t="shared" si="58"/>
        <v>0</v>
      </c>
      <c r="N518" s="228">
        <f t="shared" si="54"/>
        <v>0</v>
      </c>
      <c r="O518" s="228">
        <f t="shared" si="55"/>
        <v>0</v>
      </c>
      <c r="P518" s="228">
        <f t="shared" si="55"/>
        <v>0</v>
      </c>
      <c r="Q518" s="228">
        <f t="shared" si="59"/>
        <v>0</v>
      </c>
      <c r="R518" s="343">
        <f t="shared" si="60"/>
        <v>-1</v>
      </c>
      <c r="S518" s="240"/>
      <c r="T518" s="201"/>
      <c r="U518" s="201"/>
      <c r="V518" s="201"/>
    </row>
    <row r="519" spans="1:22" ht="15.75" x14ac:dyDescent="0.25">
      <c r="A519" s="234" t="s">
        <v>788</v>
      </c>
      <c r="B519" s="235" t="s">
        <v>747</v>
      </c>
      <c r="C519" s="234" t="s">
        <v>248</v>
      </c>
      <c r="D519" s="312">
        <v>6</v>
      </c>
      <c r="E519" s="312"/>
      <c r="F519" s="248"/>
      <c r="G519" s="312"/>
      <c r="H519" s="312"/>
      <c r="I519" s="312"/>
      <c r="J519" s="248">
        <f t="shared" si="56"/>
        <v>0</v>
      </c>
      <c r="K519" s="330">
        <f t="shared" si="57"/>
        <v>-6</v>
      </c>
      <c r="L519" s="313"/>
      <c r="M519" s="228">
        <f t="shared" si="58"/>
        <v>0</v>
      </c>
      <c r="N519" s="228">
        <f t="shared" si="54"/>
        <v>0</v>
      </c>
      <c r="O519" s="228">
        <f t="shared" si="55"/>
        <v>0</v>
      </c>
      <c r="P519" s="228">
        <f t="shared" si="55"/>
        <v>0</v>
      </c>
      <c r="Q519" s="228">
        <f t="shared" si="59"/>
        <v>0</v>
      </c>
      <c r="R519" s="343">
        <f t="shared" si="60"/>
        <v>-6</v>
      </c>
      <c r="S519" s="240"/>
      <c r="T519" s="201"/>
      <c r="U519" s="201"/>
      <c r="V519" s="201"/>
    </row>
    <row r="520" spans="1:22" ht="15.75" x14ac:dyDescent="0.25">
      <c r="A520" s="234" t="s">
        <v>789</v>
      </c>
      <c r="B520" s="235" t="s">
        <v>483</v>
      </c>
      <c r="C520" s="234" t="s">
        <v>248</v>
      </c>
      <c r="D520" s="312">
        <v>3</v>
      </c>
      <c r="E520" s="312"/>
      <c r="F520" s="248"/>
      <c r="G520" s="312"/>
      <c r="H520" s="312"/>
      <c r="I520" s="312"/>
      <c r="J520" s="248">
        <f t="shared" si="56"/>
        <v>0</v>
      </c>
      <c r="K520" s="330">
        <f t="shared" si="57"/>
        <v>-3</v>
      </c>
      <c r="L520" s="313"/>
      <c r="M520" s="228">
        <f t="shared" si="58"/>
        <v>0</v>
      </c>
      <c r="N520" s="228">
        <f t="shared" si="54"/>
        <v>0</v>
      </c>
      <c r="O520" s="228">
        <f t="shared" si="55"/>
        <v>0</v>
      </c>
      <c r="P520" s="228">
        <f t="shared" si="55"/>
        <v>0</v>
      </c>
      <c r="Q520" s="228">
        <f t="shared" si="59"/>
        <v>0</v>
      </c>
      <c r="R520" s="343">
        <f t="shared" si="60"/>
        <v>-3</v>
      </c>
      <c r="S520" s="240"/>
      <c r="T520" s="201"/>
      <c r="U520" s="201"/>
      <c r="V520" s="201"/>
    </row>
    <row r="521" spans="1:22" ht="15.75" x14ac:dyDescent="0.25">
      <c r="A521" s="234" t="s">
        <v>790</v>
      </c>
      <c r="B521" s="235" t="s">
        <v>489</v>
      </c>
      <c r="C521" s="234" t="s">
        <v>9</v>
      </c>
      <c r="D521" s="312">
        <v>1</v>
      </c>
      <c r="E521" s="312"/>
      <c r="F521" s="248"/>
      <c r="G521" s="312"/>
      <c r="H521" s="312"/>
      <c r="I521" s="312"/>
      <c r="J521" s="248">
        <f t="shared" si="56"/>
        <v>0</v>
      </c>
      <c r="K521" s="330">
        <f t="shared" si="57"/>
        <v>-1</v>
      </c>
      <c r="L521" s="313"/>
      <c r="M521" s="228">
        <f t="shared" si="58"/>
        <v>0</v>
      </c>
      <c r="N521" s="228">
        <f t="shared" ref="N521:N584" si="61">G521</f>
        <v>0</v>
      </c>
      <c r="O521" s="228">
        <f t="shared" ref="O521:P584" si="62">H521</f>
        <v>0</v>
      </c>
      <c r="P521" s="228">
        <f t="shared" si="62"/>
        <v>0</v>
      </c>
      <c r="Q521" s="228">
        <f t="shared" si="59"/>
        <v>0</v>
      </c>
      <c r="R521" s="343">
        <f t="shared" si="60"/>
        <v>-1</v>
      </c>
      <c r="S521" s="240"/>
      <c r="T521" s="201"/>
      <c r="U521" s="201"/>
      <c r="V521" s="201"/>
    </row>
    <row r="522" spans="1:22" ht="15.75" x14ac:dyDescent="0.25">
      <c r="A522" s="234" t="s">
        <v>791</v>
      </c>
      <c r="B522" s="235" t="s">
        <v>491</v>
      </c>
      <c r="C522" s="234" t="s">
        <v>9</v>
      </c>
      <c r="D522" s="312">
        <v>1</v>
      </c>
      <c r="E522" s="312"/>
      <c r="F522" s="248"/>
      <c r="G522" s="312"/>
      <c r="H522" s="312"/>
      <c r="I522" s="312"/>
      <c r="J522" s="248">
        <f t="shared" si="56"/>
        <v>0</v>
      </c>
      <c r="K522" s="330">
        <f t="shared" si="57"/>
        <v>-1</v>
      </c>
      <c r="L522" s="313"/>
      <c r="M522" s="228">
        <f t="shared" si="58"/>
        <v>0</v>
      </c>
      <c r="N522" s="228">
        <f t="shared" si="61"/>
        <v>0</v>
      </c>
      <c r="O522" s="228">
        <f t="shared" si="62"/>
        <v>0</v>
      </c>
      <c r="P522" s="228">
        <f t="shared" si="62"/>
        <v>0</v>
      </c>
      <c r="Q522" s="228">
        <f t="shared" si="59"/>
        <v>0</v>
      </c>
      <c r="R522" s="343">
        <f t="shared" si="60"/>
        <v>-1</v>
      </c>
      <c r="S522" s="240"/>
      <c r="T522" s="201"/>
      <c r="U522" s="201"/>
      <c r="V522" s="201"/>
    </row>
    <row r="523" spans="1:22" ht="15.75" x14ac:dyDescent="0.25">
      <c r="A523" s="234" t="s">
        <v>792</v>
      </c>
      <c r="B523" s="235" t="s">
        <v>793</v>
      </c>
      <c r="C523" s="234" t="s">
        <v>9</v>
      </c>
      <c r="D523" s="312">
        <v>2</v>
      </c>
      <c r="E523" s="312"/>
      <c r="F523" s="248"/>
      <c r="G523" s="312"/>
      <c r="H523" s="312"/>
      <c r="I523" s="312"/>
      <c r="J523" s="248">
        <f t="shared" si="56"/>
        <v>0</v>
      </c>
      <c r="K523" s="330">
        <f t="shared" si="57"/>
        <v>-2</v>
      </c>
      <c r="L523" s="313"/>
      <c r="M523" s="228">
        <f t="shared" si="58"/>
        <v>0</v>
      </c>
      <c r="N523" s="228">
        <f t="shared" si="61"/>
        <v>0</v>
      </c>
      <c r="O523" s="228">
        <f t="shared" si="62"/>
        <v>0</v>
      </c>
      <c r="P523" s="228">
        <f t="shared" si="62"/>
        <v>0</v>
      </c>
      <c r="Q523" s="228">
        <f t="shared" si="59"/>
        <v>0</v>
      </c>
      <c r="R523" s="343">
        <f t="shared" si="60"/>
        <v>-2</v>
      </c>
      <c r="S523" s="240"/>
      <c r="T523" s="201"/>
      <c r="U523" s="201"/>
      <c r="V523" s="201"/>
    </row>
    <row r="524" spans="1:22" ht="15.75" x14ac:dyDescent="0.25">
      <c r="A524" s="234" t="s">
        <v>794</v>
      </c>
      <c r="B524" s="235" t="s">
        <v>795</v>
      </c>
      <c r="C524" s="234" t="s">
        <v>9</v>
      </c>
      <c r="D524" s="312">
        <v>2</v>
      </c>
      <c r="E524" s="312"/>
      <c r="F524" s="248"/>
      <c r="G524" s="312"/>
      <c r="H524" s="312"/>
      <c r="I524" s="312"/>
      <c r="J524" s="248">
        <f t="shared" si="56"/>
        <v>0</v>
      </c>
      <c r="K524" s="330">
        <f t="shared" si="57"/>
        <v>-2</v>
      </c>
      <c r="L524" s="313"/>
      <c r="M524" s="228">
        <f t="shared" si="58"/>
        <v>0</v>
      </c>
      <c r="N524" s="228">
        <f t="shared" si="61"/>
        <v>0</v>
      </c>
      <c r="O524" s="228">
        <f t="shared" si="62"/>
        <v>0</v>
      </c>
      <c r="P524" s="228">
        <f t="shared" si="62"/>
        <v>0</v>
      </c>
      <c r="Q524" s="228">
        <f t="shared" si="59"/>
        <v>0</v>
      </c>
      <c r="R524" s="343">
        <f t="shared" si="60"/>
        <v>-2</v>
      </c>
      <c r="S524" s="240"/>
      <c r="T524" s="201"/>
      <c r="U524" s="201"/>
      <c r="V524" s="201"/>
    </row>
    <row r="525" spans="1:22" ht="15.75" x14ac:dyDescent="0.25">
      <c r="A525" s="234" t="s">
        <v>796</v>
      </c>
      <c r="B525" s="235" t="s">
        <v>781</v>
      </c>
      <c r="C525" s="234" t="s">
        <v>9</v>
      </c>
      <c r="D525" s="312">
        <v>1</v>
      </c>
      <c r="E525" s="312"/>
      <c r="F525" s="248"/>
      <c r="G525" s="312"/>
      <c r="H525" s="312"/>
      <c r="I525" s="312"/>
      <c r="J525" s="248">
        <f t="shared" si="56"/>
        <v>0</v>
      </c>
      <c r="K525" s="330">
        <f t="shared" si="57"/>
        <v>-1</v>
      </c>
      <c r="L525" s="313"/>
      <c r="M525" s="228">
        <f t="shared" si="58"/>
        <v>0</v>
      </c>
      <c r="N525" s="228">
        <f t="shared" si="61"/>
        <v>0</v>
      </c>
      <c r="O525" s="228">
        <f t="shared" si="62"/>
        <v>0</v>
      </c>
      <c r="P525" s="228">
        <f t="shared" si="62"/>
        <v>0</v>
      </c>
      <c r="Q525" s="228">
        <f t="shared" si="59"/>
        <v>0</v>
      </c>
      <c r="R525" s="343">
        <f t="shared" si="60"/>
        <v>-1</v>
      </c>
      <c r="S525" s="240"/>
      <c r="T525" s="201"/>
      <c r="U525" s="201"/>
      <c r="V525" s="201"/>
    </row>
    <row r="526" spans="1:22" ht="15.75" x14ac:dyDescent="0.25">
      <c r="A526" s="234" t="s">
        <v>797</v>
      </c>
      <c r="B526" s="235" t="s">
        <v>495</v>
      </c>
      <c r="C526" s="234" t="s">
        <v>248</v>
      </c>
      <c r="D526" s="312">
        <v>1</v>
      </c>
      <c r="E526" s="312"/>
      <c r="F526" s="248"/>
      <c r="G526" s="312"/>
      <c r="H526" s="312"/>
      <c r="I526" s="312"/>
      <c r="J526" s="248">
        <f t="shared" si="56"/>
        <v>0</v>
      </c>
      <c r="K526" s="330">
        <f t="shared" si="57"/>
        <v>-1</v>
      </c>
      <c r="L526" s="313"/>
      <c r="M526" s="228">
        <f t="shared" si="58"/>
        <v>0</v>
      </c>
      <c r="N526" s="228">
        <f t="shared" si="61"/>
        <v>0</v>
      </c>
      <c r="O526" s="228">
        <f t="shared" si="62"/>
        <v>0</v>
      </c>
      <c r="P526" s="228">
        <f t="shared" si="62"/>
        <v>0</v>
      </c>
      <c r="Q526" s="228">
        <f t="shared" si="59"/>
        <v>0</v>
      </c>
      <c r="R526" s="343">
        <f t="shared" si="60"/>
        <v>-1</v>
      </c>
      <c r="S526" s="240"/>
      <c r="T526" s="201"/>
      <c r="U526" s="201"/>
      <c r="V526" s="201"/>
    </row>
    <row r="527" spans="1:22" ht="30" x14ac:dyDescent="0.25">
      <c r="A527" s="234" t="s">
        <v>798</v>
      </c>
      <c r="B527" s="235" t="s">
        <v>784</v>
      </c>
      <c r="C527" s="234" t="s">
        <v>499</v>
      </c>
      <c r="D527" s="312">
        <v>1</v>
      </c>
      <c r="E527" s="312"/>
      <c r="F527" s="248"/>
      <c r="G527" s="312"/>
      <c r="H527" s="312"/>
      <c r="I527" s="312"/>
      <c r="J527" s="248">
        <f t="shared" si="56"/>
        <v>0</v>
      </c>
      <c r="K527" s="330">
        <f t="shared" si="57"/>
        <v>-1</v>
      </c>
      <c r="L527" s="313"/>
      <c r="M527" s="228">
        <f t="shared" si="58"/>
        <v>0</v>
      </c>
      <c r="N527" s="228">
        <f t="shared" si="61"/>
        <v>0</v>
      </c>
      <c r="O527" s="228">
        <f t="shared" si="62"/>
        <v>0</v>
      </c>
      <c r="P527" s="228">
        <f t="shared" si="62"/>
        <v>0</v>
      </c>
      <c r="Q527" s="228">
        <f t="shared" si="59"/>
        <v>0</v>
      </c>
      <c r="R527" s="343">
        <f t="shared" si="60"/>
        <v>-1</v>
      </c>
      <c r="S527" s="240"/>
      <c r="T527" s="201"/>
      <c r="U527" s="201"/>
      <c r="V527" s="201"/>
    </row>
    <row r="528" spans="1:22" ht="15.75" x14ac:dyDescent="0.25">
      <c r="A528" s="230" t="s">
        <v>799</v>
      </c>
      <c r="B528" s="231" t="s">
        <v>800</v>
      </c>
      <c r="C528" s="230"/>
      <c r="D528" s="316"/>
      <c r="E528" s="316"/>
      <c r="F528" s="317"/>
      <c r="G528" s="316"/>
      <c r="H528" s="316"/>
      <c r="I528" s="316"/>
      <c r="J528" s="248">
        <f t="shared" si="56"/>
        <v>0</v>
      </c>
      <c r="K528" s="330">
        <f t="shared" si="57"/>
        <v>0</v>
      </c>
      <c r="L528" s="318"/>
      <c r="M528" s="228">
        <f t="shared" si="58"/>
        <v>0</v>
      </c>
      <c r="N528" s="228">
        <f t="shared" si="61"/>
        <v>0</v>
      </c>
      <c r="O528" s="228">
        <f t="shared" si="62"/>
        <v>0</v>
      </c>
      <c r="P528" s="228">
        <f t="shared" si="62"/>
        <v>0</v>
      </c>
      <c r="Q528" s="228">
        <f t="shared" si="59"/>
        <v>0</v>
      </c>
      <c r="R528" s="343">
        <f t="shared" si="60"/>
        <v>0</v>
      </c>
      <c r="S528" s="240"/>
      <c r="T528" s="201"/>
      <c r="U528" s="201"/>
      <c r="V528" s="201"/>
    </row>
    <row r="529" spans="1:22" ht="15.75" x14ac:dyDescent="0.25">
      <c r="A529" s="234" t="s">
        <v>801</v>
      </c>
      <c r="B529" s="235" t="s">
        <v>802</v>
      </c>
      <c r="C529" s="234" t="s">
        <v>9</v>
      </c>
      <c r="D529" s="312">
        <v>1</v>
      </c>
      <c r="E529" s="312"/>
      <c r="F529" s="248"/>
      <c r="G529" s="312"/>
      <c r="H529" s="312"/>
      <c r="I529" s="312"/>
      <c r="J529" s="248">
        <f t="shared" si="56"/>
        <v>0</v>
      </c>
      <c r="K529" s="330">
        <f t="shared" si="57"/>
        <v>-1</v>
      </c>
      <c r="L529" s="313"/>
      <c r="M529" s="228">
        <f t="shared" si="58"/>
        <v>0</v>
      </c>
      <c r="N529" s="228">
        <f t="shared" si="61"/>
        <v>0</v>
      </c>
      <c r="O529" s="228">
        <f t="shared" si="62"/>
        <v>0</v>
      </c>
      <c r="P529" s="228">
        <f t="shared" si="62"/>
        <v>0</v>
      </c>
      <c r="Q529" s="228">
        <f t="shared" si="59"/>
        <v>0</v>
      </c>
      <c r="R529" s="343">
        <f t="shared" si="60"/>
        <v>-1</v>
      </c>
      <c r="S529" s="240"/>
      <c r="T529" s="201"/>
      <c r="U529" s="201"/>
      <c r="V529" s="201"/>
    </row>
    <row r="530" spans="1:22" ht="15.75" x14ac:dyDescent="0.25">
      <c r="A530" s="234" t="s">
        <v>803</v>
      </c>
      <c r="B530" s="235" t="s">
        <v>804</v>
      </c>
      <c r="C530" s="234" t="s">
        <v>9</v>
      </c>
      <c r="D530" s="312">
        <v>1</v>
      </c>
      <c r="E530" s="312"/>
      <c r="F530" s="248"/>
      <c r="G530" s="312"/>
      <c r="H530" s="312"/>
      <c r="I530" s="312"/>
      <c r="J530" s="248">
        <f t="shared" si="56"/>
        <v>0</v>
      </c>
      <c r="K530" s="330">
        <f t="shared" si="57"/>
        <v>-1</v>
      </c>
      <c r="L530" s="313"/>
      <c r="M530" s="228">
        <f t="shared" si="58"/>
        <v>0</v>
      </c>
      <c r="N530" s="228">
        <f t="shared" si="61"/>
        <v>0</v>
      </c>
      <c r="O530" s="228">
        <f t="shared" si="62"/>
        <v>0</v>
      </c>
      <c r="P530" s="228">
        <f t="shared" si="62"/>
        <v>0</v>
      </c>
      <c r="Q530" s="228">
        <f t="shared" si="59"/>
        <v>0</v>
      </c>
      <c r="R530" s="343">
        <f t="shared" si="60"/>
        <v>-1</v>
      </c>
      <c r="S530" s="240"/>
      <c r="T530" s="201"/>
      <c r="U530" s="201"/>
      <c r="V530" s="201"/>
    </row>
    <row r="531" spans="1:22" ht="15.75" x14ac:dyDescent="0.25">
      <c r="A531" s="234" t="s">
        <v>805</v>
      </c>
      <c r="B531" s="235" t="s">
        <v>611</v>
      </c>
      <c r="C531" s="234" t="s">
        <v>9</v>
      </c>
      <c r="D531" s="312">
        <v>2</v>
      </c>
      <c r="E531" s="312"/>
      <c r="F531" s="248"/>
      <c r="G531" s="312"/>
      <c r="H531" s="312"/>
      <c r="I531" s="312"/>
      <c r="J531" s="248">
        <f t="shared" si="56"/>
        <v>0</v>
      </c>
      <c r="K531" s="330">
        <f t="shared" si="57"/>
        <v>-2</v>
      </c>
      <c r="L531" s="313"/>
      <c r="M531" s="228">
        <f t="shared" si="58"/>
        <v>0</v>
      </c>
      <c r="N531" s="228">
        <f t="shared" si="61"/>
        <v>0</v>
      </c>
      <c r="O531" s="228">
        <f t="shared" si="62"/>
        <v>0</v>
      </c>
      <c r="P531" s="228">
        <f t="shared" si="62"/>
        <v>0</v>
      </c>
      <c r="Q531" s="228">
        <f t="shared" si="59"/>
        <v>0</v>
      </c>
      <c r="R531" s="343">
        <f t="shared" si="60"/>
        <v>-2</v>
      </c>
      <c r="S531" s="240"/>
      <c r="T531" s="201"/>
      <c r="U531" s="201"/>
      <c r="V531" s="201"/>
    </row>
    <row r="532" spans="1:22" ht="15.75" x14ac:dyDescent="0.25">
      <c r="A532" s="234" t="s">
        <v>806</v>
      </c>
      <c r="B532" s="235" t="s">
        <v>593</v>
      </c>
      <c r="C532" s="234" t="s">
        <v>9</v>
      </c>
      <c r="D532" s="312">
        <v>1</v>
      </c>
      <c r="E532" s="312"/>
      <c r="F532" s="248"/>
      <c r="G532" s="312"/>
      <c r="H532" s="312"/>
      <c r="I532" s="312"/>
      <c r="J532" s="248">
        <f t="shared" si="56"/>
        <v>0</v>
      </c>
      <c r="K532" s="330">
        <f t="shared" si="57"/>
        <v>-1</v>
      </c>
      <c r="L532" s="313"/>
      <c r="M532" s="228">
        <f t="shared" si="58"/>
        <v>0</v>
      </c>
      <c r="N532" s="228">
        <f t="shared" si="61"/>
        <v>0</v>
      </c>
      <c r="O532" s="228">
        <f t="shared" si="62"/>
        <v>0</v>
      </c>
      <c r="P532" s="228">
        <f t="shared" si="62"/>
        <v>0</v>
      </c>
      <c r="Q532" s="228">
        <f t="shared" si="59"/>
        <v>0</v>
      </c>
      <c r="R532" s="343">
        <f t="shared" si="60"/>
        <v>-1</v>
      </c>
      <c r="S532" s="240"/>
      <c r="T532" s="201"/>
      <c r="U532" s="201"/>
      <c r="V532" s="201"/>
    </row>
    <row r="533" spans="1:22" ht="15.75" x14ac:dyDescent="0.25">
      <c r="A533" s="234" t="s">
        <v>807</v>
      </c>
      <c r="B533" s="235" t="s">
        <v>808</v>
      </c>
      <c r="C533" s="234" t="s">
        <v>499</v>
      </c>
      <c r="D533" s="312">
        <v>1</v>
      </c>
      <c r="E533" s="312"/>
      <c r="F533" s="248"/>
      <c r="G533" s="312"/>
      <c r="H533" s="312"/>
      <c r="I533" s="312"/>
      <c r="J533" s="248">
        <f t="shared" si="56"/>
        <v>0</v>
      </c>
      <c r="K533" s="330">
        <f t="shared" si="57"/>
        <v>-1</v>
      </c>
      <c r="L533" s="313"/>
      <c r="M533" s="228">
        <f t="shared" si="58"/>
        <v>0</v>
      </c>
      <c r="N533" s="228">
        <f t="shared" si="61"/>
        <v>0</v>
      </c>
      <c r="O533" s="228">
        <f t="shared" si="62"/>
        <v>0</v>
      </c>
      <c r="P533" s="228">
        <f t="shared" si="62"/>
        <v>0</v>
      </c>
      <c r="Q533" s="228">
        <f t="shared" si="59"/>
        <v>0</v>
      </c>
      <c r="R533" s="343">
        <f t="shared" si="60"/>
        <v>-1</v>
      </c>
      <c r="S533" s="240"/>
      <c r="T533" s="201"/>
      <c r="U533" s="201"/>
      <c r="V533" s="201"/>
    </row>
    <row r="534" spans="1:22" ht="15.75" x14ac:dyDescent="0.25">
      <c r="A534" s="230" t="s">
        <v>809</v>
      </c>
      <c r="B534" s="231" t="s">
        <v>810</v>
      </c>
      <c r="C534" s="230"/>
      <c r="D534" s="316"/>
      <c r="E534" s="316"/>
      <c r="F534" s="317"/>
      <c r="G534" s="316"/>
      <c r="H534" s="316"/>
      <c r="I534" s="316"/>
      <c r="J534" s="248">
        <f t="shared" si="56"/>
        <v>0</v>
      </c>
      <c r="K534" s="330">
        <f t="shared" si="57"/>
        <v>0</v>
      </c>
      <c r="L534" s="318"/>
      <c r="M534" s="228">
        <f t="shared" si="58"/>
        <v>0</v>
      </c>
      <c r="N534" s="228">
        <f t="shared" si="61"/>
        <v>0</v>
      </c>
      <c r="O534" s="228">
        <f t="shared" si="62"/>
        <v>0</v>
      </c>
      <c r="P534" s="228">
        <f t="shared" si="62"/>
        <v>0</v>
      </c>
      <c r="Q534" s="228">
        <f t="shared" si="59"/>
        <v>0</v>
      </c>
      <c r="R534" s="343">
        <f t="shared" si="60"/>
        <v>0</v>
      </c>
      <c r="S534" s="240"/>
      <c r="T534" s="201"/>
      <c r="U534" s="201"/>
      <c r="V534" s="201"/>
    </row>
    <row r="535" spans="1:22" ht="15.75" x14ac:dyDescent="0.25">
      <c r="A535" s="234" t="s">
        <v>811</v>
      </c>
      <c r="B535" s="235" t="s">
        <v>812</v>
      </c>
      <c r="C535" s="234" t="s">
        <v>9</v>
      </c>
      <c r="D535" s="312">
        <v>1</v>
      </c>
      <c r="E535" s="312"/>
      <c r="F535" s="248"/>
      <c r="G535" s="312"/>
      <c r="H535" s="312"/>
      <c r="I535" s="312"/>
      <c r="J535" s="248">
        <f t="shared" si="56"/>
        <v>0</v>
      </c>
      <c r="K535" s="330">
        <f t="shared" si="57"/>
        <v>-1</v>
      </c>
      <c r="L535" s="313"/>
      <c r="M535" s="228">
        <f t="shared" si="58"/>
        <v>0</v>
      </c>
      <c r="N535" s="228">
        <f t="shared" si="61"/>
        <v>0</v>
      </c>
      <c r="O535" s="228">
        <f t="shared" si="62"/>
        <v>0</v>
      </c>
      <c r="P535" s="228">
        <f t="shared" si="62"/>
        <v>0</v>
      </c>
      <c r="Q535" s="228">
        <f t="shared" si="59"/>
        <v>0</v>
      </c>
      <c r="R535" s="343">
        <f t="shared" si="60"/>
        <v>-1</v>
      </c>
      <c r="S535" s="240"/>
      <c r="T535" s="201"/>
      <c r="U535" s="201"/>
      <c r="V535" s="201"/>
    </row>
    <row r="536" spans="1:22" ht="15.75" x14ac:dyDescent="0.25">
      <c r="A536" s="234" t="s">
        <v>813</v>
      </c>
      <c r="B536" s="235" t="s">
        <v>804</v>
      </c>
      <c r="C536" s="234" t="s">
        <v>9</v>
      </c>
      <c r="D536" s="312">
        <v>1</v>
      </c>
      <c r="E536" s="312"/>
      <c r="F536" s="248"/>
      <c r="G536" s="312"/>
      <c r="H536" s="312"/>
      <c r="I536" s="312"/>
      <c r="J536" s="248">
        <f t="shared" si="56"/>
        <v>0</v>
      </c>
      <c r="K536" s="330">
        <f t="shared" si="57"/>
        <v>-1</v>
      </c>
      <c r="L536" s="313"/>
      <c r="M536" s="228">
        <f t="shared" si="58"/>
        <v>0</v>
      </c>
      <c r="N536" s="228">
        <f t="shared" si="61"/>
        <v>0</v>
      </c>
      <c r="O536" s="228">
        <f t="shared" si="62"/>
        <v>0</v>
      </c>
      <c r="P536" s="228">
        <f t="shared" si="62"/>
        <v>0</v>
      </c>
      <c r="Q536" s="228">
        <f t="shared" si="59"/>
        <v>0</v>
      </c>
      <c r="R536" s="343">
        <f t="shared" si="60"/>
        <v>-1</v>
      </c>
      <c r="S536" s="240"/>
      <c r="T536" s="201"/>
      <c r="U536" s="201"/>
      <c r="V536" s="201"/>
    </row>
    <row r="537" spans="1:22" ht="15.75" x14ac:dyDescent="0.25">
      <c r="A537" s="234" t="s">
        <v>814</v>
      </c>
      <c r="B537" s="235" t="s">
        <v>593</v>
      </c>
      <c r="C537" s="234" t="s">
        <v>9</v>
      </c>
      <c r="D537" s="312">
        <v>2</v>
      </c>
      <c r="E537" s="312"/>
      <c r="F537" s="248"/>
      <c r="G537" s="312"/>
      <c r="H537" s="312"/>
      <c r="I537" s="312"/>
      <c r="J537" s="248">
        <f t="shared" si="56"/>
        <v>0</v>
      </c>
      <c r="K537" s="330">
        <f t="shared" si="57"/>
        <v>-2</v>
      </c>
      <c r="L537" s="313"/>
      <c r="M537" s="228">
        <f t="shared" si="58"/>
        <v>0</v>
      </c>
      <c r="N537" s="228">
        <f t="shared" si="61"/>
        <v>0</v>
      </c>
      <c r="O537" s="228">
        <f t="shared" si="62"/>
        <v>0</v>
      </c>
      <c r="P537" s="228">
        <f t="shared" si="62"/>
        <v>0</v>
      </c>
      <c r="Q537" s="228">
        <f t="shared" si="59"/>
        <v>0</v>
      </c>
      <c r="R537" s="343">
        <f t="shared" si="60"/>
        <v>-2</v>
      </c>
      <c r="S537" s="240"/>
      <c r="T537" s="201"/>
      <c r="U537" s="201"/>
      <c r="V537" s="201"/>
    </row>
    <row r="538" spans="1:22" ht="15.75" x14ac:dyDescent="0.25">
      <c r="A538" s="234" t="s">
        <v>815</v>
      </c>
      <c r="B538" s="235" t="s">
        <v>816</v>
      </c>
      <c r="C538" s="234" t="s">
        <v>499</v>
      </c>
      <c r="D538" s="312">
        <v>1</v>
      </c>
      <c r="E538" s="312"/>
      <c r="F538" s="248"/>
      <c r="G538" s="312"/>
      <c r="H538" s="312"/>
      <c r="I538" s="312"/>
      <c r="J538" s="248">
        <f t="shared" si="56"/>
        <v>0</v>
      </c>
      <c r="K538" s="330">
        <f t="shared" si="57"/>
        <v>-1</v>
      </c>
      <c r="L538" s="313"/>
      <c r="M538" s="228">
        <f t="shared" si="58"/>
        <v>0</v>
      </c>
      <c r="N538" s="228">
        <f t="shared" si="61"/>
        <v>0</v>
      </c>
      <c r="O538" s="228">
        <f t="shared" si="62"/>
        <v>0</v>
      </c>
      <c r="P538" s="228">
        <f t="shared" si="62"/>
        <v>0</v>
      </c>
      <c r="Q538" s="228">
        <f t="shared" si="59"/>
        <v>0</v>
      </c>
      <c r="R538" s="343">
        <f t="shared" si="60"/>
        <v>-1</v>
      </c>
      <c r="S538" s="240"/>
      <c r="T538" s="201"/>
      <c r="U538" s="201"/>
      <c r="V538" s="201"/>
    </row>
    <row r="539" spans="1:22" ht="15.75" x14ac:dyDescent="0.25">
      <c r="A539" s="230" t="s">
        <v>817</v>
      </c>
      <c r="B539" s="231" t="s">
        <v>818</v>
      </c>
      <c r="C539" s="230"/>
      <c r="D539" s="316"/>
      <c r="E539" s="316"/>
      <c r="F539" s="317"/>
      <c r="G539" s="316"/>
      <c r="H539" s="316"/>
      <c r="I539" s="316"/>
      <c r="J539" s="248">
        <f t="shared" si="56"/>
        <v>0</v>
      </c>
      <c r="K539" s="330">
        <f t="shared" si="57"/>
        <v>0</v>
      </c>
      <c r="L539" s="318"/>
      <c r="M539" s="228">
        <f t="shared" si="58"/>
        <v>0</v>
      </c>
      <c r="N539" s="228">
        <f t="shared" si="61"/>
        <v>0</v>
      </c>
      <c r="O539" s="228">
        <f t="shared" si="62"/>
        <v>0</v>
      </c>
      <c r="P539" s="228">
        <f t="shared" si="62"/>
        <v>0</v>
      </c>
      <c r="Q539" s="228">
        <f t="shared" si="59"/>
        <v>0</v>
      </c>
      <c r="R539" s="343">
        <f t="shared" si="60"/>
        <v>0</v>
      </c>
      <c r="S539" s="240"/>
      <c r="T539" s="201"/>
      <c r="U539" s="201"/>
      <c r="V539" s="201"/>
    </row>
    <row r="540" spans="1:22" ht="15.75" x14ac:dyDescent="0.25">
      <c r="A540" s="234" t="s">
        <v>819</v>
      </c>
      <c r="B540" s="235" t="s">
        <v>812</v>
      </c>
      <c r="C540" s="234" t="s">
        <v>9</v>
      </c>
      <c r="D540" s="312">
        <v>1</v>
      </c>
      <c r="E540" s="312"/>
      <c r="F540" s="248"/>
      <c r="G540" s="312"/>
      <c r="H540" s="312"/>
      <c r="I540" s="312"/>
      <c r="J540" s="248">
        <f t="shared" si="56"/>
        <v>0</v>
      </c>
      <c r="K540" s="330">
        <f t="shared" si="57"/>
        <v>-1</v>
      </c>
      <c r="L540" s="313"/>
      <c r="M540" s="228">
        <f t="shared" si="58"/>
        <v>0</v>
      </c>
      <c r="N540" s="228">
        <f t="shared" si="61"/>
        <v>0</v>
      </c>
      <c r="O540" s="228">
        <f t="shared" si="62"/>
        <v>0</v>
      </c>
      <c r="P540" s="228">
        <f t="shared" si="62"/>
        <v>0</v>
      </c>
      <c r="Q540" s="228">
        <f t="shared" si="59"/>
        <v>0</v>
      </c>
      <c r="R540" s="343">
        <f t="shared" si="60"/>
        <v>-1</v>
      </c>
      <c r="S540" s="240"/>
      <c r="T540" s="201"/>
      <c r="U540" s="201"/>
      <c r="V540" s="201"/>
    </row>
    <row r="541" spans="1:22" ht="15.75" x14ac:dyDescent="0.25">
      <c r="A541" s="234" t="s">
        <v>820</v>
      </c>
      <c r="B541" s="235" t="s">
        <v>804</v>
      </c>
      <c r="C541" s="234" t="s">
        <v>9</v>
      </c>
      <c r="D541" s="312">
        <v>1</v>
      </c>
      <c r="E541" s="312"/>
      <c r="F541" s="248"/>
      <c r="G541" s="312"/>
      <c r="H541" s="312"/>
      <c r="I541" s="312"/>
      <c r="J541" s="248">
        <f t="shared" si="56"/>
        <v>0</v>
      </c>
      <c r="K541" s="330">
        <f t="shared" si="57"/>
        <v>-1</v>
      </c>
      <c r="L541" s="313"/>
      <c r="M541" s="228">
        <f t="shared" si="58"/>
        <v>0</v>
      </c>
      <c r="N541" s="228">
        <f t="shared" si="61"/>
        <v>0</v>
      </c>
      <c r="O541" s="228">
        <f t="shared" si="62"/>
        <v>0</v>
      </c>
      <c r="P541" s="228">
        <f t="shared" si="62"/>
        <v>0</v>
      </c>
      <c r="Q541" s="228">
        <f t="shared" si="59"/>
        <v>0</v>
      </c>
      <c r="R541" s="343">
        <f t="shared" si="60"/>
        <v>-1</v>
      </c>
      <c r="S541" s="240"/>
      <c r="T541" s="201"/>
      <c r="U541" s="201"/>
      <c r="V541" s="201"/>
    </row>
    <row r="542" spans="1:22" ht="15.75" x14ac:dyDescent="0.25">
      <c r="A542" s="234" t="s">
        <v>821</v>
      </c>
      <c r="B542" s="235" t="s">
        <v>593</v>
      </c>
      <c r="C542" s="234" t="s">
        <v>9</v>
      </c>
      <c r="D542" s="312">
        <v>2</v>
      </c>
      <c r="E542" s="312"/>
      <c r="F542" s="248"/>
      <c r="G542" s="312"/>
      <c r="H542" s="312"/>
      <c r="I542" s="312"/>
      <c r="J542" s="248">
        <f t="shared" si="56"/>
        <v>0</v>
      </c>
      <c r="K542" s="330">
        <f t="shared" si="57"/>
        <v>-2</v>
      </c>
      <c r="L542" s="313"/>
      <c r="M542" s="228">
        <f t="shared" si="58"/>
        <v>0</v>
      </c>
      <c r="N542" s="228">
        <f t="shared" si="61"/>
        <v>0</v>
      </c>
      <c r="O542" s="228">
        <f t="shared" si="62"/>
        <v>0</v>
      </c>
      <c r="P542" s="228">
        <f t="shared" si="62"/>
        <v>0</v>
      </c>
      <c r="Q542" s="228">
        <f t="shared" si="59"/>
        <v>0</v>
      </c>
      <c r="R542" s="343">
        <f t="shared" si="60"/>
        <v>-2</v>
      </c>
      <c r="S542" s="240"/>
      <c r="T542" s="201"/>
      <c r="U542" s="201"/>
      <c r="V542" s="201"/>
    </row>
    <row r="543" spans="1:22" ht="15.75" x14ac:dyDescent="0.25">
      <c r="A543" s="234" t="s">
        <v>822</v>
      </c>
      <c r="B543" s="235" t="s">
        <v>816</v>
      </c>
      <c r="C543" s="234" t="s">
        <v>499</v>
      </c>
      <c r="D543" s="312">
        <v>1</v>
      </c>
      <c r="E543" s="312"/>
      <c r="F543" s="248"/>
      <c r="G543" s="312"/>
      <c r="H543" s="312"/>
      <c r="I543" s="312"/>
      <c r="J543" s="248">
        <f t="shared" si="56"/>
        <v>0</v>
      </c>
      <c r="K543" s="330">
        <f t="shared" si="57"/>
        <v>-1</v>
      </c>
      <c r="L543" s="313"/>
      <c r="M543" s="228">
        <f t="shared" si="58"/>
        <v>0</v>
      </c>
      <c r="N543" s="228">
        <f t="shared" si="61"/>
        <v>0</v>
      </c>
      <c r="O543" s="228">
        <f t="shared" si="62"/>
        <v>0</v>
      </c>
      <c r="P543" s="228">
        <f t="shared" si="62"/>
        <v>0</v>
      </c>
      <c r="Q543" s="228">
        <f t="shared" si="59"/>
        <v>0</v>
      </c>
      <c r="R543" s="343">
        <f t="shared" si="60"/>
        <v>-1</v>
      </c>
      <c r="S543" s="240"/>
      <c r="T543" s="201"/>
      <c r="U543" s="201"/>
      <c r="V543" s="201"/>
    </row>
    <row r="544" spans="1:22" ht="15.75" x14ac:dyDescent="0.25">
      <c r="A544" s="230" t="s">
        <v>823</v>
      </c>
      <c r="B544" s="231" t="s">
        <v>824</v>
      </c>
      <c r="C544" s="230"/>
      <c r="D544" s="316"/>
      <c r="E544" s="316"/>
      <c r="F544" s="317"/>
      <c r="G544" s="316"/>
      <c r="H544" s="316"/>
      <c r="I544" s="316"/>
      <c r="J544" s="248">
        <f t="shared" si="56"/>
        <v>0</v>
      </c>
      <c r="K544" s="330">
        <f t="shared" si="57"/>
        <v>0</v>
      </c>
      <c r="L544" s="318"/>
      <c r="M544" s="228">
        <f t="shared" si="58"/>
        <v>0</v>
      </c>
      <c r="N544" s="228">
        <f t="shared" si="61"/>
        <v>0</v>
      </c>
      <c r="O544" s="228">
        <f t="shared" si="62"/>
        <v>0</v>
      </c>
      <c r="P544" s="228">
        <f t="shared" si="62"/>
        <v>0</v>
      </c>
      <c r="Q544" s="228">
        <f t="shared" si="59"/>
        <v>0</v>
      </c>
      <c r="R544" s="343">
        <f t="shared" si="60"/>
        <v>0</v>
      </c>
      <c r="S544" s="240"/>
      <c r="T544" s="201"/>
      <c r="U544" s="201"/>
      <c r="V544" s="201"/>
    </row>
    <row r="545" spans="1:22" ht="15.75" x14ac:dyDescent="0.25">
      <c r="A545" s="234" t="s">
        <v>825</v>
      </c>
      <c r="B545" s="235" t="s">
        <v>812</v>
      </c>
      <c r="C545" s="234" t="s">
        <v>9</v>
      </c>
      <c r="D545" s="312">
        <v>1</v>
      </c>
      <c r="E545" s="312"/>
      <c r="F545" s="248"/>
      <c r="G545" s="312"/>
      <c r="H545" s="312"/>
      <c r="I545" s="312"/>
      <c r="J545" s="248">
        <f t="shared" si="56"/>
        <v>0</v>
      </c>
      <c r="K545" s="330">
        <f t="shared" si="57"/>
        <v>-1</v>
      </c>
      <c r="L545" s="313"/>
      <c r="M545" s="228">
        <f t="shared" si="58"/>
        <v>0</v>
      </c>
      <c r="N545" s="228">
        <f t="shared" si="61"/>
        <v>0</v>
      </c>
      <c r="O545" s="228">
        <f t="shared" si="62"/>
        <v>0</v>
      </c>
      <c r="P545" s="228">
        <f t="shared" si="62"/>
        <v>0</v>
      </c>
      <c r="Q545" s="228">
        <f t="shared" si="59"/>
        <v>0</v>
      </c>
      <c r="R545" s="343">
        <f t="shared" si="60"/>
        <v>-1</v>
      </c>
      <c r="S545" s="240"/>
      <c r="T545" s="201"/>
      <c r="U545" s="201"/>
      <c r="V545" s="201"/>
    </row>
    <row r="546" spans="1:22" ht="15.75" x14ac:dyDescent="0.25">
      <c r="A546" s="234" t="s">
        <v>826</v>
      </c>
      <c r="B546" s="235" t="s">
        <v>804</v>
      </c>
      <c r="C546" s="234" t="s">
        <v>9</v>
      </c>
      <c r="D546" s="312">
        <v>1</v>
      </c>
      <c r="E546" s="312"/>
      <c r="F546" s="248"/>
      <c r="G546" s="312"/>
      <c r="H546" s="312"/>
      <c r="I546" s="312"/>
      <c r="J546" s="248">
        <f t="shared" si="56"/>
        <v>0</v>
      </c>
      <c r="K546" s="330">
        <f t="shared" si="57"/>
        <v>-1</v>
      </c>
      <c r="L546" s="313"/>
      <c r="M546" s="228">
        <f t="shared" si="58"/>
        <v>0</v>
      </c>
      <c r="N546" s="228">
        <f t="shared" si="61"/>
        <v>0</v>
      </c>
      <c r="O546" s="228">
        <f t="shared" si="62"/>
        <v>0</v>
      </c>
      <c r="P546" s="228">
        <f t="shared" si="62"/>
        <v>0</v>
      </c>
      <c r="Q546" s="228">
        <f t="shared" si="59"/>
        <v>0</v>
      </c>
      <c r="R546" s="343">
        <f t="shared" si="60"/>
        <v>-1</v>
      </c>
      <c r="S546" s="240"/>
      <c r="T546" s="201"/>
      <c r="U546" s="201"/>
      <c r="V546" s="201"/>
    </row>
    <row r="547" spans="1:22" ht="15.75" x14ac:dyDescent="0.25">
      <c r="A547" s="234" t="s">
        <v>827</v>
      </c>
      <c r="B547" s="235" t="s">
        <v>593</v>
      </c>
      <c r="C547" s="234" t="s">
        <v>9</v>
      </c>
      <c r="D547" s="312">
        <v>2</v>
      </c>
      <c r="E547" s="312"/>
      <c r="F547" s="248"/>
      <c r="G547" s="312"/>
      <c r="H547" s="312"/>
      <c r="I547" s="312"/>
      <c r="J547" s="248">
        <f t="shared" si="56"/>
        <v>0</v>
      </c>
      <c r="K547" s="330">
        <f t="shared" si="57"/>
        <v>-2</v>
      </c>
      <c r="L547" s="313"/>
      <c r="M547" s="228">
        <f t="shared" si="58"/>
        <v>0</v>
      </c>
      <c r="N547" s="228">
        <f t="shared" si="61"/>
        <v>0</v>
      </c>
      <c r="O547" s="228">
        <f t="shared" si="62"/>
        <v>0</v>
      </c>
      <c r="P547" s="228">
        <f t="shared" si="62"/>
        <v>0</v>
      </c>
      <c r="Q547" s="228">
        <f t="shared" si="59"/>
        <v>0</v>
      </c>
      <c r="R547" s="343">
        <f t="shared" si="60"/>
        <v>-2</v>
      </c>
      <c r="S547" s="240"/>
      <c r="T547" s="201"/>
      <c r="U547" s="201"/>
      <c r="V547" s="201"/>
    </row>
    <row r="548" spans="1:22" ht="15.75" x14ac:dyDescent="0.25">
      <c r="A548" s="234" t="s">
        <v>828</v>
      </c>
      <c r="B548" s="235" t="s">
        <v>816</v>
      </c>
      <c r="C548" s="234" t="s">
        <v>499</v>
      </c>
      <c r="D548" s="312">
        <v>1</v>
      </c>
      <c r="E548" s="312"/>
      <c r="F548" s="248"/>
      <c r="G548" s="312"/>
      <c r="H548" s="312"/>
      <c r="I548" s="312"/>
      <c r="J548" s="248">
        <f t="shared" si="56"/>
        <v>0</v>
      </c>
      <c r="K548" s="330">
        <f t="shared" si="57"/>
        <v>-1</v>
      </c>
      <c r="L548" s="313"/>
      <c r="M548" s="228">
        <f t="shared" si="58"/>
        <v>0</v>
      </c>
      <c r="N548" s="228">
        <f t="shared" si="61"/>
        <v>0</v>
      </c>
      <c r="O548" s="228">
        <f t="shared" si="62"/>
        <v>0</v>
      </c>
      <c r="P548" s="228">
        <f t="shared" si="62"/>
        <v>0</v>
      </c>
      <c r="Q548" s="228">
        <f t="shared" si="59"/>
        <v>0</v>
      </c>
      <c r="R548" s="343">
        <f t="shared" si="60"/>
        <v>-1</v>
      </c>
      <c r="S548" s="240"/>
      <c r="T548" s="201"/>
      <c r="U548" s="201"/>
      <c r="V548" s="201"/>
    </row>
    <row r="549" spans="1:22" ht="15.75" x14ac:dyDescent="0.25">
      <c r="A549" s="230" t="s">
        <v>829</v>
      </c>
      <c r="B549" s="231" t="s">
        <v>830</v>
      </c>
      <c r="C549" s="230"/>
      <c r="D549" s="316"/>
      <c r="E549" s="316"/>
      <c r="F549" s="317"/>
      <c r="G549" s="316"/>
      <c r="H549" s="316"/>
      <c r="I549" s="316"/>
      <c r="J549" s="248">
        <f t="shared" si="56"/>
        <v>0</v>
      </c>
      <c r="K549" s="330">
        <f t="shared" si="57"/>
        <v>0</v>
      </c>
      <c r="L549" s="318"/>
      <c r="M549" s="228">
        <f t="shared" si="58"/>
        <v>0</v>
      </c>
      <c r="N549" s="228">
        <f t="shared" si="61"/>
        <v>0</v>
      </c>
      <c r="O549" s="228">
        <f t="shared" si="62"/>
        <v>0</v>
      </c>
      <c r="P549" s="228">
        <f t="shared" si="62"/>
        <v>0</v>
      </c>
      <c r="Q549" s="228">
        <f t="shared" si="59"/>
        <v>0</v>
      </c>
      <c r="R549" s="343">
        <f t="shared" si="60"/>
        <v>0</v>
      </c>
      <c r="S549" s="240"/>
      <c r="T549" s="201"/>
      <c r="U549" s="201"/>
      <c r="V549" s="201"/>
    </row>
    <row r="550" spans="1:22" ht="15.75" x14ac:dyDescent="0.25">
      <c r="A550" s="234" t="s">
        <v>831</v>
      </c>
      <c r="B550" s="235" t="s">
        <v>812</v>
      </c>
      <c r="C550" s="234" t="s">
        <v>9</v>
      </c>
      <c r="D550" s="312">
        <v>1</v>
      </c>
      <c r="E550" s="312"/>
      <c r="F550" s="248"/>
      <c r="G550" s="312"/>
      <c r="H550" s="312"/>
      <c r="I550" s="312"/>
      <c r="J550" s="248">
        <f t="shared" si="56"/>
        <v>0</v>
      </c>
      <c r="K550" s="330">
        <f t="shared" si="57"/>
        <v>-1</v>
      </c>
      <c r="L550" s="313"/>
      <c r="M550" s="228">
        <f t="shared" si="58"/>
        <v>0</v>
      </c>
      <c r="N550" s="228">
        <f t="shared" si="61"/>
        <v>0</v>
      </c>
      <c r="O550" s="228">
        <f t="shared" si="62"/>
        <v>0</v>
      </c>
      <c r="P550" s="228">
        <f t="shared" si="62"/>
        <v>0</v>
      </c>
      <c r="Q550" s="228">
        <f t="shared" si="59"/>
        <v>0</v>
      </c>
      <c r="R550" s="343">
        <f t="shared" si="60"/>
        <v>-1</v>
      </c>
      <c r="S550" s="240"/>
      <c r="T550" s="201"/>
      <c r="U550" s="201"/>
      <c r="V550" s="201"/>
    </row>
    <row r="551" spans="1:22" ht="15.75" x14ac:dyDescent="0.25">
      <c r="A551" s="234" t="s">
        <v>832</v>
      </c>
      <c r="B551" s="235" t="s">
        <v>804</v>
      </c>
      <c r="C551" s="234" t="s">
        <v>9</v>
      </c>
      <c r="D551" s="312">
        <v>1</v>
      </c>
      <c r="E551" s="312"/>
      <c r="F551" s="248"/>
      <c r="G551" s="312"/>
      <c r="H551" s="312"/>
      <c r="I551" s="312"/>
      <c r="J551" s="248">
        <f t="shared" si="56"/>
        <v>0</v>
      </c>
      <c r="K551" s="330">
        <f t="shared" si="57"/>
        <v>-1</v>
      </c>
      <c r="L551" s="313"/>
      <c r="M551" s="228">
        <f t="shared" si="58"/>
        <v>0</v>
      </c>
      <c r="N551" s="228">
        <f t="shared" si="61"/>
        <v>0</v>
      </c>
      <c r="O551" s="228">
        <f t="shared" si="62"/>
        <v>0</v>
      </c>
      <c r="P551" s="228">
        <f t="shared" si="62"/>
        <v>0</v>
      </c>
      <c r="Q551" s="228">
        <f t="shared" si="59"/>
        <v>0</v>
      </c>
      <c r="R551" s="343">
        <f t="shared" si="60"/>
        <v>-1</v>
      </c>
      <c r="S551" s="240"/>
      <c r="T551" s="201"/>
      <c r="U551" s="201"/>
      <c r="V551" s="201"/>
    </row>
    <row r="552" spans="1:22" ht="15.75" x14ac:dyDescent="0.25">
      <c r="A552" s="234" t="s">
        <v>833</v>
      </c>
      <c r="B552" s="235" t="s">
        <v>593</v>
      </c>
      <c r="C552" s="234" t="s">
        <v>9</v>
      </c>
      <c r="D552" s="312">
        <v>2</v>
      </c>
      <c r="E552" s="312"/>
      <c r="F552" s="248"/>
      <c r="G552" s="312"/>
      <c r="H552" s="312"/>
      <c r="I552" s="312"/>
      <c r="J552" s="248">
        <f t="shared" si="56"/>
        <v>0</v>
      </c>
      <c r="K552" s="330">
        <f t="shared" si="57"/>
        <v>-2</v>
      </c>
      <c r="L552" s="313"/>
      <c r="M552" s="228">
        <f t="shared" si="58"/>
        <v>0</v>
      </c>
      <c r="N552" s="228">
        <f t="shared" si="61"/>
        <v>0</v>
      </c>
      <c r="O552" s="228">
        <f t="shared" si="62"/>
        <v>0</v>
      </c>
      <c r="P552" s="228">
        <f t="shared" si="62"/>
        <v>0</v>
      </c>
      <c r="Q552" s="228">
        <f t="shared" si="59"/>
        <v>0</v>
      </c>
      <c r="R552" s="343">
        <f t="shared" si="60"/>
        <v>-2</v>
      </c>
      <c r="S552" s="240"/>
      <c r="T552" s="201"/>
      <c r="U552" s="201"/>
      <c r="V552" s="201"/>
    </row>
    <row r="553" spans="1:22" ht="15.75" x14ac:dyDescent="0.25">
      <c r="A553" s="234" t="s">
        <v>834</v>
      </c>
      <c r="B553" s="235" t="s">
        <v>816</v>
      </c>
      <c r="C553" s="234" t="s">
        <v>499</v>
      </c>
      <c r="D553" s="312">
        <v>1</v>
      </c>
      <c r="E553" s="312"/>
      <c r="F553" s="248"/>
      <c r="G553" s="312"/>
      <c r="H553" s="312"/>
      <c r="I553" s="312"/>
      <c r="J553" s="248">
        <f t="shared" si="56"/>
        <v>0</v>
      </c>
      <c r="K553" s="330">
        <f t="shared" si="57"/>
        <v>-1</v>
      </c>
      <c r="L553" s="313"/>
      <c r="M553" s="228">
        <f t="shared" si="58"/>
        <v>0</v>
      </c>
      <c r="N553" s="228">
        <f t="shared" si="61"/>
        <v>0</v>
      </c>
      <c r="O553" s="228">
        <f t="shared" si="62"/>
        <v>0</v>
      </c>
      <c r="P553" s="228">
        <f t="shared" si="62"/>
        <v>0</v>
      </c>
      <c r="Q553" s="228">
        <f t="shared" si="59"/>
        <v>0</v>
      </c>
      <c r="R553" s="343">
        <f t="shared" si="60"/>
        <v>-1</v>
      </c>
      <c r="S553" s="240"/>
      <c r="T553" s="201"/>
      <c r="U553" s="201"/>
      <c r="V553" s="201"/>
    </row>
    <row r="554" spans="1:22" ht="15.75" x14ac:dyDescent="0.25">
      <c r="A554" s="230" t="s">
        <v>835</v>
      </c>
      <c r="B554" s="231" t="s">
        <v>836</v>
      </c>
      <c r="C554" s="230"/>
      <c r="D554" s="316"/>
      <c r="E554" s="316"/>
      <c r="F554" s="317"/>
      <c r="G554" s="316"/>
      <c r="H554" s="316"/>
      <c r="I554" s="316"/>
      <c r="J554" s="248">
        <f t="shared" si="56"/>
        <v>0</v>
      </c>
      <c r="K554" s="330">
        <f t="shared" si="57"/>
        <v>0</v>
      </c>
      <c r="L554" s="318"/>
      <c r="M554" s="228">
        <f t="shared" si="58"/>
        <v>0</v>
      </c>
      <c r="N554" s="228">
        <f t="shared" si="61"/>
        <v>0</v>
      </c>
      <c r="O554" s="228">
        <f t="shared" si="62"/>
        <v>0</v>
      </c>
      <c r="P554" s="228">
        <f t="shared" si="62"/>
        <v>0</v>
      </c>
      <c r="Q554" s="228">
        <f t="shared" si="59"/>
        <v>0</v>
      </c>
      <c r="R554" s="343">
        <f t="shared" si="60"/>
        <v>0</v>
      </c>
      <c r="S554" s="240"/>
      <c r="T554" s="201"/>
      <c r="U554" s="201"/>
      <c r="V554" s="201"/>
    </row>
    <row r="555" spans="1:22" ht="15.75" x14ac:dyDescent="0.25">
      <c r="A555" s="234" t="s">
        <v>837</v>
      </c>
      <c r="B555" s="235" t="s">
        <v>812</v>
      </c>
      <c r="C555" s="234" t="s">
        <v>9</v>
      </c>
      <c r="D555" s="312">
        <v>1</v>
      </c>
      <c r="E555" s="312"/>
      <c r="F555" s="248"/>
      <c r="G555" s="312"/>
      <c r="H555" s="312"/>
      <c r="I555" s="312"/>
      <c r="J555" s="248">
        <f t="shared" si="56"/>
        <v>0</v>
      </c>
      <c r="K555" s="330">
        <f t="shared" si="57"/>
        <v>-1</v>
      </c>
      <c r="L555" s="313"/>
      <c r="M555" s="228">
        <f t="shared" si="58"/>
        <v>0</v>
      </c>
      <c r="N555" s="228">
        <f t="shared" si="61"/>
        <v>0</v>
      </c>
      <c r="O555" s="228">
        <f t="shared" si="62"/>
        <v>0</v>
      </c>
      <c r="P555" s="228">
        <f t="shared" si="62"/>
        <v>0</v>
      </c>
      <c r="Q555" s="228">
        <f t="shared" si="59"/>
        <v>0</v>
      </c>
      <c r="R555" s="343">
        <f t="shared" si="60"/>
        <v>-1</v>
      </c>
      <c r="S555" s="240"/>
      <c r="T555" s="201"/>
      <c r="U555" s="201"/>
      <c r="V555" s="201"/>
    </row>
    <row r="556" spans="1:22" ht="15.75" x14ac:dyDescent="0.25">
      <c r="A556" s="234" t="s">
        <v>838</v>
      </c>
      <c r="B556" s="235" t="s">
        <v>804</v>
      </c>
      <c r="C556" s="234" t="s">
        <v>9</v>
      </c>
      <c r="D556" s="312">
        <v>1</v>
      </c>
      <c r="E556" s="312"/>
      <c r="F556" s="248"/>
      <c r="G556" s="312"/>
      <c r="H556" s="312"/>
      <c r="I556" s="312"/>
      <c r="J556" s="248">
        <f t="shared" si="56"/>
        <v>0</v>
      </c>
      <c r="K556" s="330">
        <f t="shared" si="57"/>
        <v>-1</v>
      </c>
      <c r="L556" s="313"/>
      <c r="M556" s="228">
        <f t="shared" si="58"/>
        <v>0</v>
      </c>
      <c r="N556" s="228">
        <f t="shared" si="61"/>
        <v>0</v>
      </c>
      <c r="O556" s="228">
        <f t="shared" si="62"/>
        <v>0</v>
      </c>
      <c r="P556" s="228">
        <f t="shared" si="62"/>
        <v>0</v>
      </c>
      <c r="Q556" s="228">
        <f t="shared" si="59"/>
        <v>0</v>
      </c>
      <c r="R556" s="343">
        <f t="shared" si="60"/>
        <v>-1</v>
      </c>
      <c r="S556" s="240"/>
      <c r="T556" s="201"/>
      <c r="U556" s="201"/>
      <c r="V556" s="201"/>
    </row>
    <row r="557" spans="1:22" ht="15.75" x14ac:dyDescent="0.25">
      <c r="A557" s="234" t="s">
        <v>839</v>
      </c>
      <c r="B557" s="235" t="s">
        <v>593</v>
      </c>
      <c r="C557" s="234" t="s">
        <v>9</v>
      </c>
      <c r="D557" s="312">
        <v>2</v>
      </c>
      <c r="E557" s="312"/>
      <c r="F557" s="248"/>
      <c r="G557" s="312"/>
      <c r="H557" s="312"/>
      <c r="I557" s="312"/>
      <c r="J557" s="248">
        <f t="shared" si="56"/>
        <v>0</v>
      </c>
      <c r="K557" s="330">
        <f t="shared" si="57"/>
        <v>-2</v>
      </c>
      <c r="L557" s="313"/>
      <c r="M557" s="228">
        <f t="shared" si="58"/>
        <v>0</v>
      </c>
      <c r="N557" s="228">
        <f t="shared" si="61"/>
        <v>0</v>
      </c>
      <c r="O557" s="228">
        <f t="shared" si="62"/>
        <v>0</v>
      </c>
      <c r="P557" s="228">
        <f t="shared" si="62"/>
        <v>0</v>
      </c>
      <c r="Q557" s="228">
        <f t="shared" si="59"/>
        <v>0</v>
      </c>
      <c r="R557" s="343">
        <f t="shared" si="60"/>
        <v>-2</v>
      </c>
      <c r="S557" s="240"/>
      <c r="T557" s="201"/>
      <c r="U557" s="201"/>
      <c r="V557" s="201"/>
    </row>
    <row r="558" spans="1:22" ht="15.75" x14ac:dyDescent="0.25">
      <c r="A558" s="234" t="s">
        <v>840</v>
      </c>
      <c r="B558" s="235" t="s">
        <v>816</v>
      </c>
      <c r="C558" s="234" t="s">
        <v>499</v>
      </c>
      <c r="D558" s="312">
        <v>1</v>
      </c>
      <c r="E558" s="312"/>
      <c r="F558" s="248"/>
      <c r="G558" s="312"/>
      <c r="H558" s="312"/>
      <c r="I558" s="312"/>
      <c r="J558" s="248">
        <f t="shared" si="56"/>
        <v>0</v>
      </c>
      <c r="K558" s="330">
        <f t="shared" si="57"/>
        <v>-1</v>
      </c>
      <c r="L558" s="313"/>
      <c r="M558" s="228">
        <f t="shared" si="58"/>
        <v>0</v>
      </c>
      <c r="N558" s="228">
        <f t="shared" si="61"/>
        <v>0</v>
      </c>
      <c r="O558" s="228">
        <f t="shared" si="62"/>
        <v>0</v>
      </c>
      <c r="P558" s="228">
        <f t="shared" si="62"/>
        <v>0</v>
      </c>
      <c r="Q558" s="228">
        <f t="shared" si="59"/>
        <v>0</v>
      </c>
      <c r="R558" s="343">
        <f t="shared" si="60"/>
        <v>-1</v>
      </c>
      <c r="S558" s="240"/>
      <c r="T558" s="201"/>
      <c r="U558" s="201"/>
      <c r="V558" s="201"/>
    </row>
    <row r="559" spans="1:22" ht="15.75" x14ac:dyDescent="0.25">
      <c r="A559" s="230" t="s">
        <v>841</v>
      </c>
      <c r="B559" s="231" t="s">
        <v>842</v>
      </c>
      <c r="C559" s="230"/>
      <c r="D559" s="316"/>
      <c r="E559" s="316"/>
      <c r="F559" s="317"/>
      <c r="G559" s="316"/>
      <c r="H559" s="316"/>
      <c r="I559" s="316"/>
      <c r="J559" s="248">
        <f t="shared" si="56"/>
        <v>0</v>
      </c>
      <c r="K559" s="330">
        <f t="shared" si="57"/>
        <v>0</v>
      </c>
      <c r="L559" s="318"/>
      <c r="M559" s="228">
        <f t="shared" si="58"/>
        <v>0</v>
      </c>
      <c r="N559" s="228">
        <f t="shared" si="61"/>
        <v>0</v>
      </c>
      <c r="O559" s="228">
        <f t="shared" si="62"/>
        <v>0</v>
      </c>
      <c r="P559" s="228">
        <f t="shared" si="62"/>
        <v>0</v>
      </c>
      <c r="Q559" s="228">
        <f t="shared" si="59"/>
        <v>0</v>
      </c>
      <c r="R559" s="343">
        <f t="shared" si="60"/>
        <v>0</v>
      </c>
      <c r="S559" s="240"/>
      <c r="T559" s="201"/>
      <c r="U559" s="201"/>
      <c r="V559" s="201"/>
    </row>
    <row r="560" spans="1:22" ht="15.75" x14ac:dyDescent="0.25">
      <c r="A560" s="234" t="s">
        <v>843</v>
      </c>
      <c r="B560" s="235" t="s">
        <v>812</v>
      </c>
      <c r="C560" s="234" t="s">
        <v>9</v>
      </c>
      <c r="D560" s="312">
        <v>1</v>
      </c>
      <c r="E560" s="312"/>
      <c r="F560" s="248"/>
      <c r="G560" s="312"/>
      <c r="H560" s="312"/>
      <c r="I560" s="312"/>
      <c r="J560" s="248">
        <f t="shared" si="56"/>
        <v>0</v>
      </c>
      <c r="K560" s="330">
        <f t="shared" si="57"/>
        <v>-1</v>
      </c>
      <c r="L560" s="313"/>
      <c r="M560" s="228">
        <f t="shared" si="58"/>
        <v>0</v>
      </c>
      <c r="N560" s="228">
        <f t="shared" si="61"/>
        <v>0</v>
      </c>
      <c r="O560" s="228">
        <f t="shared" si="62"/>
        <v>0</v>
      </c>
      <c r="P560" s="228">
        <f t="shared" si="62"/>
        <v>0</v>
      </c>
      <c r="Q560" s="228">
        <f t="shared" si="59"/>
        <v>0</v>
      </c>
      <c r="R560" s="343">
        <f t="shared" si="60"/>
        <v>-1</v>
      </c>
      <c r="S560" s="240"/>
      <c r="T560" s="201"/>
      <c r="U560" s="201"/>
      <c r="V560" s="201"/>
    </row>
    <row r="561" spans="1:22" ht="15.75" x14ac:dyDescent="0.25">
      <c r="A561" s="234" t="s">
        <v>844</v>
      </c>
      <c r="B561" s="235" t="s">
        <v>804</v>
      </c>
      <c r="C561" s="234" t="s">
        <v>9</v>
      </c>
      <c r="D561" s="312">
        <v>1</v>
      </c>
      <c r="E561" s="312"/>
      <c r="F561" s="248"/>
      <c r="G561" s="312"/>
      <c r="H561" s="312"/>
      <c r="I561" s="312"/>
      <c r="J561" s="248">
        <f t="shared" si="56"/>
        <v>0</v>
      </c>
      <c r="K561" s="330">
        <f t="shared" si="57"/>
        <v>-1</v>
      </c>
      <c r="L561" s="313"/>
      <c r="M561" s="228">
        <f t="shared" si="58"/>
        <v>0</v>
      </c>
      <c r="N561" s="228">
        <f t="shared" si="61"/>
        <v>0</v>
      </c>
      <c r="O561" s="228">
        <f t="shared" si="62"/>
        <v>0</v>
      </c>
      <c r="P561" s="228">
        <f t="shared" si="62"/>
        <v>0</v>
      </c>
      <c r="Q561" s="228">
        <f t="shared" si="59"/>
        <v>0</v>
      </c>
      <c r="R561" s="343">
        <f t="shared" si="60"/>
        <v>-1</v>
      </c>
      <c r="S561" s="240"/>
      <c r="T561" s="201"/>
      <c r="U561" s="201"/>
      <c r="V561" s="201"/>
    </row>
    <row r="562" spans="1:22" ht="15.75" x14ac:dyDescent="0.25">
      <c r="A562" s="234" t="s">
        <v>845</v>
      </c>
      <c r="B562" s="235" t="s">
        <v>593</v>
      </c>
      <c r="C562" s="234" t="s">
        <v>9</v>
      </c>
      <c r="D562" s="312">
        <v>2</v>
      </c>
      <c r="E562" s="312"/>
      <c r="F562" s="248"/>
      <c r="G562" s="312"/>
      <c r="H562" s="312"/>
      <c r="I562" s="312"/>
      <c r="J562" s="248">
        <f t="shared" si="56"/>
        <v>0</v>
      </c>
      <c r="K562" s="330">
        <f t="shared" si="57"/>
        <v>-2</v>
      </c>
      <c r="L562" s="313"/>
      <c r="M562" s="228">
        <f t="shared" si="58"/>
        <v>0</v>
      </c>
      <c r="N562" s="228">
        <f t="shared" si="61"/>
        <v>0</v>
      </c>
      <c r="O562" s="228">
        <f t="shared" si="62"/>
        <v>0</v>
      </c>
      <c r="P562" s="228">
        <f t="shared" si="62"/>
        <v>0</v>
      </c>
      <c r="Q562" s="228">
        <f t="shared" si="59"/>
        <v>0</v>
      </c>
      <c r="R562" s="343">
        <f t="shared" si="60"/>
        <v>-2</v>
      </c>
      <c r="S562" s="240"/>
      <c r="T562" s="201"/>
      <c r="U562" s="201"/>
      <c r="V562" s="201"/>
    </row>
    <row r="563" spans="1:22" ht="15.75" x14ac:dyDescent="0.25">
      <c r="A563" s="234" t="s">
        <v>846</v>
      </c>
      <c r="B563" s="235" t="s">
        <v>816</v>
      </c>
      <c r="C563" s="234" t="s">
        <v>499</v>
      </c>
      <c r="D563" s="312">
        <v>1</v>
      </c>
      <c r="E563" s="312"/>
      <c r="F563" s="248"/>
      <c r="G563" s="312"/>
      <c r="H563" s="312"/>
      <c r="I563" s="312"/>
      <c r="J563" s="248">
        <f t="shared" si="56"/>
        <v>0</v>
      </c>
      <c r="K563" s="330">
        <f t="shared" si="57"/>
        <v>-1</v>
      </c>
      <c r="L563" s="313"/>
      <c r="M563" s="228">
        <f t="shared" si="58"/>
        <v>0</v>
      </c>
      <c r="N563" s="228">
        <f t="shared" si="61"/>
        <v>0</v>
      </c>
      <c r="O563" s="228">
        <f t="shared" si="62"/>
        <v>0</v>
      </c>
      <c r="P563" s="228">
        <f t="shared" si="62"/>
        <v>0</v>
      </c>
      <c r="Q563" s="228">
        <f t="shared" si="59"/>
        <v>0</v>
      </c>
      <c r="R563" s="343">
        <f t="shared" si="60"/>
        <v>-1</v>
      </c>
      <c r="S563" s="240"/>
      <c r="T563" s="201"/>
      <c r="U563" s="201"/>
      <c r="V563" s="201"/>
    </row>
    <row r="564" spans="1:22" ht="15.75" x14ac:dyDescent="0.25">
      <c r="A564" s="230" t="s">
        <v>847</v>
      </c>
      <c r="B564" s="231" t="s">
        <v>848</v>
      </c>
      <c r="C564" s="230"/>
      <c r="D564" s="316"/>
      <c r="E564" s="316"/>
      <c r="F564" s="317"/>
      <c r="G564" s="316"/>
      <c r="H564" s="316"/>
      <c r="I564" s="316"/>
      <c r="J564" s="248">
        <f t="shared" si="56"/>
        <v>0</v>
      </c>
      <c r="K564" s="330">
        <f t="shared" si="57"/>
        <v>0</v>
      </c>
      <c r="L564" s="318"/>
      <c r="M564" s="228">
        <f t="shared" si="58"/>
        <v>0</v>
      </c>
      <c r="N564" s="228">
        <f t="shared" si="61"/>
        <v>0</v>
      </c>
      <c r="O564" s="228">
        <f t="shared" si="62"/>
        <v>0</v>
      </c>
      <c r="P564" s="228">
        <f t="shared" si="62"/>
        <v>0</v>
      </c>
      <c r="Q564" s="228">
        <f t="shared" si="59"/>
        <v>0</v>
      </c>
      <c r="R564" s="343">
        <f t="shared" si="60"/>
        <v>0</v>
      </c>
      <c r="S564" s="240"/>
      <c r="T564" s="201"/>
      <c r="U564" s="201"/>
      <c r="V564" s="201"/>
    </row>
    <row r="565" spans="1:22" ht="15.75" x14ac:dyDescent="0.25">
      <c r="A565" s="234" t="s">
        <v>849</v>
      </c>
      <c r="B565" s="235" t="s">
        <v>812</v>
      </c>
      <c r="C565" s="234" t="s">
        <v>9</v>
      </c>
      <c r="D565" s="312">
        <v>1</v>
      </c>
      <c r="E565" s="312"/>
      <c r="F565" s="248"/>
      <c r="G565" s="312"/>
      <c r="H565" s="312"/>
      <c r="I565" s="312"/>
      <c r="J565" s="248">
        <f t="shared" si="56"/>
        <v>0</v>
      </c>
      <c r="K565" s="330">
        <f t="shared" si="57"/>
        <v>-1</v>
      </c>
      <c r="L565" s="313"/>
      <c r="M565" s="228">
        <f t="shared" si="58"/>
        <v>0</v>
      </c>
      <c r="N565" s="228">
        <f t="shared" si="61"/>
        <v>0</v>
      </c>
      <c r="O565" s="228">
        <f t="shared" si="62"/>
        <v>0</v>
      </c>
      <c r="P565" s="228">
        <f t="shared" si="62"/>
        <v>0</v>
      </c>
      <c r="Q565" s="228">
        <f t="shared" si="59"/>
        <v>0</v>
      </c>
      <c r="R565" s="343">
        <f t="shared" si="60"/>
        <v>-1</v>
      </c>
      <c r="S565" s="240"/>
      <c r="T565" s="201"/>
      <c r="U565" s="201"/>
      <c r="V565" s="201"/>
    </row>
    <row r="566" spans="1:22" ht="15.75" x14ac:dyDescent="0.25">
      <c r="A566" s="234" t="s">
        <v>850</v>
      </c>
      <c r="B566" s="235" t="s">
        <v>804</v>
      </c>
      <c r="C566" s="234" t="s">
        <v>9</v>
      </c>
      <c r="D566" s="312">
        <v>1</v>
      </c>
      <c r="E566" s="312"/>
      <c r="F566" s="248"/>
      <c r="G566" s="312"/>
      <c r="H566" s="312"/>
      <c r="I566" s="312"/>
      <c r="J566" s="248">
        <f t="shared" si="56"/>
        <v>0</v>
      </c>
      <c r="K566" s="330">
        <f t="shared" si="57"/>
        <v>-1</v>
      </c>
      <c r="L566" s="313"/>
      <c r="M566" s="228">
        <f t="shared" si="58"/>
        <v>0</v>
      </c>
      <c r="N566" s="228">
        <f t="shared" si="61"/>
        <v>0</v>
      </c>
      <c r="O566" s="228">
        <f t="shared" si="62"/>
        <v>0</v>
      </c>
      <c r="P566" s="228">
        <f t="shared" si="62"/>
        <v>0</v>
      </c>
      <c r="Q566" s="228">
        <f t="shared" si="59"/>
        <v>0</v>
      </c>
      <c r="R566" s="343">
        <f t="shared" si="60"/>
        <v>-1</v>
      </c>
      <c r="S566" s="240"/>
      <c r="T566" s="201"/>
      <c r="U566" s="201"/>
      <c r="V566" s="201"/>
    </row>
    <row r="567" spans="1:22" ht="15.75" x14ac:dyDescent="0.25">
      <c r="A567" s="234" t="s">
        <v>851</v>
      </c>
      <c r="B567" s="235" t="s">
        <v>593</v>
      </c>
      <c r="C567" s="234" t="s">
        <v>9</v>
      </c>
      <c r="D567" s="312">
        <v>2</v>
      </c>
      <c r="E567" s="312"/>
      <c r="F567" s="248"/>
      <c r="G567" s="312"/>
      <c r="H567" s="312"/>
      <c r="I567" s="312"/>
      <c r="J567" s="248">
        <f t="shared" si="56"/>
        <v>0</v>
      </c>
      <c r="K567" s="330">
        <f t="shared" si="57"/>
        <v>-2</v>
      </c>
      <c r="L567" s="313"/>
      <c r="M567" s="228">
        <f t="shared" si="58"/>
        <v>0</v>
      </c>
      <c r="N567" s="228">
        <f t="shared" si="61"/>
        <v>0</v>
      </c>
      <c r="O567" s="228">
        <f t="shared" si="62"/>
        <v>0</v>
      </c>
      <c r="P567" s="228">
        <f t="shared" si="62"/>
        <v>0</v>
      </c>
      <c r="Q567" s="228">
        <f t="shared" si="59"/>
        <v>0</v>
      </c>
      <c r="R567" s="343">
        <f t="shared" si="60"/>
        <v>-2</v>
      </c>
      <c r="S567" s="240"/>
      <c r="T567" s="201"/>
      <c r="U567" s="201"/>
      <c r="V567" s="201"/>
    </row>
    <row r="568" spans="1:22" ht="15.75" x14ac:dyDescent="0.25">
      <c r="A568" s="234" t="s">
        <v>852</v>
      </c>
      <c r="B568" s="235" t="s">
        <v>816</v>
      </c>
      <c r="C568" s="234" t="s">
        <v>499</v>
      </c>
      <c r="D568" s="312">
        <v>1</v>
      </c>
      <c r="E568" s="312"/>
      <c r="F568" s="248"/>
      <c r="G568" s="312"/>
      <c r="H568" s="312"/>
      <c r="I568" s="312"/>
      <c r="J568" s="248">
        <f t="shared" si="56"/>
        <v>0</v>
      </c>
      <c r="K568" s="330">
        <f t="shared" si="57"/>
        <v>-1</v>
      </c>
      <c r="L568" s="313"/>
      <c r="M568" s="228">
        <f t="shared" si="58"/>
        <v>0</v>
      </c>
      <c r="N568" s="228">
        <f t="shared" si="61"/>
        <v>0</v>
      </c>
      <c r="O568" s="228">
        <f t="shared" si="62"/>
        <v>0</v>
      </c>
      <c r="P568" s="228">
        <f t="shared" si="62"/>
        <v>0</v>
      </c>
      <c r="Q568" s="228">
        <f t="shared" si="59"/>
        <v>0</v>
      </c>
      <c r="R568" s="343">
        <f t="shared" si="60"/>
        <v>-1</v>
      </c>
      <c r="S568" s="240"/>
      <c r="T568" s="201"/>
      <c r="U568" s="201"/>
      <c r="V568" s="201"/>
    </row>
    <row r="569" spans="1:22" ht="15.75" x14ac:dyDescent="0.25">
      <c r="A569" s="230" t="s">
        <v>853</v>
      </c>
      <c r="B569" s="231" t="s">
        <v>854</v>
      </c>
      <c r="C569" s="230"/>
      <c r="D569" s="316"/>
      <c r="E569" s="316"/>
      <c r="F569" s="317"/>
      <c r="G569" s="316"/>
      <c r="H569" s="316"/>
      <c r="I569" s="316"/>
      <c r="J569" s="248">
        <f t="shared" si="56"/>
        <v>0</v>
      </c>
      <c r="K569" s="330">
        <f t="shared" si="57"/>
        <v>0</v>
      </c>
      <c r="L569" s="318"/>
      <c r="M569" s="228">
        <f t="shared" si="58"/>
        <v>0</v>
      </c>
      <c r="N569" s="228">
        <f t="shared" si="61"/>
        <v>0</v>
      </c>
      <c r="O569" s="228">
        <f t="shared" si="62"/>
        <v>0</v>
      </c>
      <c r="P569" s="228">
        <f t="shared" si="62"/>
        <v>0</v>
      </c>
      <c r="Q569" s="228">
        <f t="shared" si="59"/>
        <v>0</v>
      </c>
      <c r="R569" s="343">
        <f t="shared" si="60"/>
        <v>0</v>
      </c>
      <c r="S569" s="240"/>
      <c r="T569" s="201"/>
      <c r="U569" s="201"/>
      <c r="V569" s="201"/>
    </row>
    <row r="570" spans="1:22" ht="15.75" x14ac:dyDescent="0.25">
      <c r="A570" s="234" t="s">
        <v>855</v>
      </c>
      <c r="B570" s="235" t="s">
        <v>812</v>
      </c>
      <c r="C570" s="234" t="s">
        <v>9</v>
      </c>
      <c r="D570" s="312">
        <v>1</v>
      </c>
      <c r="E570" s="312"/>
      <c r="F570" s="248"/>
      <c r="G570" s="312"/>
      <c r="H570" s="312"/>
      <c r="I570" s="312"/>
      <c r="J570" s="248">
        <f t="shared" ref="J570:J633" si="63">F570+G570+H570+I570</f>
        <v>0</v>
      </c>
      <c r="K570" s="330">
        <f t="shared" ref="K570:K633" si="64">J570-D570</f>
        <v>-1</v>
      </c>
      <c r="L570" s="313"/>
      <c r="M570" s="228">
        <f t="shared" ref="M570:M633" si="65">F570</f>
        <v>0</v>
      </c>
      <c r="N570" s="228">
        <f t="shared" si="61"/>
        <v>0</v>
      </c>
      <c r="O570" s="228">
        <f t="shared" si="62"/>
        <v>0</v>
      </c>
      <c r="P570" s="228">
        <f t="shared" si="62"/>
        <v>0</v>
      </c>
      <c r="Q570" s="228">
        <f t="shared" ref="Q570:Q633" si="66">M570+N570+O570+P570</f>
        <v>0</v>
      </c>
      <c r="R570" s="343">
        <f t="shared" ref="R570:R633" si="67">Q570-D570</f>
        <v>-1</v>
      </c>
      <c r="S570" s="240"/>
      <c r="T570" s="201"/>
      <c r="U570" s="201"/>
      <c r="V570" s="201"/>
    </row>
    <row r="571" spans="1:22" ht="15.75" x14ac:dyDescent="0.25">
      <c r="A571" s="234" t="s">
        <v>856</v>
      </c>
      <c r="B571" s="235" t="s">
        <v>804</v>
      </c>
      <c r="C571" s="234" t="s">
        <v>9</v>
      </c>
      <c r="D571" s="312">
        <v>1</v>
      </c>
      <c r="E571" s="312"/>
      <c r="F571" s="248"/>
      <c r="G571" s="312"/>
      <c r="H571" s="312"/>
      <c r="I571" s="312"/>
      <c r="J571" s="248">
        <f t="shared" si="63"/>
        <v>0</v>
      </c>
      <c r="K571" s="330">
        <f t="shared" si="64"/>
        <v>-1</v>
      </c>
      <c r="L571" s="313"/>
      <c r="M571" s="228">
        <f t="shared" si="65"/>
        <v>0</v>
      </c>
      <c r="N571" s="228">
        <f t="shared" si="61"/>
        <v>0</v>
      </c>
      <c r="O571" s="228">
        <f t="shared" si="62"/>
        <v>0</v>
      </c>
      <c r="P571" s="228">
        <f t="shared" si="62"/>
        <v>0</v>
      </c>
      <c r="Q571" s="228">
        <f t="shared" si="66"/>
        <v>0</v>
      </c>
      <c r="R571" s="343">
        <f t="shared" si="67"/>
        <v>-1</v>
      </c>
      <c r="S571" s="240"/>
      <c r="T571" s="201"/>
      <c r="U571" s="201"/>
      <c r="V571" s="201"/>
    </row>
    <row r="572" spans="1:22" ht="15.75" x14ac:dyDescent="0.25">
      <c r="A572" s="234" t="s">
        <v>857</v>
      </c>
      <c r="B572" s="235" t="s">
        <v>593</v>
      </c>
      <c r="C572" s="234" t="s">
        <v>9</v>
      </c>
      <c r="D572" s="312">
        <v>2</v>
      </c>
      <c r="E572" s="312"/>
      <c r="F572" s="248"/>
      <c r="G572" s="312"/>
      <c r="H572" s="312"/>
      <c r="I572" s="312"/>
      <c r="J572" s="248">
        <f t="shared" si="63"/>
        <v>0</v>
      </c>
      <c r="K572" s="330">
        <f t="shared" si="64"/>
        <v>-2</v>
      </c>
      <c r="L572" s="313"/>
      <c r="M572" s="228">
        <f t="shared" si="65"/>
        <v>0</v>
      </c>
      <c r="N572" s="228">
        <f t="shared" si="61"/>
        <v>0</v>
      </c>
      <c r="O572" s="228">
        <f t="shared" si="62"/>
        <v>0</v>
      </c>
      <c r="P572" s="228">
        <f t="shared" si="62"/>
        <v>0</v>
      </c>
      <c r="Q572" s="228">
        <f t="shared" si="66"/>
        <v>0</v>
      </c>
      <c r="R572" s="343">
        <f t="shared" si="67"/>
        <v>-2</v>
      </c>
      <c r="S572" s="240"/>
      <c r="T572" s="201"/>
      <c r="U572" s="201"/>
      <c r="V572" s="201"/>
    </row>
    <row r="573" spans="1:22" ht="15.75" x14ac:dyDescent="0.25">
      <c r="A573" s="234" t="s">
        <v>858</v>
      </c>
      <c r="B573" s="235" t="s">
        <v>816</v>
      </c>
      <c r="C573" s="234" t="s">
        <v>499</v>
      </c>
      <c r="D573" s="312">
        <v>1</v>
      </c>
      <c r="E573" s="312"/>
      <c r="F573" s="248"/>
      <c r="G573" s="312"/>
      <c r="H573" s="312"/>
      <c r="I573" s="312"/>
      <c r="J573" s="248">
        <f t="shared" si="63"/>
        <v>0</v>
      </c>
      <c r="K573" s="330">
        <f t="shared" si="64"/>
        <v>-1</v>
      </c>
      <c r="L573" s="313"/>
      <c r="M573" s="228">
        <f t="shared" si="65"/>
        <v>0</v>
      </c>
      <c r="N573" s="228">
        <f t="shared" si="61"/>
        <v>0</v>
      </c>
      <c r="O573" s="228">
        <f t="shared" si="62"/>
        <v>0</v>
      </c>
      <c r="P573" s="228">
        <f t="shared" si="62"/>
        <v>0</v>
      </c>
      <c r="Q573" s="228">
        <f t="shared" si="66"/>
        <v>0</v>
      </c>
      <c r="R573" s="343">
        <f t="shared" si="67"/>
        <v>-1</v>
      </c>
      <c r="S573" s="240"/>
      <c r="T573" s="201"/>
      <c r="U573" s="201"/>
      <c r="V573" s="201"/>
    </row>
    <row r="574" spans="1:22" ht="15.75" x14ac:dyDescent="0.25">
      <c r="A574" s="230" t="s">
        <v>859</v>
      </c>
      <c r="B574" s="231" t="s">
        <v>860</v>
      </c>
      <c r="C574" s="230"/>
      <c r="D574" s="316"/>
      <c r="E574" s="316"/>
      <c r="F574" s="317"/>
      <c r="G574" s="316"/>
      <c r="H574" s="316"/>
      <c r="I574" s="316"/>
      <c r="J574" s="248">
        <f t="shared" si="63"/>
        <v>0</v>
      </c>
      <c r="K574" s="330">
        <f t="shared" si="64"/>
        <v>0</v>
      </c>
      <c r="L574" s="318"/>
      <c r="M574" s="228">
        <f t="shared" si="65"/>
        <v>0</v>
      </c>
      <c r="N574" s="228">
        <f t="shared" si="61"/>
        <v>0</v>
      </c>
      <c r="O574" s="228">
        <f t="shared" si="62"/>
        <v>0</v>
      </c>
      <c r="P574" s="228">
        <f t="shared" si="62"/>
        <v>0</v>
      </c>
      <c r="Q574" s="228">
        <f t="shared" si="66"/>
        <v>0</v>
      </c>
      <c r="R574" s="343">
        <f t="shared" si="67"/>
        <v>0</v>
      </c>
      <c r="S574" s="240"/>
      <c r="T574" s="201"/>
      <c r="U574" s="201"/>
      <c r="V574" s="201"/>
    </row>
    <row r="575" spans="1:22" ht="15.75" x14ac:dyDescent="0.25">
      <c r="A575" s="234" t="s">
        <v>861</v>
      </c>
      <c r="B575" s="235" t="s">
        <v>812</v>
      </c>
      <c r="C575" s="234" t="s">
        <v>9</v>
      </c>
      <c r="D575" s="312">
        <v>1</v>
      </c>
      <c r="E575" s="312"/>
      <c r="F575" s="248"/>
      <c r="G575" s="312"/>
      <c r="H575" s="312"/>
      <c r="I575" s="312"/>
      <c r="J575" s="248">
        <f t="shared" si="63"/>
        <v>0</v>
      </c>
      <c r="K575" s="330">
        <f t="shared" si="64"/>
        <v>-1</v>
      </c>
      <c r="L575" s="313"/>
      <c r="M575" s="228">
        <f t="shared" si="65"/>
        <v>0</v>
      </c>
      <c r="N575" s="228">
        <f t="shared" si="61"/>
        <v>0</v>
      </c>
      <c r="O575" s="228">
        <f t="shared" si="62"/>
        <v>0</v>
      </c>
      <c r="P575" s="228">
        <f t="shared" si="62"/>
        <v>0</v>
      </c>
      <c r="Q575" s="228">
        <f t="shared" si="66"/>
        <v>0</v>
      </c>
      <c r="R575" s="343">
        <f t="shared" si="67"/>
        <v>-1</v>
      </c>
      <c r="S575" s="240"/>
      <c r="T575" s="201"/>
      <c r="U575" s="201"/>
      <c r="V575" s="201"/>
    </row>
    <row r="576" spans="1:22" ht="15.75" x14ac:dyDescent="0.25">
      <c r="A576" s="234" t="s">
        <v>862</v>
      </c>
      <c r="B576" s="235" t="s">
        <v>804</v>
      </c>
      <c r="C576" s="234" t="s">
        <v>9</v>
      </c>
      <c r="D576" s="312">
        <v>1</v>
      </c>
      <c r="E576" s="312"/>
      <c r="F576" s="248"/>
      <c r="G576" s="312"/>
      <c r="H576" s="312"/>
      <c r="I576" s="312"/>
      <c r="J576" s="248">
        <f t="shared" si="63"/>
        <v>0</v>
      </c>
      <c r="K576" s="330">
        <f t="shared" si="64"/>
        <v>-1</v>
      </c>
      <c r="L576" s="313"/>
      <c r="M576" s="228">
        <f t="shared" si="65"/>
        <v>0</v>
      </c>
      <c r="N576" s="228">
        <f t="shared" si="61"/>
        <v>0</v>
      </c>
      <c r="O576" s="228">
        <f t="shared" si="62"/>
        <v>0</v>
      </c>
      <c r="P576" s="228">
        <f t="shared" si="62"/>
        <v>0</v>
      </c>
      <c r="Q576" s="228">
        <f t="shared" si="66"/>
        <v>0</v>
      </c>
      <c r="R576" s="343">
        <f t="shared" si="67"/>
        <v>-1</v>
      </c>
      <c r="S576" s="240"/>
      <c r="T576" s="201"/>
      <c r="U576" s="201"/>
      <c r="V576" s="201"/>
    </row>
    <row r="577" spans="1:22" ht="15.75" x14ac:dyDescent="0.25">
      <c r="A577" s="234" t="s">
        <v>863</v>
      </c>
      <c r="B577" s="235" t="s">
        <v>593</v>
      </c>
      <c r="C577" s="234" t="s">
        <v>9</v>
      </c>
      <c r="D577" s="312">
        <v>2</v>
      </c>
      <c r="E577" s="312"/>
      <c r="F577" s="248"/>
      <c r="G577" s="312"/>
      <c r="H577" s="312"/>
      <c r="I577" s="312"/>
      <c r="J577" s="248">
        <f t="shared" si="63"/>
        <v>0</v>
      </c>
      <c r="K577" s="330">
        <f t="shared" si="64"/>
        <v>-2</v>
      </c>
      <c r="L577" s="313"/>
      <c r="M577" s="228">
        <f t="shared" si="65"/>
        <v>0</v>
      </c>
      <c r="N577" s="228">
        <f t="shared" si="61"/>
        <v>0</v>
      </c>
      <c r="O577" s="228">
        <f t="shared" si="62"/>
        <v>0</v>
      </c>
      <c r="P577" s="228">
        <f t="shared" si="62"/>
        <v>0</v>
      </c>
      <c r="Q577" s="228">
        <f t="shared" si="66"/>
        <v>0</v>
      </c>
      <c r="R577" s="343">
        <f t="shared" si="67"/>
        <v>-2</v>
      </c>
      <c r="S577" s="240"/>
      <c r="T577" s="201"/>
      <c r="U577" s="201"/>
      <c r="V577" s="201"/>
    </row>
    <row r="578" spans="1:22" ht="15.75" x14ac:dyDescent="0.25">
      <c r="A578" s="234" t="s">
        <v>864</v>
      </c>
      <c r="B578" s="235" t="s">
        <v>816</v>
      </c>
      <c r="C578" s="234" t="s">
        <v>499</v>
      </c>
      <c r="D578" s="312">
        <v>1</v>
      </c>
      <c r="E578" s="312"/>
      <c r="F578" s="248"/>
      <c r="G578" s="312"/>
      <c r="H578" s="312"/>
      <c r="I578" s="312"/>
      <c r="J578" s="248">
        <f t="shared" si="63"/>
        <v>0</v>
      </c>
      <c r="K578" s="330">
        <f t="shared" si="64"/>
        <v>-1</v>
      </c>
      <c r="L578" s="313"/>
      <c r="M578" s="228">
        <f t="shared" si="65"/>
        <v>0</v>
      </c>
      <c r="N578" s="228">
        <f t="shared" si="61"/>
        <v>0</v>
      </c>
      <c r="O578" s="228">
        <f t="shared" si="62"/>
        <v>0</v>
      </c>
      <c r="P578" s="228">
        <f t="shared" si="62"/>
        <v>0</v>
      </c>
      <c r="Q578" s="228">
        <f t="shared" si="66"/>
        <v>0</v>
      </c>
      <c r="R578" s="343">
        <f t="shared" si="67"/>
        <v>-1</v>
      </c>
      <c r="S578" s="240"/>
      <c r="T578" s="201"/>
      <c r="U578" s="201"/>
      <c r="V578" s="201"/>
    </row>
    <row r="579" spans="1:22" ht="15.75" x14ac:dyDescent="0.25">
      <c r="A579" s="230" t="s">
        <v>865</v>
      </c>
      <c r="B579" s="231" t="s">
        <v>866</v>
      </c>
      <c r="C579" s="230"/>
      <c r="D579" s="316"/>
      <c r="E579" s="316"/>
      <c r="F579" s="317"/>
      <c r="G579" s="316"/>
      <c r="H579" s="316"/>
      <c r="I579" s="316"/>
      <c r="J579" s="248">
        <f t="shared" si="63"/>
        <v>0</v>
      </c>
      <c r="K579" s="330">
        <f t="shared" si="64"/>
        <v>0</v>
      </c>
      <c r="L579" s="318"/>
      <c r="M579" s="228">
        <f t="shared" si="65"/>
        <v>0</v>
      </c>
      <c r="N579" s="228">
        <f t="shared" si="61"/>
        <v>0</v>
      </c>
      <c r="O579" s="228">
        <f t="shared" si="62"/>
        <v>0</v>
      </c>
      <c r="P579" s="228">
        <f t="shared" si="62"/>
        <v>0</v>
      </c>
      <c r="Q579" s="228">
        <f t="shared" si="66"/>
        <v>0</v>
      </c>
      <c r="R579" s="343">
        <f t="shared" si="67"/>
        <v>0</v>
      </c>
      <c r="S579" s="240"/>
      <c r="T579" s="201"/>
      <c r="U579" s="201"/>
      <c r="V579" s="201"/>
    </row>
    <row r="580" spans="1:22" ht="15.75" x14ac:dyDescent="0.25">
      <c r="A580" s="234" t="s">
        <v>867</v>
      </c>
      <c r="B580" s="235" t="s">
        <v>812</v>
      </c>
      <c r="C580" s="234" t="s">
        <v>9</v>
      </c>
      <c r="D580" s="312">
        <v>2</v>
      </c>
      <c r="E580" s="312"/>
      <c r="F580" s="248"/>
      <c r="G580" s="312"/>
      <c r="H580" s="312"/>
      <c r="I580" s="312"/>
      <c r="J580" s="248">
        <f t="shared" si="63"/>
        <v>0</v>
      </c>
      <c r="K580" s="330">
        <f t="shared" si="64"/>
        <v>-2</v>
      </c>
      <c r="L580" s="313"/>
      <c r="M580" s="228">
        <f t="shared" si="65"/>
        <v>0</v>
      </c>
      <c r="N580" s="228">
        <f t="shared" si="61"/>
        <v>0</v>
      </c>
      <c r="O580" s="228">
        <f t="shared" si="62"/>
        <v>0</v>
      </c>
      <c r="P580" s="228">
        <f t="shared" si="62"/>
        <v>0</v>
      </c>
      <c r="Q580" s="228">
        <f t="shared" si="66"/>
        <v>0</v>
      </c>
      <c r="R580" s="343">
        <f t="shared" si="67"/>
        <v>-2</v>
      </c>
      <c r="S580" s="240"/>
      <c r="T580" s="201"/>
      <c r="U580" s="201"/>
      <c r="V580" s="201"/>
    </row>
    <row r="581" spans="1:22" ht="15.75" x14ac:dyDescent="0.25">
      <c r="A581" s="234" t="s">
        <v>868</v>
      </c>
      <c r="B581" s="235" t="s">
        <v>804</v>
      </c>
      <c r="C581" s="234" t="s">
        <v>9</v>
      </c>
      <c r="D581" s="312">
        <v>2</v>
      </c>
      <c r="E581" s="312"/>
      <c r="F581" s="248"/>
      <c r="G581" s="312"/>
      <c r="H581" s="312"/>
      <c r="I581" s="312"/>
      <c r="J581" s="248">
        <f t="shared" si="63"/>
        <v>0</v>
      </c>
      <c r="K581" s="330">
        <f t="shared" si="64"/>
        <v>-2</v>
      </c>
      <c r="L581" s="313"/>
      <c r="M581" s="228">
        <f t="shared" si="65"/>
        <v>0</v>
      </c>
      <c r="N581" s="228">
        <f t="shared" si="61"/>
        <v>0</v>
      </c>
      <c r="O581" s="228">
        <f t="shared" si="62"/>
        <v>0</v>
      </c>
      <c r="P581" s="228">
        <f t="shared" si="62"/>
        <v>0</v>
      </c>
      <c r="Q581" s="228">
        <f t="shared" si="66"/>
        <v>0</v>
      </c>
      <c r="R581" s="343">
        <f t="shared" si="67"/>
        <v>-2</v>
      </c>
      <c r="S581" s="240"/>
      <c r="T581" s="201"/>
      <c r="U581" s="201"/>
      <c r="V581" s="201"/>
    </row>
    <row r="582" spans="1:22" ht="15.75" x14ac:dyDescent="0.25">
      <c r="A582" s="234" t="s">
        <v>869</v>
      </c>
      <c r="B582" s="235" t="s">
        <v>593</v>
      </c>
      <c r="C582" s="234" t="s">
        <v>9</v>
      </c>
      <c r="D582" s="312">
        <v>4</v>
      </c>
      <c r="E582" s="312"/>
      <c r="F582" s="248"/>
      <c r="G582" s="312"/>
      <c r="H582" s="312"/>
      <c r="I582" s="312"/>
      <c r="J582" s="248">
        <f t="shared" si="63"/>
        <v>0</v>
      </c>
      <c r="K582" s="330">
        <f t="shared" si="64"/>
        <v>-4</v>
      </c>
      <c r="L582" s="313"/>
      <c r="M582" s="228">
        <f t="shared" si="65"/>
        <v>0</v>
      </c>
      <c r="N582" s="228">
        <f t="shared" si="61"/>
        <v>0</v>
      </c>
      <c r="O582" s="228">
        <f t="shared" si="62"/>
        <v>0</v>
      </c>
      <c r="P582" s="228">
        <f t="shared" si="62"/>
        <v>0</v>
      </c>
      <c r="Q582" s="228">
        <f t="shared" si="66"/>
        <v>0</v>
      </c>
      <c r="R582" s="343">
        <f t="shared" si="67"/>
        <v>-4</v>
      </c>
      <c r="S582" s="240"/>
      <c r="T582" s="201"/>
      <c r="U582" s="201"/>
      <c r="V582" s="201"/>
    </row>
    <row r="583" spans="1:22" ht="15.75" x14ac:dyDescent="0.25">
      <c r="A583" s="234" t="s">
        <v>870</v>
      </c>
      <c r="B583" s="235" t="s">
        <v>816</v>
      </c>
      <c r="C583" s="234" t="s">
        <v>499</v>
      </c>
      <c r="D583" s="312">
        <v>2</v>
      </c>
      <c r="E583" s="312"/>
      <c r="F583" s="248"/>
      <c r="G583" s="312"/>
      <c r="H583" s="312"/>
      <c r="I583" s="312"/>
      <c r="J583" s="248">
        <f t="shared" si="63"/>
        <v>0</v>
      </c>
      <c r="K583" s="330">
        <f t="shared" si="64"/>
        <v>-2</v>
      </c>
      <c r="L583" s="313"/>
      <c r="M583" s="228">
        <f t="shared" si="65"/>
        <v>0</v>
      </c>
      <c r="N583" s="228">
        <f t="shared" si="61"/>
        <v>0</v>
      </c>
      <c r="O583" s="228">
        <f t="shared" si="62"/>
        <v>0</v>
      </c>
      <c r="P583" s="228">
        <f t="shared" si="62"/>
        <v>0</v>
      </c>
      <c r="Q583" s="228">
        <f t="shared" si="66"/>
        <v>0</v>
      </c>
      <c r="R583" s="343">
        <f t="shared" si="67"/>
        <v>-2</v>
      </c>
      <c r="S583" s="240"/>
      <c r="T583" s="201"/>
      <c r="U583" s="201"/>
      <c r="V583" s="201"/>
    </row>
    <row r="584" spans="1:22" ht="15.75" x14ac:dyDescent="0.25">
      <c r="A584" s="230" t="s">
        <v>871</v>
      </c>
      <c r="B584" s="231" t="s">
        <v>872</v>
      </c>
      <c r="C584" s="230"/>
      <c r="D584" s="316"/>
      <c r="E584" s="316"/>
      <c r="F584" s="317"/>
      <c r="G584" s="316"/>
      <c r="H584" s="316"/>
      <c r="I584" s="316"/>
      <c r="J584" s="248">
        <f t="shared" si="63"/>
        <v>0</v>
      </c>
      <c r="K584" s="330">
        <f t="shared" si="64"/>
        <v>0</v>
      </c>
      <c r="L584" s="318"/>
      <c r="M584" s="228">
        <f t="shared" si="65"/>
        <v>0</v>
      </c>
      <c r="N584" s="228">
        <f t="shared" si="61"/>
        <v>0</v>
      </c>
      <c r="O584" s="228">
        <f t="shared" si="62"/>
        <v>0</v>
      </c>
      <c r="P584" s="228">
        <f t="shared" si="62"/>
        <v>0</v>
      </c>
      <c r="Q584" s="228">
        <f t="shared" si="66"/>
        <v>0</v>
      </c>
      <c r="R584" s="343">
        <f t="shared" si="67"/>
        <v>0</v>
      </c>
      <c r="S584" s="240"/>
      <c r="T584" s="201"/>
      <c r="U584" s="201"/>
      <c r="V584" s="201"/>
    </row>
    <row r="585" spans="1:22" ht="15.75" x14ac:dyDescent="0.25">
      <c r="A585" s="234" t="s">
        <v>873</v>
      </c>
      <c r="B585" s="235" t="s">
        <v>874</v>
      </c>
      <c r="C585" s="234" t="s">
        <v>9</v>
      </c>
      <c r="D585" s="312">
        <v>1</v>
      </c>
      <c r="E585" s="312"/>
      <c r="F585" s="248"/>
      <c r="G585" s="312"/>
      <c r="H585" s="312"/>
      <c r="I585" s="312"/>
      <c r="J585" s="248">
        <f t="shared" si="63"/>
        <v>0</v>
      </c>
      <c r="K585" s="330">
        <f t="shared" si="64"/>
        <v>-1</v>
      </c>
      <c r="L585" s="313"/>
      <c r="M585" s="228">
        <f t="shared" si="65"/>
        <v>0</v>
      </c>
      <c r="N585" s="228">
        <f t="shared" ref="N585:N648" si="68">G585</f>
        <v>0</v>
      </c>
      <c r="O585" s="228">
        <f t="shared" ref="O585:P648" si="69">H585</f>
        <v>0</v>
      </c>
      <c r="P585" s="228">
        <f t="shared" si="69"/>
        <v>0</v>
      </c>
      <c r="Q585" s="228">
        <f t="shared" si="66"/>
        <v>0</v>
      </c>
      <c r="R585" s="343">
        <f t="shared" si="67"/>
        <v>-1</v>
      </c>
      <c r="S585" s="240"/>
      <c r="T585" s="201"/>
      <c r="U585" s="201"/>
      <c r="V585" s="201"/>
    </row>
    <row r="586" spans="1:22" ht="15.75" x14ac:dyDescent="0.25">
      <c r="A586" s="234" t="s">
        <v>875</v>
      </c>
      <c r="B586" s="235" t="s">
        <v>483</v>
      </c>
      <c r="C586" s="234" t="s">
        <v>248</v>
      </c>
      <c r="D586" s="312">
        <v>3</v>
      </c>
      <c r="E586" s="312"/>
      <c r="F586" s="248"/>
      <c r="G586" s="312"/>
      <c r="H586" s="312"/>
      <c r="I586" s="312"/>
      <c r="J586" s="248">
        <f t="shared" si="63"/>
        <v>0</v>
      </c>
      <c r="K586" s="330">
        <f t="shared" si="64"/>
        <v>-3</v>
      </c>
      <c r="L586" s="313"/>
      <c r="M586" s="228">
        <f t="shared" si="65"/>
        <v>0</v>
      </c>
      <c r="N586" s="228">
        <f t="shared" si="68"/>
        <v>0</v>
      </c>
      <c r="O586" s="228">
        <f t="shared" si="69"/>
        <v>0</v>
      </c>
      <c r="P586" s="228">
        <f t="shared" si="69"/>
        <v>0</v>
      </c>
      <c r="Q586" s="228">
        <f t="shared" si="66"/>
        <v>0</v>
      </c>
      <c r="R586" s="343">
        <f t="shared" si="67"/>
        <v>-3</v>
      </c>
      <c r="S586" s="240"/>
      <c r="T586" s="201"/>
      <c r="U586" s="201"/>
      <c r="V586" s="201"/>
    </row>
    <row r="587" spans="1:22" ht="15.75" x14ac:dyDescent="0.25">
      <c r="A587" s="234" t="s">
        <v>876</v>
      </c>
      <c r="B587" s="235" t="s">
        <v>877</v>
      </c>
      <c r="C587" s="234" t="s">
        <v>248</v>
      </c>
      <c r="D587" s="312">
        <v>3</v>
      </c>
      <c r="E587" s="312"/>
      <c r="F587" s="248"/>
      <c r="G587" s="312"/>
      <c r="H587" s="312"/>
      <c r="I587" s="312"/>
      <c r="J587" s="248">
        <f t="shared" si="63"/>
        <v>0</v>
      </c>
      <c r="K587" s="330">
        <f t="shared" si="64"/>
        <v>-3</v>
      </c>
      <c r="L587" s="313"/>
      <c r="M587" s="228">
        <f t="shared" si="65"/>
        <v>0</v>
      </c>
      <c r="N587" s="228">
        <f t="shared" si="68"/>
        <v>0</v>
      </c>
      <c r="O587" s="228">
        <f t="shared" si="69"/>
        <v>0</v>
      </c>
      <c r="P587" s="228">
        <f t="shared" si="69"/>
        <v>0</v>
      </c>
      <c r="Q587" s="228">
        <f t="shared" si="66"/>
        <v>0</v>
      </c>
      <c r="R587" s="343">
        <f t="shared" si="67"/>
        <v>-3</v>
      </c>
      <c r="S587" s="240"/>
      <c r="T587" s="201"/>
      <c r="U587" s="201"/>
      <c r="V587" s="201"/>
    </row>
    <row r="588" spans="1:22" ht="15.75" x14ac:dyDescent="0.25">
      <c r="A588" s="234" t="s">
        <v>878</v>
      </c>
      <c r="B588" s="235" t="s">
        <v>804</v>
      </c>
      <c r="C588" s="234" t="s">
        <v>9</v>
      </c>
      <c r="D588" s="312">
        <v>3</v>
      </c>
      <c r="E588" s="312"/>
      <c r="F588" s="248"/>
      <c r="G588" s="312"/>
      <c r="H588" s="312"/>
      <c r="I588" s="312"/>
      <c r="J588" s="248">
        <f t="shared" si="63"/>
        <v>0</v>
      </c>
      <c r="K588" s="330">
        <f t="shared" si="64"/>
        <v>-3</v>
      </c>
      <c r="L588" s="313"/>
      <c r="M588" s="228">
        <f t="shared" si="65"/>
        <v>0</v>
      </c>
      <c r="N588" s="228">
        <f t="shared" si="68"/>
        <v>0</v>
      </c>
      <c r="O588" s="228">
        <f t="shared" si="69"/>
        <v>0</v>
      </c>
      <c r="P588" s="228">
        <f t="shared" si="69"/>
        <v>0</v>
      </c>
      <c r="Q588" s="228">
        <f t="shared" si="66"/>
        <v>0</v>
      </c>
      <c r="R588" s="343">
        <f t="shared" si="67"/>
        <v>-3</v>
      </c>
      <c r="S588" s="240"/>
      <c r="T588" s="201"/>
      <c r="U588" s="201"/>
      <c r="V588" s="201"/>
    </row>
    <row r="589" spans="1:22" ht="15.75" x14ac:dyDescent="0.25">
      <c r="A589" s="234" t="s">
        <v>879</v>
      </c>
      <c r="B589" s="235" t="s">
        <v>628</v>
      </c>
      <c r="C589" s="234" t="s">
        <v>9</v>
      </c>
      <c r="D589" s="312">
        <v>3</v>
      </c>
      <c r="E589" s="312"/>
      <c r="F589" s="248"/>
      <c r="G589" s="312"/>
      <c r="H589" s="312"/>
      <c r="I589" s="312"/>
      <c r="J589" s="248">
        <f t="shared" si="63"/>
        <v>0</v>
      </c>
      <c r="K589" s="330">
        <f t="shared" si="64"/>
        <v>-3</v>
      </c>
      <c r="L589" s="313"/>
      <c r="M589" s="228">
        <f t="shared" si="65"/>
        <v>0</v>
      </c>
      <c r="N589" s="228">
        <f t="shared" si="68"/>
        <v>0</v>
      </c>
      <c r="O589" s="228">
        <f t="shared" si="69"/>
        <v>0</v>
      </c>
      <c r="P589" s="228">
        <f t="shared" si="69"/>
        <v>0</v>
      </c>
      <c r="Q589" s="228">
        <f t="shared" si="66"/>
        <v>0</v>
      </c>
      <c r="R589" s="343">
        <f t="shared" si="67"/>
        <v>-3</v>
      </c>
      <c r="S589" s="240"/>
      <c r="T589" s="201"/>
      <c r="U589" s="201"/>
      <c r="V589" s="201"/>
    </row>
    <row r="590" spans="1:22" ht="15.75" x14ac:dyDescent="0.25">
      <c r="A590" s="234" t="s">
        <v>880</v>
      </c>
      <c r="B590" s="235" t="s">
        <v>593</v>
      </c>
      <c r="C590" s="234" t="s">
        <v>9</v>
      </c>
      <c r="D590" s="312">
        <v>8</v>
      </c>
      <c r="E590" s="312"/>
      <c r="F590" s="248"/>
      <c r="G590" s="312"/>
      <c r="H590" s="312"/>
      <c r="I590" s="312"/>
      <c r="J590" s="248">
        <f t="shared" si="63"/>
        <v>0</v>
      </c>
      <c r="K590" s="330">
        <f t="shared" si="64"/>
        <v>-8</v>
      </c>
      <c r="L590" s="313"/>
      <c r="M590" s="228">
        <f t="shared" si="65"/>
        <v>0</v>
      </c>
      <c r="N590" s="228">
        <f t="shared" si="68"/>
        <v>0</v>
      </c>
      <c r="O590" s="228">
        <f t="shared" si="69"/>
        <v>0</v>
      </c>
      <c r="P590" s="228">
        <f t="shared" si="69"/>
        <v>0</v>
      </c>
      <c r="Q590" s="228">
        <f t="shared" si="66"/>
        <v>0</v>
      </c>
      <c r="R590" s="343">
        <f t="shared" si="67"/>
        <v>-8</v>
      </c>
      <c r="S590" s="240"/>
      <c r="T590" s="201"/>
      <c r="U590" s="201"/>
      <c r="V590" s="201"/>
    </row>
    <row r="591" spans="1:22" ht="15.75" x14ac:dyDescent="0.25">
      <c r="A591" s="234" t="s">
        <v>881</v>
      </c>
      <c r="B591" s="235" t="s">
        <v>495</v>
      </c>
      <c r="C591" s="234" t="s">
        <v>248</v>
      </c>
      <c r="D591" s="312">
        <v>1</v>
      </c>
      <c r="E591" s="312"/>
      <c r="F591" s="248"/>
      <c r="G591" s="312"/>
      <c r="H591" s="312"/>
      <c r="I591" s="312"/>
      <c r="J591" s="248">
        <f t="shared" si="63"/>
        <v>0</v>
      </c>
      <c r="K591" s="330">
        <f t="shared" si="64"/>
        <v>-1</v>
      </c>
      <c r="L591" s="313"/>
      <c r="M591" s="228">
        <f t="shared" si="65"/>
        <v>0</v>
      </c>
      <c r="N591" s="228">
        <f t="shared" si="68"/>
        <v>0</v>
      </c>
      <c r="O591" s="228">
        <f t="shared" si="69"/>
        <v>0</v>
      </c>
      <c r="P591" s="228">
        <f t="shared" si="69"/>
        <v>0</v>
      </c>
      <c r="Q591" s="228">
        <f t="shared" si="66"/>
        <v>0</v>
      </c>
      <c r="R591" s="343">
        <f t="shared" si="67"/>
        <v>-1</v>
      </c>
      <c r="S591" s="240"/>
      <c r="T591" s="201"/>
      <c r="U591" s="201"/>
      <c r="V591" s="201"/>
    </row>
    <row r="592" spans="1:22" ht="30" x14ac:dyDescent="0.25">
      <c r="A592" s="234" t="s">
        <v>882</v>
      </c>
      <c r="B592" s="235" t="s">
        <v>672</v>
      </c>
      <c r="C592" s="234" t="s">
        <v>499</v>
      </c>
      <c r="D592" s="312">
        <v>1</v>
      </c>
      <c r="E592" s="312"/>
      <c r="F592" s="248"/>
      <c r="G592" s="312"/>
      <c r="H592" s="312"/>
      <c r="I592" s="312"/>
      <c r="J592" s="248">
        <f t="shared" si="63"/>
        <v>0</v>
      </c>
      <c r="K592" s="330">
        <f t="shared" si="64"/>
        <v>-1</v>
      </c>
      <c r="L592" s="313"/>
      <c r="M592" s="228">
        <f t="shared" si="65"/>
        <v>0</v>
      </c>
      <c r="N592" s="228">
        <f t="shared" si="68"/>
        <v>0</v>
      </c>
      <c r="O592" s="228">
        <f t="shared" si="69"/>
        <v>0</v>
      </c>
      <c r="P592" s="228">
        <f t="shared" si="69"/>
        <v>0</v>
      </c>
      <c r="Q592" s="228">
        <f t="shared" si="66"/>
        <v>0</v>
      </c>
      <c r="R592" s="343">
        <f t="shared" si="67"/>
        <v>-1</v>
      </c>
      <c r="S592" s="240"/>
      <c r="T592" s="201"/>
      <c r="U592" s="201"/>
      <c r="V592" s="201"/>
    </row>
    <row r="593" spans="1:22" ht="15.75" x14ac:dyDescent="0.25">
      <c r="A593" s="230" t="s">
        <v>883</v>
      </c>
      <c r="B593" s="231" t="s">
        <v>884</v>
      </c>
      <c r="C593" s="230"/>
      <c r="D593" s="316"/>
      <c r="E593" s="316"/>
      <c r="F593" s="317"/>
      <c r="G593" s="316"/>
      <c r="H593" s="316"/>
      <c r="I593" s="316"/>
      <c r="J593" s="248">
        <f t="shared" si="63"/>
        <v>0</v>
      </c>
      <c r="K593" s="330">
        <f t="shared" si="64"/>
        <v>0</v>
      </c>
      <c r="L593" s="318"/>
      <c r="M593" s="228">
        <f t="shared" si="65"/>
        <v>0</v>
      </c>
      <c r="N593" s="228">
        <f t="shared" si="68"/>
        <v>0</v>
      </c>
      <c r="O593" s="228">
        <f t="shared" si="69"/>
        <v>0</v>
      </c>
      <c r="P593" s="228">
        <f t="shared" si="69"/>
        <v>0</v>
      </c>
      <c r="Q593" s="228">
        <f t="shared" si="66"/>
        <v>0</v>
      </c>
      <c r="R593" s="343">
        <f t="shared" si="67"/>
        <v>0</v>
      </c>
      <c r="S593" s="240"/>
      <c r="T593" s="201"/>
      <c r="U593" s="201"/>
      <c r="V593" s="201"/>
    </row>
    <row r="594" spans="1:22" ht="15.75" x14ac:dyDescent="0.25">
      <c r="A594" s="234" t="s">
        <v>885</v>
      </c>
      <c r="B594" s="235" t="s">
        <v>626</v>
      </c>
      <c r="C594" s="234" t="s">
        <v>9</v>
      </c>
      <c r="D594" s="312">
        <v>1</v>
      </c>
      <c r="E594" s="312"/>
      <c r="F594" s="248"/>
      <c r="G594" s="312"/>
      <c r="H594" s="312"/>
      <c r="I594" s="312"/>
      <c r="J594" s="248">
        <f t="shared" si="63"/>
        <v>0</v>
      </c>
      <c r="K594" s="330">
        <f t="shared" si="64"/>
        <v>-1</v>
      </c>
      <c r="L594" s="313"/>
      <c r="M594" s="228">
        <f t="shared" si="65"/>
        <v>0</v>
      </c>
      <c r="N594" s="228">
        <f t="shared" si="68"/>
        <v>0</v>
      </c>
      <c r="O594" s="228">
        <f t="shared" si="69"/>
        <v>0</v>
      </c>
      <c r="P594" s="228">
        <f t="shared" si="69"/>
        <v>0</v>
      </c>
      <c r="Q594" s="228">
        <f t="shared" si="66"/>
        <v>0</v>
      </c>
      <c r="R594" s="343">
        <f t="shared" si="67"/>
        <v>-1</v>
      </c>
      <c r="S594" s="240"/>
      <c r="T594" s="201"/>
      <c r="U594" s="201"/>
      <c r="V594" s="201"/>
    </row>
    <row r="595" spans="1:22" ht="15.75" x14ac:dyDescent="0.25">
      <c r="A595" s="234" t="s">
        <v>886</v>
      </c>
      <c r="B595" s="235" t="s">
        <v>804</v>
      </c>
      <c r="C595" s="234" t="s">
        <v>9</v>
      </c>
      <c r="D595" s="312">
        <v>2</v>
      </c>
      <c r="E595" s="312"/>
      <c r="F595" s="248"/>
      <c r="G595" s="312"/>
      <c r="H595" s="312"/>
      <c r="I595" s="312"/>
      <c r="J595" s="248">
        <f t="shared" si="63"/>
        <v>0</v>
      </c>
      <c r="K595" s="330">
        <f t="shared" si="64"/>
        <v>-2</v>
      </c>
      <c r="L595" s="313"/>
      <c r="M595" s="228">
        <f t="shared" si="65"/>
        <v>0</v>
      </c>
      <c r="N595" s="228">
        <f t="shared" si="68"/>
        <v>0</v>
      </c>
      <c r="O595" s="228">
        <f t="shared" si="69"/>
        <v>0</v>
      </c>
      <c r="P595" s="228">
        <f t="shared" si="69"/>
        <v>0</v>
      </c>
      <c r="Q595" s="228">
        <f t="shared" si="66"/>
        <v>0</v>
      </c>
      <c r="R595" s="343">
        <f t="shared" si="67"/>
        <v>-2</v>
      </c>
      <c r="S595" s="240"/>
      <c r="T595" s="201"/>
      <c r="U595" s="201"/>
      <c r="V595" s="201"/>
    </row>
    <row r="596" spans="1:22" ht="15.75" x14ac:dyDescent="0.25">
      <c r="A596" s="234" t="s">
        <v>887</v>
      </c>
      <c r="B596" s="235" t="s">
        <v>628</v>
      </c>
      <c r="C596" s="234" t="s">
        <v>9</v>
      </c>
      <c r="D596" s="312">
        <v>2</v>
      </c>
      <c r="E596" s="312"/>
      <c r="F596" s="248"/>
      <c r="G596" s="312"/>
      <c r="H596" s="312"/>
      <c r="I596" s="312"/>
      <c r="J596" s="248">
        <f t="shared" si="63"/>
        <v>0</v>
      </c>
      <c r="K596" s="330">
        <f t="shared" si="64"/>
        <v>-2</v>
      </c>
      <c r="L596" s="313"/>
      <c r="M596" s="228">
        <f t="shared" si="65"/>
        <v>0</v>
      </c>
      <c r="N596" s="228">
        <f t="shared" si="68"/>
        <v>0</v>
      </c>
      <c r="O596" s="228">
        <f t="shared" si="69"/>
        <v>0</v>
      </c>
      <c r="P596" s="228">
        <f t="shared" si="69"/>
        <v>0</v>
      </c>
      <c r="Q596" s="228">
        <f t="shared" si="66"/>
        <v>0</v>
      </c>
      <c r="R596" s="343">
        <f t="shared" si="67"/>
        <v>-2</v>
      </c>
      <c r="S596" s="240"/>
      <c r="T596" s="201"/>
      <c r="U596" s="201"/>
      <c r="V596" s="201"/>
    </row>
    <row r="597" spans="1:22" ht="15.75" x14ac:dyDescent="0.25">
      <c r="A597" s="234" t="s">
        <v>888</v>
      </c>
      <c r="B597" s="235" t="s">
        <v>593</v>
      </c>
      <c r="C597" s="234" t="s">
        <v>9</v>
      </c>
      <c r="D597" s="312">
        <v>2</v>
      </c>
      <c r="E597" s="312"/>
      <c r="F597" s="248"/>
      <c r="G597" s="312"/>
      <c r="H597" s="312"/>
      <c r="I597" s="312"/>
      <c r="J597" s="248">
        <f t="shared" si="63"/>
        <v>0</v>
      </c>
      <c r="K597" s="330">
        <f t="shared" si="64"/>
        <v>-2</v>
      </c>
      <c r="L597" s="313"/>
      <c r="M597" s="228">
        <f t="shared" si="65"/>
        <v>0</v>
      </c>
      <c r="N597" s="228">
        <f t="shared" si="68"/>
        <v>0</v>
      </c>
      <c r="O597" s="228">
        <f t="shared" si="69"/>
        <v>0</v>
      </c>
      <c r="P597" s="228">
        <f t="shared" si="69"/>
        <v>0</v>
      </c>
      <c r="Q597" s="228">
        <f t="shared" si="66"/>
        <v>0</v>
      </c>
      <c r="R597" s="343">
        <f t="shared" si="67"/>
        <v>-2</v>
      </c>
      <c r="S597" s="240"/>
      <c r="T597" s="201"/>
      <c r="U597" s="201"/>
      <c r="V597" s="201"/>
    </row>
    <row r="598" spans="1:22" ht="15.75" x14ac:dyDescent="0.25">
      <c r="A598" s="234" t="s">
        <v>889</v>
      </c>
      <c r="B598" s="235" t="s">
        <v>890</v>
      </c>
      <c r="C598" s="234" t="s">
        <v>499</v>
      </c>
      <c r="D598" s="312">
        <v>1</v>
      </c>
      <c r="E598" s="312"/>
      <c r="F598" s="248"/>
      <c r="G598" s="312"/>
      <c r="H598" s="312"/>
      <c r="I598" s="312"/>
      <c r="J598" s="248">
        <f t="shared" si="63"/>
        <v>0</v>
      </c>
      <c r="K598" s="330">
        <f t="shared" si="64"/>
        <v>-1</v>
      </c>
      <c r="L598" s="313"/>
      <c r="M598" s="228">
        <f t="shared" si="65"/>
        <v>0</v>
      </c>
      <c r="N598" s="228">
        <f t="shared" si="68"/>
        <v>0</v>
      </c>
      <c r="O598" s="228">
        <f t="shared" si="69"/>
        <v>0</v>
      </c>
      <c r="P598" s="228">
        <f t="shared" si="69"/>
        <v>0</v>
      </c>
      <c r="Q598" s="228">
        <f t="shared" si="66"/>
        <v>0</v>
      </c>
      <c r="R598" s="343">
        <f t="shared" si="67"/>
        <v>-1</v>
      </c>
      <c r="S598" s="240"/>
      <c r="T598" s="201"/>
      <c r="U598" s="201"/>
      <c r="V598" s="201"/>
    </row>
    <row r="599" spans="1:22" ht="15.75" x14ac:dyDescent="0.25">
      <c r="A599" s="230" t="s">
        <v>891</v>
      </c>
      <c r="B599" s="231" t="s">
        <v>892</v>
      </c>
      <c r="C599" s="230"/>
      <c r="D599" s="316"/>
      <c r="E599" s="316"/>
      <c r="F599" s="317"/>
      <c r="G599" s="316"/>
      <c r="H599" s="316"/>
      <c r="I599" s="316"/>
      <c r="J599" s="248">
        <f t="shared" si="63"/>
        <v>0</v>
      </c>
      <c r="K599" s="330">
        <f t="shared" si="64"/>
        <v>0</v>
      </c>
      <c r="L599" s="318"/>
      <c r="M599" s="228">
        <f t="shared" si="65"/>
        <v>0</v>
      </c>
      <c r="N599" s="228">
        <f t="shared" si="68"/>
        <v>0</v>
      </c>
      <c r="O599" s="228">
        <f t="shared" si="69"/>
        <v>0</v>
      </c>
      <c r="P599" s="228">
        <f t="shared" si="69"/>
        <v>0</v>
      </c>
      <c r="Q599" s="228">
        <f t="shared" si="66"/>
        <v>0</v>
      </c>
      <c r="R599" s="343">
        <f t="shared" si="67"/>
        <v>0</v>
      </c>
      <c r="S599" s="240"/>
      <c r="T599" s="201"/>
      <c r="U599" s="201"/>
      <c r="V599" s="201"/>
    </row>
    <row r="600" spans="1:22" ht="15.75" x14ac:dyDescent="0.25">
      <c r="A600" s="234" t="s">
        <v>893</v>
      </c>
      <c r="B600" s="235" t="s">
        <v>626</v>
      </c>
      <c r="C600" s="234" t="s">
        <v>9</v>
      </c>
      <c r="D600" s="312">
        <v>1</v>
      </c>
      <c r="E600" s="312"/>
      <c r="F600" s="248"/>
      <c r="G600" s="312"/>
      <c r="H600" s="312"/>
      <c r="I600" s="312"/>
      <c r="J600" s="248">
        <f t="shared" si="63"/>
        <v>0</v>
      </c>
      <c r="K600" s="330">
        <f t="shared" si="64"/>
        <v>-1</v>
      </c>
      <c r="L600" s="313"/>
      <c r="M600" s="228">
        <f t="shared" si="65"/>
        <v>0</v>
      </c>
      <c r="N600" s="228">
        <f t="shared" si="68"/>
        <v>0</v>
      </c>
      <c r="O600" s="228">
        <f t="shared" si="69"/>
        <v>0</v>
      </c>
      <c r="P600" s="228">
        <f t="shared" si="69"/>
        <v>0</v>
      </c>
      <c r="Q600" s="228">
        <f t="shared" si="66"/>
        <v>0</v>
      </c>
      <c r="R600" s="343">
        <f t="shared" si="67"/>
        <v>-1</v>
      </c>
      <c r="S600" s="240"/>
      <c r="T600" s="201"/>
      <c r="U600" s="201"/>
      <c r="V600" s="201"/>
    </row>
    <row r="601" spans="1:22" ht="15.75" x14ac:dyDescent="0.25">
      <c r="A601" s="234" t="s">
        <v>894</v>
      </c>
      <c r="B601" s="235" t="s">
        <v>804</v>
      </c>
      <c r="C601" s="234" t="s">
        <v>9</v>
      </c>
      <c r="D601" s="312">
        <v>2</v>
      </c>
      <c r="E601" s="312"/>
      <c r="F601" s="248"/>
      <c r="G601" s="312"/>
      <c r="H601" s="312"/>
      <c r="I601" s="312"/>
      <c r="J601" s="248">
        <f t="shared" si="63"/>
        <v>0</v>
      </c>
      <c r="K601" s="330">
        <f t="shared" si="64"/>
        <v>-2</v>
      </c>
      <c r="L601" s="313"/>
      <c r="M601" s="228">
        <f t="shared" si="65"/>
        <v>0</v>
      </c>
      <c r="N601" s="228">
        <f t="shared" si="68"/>
        <v>0</v>
      </c>
      <c r="O601" s="228">
        <f t="shared" si="69"/>
        <v>0</v>
      </c>
      <c r="P601" s="228">
        <f t="shared" si="69"/>
        <v>0</v>
      </c>
      <c r="Q601" s="228">
        <f t="shared" si="66"/>
        <v>0</v>
      </c>
      <c r="R601" s="343">
        <f t="shared" si="67"/>
        <v>-2</v>
      </c>
      <c r="S601" s="240"/>
      <c r="T601" s="201"/>
      <c r="U601" s="201"/>
      <c r="V601" s="201"/>
    </row>
    <row r="602" spans="1:22" ht="15.75" x14ac:dyDescent="0.25">
      <c r="A602" s="234" t="s">
        <v>895</v>
      </c>
      <c r="B602" s="235" t="s">
        <v>628</v>
      </c>
      <c r="C602" s="234" t="s">
        <v>9</v>
      </c>
      <c r="D602" s="312">
        <v>1</v>
      </c>
      <c r="E602" s="312"/>
      <c r="F602" s="248"/>
      <c r="G602" s="312"/>
      <c r="H602" s="312"/>
      <c r="I602" s="312"/>
      <c r="J602" s="248">
        <f t="shared" si="63"/>
        <v>0</v>
      </c>
      <c r="K602" s="330">
        <f t="shared" si="64"/>
        <v>-1</v>
      </c>
      <c r="L602" s="313"/>
      <c r="M602" s="228">
        <f t="shared" si="65"/>
        <v>0</v>
      </c>
      <c r="N602" s="228">
        <f t="shared" si="68"/>
        <v>0</v>
      </c>
      <c r="O602" s="228">
        <f t="shared" si="69"/>
        <v>0</v>
      </c>
      <c r="P602" s="228">
        <f t="shared" si="69"/>
        <v>0</v>
      </c>
      <c r="Q602" s="228">
        <f t="shared" si="66"/>
        <v>0</v>
      </c>
      <c r="R602" s="343">
        <f t="shared" si="67"/>
        <v>-1</v>
      </c>
      <c r="S602" s="240"/>
      <c r="T602" s="201"/>
      <c r="U602" s="201"/>
      <c r="V602" s="201"/>
    </row>
    <row r="603" spans="1:22" ht="15.75" x14ac:dyDescent="0.25">
      <c r="A603" s="234" t="s">
        <v>896</v>
      </c>
      <c r="B603" s="235" t="s">
        <v>593</v>
      </c>
      <c r="C603" s="234" t="s">
        <v>9</v>
      </c>
      <c r="D603" s="312">
        <v>2</v>
      </c>
      <c r="E603" s="312"/>
      <c r="F603" s="248"/>
      <c r="G603" s="312"/>
      <c r="H603" s="312"/>
      <c r="I603" s="312"/>
      <c r="J603" s="248">
        <f t="shared" si="63"/>
        <v>0</v>
      </c>
      <c r="K603" s="330">
        <f t="shared" si="64"/>
        <v>-2</v>
      </c>
      <c r="L603" s="313"/>
      <c r="M603" s="228">
        <f t="shared" si="65"/>
        <v>0</v>
      </c>
      <c r="N603" s="228">
        <f t="shared" si="68"/>
        <v>0</v>
      </c>
      <c r="O603" s="228">
        <f t="shared" si="69"/>
        <v>0</v>
      </c>
      <c r="P603" s="228">
        <f t="shared" si="69"/>
        <v>0</v>
      </c>
      <c r="Q603" s="228">
        <f t="shared" si="66"/>
        <v>0</v>
      </c>
      <c r="R603" s="343">
        <f t="shared" si="67"/>
        <v>-2</v>
      </c>
      <c r="S603" s="240"/>
      <c r="T603" s="201"/>
      <c r="U603" s="201"/>
      <c r="V603" s="201"/>
    </row>
    <row r="604" spans="1:22" ht="15.75" x14ac:dyDescent="0.25">
      <c r="A604" s="234" t="s">
        <v>897</v>
      </c>
      <c r="B604" s="235" t="s">
        <v>890</v>
      </c>
      <c r="C604" s="234" t="s">
        <v>499</v>
      </c>
      <c r="D604" s="312">
        <v>1</v>
      </c>
      <c r="E604" s="312"/>
      <c r="F604" s="248"/>
      <c r="G604" s="312"/>
      <c r="H604" s="312"/>
      <c r="I604" s="312"/>
      <c r="J604" s="248">
        <f t="shared" si="63"/>
        <v>0</v>
      </c>
      <c r="K604" s="330">
        <f t="shared" si="64"/>
        <v>-1</v>
      </c>
      <c r="L604" s="313"/>
      <c r="M604" s="228">
        <f t="shared" si="65"/>
        <v>0</v>
      </c>
      <c r="N604" s="228">
        <f t="shared" si="68"/>
        <v>0</v>
      </c>
      <c r="O604" s="228">
        <f t="shared" si="69"/>
        <v>0</v>
      </c>
      <c r="P604" s="228">
        <f t="shared" si="69"/>
        <v>0</v>
      </c>
      <c r="Q604" s="228">
        <f t="shared" si="66"/>
        <v>0</v>
      </c>
      <c r="R604" s="343">
        <f t="shared" si="67"/>
        <v>-1</v>
      </c>
      <c r="S604" s="240"/>
      <c r="T604" s="201"/>
      <c r="U604" s="201"/>
      <c r="V604" s="201"/>
    </row>
    <row r="605" spans="1:22" ht="15.75" x14ac:dyDescent="0.25">
      <c r="A605" s="230" t="s">
        <v>898</v>
      </c>
      <c r="B605" s="231" t="s">
        <v>899</v>
      </c>
      <c r="C605" s="230"/>
      <c r="D605" s="316"/>
      <c r="E605" s="316"/>
      <c r="F605" s="317"/>
      <c r="G605" s="316"/>
      <c r="H605" s="316"/>
      <c r="I605" s="316"/>
      <c r="J605" s="248">
        <f t="shared" si="63"/>
        <v>0</v>
      </c>
      <c r="K605" s="330">
        <f t="shared" si="64"/>
        <v>0</v>
      </c>
      <c r="L605" s="318"/>
      <c r="M605" s="228">
        <f t="shared" si="65"/>
        <v>0</v>
      </c>
      <c r="N605" s="228">
        <f t="shared" si="68"/>
        <v>0</v>
      </c>
      <c r="O605" s="228">
        <f t="shared" si="69"/>
        <v>0</v>
      </c>
      <c r="P605" s="228">
        <f t="shared" si="69"/>
        <v>0</v>
      </c>
      <c r="Q605" s="228">
        <f t="shared" si="66"/>
        <v>0</v>
      </c>
      <c r="R605" s="343">
        <f t="shared" si="67"/>
        <v>0</v>
      </c>
      <c r="S605" s="240"/>
      <c r="T605" s="201"/>
      <c r="U605" s="201"/>
      <c r="V605" s="201"/>
    </row>
    <row r="606" spans="1:22" ht="15.75" x14ac:dyDescent="0.25">
      <c r="A606" s="234" t="s">
        <v>900</v>
      </c>
      <c r="B606" s="235" t="s">
        <v>901</v>
      </c>
      <c r="C606" s="234" t="s">
        <v>9</v>
      </c>
      <c r="D606" s="312">
        <v>1</v>
      </c>
      <c r="E606" s="312"/>
      <c r="F606" s="248"/>
      <c r="G606" s="312"/>
      <c r="H606" s="312"/>
      <c r="I606" s="312"/>
      <c r="J606" s="248">
        <f t="shared" si="63"/>
        <v>0</v>
      </c>
      <c r="K606" s="330">
        <f t="shared" si="64"/>
        <v>-1</v>
      </c>
      <c r="L606" s="313"/>
      <c r="M606" s="228">
        <f t="shared" si="65"/>
        <v>0</v>
      </c>
      <c r="N606" s="228">
        <f t="shared" si="68"/>
        <v>0</v>
      </c>
      <c r="O606" s="228">
        <f t="shared" si="69"/>
        <v>0</v>
      </c>
      <c r="P606" s="228">
        <f t="shared" si="69"/>
        <v>0</v>
      </c>
      <c r="Q606" s="228">
        <f t="shared" si="66"/>
        <v>0</v>
      </c>
      <c r="R606" s="343">
        <f t="shared" si="67"/>
        <v>-1</v>
      </c>
      <c r="S606" s="240"/>
      <c r="T606" s="201"/>
      <c r="U606" s="201"/>
      <c r="V606" s="201"/>
    </row>
    <row r="607" spans="1:22" ht="15.75" x14ac:dyDescent="0.25">
      <c r="A607" s="234" t="s">
        <v>902</v>
      </c>
      <c r="B607" s="235" t="s">
        <v>804</v>
      </c>
      <c r="C607" s="234" t="s">
        <v>9</v>
      </c>
      <c r="D607" s="312">
        <v>2</v>
      </c>
      <c r="E607" s="312"/>
      <c r="F607" s="248"/>
      <c r="G607" s="312"/>
      <c r="H607" s="312"/>
      <c r="I607" s="312"/>
      <c r="J607" s="248">
        <f t="shared" si="63"/>
        <v>0</v>
      </c>
      <c r="K607" s="330">
        <f t="shared" si="64"/>
        <v>-2</v>
      </c>
      <c r="L607" s="313"/>
      <c r="M607" s="228">
        <f t="shared" si="65"/>
        <v>0</v>
      </c>
      <c r="N607" s="228">
        <f t="shared" si="68"/>
        <v>0</v>
      </c>
      <c r="O607" s="228">
        <f t="shared" si="69"/>
        <v>0</v>
      </c>
      <c r="P607" s="228">
        <f t="shared" si="69"/>
        <v>0</v>
      </c>
      <c r="Q607" s="228">
        <f t="shared" si="66"/>
        <v>0</v>
      </c>
      <c r="R607" s="343">
        <f t="shared" si="67"/>
        <v>-2</v>
      </c>
      <c r="S607" s="240"/>
      <c r="T607" s="201"/>
      <c r="U607" s="201"/>
      <c r="V607" s="201"/>
    </row>
    <row r="608" spans="1:22" ht="15.75" x14ac:dyDescent="0.25">
      <c r="A608" s="234" t="s">
        <v>903</v>
      </c>
      <c r="B608" s="235" t="s">
        <v>593</v>
      </c>
      <c r="C608" s="234" t="s">
        <v>9</v>
      </c>
      <c r="D608" s="312">
        <v>4</v>
      </c>
      <c r="E608" s="312"/>
      <c r="F608" s="248"/>
      <c r="G608" s="312"/>
      <c r="H608" s="312"/>
      <c r="I608" s="312"/>
      <c r="J608" s="248">
        <f t="shared" si="63"/>
        <v>0</v>
      </c>
      <c r="K608" s="330">
        <f t="shared" si="64"/>
        <v>-4</v>
      </c>
      <c r="L608" s="313"/>
      <c r="M608" s="228">
        <f t="shared" si="65"/>
        <v>0</v>
      </c>
      <c r="N608" s="228">
        <f t="shared" si="68"/>
        <v>0</v>
      </c>
      <c r="O608" s="228">
        <f t="shared" si="69"/>
        <v>0</v>
      </c>
      <c r="P608" s="228">
        <f t="shared" si="69"/>
        <v>0</v>
      </c>
      <c r="Q608" s="228">
        <f t="shared" si="66"/>
        <v>0</v>
      </c>
      <c r="R608" s="343">
        <f t="shared" si="67"/>
        <v>-4</v>
      </c>
      <c r="S608" s="240"/>
      <c r="T608" s="201"/>
      <c r="U608" s="201"/>
      <c r="V608" s="201"/>
    </row>
    <row r="609" spans="1:22" ht="15.75" x14ac:dyDescent="0.25">
      <c r="A609" s="234" t="s">
        <v>904</v>
      </c>
      <c r="B609" s="235" t="s">
        <v>808</v>
      </c>
      <c r="C609" s="234" t="s">
        <v>499</v>
      </c>
      <c r="D609" s="312">
        <v>1</v>
      </c>
      <c r="E609" s="312"/>
      <c r="F609" s="248"/>
      <c r="G609" s="312"/>
      <c r="H609" s="312"/>
      <c r="I609" s="312"/>
      <c r="J609" s="248">
        <f t="shared" si="63"/>
        <v>0</v>
      </c>
      <c r="K609" s="330">
        <f t="shared" si="64"/>
        <v>-1</v>
      </c>
      <c r="L609" s="313"/>
      <c r="M609" s="228">
        <f t="shared" si="65"/>
        <v>0</v>
      </c>
      <c r="N609" s="228">
        <f t="shared" si="68"/>
        <v>0</v>
      </c>
      <c r="O609" s="228">
        <f t="shared" si="69"/>
        <v>0</v>
      </c>
      <c r="P609" s="228">
        <f t="shared" si="69"/>
        <v>0</v>
      </c>
      <c r="Q609" s="228">
        <f t="shared" si="66"/>
        <v>0</v>
      </c>
      <c r="R609" s="343">
        <f t="shared" si="67"/>
        <v>-1</v>
      </c>
      <c r="S609" s="240"/>
      <c r="T609" s="201"/>
      <c r="U609" s="201"/>
      <c r="V609" s="201"/>
    </row>
    <row r="610" spans="1:22" ht="15.75" x14ac:dyDescent="0.25">
      <c r="A610" s="230" t="s">
        <v>905</v>
      </c>
      <c r="B610" s="231" t="s">
        <v>906</v>
      </c>
      <c r="C610" s="230"/>
      <c r="D610" s="316"/>
      <c r="E610" s="316"/>
      <c r="F610" s="317"/>
      <c r="G610" s="316"/>
      <c r="H610" s="316"/>
      <c r="I610" s="316"/>
      <c r="J610" s="248">
        <f t="shared" si="63"/>
        <v>0</v>
      </c>
      <c r="K610" s="330">
        <f t="shared" si="64"/>
        <v>0</v>
      </c>
      <c r="L610" s="318"/>
      <c r="M610" s="228">
        <f t="shared" si="65"/>
        <v>0</v>
      </c>
      <c r="N610" s="228">
        <f t="shared" si="68"/>
        <v>0</v>
      </c>
      <c r="O610" s="228">
        <f t="shared" si="69"/>
        <v>0</v>
      </c>
      <c r="P610" s="228">
        <f t="shared" si="69"/>
        <v>0</v>
      </c>
      <c r="Q610" s="228">
        <f t="shared" si="66"/>
        <v>0</v>
      </c>
      <c r="R610" s="343">
        <f t="shared" si="67"/>
        <v>0</v>
      </c>
      <c r="S610" s="240"/>
      <c r="T610" s="201"/>
      <c r="U610" s="201"/>
      <c r="V610" s="201"/>
    </row>
    <row r="611" spans="1:22" ht="15.75" x14ac:dyDescent="0.25">
      <c r="A611" s="234" t="s">
        <v>907</v>
      </c>
      <c r="B611" s="235" t="s">
        <v>901</v>
      </c>
      <c r="C611" s="234" t="s">
        <v>9</v>
      </c>
      <c r="D611" s="312">
        <v>1</v>
      </c>
      <c r="E611" s="312"/>
      <c r="F611" s="248"/>
      <c r="G611" s="312"/>
      <c r="H611" s="312"/>
      <c r="I611" s="312"/>
      <c r="J611" s="248">
        <f t="shared" si="63"/>
        <v>0</v>
      </c>
      <c r="K611" s="330">
        <f t="shared" si="64"/>
        <v>-1</v>
      </c>
      <c r="L611" s="313"/>
      <c r="M611" s="228">
        <f t="shared" si="65"/>
        <v>0</v>
      </c>
      <c r="N611" s="228">
        <f t="shared" si="68"/>
        <v>0</v>
      </c>
      <c r="O611" s="228">
        <f t="shared" si="69"/>
        <v>0</v>
      </c>
      <c r="P611" s="228">
        <f t="shared" si="69"/>
        <v>0</v>
      </c>
      <c r="Q611" s="228">
        <f t="shared" si="66"/>
        <v>0</v>
      </c>
      <c r="R611" s="343">
        <f t="shared" si="67"/>
        <v>-1</v>
      </c>
      <c r="S611" s="240"/>
      <c r="T611" s="201"/>
      <c r="U611" s="201"/>
      <c r="V611" s="201"/>
    </row>
    <row r="612" spans="1:22" ht="15.75" x14ac:dyDescent="0.25">
      <c r="A612" s="234" t="s">
        <v>908</v>
      </c>
      <c r="B612" s="235" t="s">
        <v>804</v>
      </c>
      <c r="C612" s="234" t="s">
        <v>9</v>
      </c>
      <c r="D612" s="312">
        <v>2</v>
      </c>
      <c r="E612" s="312"/>
      <c r="F612" s="248"/>
      <c r="G612" s="312"/>
      <c r="H612" s="312"/>
      <c r="I612" s="312"/>
      <c r="J612" s="248">
        <f t="shared" si="63"/>
        <v>0</v>
      </c>
      <c r="K612" s="330">
        <f t="shared" si="64"/>
        <v>-2</v>
      </c>
      <c r="L612" s="313"/>
      <c r="M612" s="228">
        <f t="shared" si="65"/>
        <v>0</v>
      </c>
      <c r="N612" s="228">
        <f t="shared" si="68"/>
        <v>0</v>
      </c>
      <c r="O612" s="228">
        <f t="shared" si="69"/>
        <v>0</v>
      </c>
      <c r="P612" s="228">
        <f t="shared" si="69"/>
        <v>0</v>
      </c>
      <c r="Q612" s="228">
        <f t="shared" si="66"/>
        <v>0</v>
      </c>
      <c r="R612" s="343">
        <f t="shared" si="67"/>
        <v>-2</v>
      </c>
      <c r="S612" s="240"/>
      <c r="T612" s="201"/>
      <c r="U612" s="201"/>
      <c r="V612" s="201"/>
    </row>
    <row r="613" spans="1:22" ht="15.75" x14ac:dyDescent="0.25">
      <c r="A613" s="234" t="s">
        <v>909</v>
      </c>
      <c r="B613" s="235" t="s">
        <v>593</v>
      </c>
      <c r="C613" s="234" t="s">
        <v>9</v>
      </c>
      <c r="D613" s="312">
        <v>3</v>
      </c>
      <c r="E613" s="312"/>
      <c r="F613" s="248"/>
      <c r="G613" s="312"/>
      <c r="H613" s="312"/>
      <c r="I613" s="312"/>
      <c r="J613" s="248">
        <f t="shared" si="63"/>
        <v>0</v>
      </c>
      <c r="K613" s="330">
        <f t="shared" si="64"/>
        <v>-3</v>
      </c>
      <c r="L613" s="313"/>
      <c r="M613" s="228">
        <f t="shared" si="65"/>
        <v>0</v>
      </c>
      <c r="N613" s="228">
        <f t="shared" si="68"/>
        <v>0</v>
      </c>
      <c r="O613" s="228">
        <f t="shared" si="69"/>
        <v>0</v>
      </c>
      <c r="P613" s="228">
        <f t="shared" si="69"/>
        <v>0</v>
      </c>
      <c r="Q613" s="228">
        <f t="shared" si="66"/>
        <v>0</v>
      </c>
      <c r="R613" s="343">
        <f t="shared" si="67"/>
        <v>-3</v>
      </c>
      <c r="S613" s="240"/>
      <c r="T613" s="201"/>
      <c r="U613" s="201"/>
      <c r="V613" s="201"/>
    </row>
    <row r="614" spans="1:22" ht="15.75" x14ac:dyDescent="0.25">
      <c r="A614" s="234" t="s">
        <v>910</v>
      </c>
      <c r="B614" s="235" t="s">
        <v>808</v>
      </c>
      <c r="C614" s="234" t="s">
        <v>499</v>
      </c>
      <c r="D614" s="312">
        <v>1</v>
      </c>
      <c r="E614" s="312"/>
      <c r="F614" s="248"/>
      <c r="G614" s="312"/>
      <c r="H614" s="312"/>
      <c r="I614" s="312"/>
      <c r="J614" s="248">
        <f t="shared" si="63"/>
        <v>0</v>
      </c>
      <c r="K614" s="330">
        <f t="shared" si="64"/>
        <v>-1</v>
      </c>
      <c r="L614" s="313"/>
      <c r="M614" s="228">
        <f t="shared" si="65"/>
        <v>0</v>
      </c>
      <c r="N614" s="228">
        <f t="shared" si="68"/>
        <v>0</v>
      </c>
      <c r="O614" s="228">
        <f t="shared" si="69"/>
        <v>0</v>
      </c>
      <c r="P614" s="228">
        <f t="shared" si="69"/>
        <v>0</v>
      </c>
      <c r="Q614" s="228">
        <f t="shared" si="66"/>
        <v>0</v>
      </c>
      <c r="R614" s="343">
        <f t="shared" si="67"/>
        <v>-1</v>
      </c>
      <c r="S614" s="240"/>
      <c r="T614" s="201"/>
      <c r="U614" s="201"/>
      <c r="V614" s="201"/>
    </row>
    <row r="615" spans="1:22" ht="15.75" x14ac:dyDescent="0.25">
      <c r="A615" s="230" t="s">
        <v>911</v>
      </c>
      <c r="B615" s="231" t="s">
        <v>912</v>
      </c>
      <c r="C615" s="230"/>
      <c r="D615" s="316"/>
      <c r="E615" s="316"/>
      <c r="F615" s="317"/>
      <c r="G615" s="316"/>
      <c r="H615" s="316"/>
      <c r="I615" s="316"/>
      <c r="J615" s="248">
        <f t="shared" si="63"/>
        <v>0</v>
      </c>
      <c r="K615" s="330">
        <f t="shared" si="64"/>
        <v>0</v>
      </c>
      <c r="L615" s="318"/>
      <c r="M615" s="228">
        <f t="shared" si="65"/>
        <v>0</v>
      </c>
      <c r="N615" s="228">
        <f t="shared" si="68"/>
        <v>0</v>
      </c>
      <c r="O615" s="228">
        <f t="shared" si="69"/>
        <v>0</v>
      </c>
      <c r="P615" s="228">
        <f t="shared" si="69"/>
        <v>0</v>
      </c>
      <c r="Q615" s="228">
        <f t="shared" si="66"/>
        <v>0</v>
      </c>
      <c r="R615" s="343">
        <f t="shared" si="67"/>
        <v>0</v>
      </c>
      <c r="S615" s="240"/>
      <c r="T615" s="201"/>
      <c r="U615" s="201"/>
      <c r="V615" s="201"/>
    </row>
    <row r="616" spans="1:22" ht="15.75" x14ac:dyDescent="0.25">
      <c r="A616" s="234" t="s">
        <v>913</v>
      </c>
      <c r="B616" s="235" t="s">
        <v>812</v>
      </c>
      <c r="C616" s="234" t="s">
        <v>9</v>
      </c>
      <c r="D616" s="312">
        <v>1</v>
      </c>
      <c r="E616" s="312"/>
      <c r="F616" s="248"/>
      <c r="G616" s="312"/>
      <c r="H616" s="312"/>
      <c r="I616" s="312"/>
      <c r="J616" s="248">
        <f t="shared" si="63"/>
        <v>0</v>
      </c>
      <c r="K616" s="330">
        <f t="shared" si="64"/>
        <v>-1</v>
      </c>
      <c r="L616" s="313"/>
      <c r="M616" s="228">
        <f t="shared" si="65"/>
        <v>0</v>
      </c>
      <c r="N616" s="228">
        <f t="shared" si="68"/>
        <v>0</v>
      </c>
      <c r="O616" s="228">
        <f t="shared" si="69"/>
        <v>0</v>
      </c>
      <c r="P616" s="228">
        <f t="shared" si="69"/>
        <v>0</v>
      </c>
      <c r="Q616" s="228">
        <f t="shared" si="66"/>
        <v>0</v>
      </c>
      <c r="R616" s="343">
        <f t="shared" si="67"/>
        <v>-1</v>
      </c>
      <c r="S616" s="240"/>
      <c r="T616" s="201"/>
      <c r="U616" s="201"/>
      <c r="V616" s="201"/>
    </row>
    <row r="617" spans="1:22" ht="15.75" x14ac:dyDescent="0.25">
      <c r="A617" s="234" t="s">
        <v>914</v>
      </c>
      <c r="B617" s="235" t="s">
        <v>804</v>
      </c>
      <c r="C617" s="234" t="s">
        <v>9</v>
      </c>
      <c r="D617" s="312">
        <v>1</v>
      </c>
      <c r="E617" s="312"/>
      <c r="F617" s="248"/>
      <c r="G617" s="312"/>
      <c r="H617" s="312"/>
      <c r="I617" s="312"/>
      <c r="J617" s="248">
        <f t="shared" si="63"/>
        <v>0</v>
      </c>
      <c r="K617" s="330">
        <f t="shared" si="64"/>
        <v>-1</v>
      </c>
      <c r="L617" s="313"/>
      <c r="M617" s="228">
        <f t="shared" si="65"/>
        <v>0</v>
      </c>
      <c r="N617" s="228">
        <f t="shared" si="68"/>
        <v>0</v>
      </c>
      <c r="O617" s="228">
        <f t="shared" si="69"/>
        <v>0</v>
      </c>
      <c r="P617" s="228">
        <f t="shared" si="69"/>
        <v>0</v>
      </c>
      <c r="Q617" s="228">
        <f t="shared" si="66"/>
        <v>0</v>
      </c>
      <c r="R617" s="343">
        <f t="shared" si="67"/>
        <v>-1</v>
      </c>
      <c r="S617" s="240"/>
      <c r="T617" s="201"/>
      <c r="U617" s="201"/>
      <c r="V617" s="201"/>
    </row>
    <row r="618" spans="1:22" ht="15.75" x14ac:dyDescent="0.25">
      <c r="A618" s="234" t="s">
        <v>915</v>
      </c>
      <c r="B618" s="235" t="s">
        <v>593</v>
      </c>
      <c r="C618" s="234" t="s">
        <v>9</v>
      </c>
      <c r="D618" s="312">
        <v>2</v>
      </c>
      <c r="E618" s="312"/>
      <c r="F618" s="248"/>
      <c r="G618" s="312"/>
      <c r="H618" s="312"/>
      <c r="I618" s="312"/>
      <c r="J618" s="248">
        <f t="shared" si="63"/>
        <v>0</v>
      </c>
      <c r="K618" s="330">
        <f t="shared" si="64"/>
        <v>-2</v>
      </c>
      <c r="L618" s="313"/>
      <c r="M618" s="228">
        <f t="shared" si="65"/>
        <v>0</v>
      </c>
      <c r="N618" s="228">
        <f t="shared" si="68"/>
        <v>0</v>
      </c>
      <c r="O618" s="228">
        <f t="shared" si="69"/>
        <v>0</v>
      </c>
      <c r="P618" s="228">
        <f t="shared" si="69"/>
        <v>0</v>
      </c>
      <c r="Q618" s="228">
        <f t="shared" si="66"/>
        <v>0</v>
      </c>
      <c r="R618" s="343">
        <f t="shared" si="67"/>
        <v>-2</v>
      </c>
      <c r="S618" s="240"/>
      <c r="T618" s="201"/>
      <c r="U618" s="201"/>
      <c r="V618" s="201"/>
    </row>
    <row r="619" spans="1:22" ht="15.75" x14ac:dyDescent="0.25">
      <c r="A619" s="234" t="s">
        <v>916</v>
      </c>
      <c r="B619" s="235" t="s">
        <v>816</v>
      </c>
      <c r="C619" s="234" t="s">
        <v>499</v>
      </c>
      <c r="D619" s="312">
        <v>1</v>
      </c>
      <c r="E619" s="312"/>
      <c r="F619" s="248"/>
      <c r="G619" s="312"/>
      <c r="H619" s="312"/>
      <c r="I619" s="312"/>
      <c r="J619" s="248">
        <f t="shared" si="63"/>
        <v>0</v>
      </c>
      <c r="K619" s="330">
        <f t="shared" si="64"/>
        <v>-1</v>
      </c>
      <c r="L619" s="313"/>
      <c r="M619" s="228">
        <f t="shared" si="65"/>
        <v>0</v>
      </c>
      <c r="N619" s="228">
        <f t="shared" si="68"/>
        <v>0</v>
      </c>
      <c r="O619" s="228">
        <f t="shared" si="69"/>
        <v>0</v>
      </c>
      <c r="P619" s="228">
        <f t="shared" si="69"/>
        <v>0</v>
      </c>
      <c r="Q619" s="228">
        <f t="shared" si="66"/>
        <v>0</v>
      </c>
      <c r="R619" s="343">
        <f t="shared" si="67"/>
        <v>-1</v>
      </c>
      <c r="S619" s="240"/>
      <c r="T619" s="201"/>
      <c r="U619" s="201"/>
      <c r="V619" s="201"/>
    </row>
    <row r="620" spans="1:22" ht="15.75" x14ac:dyDescent="0.25">
      <c r="A620" s="230" t="s">
        <v>917</v>
      </c>
      <c r="B620" s="231" t="s">
        <v>918</v>
      </c>
      <c r="C620" s="230"/>
      <c r="D620" s="316"/>
      <c r="E620" s="316"/>
      <c r="F620" s="317"/>
      <c r="G620" s="316"/>
      <c r="H620" s="316"/>
      <c r="I620" s="316"/>
      <c r="J620" s="248">
        <f t="shared" si="63"/>
        <v>0</v>
      </c>
      <c r="K620" s="330">
        <f t="shared" si="64"/>
        <v>0</v>
      </c>
      <c r="L620" s="318"/>
      <c r="M620" s="228">
        <f t="shared" si="65"/>
        <v>0</v>
      </c>
      <c r="N620" s="228">
        <f t="shared" si="68"/>
        <v>0</v>
      </c>
      <c r="O620" s="228">
        <f t="shared" si="69"/>
        <v>0</v>
      </c>
      <c r="P620" s="228">
        <f t="shared" si="69"/>
        <v>0</v>
      </c>
      <c r="Q620" s="228">
        <f t="shared" si="66"/>
        <v>0</v>
      </c>
      <c r="R620" s="343">
        <f t="shared" si="67"/>
        <v>0</v>
      </c>
      <c r="S620" s="240"/>
      <c r="T620" s="201"/>
      <c r="U620" s="201"/>
      <c r="V620" s="201"/>
    </row>
    <row r="621" spans="1:22" ht="15.75" x14ac:dyDescent="0.25">
      <c r="A621" s="234" t="s">
        <v>919</v>
      </c>
      <c r="B621" s="235" t="s">
        <v>812</v>
      </c>
      <c r="C621" s="234" t="s">
        <v>9</v>
      </c>
      <c r="D621" s="312">
        <v>1</v>
      </c>
      <c r="E621" s="312"/>
      <c r="F621" s="248"/>
      <c r="G621" s="312"/>
      <c r="H621" s="312"/>
      <c r="I621" s="312"/>
      <c r="J621" s="248">
        <f t="shared" si="63"/>
        <v>0</v>
      </c>
      <c r="K621" s="330">
        <f t="shared" si="64"/>
        <v>-1</v>
      </c>
      <c r="L621" s="313"/>
      <c r="M621" s="228">
        <f t="shared" si="65"/>
        <v>0</v>
      </c>
      <c r="N621" s="228">
        <f t="shared" si="68"/>
        <v>0</v>
      </c>
      <c r="O621" s="228">
        <f t="shared" si="69"/>
        <v>0</v>
      </c>
      <c r="P621" s="228">
        <f t="shared" si="69"/>
        <v>0</v>
      </c>
      <c r="Q621" s="228">
        <f t="shared" si="66"/>
        <v>0</v>
      </c>
      <c r="R621" s="343">
        <f t="shared" si="67"/>
        <v>-1</v>
      </c>
      <c r="S621" s="240"/>
      <c r="T621" s="201"/>
      <c r="U621" s="201"/>
      <c r="V621" s="201"/>
    </row>
    <row r="622" spans="1:22" ht="15.75" x14ac:dyDescent="0.25">
      <c r="A622" s="234" t="s">
        <v>920</v>
      </c>
      <c r="B622" s="235" t="s">
        <v>804</v>
      </c>
      <c r="C622" s="234" t="s">
        <v>9</v>
      </c>
      <c r="D622" s="312">
        <v>1</v>
      </c>
      <c r="E622" s="312"/>
      <c r="F622" s="248"/>
      <c r="G622" s="312"/>
      <c r="H622" s="312"/>
      <c r="I622" s="312"/>
      <c r="J622" s="248">
        <f t="shared" si="63"/>
        <v>0</v>
      </c>
      <c r="K622" s="330">
        <f t="shared" si="64"/>
        <v>-1</v>
      </c>
      <c r="L622" s="313"/>
      <c r="M622" s="228">
        <f t="shared" si="65"/>
        <v>0</v>
      </c>
      <c r="N622" s="228">
        <f t="shared" si="68"/>
        <v>0</v>
      </c>
      <c r="O622" s="228">
        <f t="shared" si="69"/>
        <v>0</v>
      </c>
      <c r="P622" s="228">
        <f t="shared" si="69"/>
        <v>0</v>
      </c>
      <c r="Q622" s="228">
        <f t="shared" si="66"/>
        <v>0</v>
      </c>
      <c r="R622" s="343">
        <f t="shared" si="67"/>
        <v>-1</v>
      </c>
      <c r="S622" s="240"/>
      <c r="T622" s="201"/>
      <c r="U622" s="201"/>
      <c r="V622" s="201"/>
    </row>
    <row r="623" spans="1:22" ht="15.75" x14ac:dyDescent="0.25">
      <c r="A623" s="234" t="s">
        <v>921</v>
      </c>
      <c r="B623" s="235" t="s">
        <v>593</v>
      </c>
      <c r="C623" s="234" t="s">
        <v>9</v>
      </c>
      <c r="D623" s="312">
        <v>2</v>
      </c>
      <c r="E623" s="312"/>
      <c r="F623" s="248"/>
      <c r="G623" s="312"/>
      <c r="H623" s="312"/>
      <c r="I623" s="312"/>
      <c r="J623" s="248">
        <f t="shared" si="63"/>
        <v>0</v>
      </c>
      <c r="K623" s="330">
        <f t="shared" si="64"/>
        <v>-2</v>
      </c>
      <c r="L623" s="313"/>
      <c r="M623" s="228">
        <f t="shared" si="65"/>
        <v>0</v>
      </c>
      <c r="N623" s="228">
        <f t="shared" si="68"/>
        <v>0</v>
      </c>
      <c r="O623" s="228">
        <f t="shared" si="69"/>
        <v>0</v>
      </c>
      <c r="P623" s="228">
        <f t="shared" si="69"/>
        <v>0</v>
      </c>
      <c r="Q623" s="228">
        <f t="shared" si="66"/>
        <v>0</v>
      </c>
      <c r="R623" s="343">
        <f t="shared" si="67"/>
        <v>-2</v>
      </c>
      <c r="S623" s="240"/>
      <c r="T623" s="201"/>
      <c r="U623" s="201"/>
      <c r="V623" s="201"/>
    </row>
    <row r="624" spans="1:22" ht="15.75" x14ac:dyDescent="0.25">
      <c r="A624" s="234" t="s">
        <v>922</v>
      </c>
      <c r="B624" s="235" t="s">
        <v>816</v>
      </c>
      <c r="C624" s="234" t="s">
        <v>499</v>
      </c>
      <c r="D624" s="312">
        <v>1</v>
      </c>
      <c r="E624" s="312"/>
      <c r="F624" s="248"/>
      <c r="G624" s="312"/>
      <c r="H624" s="312"/>
      <c r="I624" s="312"/>
      <c r="J624" s="248">
        <f t="shared" si="63"/>
        <v>0</v>
      </c>
      <c r="K624" s="330">
        <f t="shared" si="64"/>
        <v>-1</v>
      </c>
      <c r="L624" s="313"/>
      <c r="M624" s="228">
        <f t="shared" si="65"/>
        <v>0</v>
      </c>
      <c r="N624" s="228">
        <f t="shared" si="68"/>
        <v>0</v>
      </c>
      <c r="O624" s="228">
        <f t="shared" si="69"/>
        <v>0</v>
      </c>
      <c r="P624" s="228">
        <f t="shared" si="69"/>
        <v>0</v>
      </c>
      <c r="Q624" s="228">
        <f t="shared" si="66"/>
        <v>0</v>
      </c>
      <c r="R624" s="343">
        <f t="shared" si="67"/>
        <v>-1</v>
      </c>
      <c r="S624" s="240"/>
      <c r="T624" s="201"/>
      <c r="U624" s="201"/>
      <c r="V624" s="201"/>
    </row>
    <row r="625" spans="1:22" ht="15.75" x14ac:dyDescent="0.25">
      <c r="A625" s="230" t="s">
        <v>923</v>
      </c>
      <c r="B625" s="231" t="s">
        <v>924</v>
      </c>
      <c r="C625" s="230"/>
      <c r="D625" s="316"/>
      <c r="E625" s="316"/>
      <c r="F625" s="317"/>
      <c r="G625" s="316"/>
      <c r="H625" s="316"/>
      <c r="I625" s="316"/>
      <c r="J625" s="248">
        <f t="shared" si="63"/>
        <v>0</v>
      </c>
      <c r="K625" s="330">
        <f t="shared" si="64"/>
        <v>0</v>
      </c>
      <c r="L625" s="318"/>
      <c r="M625" s="228">
        <f t="shared" si="65"/>
        <v>0</v>
      </c>
      <c r="N625" s="228">
        <f t="shared" si="68"/>
        <v>0</v>
      </c>
      <c r="O625" s="228">
        <f t="shared" si="69"/>
        <v>0</v>
      </c>
      <c r="P625" s="228">
        <f t="shared" si="69"/>
        <v>0</v>
      </c>
      <c r="Q625" s="228">
        <f t="shared" si="66"/>
        <v>0</v>
      </c>
      <c r="R625" s="343">
        <f t="shared" si="67"/>
        <v>0</v>
      </c>
      <c r="S625" s="240"/>
      <c r="T625" s="201"/>
      <c r="U625" s="201"/>
      <c r="V625" s="201"/>
    </row>
    <row r="626" spans="1:22" ht="15.75" x14ac:dyDescent="0.25">
      <c r="A626" s="234" t="s">
        <v>925</v>
      </c>
      <c r="B626" s="235" t="s">
        <v>812</v>
      </c>
      <c r="C626" s="234" t="s">
        <v>9</v>
      </c>
      <c r="D626" s="312">
        <v>1</v>
      </c>
      <c r="E626" s="312"/>
      <c r="F626" s="248"/>
      <c r="G626" s="312"/>
      <c r="H626" s="312"/>
      <c r="I626" s="312"/>
      <c r="J626" s="248">
        <f t="shared" si="63"/>
        <v>0</v>
      </c>
      <c r="K626" s="330">
        <f t="shared" si="64"/>
        <v>-1</v>
      </c>
      <c r="L626" s="313"/>
      <c r="M626" s="228">
        <f t="shared" si="65"/>
        <v>0</v>
      </c>
      <c r="N626" s="228">
        <f t="shared" si="68"/>
        <v>0</v>
      </c>
      <c r="O626" s="228">
        <f t="shared" si="69"/>
        <v>0</v>
      </c>
      <c r="P626" s="228">
        <f t="shared" si="69"/>
        <v>0</v>
      </c>
      <c r="Q626" s="228">
        <f t="shared" si="66"/>
        <v>0</v>
      </c>
      <c r="R626" s="343">
        <f t="shared" si="67"/>
        <v>-1</v>
      </c>
      <c r="S626" s="240"/>
      <c r="T626" s="201"/>
      <c r="U626" s="201"/>
      <c r="V626" s="201"/>
    </row>
    <row r="627" spans="1:22" ht="15.75" x14ac:dyDescent="0.25">
      <c r="A627" s="234" t="s">
        <v>926</v>
      </c>
      <c r="B627" s="235" t="s">
        <v>804</v>
      </c>
      <c r="C627" s="234" t="s">
        <v>9</v>
      </c>
      <c r="D627" s="312">
        <v>1</v>
      </c>
      <c r="E627" s="312"/>
      <c r="F627" s="248"/>
      <c r="G627" s="312"/>
      <c r="H627" s="312"/>
      <c r="I627" s="312"/>
      <c r="J627" s="248">
        <f t="shared" si="63"/>
        <v>0</v>
      </c>
      <c r="K627" s="330">
        <f t="shared" si="64"/>
        <v>-1</v>
      </c>
      <c r="L627" s="313"/>
      <c r="M627" s="228">
        <f t="shared" si="65"/>
        <v>0</v>
      </c>
      <c r="N627" s="228">
        <f t="shared" si="68"/>
        <v>0</v>
      </c>
      <c r="O627" s="228">
        <f t="shared" si="69"/>
        <v>0</v>
      </c>
      <c r="P627" s="228">
        <f t="shared" si="69"/>
        <v>0</v>
      </c>
      <c r="Q627" s="228">
        <f t="shared" si="66"/>
        <v>0</v>
      </c>
      <c r="R627" s="343">
        <f t="shared" si="67"/>
        <v>-1</v>
      </c>
      <c r="S627" s="240"/>
      <c r="T627" s="201"/>
      <c r="U627" s="201"/>
      <c r="V627" s="201"/>
    </row>
    <row r="628" spans="1:22" ht="15.75" x14ac:dyDescent="0.25">
      <c r="A628" s="234" t="s">
        <v>927</v>
      </c>
      <c r="B628" s="235" t="s">
        <v>593</v>
      </c>
      <c r="C628" s="234" t="s">
        <v>9</v>
      </c>
      <c r="D628" s="312">
        <v>2</v>
      </c>
      <c r="E628" s="312"/>
      <c r="F628" s="248"/>
      <c r="G628" s="312"/>
      <c r="H628" s="312"/>
      <c r="I628" s="312"/>
      <c r="J628" s="248">
        <f t="shared" si="63"/>
        <v>0</v>
      </c>
      <c r="K628" s="330">
        <f t="shared" si="64"/>
        <v>-2</v>
      </c>
      <c r="L628" s="313"/>
      <c r="M628" s="228">
        <f t="shared" si="65"/>
        <v>0</v>
      </c>
      <c r="N628" s="228">
        <f t="shared" si="68"/>
        <v>0</v>
      </c>
      <c r="O628" s="228">
        <f t="shared" si="69"/>
        <v>0</v>
      </c>
      <c r="P628" s="228">
        <f t="shared" si="69"/>
        <v>0</v>
      </c>
      <c r="Q628" s="228">
        <f t="shared" si="66"/>
        <v>0</v>
      </c>
      <c r="R628" s="343">
        <f t="shared" si="67"/>
        <v>-2</v>
      </c>
      <c r="S628" s="240"/>
      <c r="T628" s="201"/>
      <c r="U628" s="201"/>
      <c r="V628" s="201"/>
    </row>
    <row r="629" spans="1:22" ht="15.75" x14ac:dyDescent="0.25">
      <c r="A629" s="234" t="s">
        <v>928</v>
      </c>
      <c r="B629" s="235" t="s">
        <v>816</v>
      </c>
      <c r="C629" s="234" t="s">
        <v>499</v>
      </c>
      <c r="D629" s="312">
        <v>1</v>
      </c>
      <c r="E629" s="312"/>
      <c r="F629" s="248"/>
      <c r="G629" s="312"/>
      <c r="H629" s="312"/>
      <c r="I629" s="312"/>
      <c r="J629" s="248">
        <f t="shared" si="63"/>
        <v>0</v>
      </c>
      <c r="K629" s="330">
        <f t="shared" si="64"/>
        <v>-1</v>
      </c>
      <c r="L629" s="313"/>
      <c r="M629" s="228">
        <f t="shared" si="65"/>
        <v>0</v>
      </c>
      <c r="N629" s="228">
        <f t="shared" si="68"/>
        <v>0</v>
      </c>
      <c r="O629" s="228">
        <f t="shared" si="69"/>
        <v>0</v>
      </c>
      <c r="P629" s="228">
        <f t="shared" si="69"/>
        <v>0</v>
      </c>
      <c r="Q629" s="228">
        <f t="shared" si="66"/>
        <v>0</v>
      </c>
      <c r="R629" s="343">
        <f t="shared" si="67"/>
        <v>-1</v>
      </c>
      <c r="S629" s="240"/>
      <c r="T629" s="201"/>
      <c r="U629" s="201"/>
      <c r="V629" s="201"/>
    </row>
    <row r="630" spans="1:22" ht="15.75" x14ac:dyDescent="0.25">
      <c r="A630" s="230" t="s">
        <v>929</v>
      </c>
      <c r="B630" s="231" t="s">
        <v>930</v>
      </c>
      <c r="C630" s="230"/>
      <c r="D630" s="316"/>
      <c r="E630" s="316"/>
      <c r="F630" s="317"/>
      <c r="G630" s="316"/>
      <c r="H630" s="316"/>
      <c r="I630" s="316"/>
      <c r="J630" s="248">
        <f t="shared" si="63"/>
        <v>0</v>
      </c>
      <c r="K630" s="330">
        <f t="shared" si="64"/>
        <v>0</v>
      </c>
      <c r="L630" s="318"/>
      <c r="M630" s="228">
        <f t="shared" si="65"/>
        <v>0</v>
      </c>
      <c r="N630" s="228">
        <f t="shared" si="68"/>
        <v>0</v>
      </c>
      <c r="O630" s="228">
        <f t="shared" si="69"/>
        <v>0</v>
      </c>
      <c r="P630" s="228">
        <f t="shared" si="69"/>
        <v>0</v>
      </c>
      <c r="Q630" s="228">
        <f t="shared" si="66"/>
        <v>0</v>
      </c>
      <c r="R630" s="343">
        <f t="shared" si="67"/>
        <v>0</v>
      </c>
      <c r="S630" s="240"/>
      <c r="T630" s="201"/>
      <c r="U630" s="201"/>
      <c r="V630" s="201"/>
    </row>
    <row r="631" spans="1:22" ht="15.75" x14ac:dyDescent="0.25">
      <c r="A631" s="234" t="s">
        <v>931</v>
      </c>
      <c r="B631" s="235" t="s">
        <v>812</v>
      </c>
      <c r="C631" s="234" t="s">
        <v>9</v>
      </c>
      <c r="D631" s="312">
        <v>1</v>
      </c>
      <c r="E631" s="312"/>
      <c r="F631" s="248"/>
      <c r="G631" s="312"/>
      <c r="H631" s="312"/>
      <c r="I631" s="312"/>
      <c r="J631" s="248">
        <f t="shared" si="63"/>
        <v>0</v>
      </c>
      <c r="K631" s="330">
        <f t="shared" si="64"/>
        <v>-1</v>
      </c>
      <c r="L631" s="313"/>
      <c r="M631" s="228">
        <f t="shared" si="65"/>
        <v>0</v>
      </c>
      <c r="N631" s="228">
        <f t="shared" si="68"/>
        <v>0</v>
      </c>
      <c r="O631" s="228">
        <f t="shared" si="69"/>
        <v>0</v>
      </c>
      <c r="P631" s="228">
        <f t="shared" si="69"/>
        <v>0</v>
      </c>
      <c r="Q631" s="228">
        <f t="shared" si="66"/>
        <v>0</v>
      </c>
      <c r="R631" s="343">
        <f t="shared" si="67"/>
        <v>-1</v>
      </c>
      <c r="S631" s="240"/>
      <c r="T631" s="201"/>
      <c r="U631" s="201"/>
      <c r="V631" s="201"/>
    </row>
    <row r="632" spans="1:22" ht="15.75" x14ac:dyDescent="0.25">
      <c r="A632" s="234" t="s">
        <v>932</v>
      </c>
      <c r="B632" s="235" t="s">
        <v>804</v>
      </c>
      <c r="C632" s="234" t="s">
        <v>9</v>
      </c>
      <c r="D632" s="312">
        <v>1</v>
      </c>
      <c r="E632" s="312"/>
      <c r="F632" s="248"/>
      <c r="G632" s="312"/>
      <c r="H632" s="312"/>
      <c r="I632" s="312"/>
      <c r="J632" s="248">
        <f t="shared" si="63"/>
        <v>0</v>
      </c>
      <c r="K632" s="330">
        <f t="shared" si="64"/>
        <v>-1</v>
      </c>
      <c r="L632" s="313"/>
      <c r="M632" s="228">
        <f t="shared" si="65"/>
        <v>0</v>
      </c>
      <c r="N632" s="228">
        <f t="shared" si="68"/>
        <v>0</v>
      </c>
      <c r="O632" s="228">
        <f t="shared" si="69"/>
        <v>0</v>
      </c>
      <c r="P632" s="228">
        <f t="shared" si="69"/>
        <v>0</v>
      </c>
      <c r="Q632" s="228">
        <f t="shared" si="66"/>
        <v>0</v>
      </c>
      <c r="R632" s="343">
        <f t="shared" si="67"/>
        <v>-1</v>
      </c>
      <c r="S632" s="240"/>
      <c r="T632" s="201"/>
      <c r="U632" s="201"/>
      <c r="V632" s="201"/>
    </row>
    <row r="633" spans="1:22" ht="15.75" x14ac:dyDescent="0.25">
      <c r="A633" s="234" t="s">
        <v>933</v>
      </c>
      <c r="B633" s="235" t="s">
        <v>593</v>
      </c>
      <c r="C633" s="234" t="s">
        <v>9</v>
      </c>
      <c r="D633" s="312">
        <v>2</v>
      </c>
      <c r="E633" s="312"/>
      <c r="F633" s="248"/>
      <c r="G633" s="312"/>
      <c r="H633" s="312"/>
      <c r="I633" s="312"/>
      <c r="J633" s="248">
        <f t="shared" si="63"/>
        <v>0</v>
      </c>
      <c r="K633" s="330">
        <f t="shared" si="64"/>
        <v>-2</v>
      </c>
      <c r="L633" s="313"/>
      <c r="M633" s="228">
        <f t="shared" si="65"/>
        <v>0</v>
      </c>
      <c r="N633" s="228">
        <f t="shared" si="68"/>
        <v>0</v>
      </c>
      <c r="O633" s="228">
        <f t="shared" si="69"/>
        <v>0</v>
      </c>
      <c r="P633" s="228">
        <f t="shared" si="69"/>
        <v>0</v>
      </c>
      <c r="Q633" s="228">
        <f t="shared" si="66"/>
        <v>0</v>
      </c>
      <c r="R633" s="343">
        <f t="shared" si="67"/>
        <v>-2</v>
      </c>
      <c r="S633" s="240"/>
      <c r="T633" s="201"/>
      <c r="U633" s="201"/>
      <c r="V633" s="201"/>
    </row>
    <row r="634" spans="1:22" ht="15.75" x14ac:dyDescent="0.25">
      <c r="A634" s="234" t="s">
        <v>934</v>
      </c>
      <c r="B634" s="235" t="s">
        <v>816</v>
      </c>
      <c r="C634" s="234" t="s">
        <v>499</v>
      </c>
      <c r="D634" s="312">
        <v>1</v>
      </c>
      <c r="E634" s="312"/>
      <c r="F634" s="248"/>
      <c r="G634" s="312"/>
      <c r="H634" s="312"/>
      <c r="I634" s="312"/>
      <c r="J634" s="248">
        <f t="shared" ref="J634:J697" si="70">F634+G634+H634+I634</f>
        <v>0</v>
      </c>
      <c r="K634" s="330">
        <f t="shared" ref="K634:K697" si="71">J634-D634</f>
        <v>-1</v>
      </c>
      <c r="L634" s="313"/>
      <c r="M634" s="228">
        <f t="shared" ref="M634:M697" si="72">F634</f>
        <v>0</v>
      </c>
      <c r="N634" s="228">
        <f t="shared" si="68"/>
        <v>0</v>
      </c>
      <c r="O634" s="228">
        <f t="shared" si="69"/>
        <v>0</v>
      </c>
      <c r="P634" s="228">
        <f t="shared" si="69"/>
        <v>0</v>
      </c>
      <c r="Q634" s="228">
        <f t="shared" ref="Q634:Q697" si="73">M634+N634+O634+P634</f>
        <v>0</v>
      </c>
      <c r="R634" s="343">
        <f t="shared" ref="R634:R697" si="74">Q634-D634</f>
        <v>-1</v>
      </c>
      <c r="S634" s="240"/>
      <c r="T634" s="201"/>
      <c r="U634" s="201"/>
      <c r="V634" s="201"/>
    </row>
    <row r="635" spans="1:22" ht="15.75" x14ac:dyDescent="0.25">
      <c r="A635" s="230" t="s">
        <v>935</v>
      </c>
      <c r="B635" s="231" t="s">
        <v>936</v>
      </c>
      <c r="C635" s="230"/>
      <c r="D635" s="316"/>
      <c r="E635" s="316"/>
      <c r="F635" s="317"/>
      <c r="G635" s="316"/>
      <c r="H635" s="316"/>
      <c r="I635" s="316"/>
      <c r="J635" s="248">
        <f t="shared" si="70"/>
        <v>0</v>
      </c>
      <c r="K635" s="330">
        <f t="shared" si="71"/>
        <v>0</v>
      </c>
      <c r="L635" s="318"/>
      <c r="M635" s="228">
        <f t="shared" si="72"/>
        <v>0</v>
      </c>
      <c r="N635" s="228">
        <f t="shared" si="68"/>
        <v>0</v>
      </c>
      <c r="O635" s="228">
        <f t="shared" si="69"/>
        <v>0</v>
      </c>
      <c r="P635" s="228">
        <f t="shared" si="69"/>
        <v>0</v>
      </c>
      <c r="Q635" s="228">
        <f t="shared" si="73"/>
        <v>0</v>
      </c>
      <c r="R635" s="343">
        <f t="shared" si="74"/>
        <v>0</v>
      </c>
      <c r="S635" s="240"/>
      <c r="T635" s="201"/>
      <c r="U635" s="201"/>
      <c r="V635" s="201"/>
    </row>
    <row r="636" spans="1:22" ht="15.75" x14ac:dyDescent="0.25">
      <c r="A636" s="234" t="s">
        <v>937</v>
      </c>
      <c r="B636" s="235" t="s">
        <v>812</v>
      </c>
      <c r="C636" s="234" t="s">
        <v>9</v>
      </c>
      <c r="D636" s="312">
        <v>1</v>
      </c>
      <c r="E636" s="312"/>
      <c r="F636" s="248"/>
      <c r="G636" s="312"/>
      <c r="H636" s="312"/>
      <c r="I636" s="312"/>
      <c r="J636" s="248">
        <f t="shared" si="70"/>
        <v>0</v>
      </c>
      <c r="K636" s="330">
        <f t="shared" si="71"/>
        <v>-1</v>
      </c>
      <c r="L636" s="313"/>
      <c r="M636" s="228">
        <f t="shared" si="72"/>
        <v>0</v>
      </c>
      <c r="N636" s="228">
        <f t="shared" si="68"/>
        <v>0</v>
      </c>
      <c r="O636" s="228">
        <f t="shared" si="69"/>
        <v>0</v>
      </c>
      <c r="P636" s="228">
        <f t="shared" si="69"/>
        <v>0</v>
      </c>
      <c r="Q636" s="228">
        <f t="shared" si="73"/>
        <v>0</v>
      </c>
      <c r="R636" s="343">
        <f t="shared" si="74"/>
        <v>-1</v>
      </c>
      <c r="S636" s="240"/>
      <c r="T636" s="201"/>
      <c r="U636" s="201"/>
      <c r="V636" s="201"/>
    </row>
    <row r="637" spans="1:22" ht="15.75" x14ac:dyDescent="0.25">
      <c r="A637" s="234" t="s">
        <v>938</v>
      </c>
      <c r="B637" s="235" t="s">
        <v>804</v>
      </c>
      <c r="C637" s="234" t="s">
        <v>9</v>
      </c>
      <c r="D637" s="312">
        <v>1</v>
      </c>
      <c r="E637" s="312"/>
      <c r="F637" s="248"/>
      <c r="G637" s="312"/>
      <c r="H637" s="312"/>
      <c r="I637" s="312"/>
      <c r="J637" s="248">
        <f t="shared" si="70"/>
        <v>0</v>
      </c>
      <c r="K637" s="330">
        <f t="shared" si="71"/>
        <v>-1</v>
      </c>
      <c r="L637" s="313"/>
      <c r="M637" s="228">
        <f t="shared" si="72"/>
        <v>0</v>
      </c>
      <c r="N637" s="228">
        <f t="shared" si="68"/>
        <v>0</v>
      </c>
      <c r="O637" s="228">
        <f t="shared" si="69"/>
        <v>0</v>
      </c>
      <c r="P637" s="228">
        <f t="shared" si="69"/>
        <v>0</v>
      </c>
      <c r="Q637" s="228">
        <f t="shared" si="73"/>
        <v>0</v>
      </c>
      <c r="R637" s="343">
        <f t="shared" si="74"/>
        <v>-1</v>
      </c>
      <c r="S637" s="240"/>
      <c r="T637" s="201"/>
      <c r="U637" s="201"/>
      <c r="V637" s="201"/>
    </row>
    <row r="638" spans="1:22" ht="15.75" x14ac:dyDescent="0.25">
      <c r="A638" s="234" t="s">
        <v>939</v>
      </c>
      <c r="B638" s="235" t="s">
        <v>593</v>
      </c>
      <c r="C638" s="234" t="s">
        <v>9</v>
      </c>
      <c r="D638" s="312">
        <v>2</v>
      </c>
      <c r="E638" s="312"/>
      <c r="F638" s="248"/>
      <c r="G638" s="312"/>
      <c r="H638" s="312"/>
      <c r="I638" s="312"/>
      <c r="J638" s="248">
        <f t="shared" si="70"/>
        <v>0</v>
      </c>
      <c r="K638" s="330">
        <f t="shared" si="71"/>
        <v>-2</v>
      </c>
      <c r="L638" s="313"/>
      <c r="M638" s="228">
        <f t="shared" si="72"/>
        <v>0</v>
      </c>
      <c r="N638" s="228">
        <f t="shared" si="68"/>
        <v>0</v>
      </c>
      <c r="O638" s="228">
        <f t="shared" si="69"/>
        <v>0</v>
      </c>
      <c r="P638" s="228">
        <f t="shared" si="69"/>
        <v>0</v>
      </c>
      <c r="Q638" s="228">
        <f t="shared" si="73"/>
        <v>0</v>
      </c>
      <c r="R638" s="343">
        <f t="shared" si="74"/>
        <v>-2</v>
      </c>
      <c r="S638" s="240"/>
      <c r="T638" s="201"/>
      <c r="U638" s="201"/>
      <c r="V638" s="201"/>
    </row>
    <row r="639" spans="1:22" ht="15.75" x14ac:dyDescent="0.25">
      <c r="A639" s="234" t="s">
        <v>940</v>
      </c>
      <c r="B639" s="235" t="s">
        <v>816</v>
      </c>
      <c r="C639" s="234" t="s">
        <v>499</v>
      </c>
      <c r="D639" s="312">
        <v>1</v>
      </c>
      <c r="E639" s="312"/>
      <c r="F639" s="248"/>
      <c r="G639" s="312"/>
      <c r="H639" s="312"/>
      <c r="I639" s="312"/>
      <c r="J639" s="248">
        <f t="shared" si="70"/>
        <v>0</v>
      </c>
      <c r="K639" s="330">
        <f t="shared" si="71"/>
        <v>-1</v>
      </c>
      <c r="L639" s="313"/>
      <c r="M639" s="228">
        <f t="shared" si="72"/>
        <v>0</v>
      </c>
      <c r="N639" s="228">
        <f t="shared" si="68"/>
        <v>0</v>
      </c>
      <c r="O639" s="228">
        <f t="shared" si="69"/>
        <v>0</v>
      </c>
      <c r="P639" s="228">
        <f t="shared" si="69"/>
        <v>0</v>
      </c>
      <c r="Q639" s="228">
        <f t="shared" si="73"/>
        <v>0</v>
      </c>
      <c r="R639" s="343">
        <f t="shared" si="74"/>
        <v>-1</v>
      </c>
      <c r="S639" s="240"/>
      <c r="T639" s="201"/>
      <c r="U639" s="201"/>
      <c r="V639" s="201"/>
    </row>
    <row r="640" spans="1:22" ht="15.75" x14ac:dyDescent="0.25">
      <c r="A640" s="230" t="s">
        <v>941</v>
      </c>
      <c r="B640" s="231" t="s">
        <v>942</v>
      </c>
      <c r="C640" s="230"/>
      <c r="D640" s="316"/>
      <c r="E640" s="316"/>
      <c r="F640" s="317"/>
      <c r="G640" s="316"/>
      <c r="H640" s="316"/>
      <c r="I640" s="316"/>
      <c r="J640" s="248">
        <f t="shared" si="70"/>
        <v>0</v>
      </c>
      <c r="K640" s="330">
        <f t="shared" si="71"/>
        <v>0</v>
      </c>
      <c r="L640" s="318"/>
      <c r="M640" s="228">
        <f t="shared" si="72"/>
        <v>0</v>
      </c>
      <c r="N640" s="228">
        <f t="shared" si="68"/>
        <v>0</v>
      </c>
      <c r="O640" s="228">
        <f t="shared" si="69"/>
        <v>0</v>
      </c>
      <c r="P640" s="228">
        <f t="shared" si="69"/>
        <v>0</v>
      </c>
      <c r="Q640" s="228">
        <f t="shared" si="73"/>
        <v>0</v>
      </c>
      <c r="R640" s="343">
        <f t="shared" si="74"/>
        <v>0</v>
      </c>
      <c r="S640" s="240"/>
      <c r="T640" s="201"/>
      <c r="U640" s="201"/>
      <c r="V640" s="201"/>
    </row>
    <row r="641" spans="1:22" ht="15.75" x14ac:dyDescent="0.25">
      <c r="A641" s="234" t="s">
        <v>943</v>
      </c>
      <c r="B641" s="235" t="s">
        <v>812</v>
      </c>
      <c r="C641" s="234" t="s">
        <v>9</v>
      </c>
      <c r="D641" s="312">
        <v>1</v>
      </c>
      <c r="E641" s="312"/>
      <c r="F641" s="248"/>
      <c r="G641" s="312"/>
      <c r="H641" s="312"/>
      <c r="I641" s="312"/>
      <c r="J641" s="248">
        <f t="shared" si="70"/>
        <v>0</v>
      </c>
      <c r="K641" s="330">
        <f t="shared" si="71"/>
        <v>-1</v>
      </c>
      <c r="L641" s="313"/>
      <c r="M641" s="228">
        <f t="shared" si="72"/>
        <v>0</v>
      </c>
      <c r="N641" s="228">
        <f t="shared" si="68"/>
        <v>0</v>
      </c>
      <c r="O641" s="228">
        <f t="shared" si="69"/>
        <v>0</v>
      </c>
      <c r="P641" s="228">
        <f t="shared" si="69"/>
        <v>0</v>
      </c>
      <c r="Q641" s="228">
        <f t="shared" si="73"/>
        <v>0</v>
      </c>
      <c r="R641" s="343">
        <f t="shared" si="74"/>
        <v>-1</v>
      </c>
      <c r="S641" s="240"/>
      <c r="T641" s="201"/>
      <c r="U641" s="201"/>
      <c r="V641" s="201"/>
    </row>
    <row r="642" spans="1:22" ht="15.75" x14ac:dyDescent="0.25">
      <c r="A642" s="234" t="s">
        <v>944</v>
      </c>
      <c r="B642" s="235" t="s">
        <v>804</v>
      </c>
      <c r="C642" s="234" t="s">
        <v>9</v>
      </c>
      <c r="D642" s="312">
        <v>1</v>
      </c>
      <c r="E642" s="312"/>
      <c r="F642" s="248"/>
      <c r="G642" s="312"/>
      <c r="H642" s="312"/>
      <c r="I642" s="312"/>
      <c r="J642" s="248">
        <f t="shared" si="70"/>
        <v>0</v>
      </c>
      <c r="K642" s="330">
        <f t="shared" si="71"/>
        <v>-1</v>
      </c>
      <c r="L642" s="313"/>
      <c r="M642" s="228">
        <f t="shared" si="72"/>
        <v>0</v>
      </c>
      <c r="N642" s="228">
        <f t="shared" si="68"/>
        <v>0</v>
      </c>
      <c r="O642" s="228">
        <f t="shared" si="69"/>
        <v>0</v>
      </c>
      <c r="P642" s="228">
        <f t="shared" si="69"/>
        <v>0</v>
      </c>
      <c r="Q642" s="228">
        <f t="shared" si="73"/>
        <v>0</v>
      </c>
      <c r="R642" s="343">
        <f t="shared" si="74"/>
        <v>-1</v>
      </c>
      <c r="S642" s="240"/>
      <c r="T642" s="201"/>
      <c r="U642" s="201"/>
      <c r="V642" s="201"/>
    </row>
    <row r="643" spans="1:22" ht="15.75" x14ac:dyDescent="0.25">
      <c r="A643" s="234" t="s">
        <v>945</v>
      </c>
      <c r="B643" s="235" t="s">
        <v>593</v>
      </c>
      <c r="C643" s="234" t="s">
        <v>9</v>
      </c>
      <c r="D643" s="312">
        <v>2</v>
      </c>
      <c r="E643" s="312"/>
      <c r="F643" s="248"/>
      <c r="G643" s="312"/>
      <c r="H643" s="312"/>
      <c r="I643" s="312"/>
      <c r="J643" s="248">
        <f t="shared" si="70"/>
        <v>0</v>
      </c>
      <c r="K643" s="330">
        <f t="shared" si="71"/>
        <v>-2</v>
      </c>
      <c r="L643" s="313"/>
      <c r="M643" s="228">
        <f t="shared" si="72"/>
        <v>0</v>
      </c>
      <c r="N643" s="228">
        <f t="shared" si="68"/>
        <v>0</v>
      </c>
      <c r="O643" s="228">
        <f t="shared" si="69"/>
        <v>0</v>
      </c>
      <c r="P643" s="228">
        <f t="shared" si="69"/>
        <v>0</v>
      </c>
      <c r="Q643" s="228">
        <f t="shared" si="73"/>
        <v>0</v>
      </c>
      <c r="R643" s="343">
        <f t="shared" si="74"/>
        <v>-2</v>
      </c>
      <c r="S643" s="240"/>
      <c r="T643" s="201"/>
      <c r="U643" s="201"/>
      <c r="V643" s="201"/>
    </row>
    <row r="644" spans="1:22" ht="15.75" x14ac:dyDescent="0.25">
      <c r="A644" s="234" t="s">
        <v>946</v>
      </c>
      <c r="B644" s="235" t="s">
        <v>816</v>
      </c>
      <c r="C644" s="234" t="s">
        <v>499</v>
      </c>
      <c r="D644" s="312">
        <v>1</v>
      </c>
      <c r="E644" s="312"/>
      <c r="F644" s="248"/>
      <c r="G644" s="312"/>
      <c r="H644" s="312"/>
      <c r="I644" s="312"/>
      <c r="J644" s="248">
        <f t="shared" si="70"/>
        <v>0</v>
      </c>
      <c r="K644" s="330">
        <f t="shared" si="71"/>
        <v>-1</v>
      </c>
      <c r="L644" s="313"/>
      <c r="M644" s="228">
        <f t="shared" si="72"/>
        <v>0</v>
      </c>
      <c r="N644" s="228">
        <f t="shared" si="68"/>
        <v>0</v>
      </c>
      <c r="O644" s="228">
        <f t="shared" si="69"/>
        <v>0</v>
      </c>
      <c r="P644" s="228">
        <f t="shared" si="69"/>
        <v>0</v>
      </c>
      <c r="Q644" s="228">
        <f t="shared" si="73"/>
        <v>0</v>
      </c>
      <c r="R644" s="343">
        <f t="shared" si="74"/>
        <v>-1</v>
      </c>
      <c r="S644" s="240"/>
      <c r="T644" s="201"/>
      <c r="U644" s="201"/>
      <c r="V644" s="201"/>
    </row>
    <row r="645" spans="1:22" ht="15.75" x14ac:dyDescent="0.25">
      <c r="A645" s="230" t="s">
        <v>947</v>
      </c>
      <c r="B645" s="231" t="s">
        <v>948</v>
      </c>
      <c r="C645" s="230"/>
      <c r="D645" s="316"/>
      <c r="E645" s="316"/>
      <c r="F645" s="317"/>
      <c r="G645" s="316"/>
      <c r="H645" s="316"/>
      <c r="I645" s="316"/>
      <c r="J645" s="248">
        <f t="shared" si="70"/>
        <v>0</v>
      </c>
      <c r="K645" s="330">
        <f t="shared" si="71"/>
        <v>0</v>
      </c>
      <c r="L645" s="318"/>
      <c r="M645" s="228">
        <f t="shared" si="72"/>
        <v>0</v>
      </c>
      <c r="N645" s="228">
        <f t="shared" si="68"/>
        <v>0</v>
      </c>
      <c r="O645" s="228">
        <f t="shared" si="69"/>
        <v>0</v>
      </c>
      <c r="P645" s="228">
        <f t="shared" si="69"/>
        <v>0</v>
      </c>
      <c r="Q645" s="228">
        <f t="shared" si="73"/>
        <v>0</v>
      </c>
      <c r="R645" s="343">
        <f t="shared" si="74"/>
        <v>0</v>
      </c>
      <c r="S645" s="240"/>
      <c r="T645" s="201"/>
      <c r="U645" s="201"/>
      <c r="V645" s="201"/>
    </row>
    <row r="646" spans="1:22" ht="15.75" x14ac:dyDescent="0.25">
      <c r="A646" s="234" t="s">
        <v>949</v>
      </c>
      <c r="B646" s="235" t="s">
        <v>802</v>
      </c>
      <c r="C646" s="234" t="s">
        <v>9</v>
      </c>
      <c r="D646" s="312">
        <v>1</v>
      </c>
      <c r="E646" s="312"/>
      <c r="F646" s="248"/>
      <c r="G646" s="312"/>
      <c r="H646" s="312"/>
      <c r="I646" s="312"/>
      <c r="J646" s="248">
        <f t="shared" si="70"/>
        <v>0</v>
      </c>
      <c r="K646" s="330">
        <f t="shared" si="71"/>
        <v>-1</v>
      </c>
      <c r="L646" s="313"/>
      <c r="M646" s="228">
        <f t="shared" si="72"/>
        <v>0</v>
      </c>
      <c r="N646" s="228">
        <f t="shared" si="68"/>
        <v>0</v>
      </c>
      <c r="O646" s="228">
        <f t="shared" si="69"/>
        <v>0</v>
      </c>
      <c r="P646" s="228">
        <f t="shared" si="69"/>
        <v>0</v>
      </c>
      <c r="Q646" s="228">
        <f t="shared" si="73"/>
        <v>0</v>
      </c>
      <c r="R646" s="343">
        <f t="shared" si="74"/>
        <v>-1</v>
      </c>
      <c r="S646" s="240"/>
      <c r="T646" s="201"/>
      <c r="U646" s="201"/>
      <c r="V646" s="201"/>
    </row>
    <row r="647" spans="1:22" ht="15.75" x14ac:dyDescent="0.25">
      <c r="A647" s="234" t="s">
        <v>950</v>
      </c>
      <c r="B647" s="235" t="s">
        <v>804</v>
      </c>
      <c r="C647" s="234" t="s">
        <v>9</v>
      </c>
      <c r="D647" s="312">
        <v>1</v>
      </c>
      <c r="E647" s="312"/>
      <c r="F647" s="248"/>
      <c r="G647" s="312"/>
      <c r="H647" s="312"/>
      <c r="I647" s="312"/>
      <c r="J647" s="248">
        <f t="shared" si="70"/>
        <v>0</v>
      </c>
      <c r="K647" s="330">
        <f t="shared" si="71"/>
        <v>-1</v>
      </c>
      <c r="L647" s="313"/>
      <c r="M647" s="228">
        <f t="shared" si="72"/>
        <v>0</v>
      </c>
      <c r="N647" s="228">
        <f t="shared" si="68"/>
        <v>0</v>
      </c>
      <c r="O647" s="228">
        <f t="shared" si="69"/>
        <v>0</v>
      </c>
      <c r="P647" s="228">
        <f t="shared" si="69"/>
        <v>0</v>
      </c>
      <c r="Q647" s="228">
        <f t="shared" si="73"/>
        <v>0</v>
      </c>
      <c r="R647" s="343">
        <f t="shared" si="74"/>
        <v>-1</v>
      </c>
      <c r="S647" s="240"/>
      <c r="T647" s="201"/>
      <c r="U647" s="201"/>
      <c r="V647" s="201"/>
    </row>
    <row r="648" spans="1:22" ht="15.75" x14ac:dyDescent="0.25">
      <c r="A648" s="234" t="s">
        <v>951</v>
      </c>
      <c r="B648" s="235" t="s">
        <v>593</v>
      </c>
      <c r="C648" s="234" t="s">
        <v>9</v>
      </c>
      <c r="D648" s="312">
        <v>3</v>
      </c>
      <c r="E648" s="312"/>
      <c r="F648" s="248"/>
      <c r="G648" s="312"/>
      <c r="H648" s="312"/>
      <c r="I648" s="312"/>
      <c r="J648" s="248">
        <f t="shared" si="70"/>
        <v>0</v>
      </c>
      <c r="K648" s="330">
        <f t="shared" si="71"/>
        <v>-3</v>
      </c>
      <c r="L648" s="313"/>
      <c r="M648" s="228">
        <f t="shared" si="72"/>
        <v>0</v>
      </c>
      <c r="N648" s="228">
        <f t="shared" si="68"/>
        <v>0</v>
      </c>
      <c r="O648" s="228">
        <f t="shared" si="69"/>
        <v>0</v>
      </c>
      <c r="P648" s="228">
        <f t="shared" si="69"/>
        <v>0</v>
      </c>
      <c r="Q648" s="228">
        <f t="shared" si="73"/>
        <v>0</v>
      </c>
      <c r="R648" s="343">
        <f t="shared" si="74"/>
        <v>-3</v>
      </c>
      <c r="S648" s="240"/>
      <c r="T648" s="201"/>
      <c r="U648" s="201"/>
      <c r="V648" s="201"/>
    </row>
    <row r="649" spans="1:22" ht="15.75" x14ac:dyDescent="0.25">
      <c r="A649" s="234" t="s">
        <v>952</v>
      </c>
      <c r="B649" s="235" t="s">
        <v>953</v>
      </c>
      <c r="C649" s="234" t="s">
        <v>499</v>
      </c>
      <c r="D649" s="312">
        <v>1</v>
      </c>
      <c r="E649" s="312"/>
      <c r="F649" s="248"/>
      <c r="G649" s="312"/>
      <c r="H649" s="312"/>
      <c r="I649" s="312"/>
      <c r="J649" s="248">
        <f t="shared" si="70"/>
        <v>0</v>
      </c>
      <c r="K649" s="330">
        <f t="shared" si="71"/>
        <v>-1</v>
      </c>
      <c r="L649" s="313"/>
      <c r="M649" s="228">
        <f t="shared" si="72"/>
        <v>0</v>
      </c>
      <c r="N649" s="228">
        <f t="shared" ref="N649:N712" si="75">G649</f>
        <v>0</v>
      </c>
      <c r="O649" s="228">
        <f t="shared" ref="O649:P712" si="76">H649</f>
        <v>0</v>
      </c>
      <c r="P649" s="228">
        <f t="shared" si="76"/>
        <v>0</v>
      </c>
      <c r="Q649" s="228">
        <f t="shared" si="73"/>
        <v>0</v>
      </c>
      <c r="R649" s="343">
        <f t="shared" si="74"/>
        <v>-1</v>
      </c>
      <c r="S649" s="240"/>
      <c r="T649" s="201"/>
      <c r="U649" s="201"/>
      <c r="V649" s="201"/>
    </row>
    <row r="650" spans="1:22" ht="15.75" x14ac:dyDescent="0.25">
      <c r="A650" s="230" t="s">
        <v>954</v>
      </c>
      <c r="B650" s="231" t="s">
        <v>955</v>
      </c>
      <c r="C650" s="230"/>
      <c r="D650" s="316"/>
      <c r="E650" s="316"/>
      <c r="F650" s="317"/>
      <c r="G650" s="316"/>
      <c r="H650" s="316"/>
      <c r="I650" s="316"/>
      <c r="J650" s="248">
        <f t="shared" si="70"/>
        <v>0</v>
      </c>
      <c r="K650" s="330">
        <f t="shared" si="71"/>
        <v>0</v>
      </c>
      <c r="L650" s="318"/>
      <c r="M650" s="228">
        <f t="shared" si="72"/>
        <v>0</v>
      </c>
      <c r="N650" s="228">
        <f t="shared" si="75"/>
        <v>0</v>
      </c>
      <c r="O650" s="228">
        <f t="shared" si="76"/>
        <v>0</v>
      </c>
      <c r="P650" s="228">
        <f t="shared" si="76"/>
        <v>0</v>
      </c>
      <c r="Q650" s="228">
        <f t="shared" si="73"/>
        <v>0</v>
      </c>
      <c r="R650" s="343">
        <f t="shared" si="74"/>
        <v>0</v>
      </c>
      <c r="S650" s="240"/>
      <c r="T650" s="201"/>
      <c r="U650" s="201"/>
      <c r="V650" s="201"/>
    </row>
    <row r="651" spans="1:22" ht="15.75" x14ac:dyDescent="0.25">
      <c r="A651" s="234" t="s">
        <v>956</v>
      </c>
      <c r="B651" s="235" t="s">
        <v>812</v>
      </c>
      <c r="C651" s="234" t="s">
        <v>9</v>
      </c>
      <c r="D651" s="312">
        <v>1</v>
      </c>
      <c r="E651" s="312"/>
      <c r="F651" s="248"/>
      <c r="G651" s="312"/>
      <c r="H651" s="312"/>
      <c r="I651" s="312"/>
      <c r="J651" s="248">
        <f t="shared" si="70"/>
        <v>0</v>
      </c>
      <c r="K651" s="330">
        <f t="shared" si="71"/>
        <v>-1</v>
      </c>
      <c r="L651" s="313"/>
      <c r="M651" s="228">
        <f t="shared" si="72"/>
        <v>0</v>
      </c>
      <c r="N651" s="228">
        <f t="shared" si="75"/>
        <v>0</v>
      </c>
      <c r="O651" s="228">
        <f t="shared" si="76"/>
        <v>0</v>
      </c>
      <c r="P651" s="228">
        <f t="shared" si="76"/>
        <v>0</v>
      </c>
      <c r="Q651" s="228">
        <f t="shared" si="73"/>
        <v>0</v>
      </c>
      <c r="R651" s="343">
        <f t="shared" si="74"/>
        <v>-1</v>
      </c>
      <c r="S651" s="240"/>
      <c r="T651" s="201"/>
      <c r="U651" s="201"/>
      <c r="V651" s="201"/>
    </row>
    <row r="652" spans="1:22" ht="15.75" x14ac:dyDescent="0.25">
      <c r="A652" s="234" t="s">
        <v>957</v>
      </c>
      <c r="B652" s="235" t="s">
        <v>804</v>
      </c>
      <c r="C652" s="234" t="s">
        <v>9</v>
      </c>
      <c r="D652" s="312">
        <v>1</v>
      </c>
      <c r="E652" s="312"/>
      <c r="F652" s="248"/>
      <c r="G652" s="312"/>
      <c r="H652" s="312"/>
      <c r="I652" s="312"/>
      <c r="J652" s="248">
        <f t="shared" si="70"/>
        <v>0</v>
      </c>
      <c r="K652" s="330">
        <f t="shared" si="71"/>
        <v>-1</v>
      </c>
      <c r="L652" s="313"/>
      <c r="M652" s="228">
        <f t="shared" si="72"/>
        <v>0</v>
      </c>
      <c r="N652" s="228">
        <f t="shared" si="75"/>
        <v>0</v>
      </c>
      <c r="O652" s="228">
        <f t="shared" si="76"/>
        <v>0</v>
      </c>
      <c r="P652" s="228">
        <f t="shared" si="76"/>
        <v>0</v>
      </c>
      <c r="Q652" s="228">
        <f t="shared" si="73"/>
        <v>0</v>
      </c>
      <c r="R652" s="343">
        <f t="shared" si="74"/>
        <v>-1</v>
      </c>
      <c r="S652" s="240"/>
      <c r="T652" s="201"/>
      <c r="U652" s="201"/>
      <c r="V652" s="201"/>
    </row>
    <row r="653" spans="1:22" ht="15.75" x14ac:dyDescent="0.25">
      <c r="A653" s="234" t="s">
        <v>958</v>
      </c>
      <c r="B653" s="235" t="s">
        <v>593</v>
      </c>
      <c r="C653" s="234" t="s">
        <v>9</v>
      </c>
      <c r="D653" s="312">
        <v>2</v>
      </c>
      <c r="E653" s="312"/>
      <c r="F653" s="248"/>
      <c r="G653" s="312"/>
      <c r="H653" s="312"/>
      <c r="I653" s="312"/>
      <c r="J653" s="248">
        <f t="shared" si="70"/>
        <v>0</v>
      </c>
      <c r="K653" s="330">
        <f t="shared" si="71"/>
        <v>-2</v>
      </c>
      <c r="L653" s="313"/>
      <c r="M653" s="228">
        <f t="shared" si="72"/>
        <v>0</v>
      </c>
      <c r="N653" s="228">
        <f t="shared" si="75"/>
        <v>0</v>
      </c>
      <c r="O653" s="228">
        <f t="shared" si="76"/>
        <v>0</v>
      </c>
      <c r="P653" s="228">
        <f t="shared" si="76"/>
        <v>0</v>
      </c>
      <c r="Q653" s="228">
        <f t="shared" si="73"/>
        <v>0</v>
      </c>
      <c r="R653" s="343">
        <f t="shared" si="74"/>
        <v>-2</v>
      </c>
      <c r="S653" s="240"/>
      <c r="T653" s="201"/>
      <c r="U653" s="201"/>
      <c r="V653" s="201"/>
    </row>
    <row r="654" spans="1:22" ht="15.75" x14ac:dyDescent="0.25">
      <c r="A654" s="234" t="s">
        <v>959</v>
      </c>
      <c r="B654" s="235" t="s">
        <v>816</v>
      </c>
      <c r="C654" s="234" t="s">
        <v>499</v>
      </c>
      <c r="D654" s="312">
        <v>1</v>
      </c>
      <c r="E654" s="312"/>
      <c r="F654" s="248"/>
      <c r="G654" s="312"/>
      <c r="H654" s="312"/>
      <c r="I654" s="312"/>
      <c r="J654" s="248">
        <f t="shared" si="70"/>
        <v>0</v>
      </c>
      <c r="K654" s="330">
        <f t="shared" si="71"/>
        <v>-1</v>
      </c>
      <c r="L654" s="313"/>
      <c r="M654" s="228">
        <f t="shared" si="72"/>
        <v>0</v>
      </c>
      <c r="N654" s="228">
        <f t="shared" si="75"/>
        <v>0</v>
      </c>
      <c r="O654" s="228">
        <f t="shared" si="76"/>
        <v>0</v>
      </c>
      <c r="P654" s="228">
        <f t="shared" si="76"/>
        <v>0</v>
      </c>
      <c r="Q654" s="228">
        <f t="shared" si="73"/>
        <v>0</v>
      </c>
      <c r="R654" s="343">
        <f t="shared" si="74"/>
        <v>-1</v>
      </c>
      <c r="S654" s="240"/>
      <c r="T654" s="201"/>
      <c r="U654" s="201"/>
      <c r="V654" s="201"/>
    </row>
    <row r="655" spans="1:22" ht="15.75" x14ac:dyDescent="0.25">
      <c r="A655" s="230" t="s">
        <v>960</v>
      </c>
      <c r="B655" s="231" t="s">
        <v>961</v>
      </c>
      <c r="C655" s="230"/>
      <c r="D655" s="316"/>
      <c r="E655" s="316"/>
      <c r="F655" s="317"/>
      <c r="G655" s="316"/>
      <c r="H655" s="316"/>
      <c r="I655" s="316"/>
      <c r="J655" s="248">
        <f t="shared" si="70"/>
        <v>0</v>
      </c>
      <c r="K655" s="330">
        <f t="shared" si="71"/>
        <v>0</v>
      </c>
      <c r="L655" s="318"/>
      <c r="M655" s="228">
        <f t="shared" si="72"/>
        <v>0</v>
      </c>
      <c r="N655" s="228">
        <f t="shared" si="75"/>
        <v>0</v>
      </c>
      <c r="O655" s="228">
        <f t="shared" si="76"/>
        <v>0</v>
      </c>
      <c r="P655" s="228">
        <f t="shared" si="76"/>
        <v>0</v>
      </c>
      <c r="Q655" s="228">
        <f t="shared" si="73"/>
        <v>0</v>
      </c>
      <c r="R655" s="343">
        <f t="shared" si="74"/>
        <v>0</v>
      </c>
      <c r="S655" s="240"/>
      <c r="T655" s="201"/>
      <c r="U655" s="201"/>
      <c r="V655" s="201"/>
    </row>
    <row r="656" spans="1:22" ht="15.75" x14ac:dyDescent="0.25">
      <c r="A656" s="234" t="s">
        <v>962</v>
      </c>
      <c r="B656" s="235" t="s">
        <v>812</v>
      </c>
      <c r="C656" s="234" t="s">
        <v>9</v>
      </c>
      <c r="D656" s="312">
        <v>1</v>
      </c>
      <c r="E656" s="312"/>
      <c r="F656" s="248"/>
      <c r="G656" s="312"/>
      <c r="H656" s="312"/>
      <c r="I656" s="312"/>
      <c r="J656" s="248">
        <f t="shared" si="70"/>
        <v>0</v>
      </c>
      <c r="K656" s="330">
        <f t="shared" si="71"/>
        <v>-1</v>
      </c>
      <c r="L656" s="313"/>
      <c r="M656" s="228">
        <f t="shared" si="72"/>
        <v>0</v>
      </c>
      <c r="N656" s="228">
        <f t="shared" si="75"/>
        <v>0</v>
      </c>
      <c r="O656" s="228">
        <f t="shared" si="76"/>
        <v>0</v>
      </c>
      <c r="P656" s="228">
        <f t="shared" si="76"/>
        <v>0</v>
      </c>
      <c r="Q656" s="228">
        <f t="shared" si="73"/>
        <v>0</v>
      </c>
      <c r="R656" s="343">
        <f t="shared" si="74"/>
        <v>-1</v>
      </c>
      <c r="S656" s="240"/>
      <c r="T656" s="201"/>
      <c r="U656" s="201"/>
      <c r="V656" s="201"/>
    </row>
    <row r="657" spans="1:22" ht="15.75" x14ac:dyDescent="0.25">
      <c r="A657" s="234" t="s">
        <v>963</v>
      </c>
      <c r="B657" s="235" t="s">
        <v>804</v>
      </c>
      <c r="C657" s="234" t="s">
        <v>9</v>
      </c>
      <c r="D657" s="312">
        <v>1</v>
      </c>
      <c r="E657" s="312"/>
      <c r="F657" s="248"/>
      <c r="G657" s="312"/>
      <c r="H657" s="312"/>
      <c r="I657" s="312"/>
      <c r="J657" s="248">
        <f t="shared" si="70"/>
        <v>0</v>
      </c>
      <c r="K657" s="330">
        <f t="shared" si="71"/>
        <v>-1</v>
      </c>
      <c r="L657" s="313"/>
      <c r="M657" s="228">
        <f t="shared" si="72"/>
        <v>0</v>
      </c>
      <c r="N657" s="228">
        <f t="shared" si="75"/>
        <v>0</v>
      </c>
      <c r="O657" s="228">
        <f t="shared" si="76"/>
        <v>0</v>
      </c>
      <c r="P657" s="228">
        <f t="shared" si="76"/>
        <v>0</v>
      </c>
      <c r="Q657" s="228">
        <f t="shared" si="73"/>
        <v>0</v>
      </c>
      <c r="R657" s="343">
        <f t="shared" si="74"/>
        <v>-1</v>
      </c>
      <c r="S657" s="240"/>
      <c r="T657" s="201"/>
      <c r="U657" s="201"/>
      <c r="V657" s="201"/>
    </row>
    <row r="658" spans="1:22" ht="15.75" x14ac:dyDescent="0.25">
      <c r="A658" s="234" t="s">
        <v>964</v>
      </c>
      <c r="B658" s="235" t="s">
        <v>593</v>
      </c>
      <c r="C658" s="234" t="s">
        <v>9</v>
      </c>
      <c r="D658" s="312">
        <v>2</v>
      </c>
      <c r="E658" s="312"/>
      <c r="F658" s="248"/>
      <c r="G658" s="312"/>
      <c r="H658" s="312"/>
      <c r="I658" s="312"/>
      <c r="J658" s="248">
        <f t="shared" si="70"/>
        <v>0</v>
      </c>
      <c r="K658" s="330">
        <f t="shared" si="71"/>
        <v>-2</v>
      </c>
      <c r="L658" s="313"/>
      <c r="M658" s="228">
        <f t="shared" si="72"/>
        <v>0</v>
      </c>
      <c r="N658" s="228">
        <f t="shared" si="75"/>
        <v>0</v>
      </c>
      <c r="O658" s="228">
        <f t="shared" si="76"/>
        <v>0</v>
      </c>
      <c r="P658" s="228">
        <f t="shared" si="76"/>
        <v>0</v>
      </c>
      <c r="Q658" s="228">
        <f t="shared" si="73"/>
        <v>0</v>
      </c>
      <c r="R658" s="343">
        <f t="shared" si="74"/>
        <v>-2</v>
      </c>
      <c r="S658" s="240"/>
      <c r="T658" s="201"/>
      <c r="U658" s="201"/>
      <c r="V658" s="201"/>
    </row>
    <row r="659" spans="1:22" ht="15.75" x14ac:dyDescent="0.25">
      <c r="A659" s="234" t="s">
        <v>965</v>
      </c>
      <c r="B659" s="235" t="s">
        <v>816</v>
      </c>
      <c r="C659" s="234" t="s">
        <v>499</v>
      </c>
      <c r="D659" s="312">
        <v>1</v>
      </c>
      <c r="E659" s="312"/>
      <c r="F659" s="248"/>
      <c r="G659" s="312"/>
      <c r="H659" s="312"/>
      <c r="I659" s="312"/>
      <c r="J659" s="248">
        <f t="shared" si="70"/>
        <v>0</v>
      </c>
      <c r="K659" s="330">
        <f t="shared" si="71"/>
        <v>-1</v>
      </c>
      <c r="L659" s="313"/>
      <c r="M659" s="228">
        <f t="shared" si="72"/>
        <v>0</v>
      </c>
      <c r="N659" s="228">
        <f t="shared" si="75"/>
        <v>0</v>
      </c>
      <c r="O659" s="228">
        <f t="shared" si="76"/>
        <v>0</v>
      </c>
      <c r="P659" s="228">
        <f t="shared" si="76"/>
        <v>0</v>
      </c>
      <c r="Q659" s="228">
        <f t="shared" si="73"/>
        <v>0</v>
      </c>
      <c r="R659" s="343">
        <f t="shared" si="74"/>
        <v>-1</v>
      </c>
      <c r="S659" s="240"/>
      <c r="T659" s="201"/>
      <c r="U659" s="201"/>
      <c r="V659" s="201"/>
    </row>
    <row r="660" spans="1:22" ht="15.75" x14ac:dyDescent="0.25">
      <c r="A660" s="230" t="s">
        <v>966</v>
      </c>
      <c r="B660" s="231" t="s">
        <v>967</v>
      </c>
      <c r="C660" s="230"/>
      <c r="D660" s="316"/>
      <c r="E660" s="316"/>
      <c r="F660" s="317"/>
      <c r="G660" s="316"/>
      <c r="H660" s="316"/>
      <c r="I660" s="316"/>
      <c r="J660" s="248">
        <f t="shared" si="70"/>
        <v>0</v>
      </c>
      <c r="K660" s="330">
        <f t="shared" si="71"/>
        <v>0</v>
      </c>
      <c r="L660" s="318"/>
      <c r="M660" s="228">
        <f t="shared" si="72"/>
        <v>0</v>
      </c>
      <c r="N660" s="228">
        <f t="shared" si="75"/>
        <v>0</v>
      </c>
      <c r="O660" s="228">
        <f t="shared" si="76"/>
        <v>0</v>
      </c>
      <c r="P660" s="228">
        <f t="shared" si="76"/>
        <v>0</v>
      </c>
      <c r="Q660" s="228">
        <f t="shared" si="73"/>
        <v>0</v>
      </c>
      <c r="R660" s="343">
        <f t="shared" si="74"/>
        <v>0</v>
      </c>
      <c r="S660" s="240"/>
      <c r="T660" s="201"/>
      <c r="U660" s="201"/>
      <c r="V660" s="201"/>
    </row>
    <row r="661" spans="1:22" ht="15.75" x14ac:dyDescent="0.25">
      <c r="A661" s="234" t="s">
        <v>968</v>
      </c>
      <c r="B661" s="235" t="s">
        <v>969</v>
      </c>
      <c r="C661" s="234" t="s">
        <v>9</v>
      </c>
      <c r="D661" s="312">
        <v>1</v>
      </c>
      <c r="E661" s="312"/>
      <c r="F661" s="248"/>
      <c r="G661" s="312"/>
      <c r="H661" s="312"/>
      <c r="I661" s="312"/>
      <c r="J661" s="248">
        <f t="shared" si="70"/>
        <v>0</v>
      </c>
      <c r="K661" s="330">
        <f t="shared" si="71"/>
        <v>-1</v>
      </c>
      <c r="L661" s="313"/>
      <c r="M661" s="228">
        <f t="shared" si="72"/>
        <v>0</v>
      </c>
      <c r="N661" s="228">
        <f t="shared" si="75"/>
        <v>0</v>
      </c>
      <c r="O661" s="228">
        <f t="shared" si="76"/>
        <v>0</v>
      </c>
      <c r="P661" s="228">
        <f t="shared" si="76"/>
        <v>0</v>
      </c>
      <c r="Q661" s="228">
        <f t="shared" si="73"/>
        <v>0</v>
      </c>
      <c r="R661" s="343">
        <f t="shared" si="74"/>
        <v>-1</v>
      </c>
      <c r="S661" s="240"/>
      <c r="T661" s="201"/>
      <c r="U661" s="201"/>
      <c r="V661" s="201"/>
    </row>
    <row r="662" spans="1:22" ht="15.75" x14ac:dyDescent="0.25">
      <c r="A662" s="234" t="s">
        <v>970</v>
      </c>
      <c r="B662" s="235" t="s">
        <v>585</v>
      </c>
      <c r="C662" s="234" t="s">
        <v>9</v>
      </c>
      <c r="D662" s="312">
        <v>1</v>
      </c>
      <c r="E662" s="312"/>
      <c r="F662" s="248"/>
      <c r="G662" s="312"/>
      <c r="H662" s="312"/>
      <c r="I662" s="312"/>
      <c r="J662" s="248">
        <f t="shared" si="70"/>
        <v>0</v>
      </c>
      <c r="K662" s="330">
        <f t="shared" si="71"/>
        <v>-1</v>
      </c>
      <c r="L662" s="313"/>
      <c r="M662" s="228">
        <f t="shared" si="72"/>
        <v>0</v>
      </c>
      <c r="N662" s="228">
        <f t="shared" si="75"/>
        <v>0</v>
      </c>
      <c r="O662" s="228">
        <f t="shared" si="76"/>
        <v>0</v>
      </c>
      <c r="P662" s="228">
        <f t="shared" si="76"/>
        <v>0</v>
      </c>
      <c r="Q662" s="228">
        <f t="shared" si="73"/>
        <v>0</v>
      </c>
      <c r="R662" s="343">
        <f t="shared" si="74"/>
        <v>-1</v>
      </c>
      <c r="S662" s="240"/>
      <c r="T662" s="201"/>
      <c r="U662" s="201"/>
      <c r="V662" s="201"/>
    </row>
    <row r="663" spans="1:22" ht="15.75" x14ac:dyDescent="0.25">
      <c r="A663" s="234" t="s">
        <v>971</v>
      </c>
      <c r="B663" s="235" t="s">
        <v>972</v>
      </c>
      <c r="C663" s="234" t="s">
        <v>9</v>
      </c>
      <c r="D663" s="312">
        <v>1</v>
      </c>
      <c r="E663" s="312"/>
      <c r="F663" s="248"/>
      <c r="G663" s="312"/>
      <c r="H663" s="312"/>
      <c r="I663" s="312"/>
      <c r="J663" s="248">
        <f t="shared" si="70"/>
        <v>0</v>
      </c>
      <c r="K663" s="330">
        <f t="shared" si="71"/>
        <v>-1</v>
      </c>
      <c r="L663" s="313"/>
      <c r="M663" s="228">
        <f t="shared" si="72"/>
        <v>0</v>
      </c>
      <c r="N663" s="228">
        <f t="shared" si="75"/>
        <v>0</v>
      </c>
      <c r="O663" s="228">
        <f t="shared" si="76"/>
        <v>0</v>
      </c>
      <c r="P663" s="228">
        <f t="shared" si="76"/>
        <v>0</v>
      </c>
      <c r="Q663" s="228">
        <f t="shared" si="73"/>
        <v>0</v>
      </c>
      <c r="R663" s="343">
        <f t="shared" si="74"/>
        <v>-1</v>
      </c>
      <c r="S663" s="240"/>
      <c r="T663" s="201"/>
      <c r="U663" s="201"/>
      <c r="V663" s="201"/>
    </row>
    <row r="664" spans="1:22" ht="15.75" x14ac:dyDescent="0.25">
      <c r="A664" s="234" t="s">
        <v>973</v>
      </c>
      <c r="B664" s="235" t="s">
        <v>593</v>
      </c>
      <c r="C664" s="234" t="s">
        <v>9</v>
      </c>
      <c r="D664" s="312">
        <v>15</v>
      </c>
      <c r="E664" s="312"/>
      <c r="F664" s="248"/>
      <c r="G664" s="312"/>
      <c r="H664" s="312"/>
      <c r="I664" s="312"/>
      <c r="J664" s="248">
        <f t="shared" si="70"/>
        <v>0</v>
      </c>
      <c r="K664" s="330">
        <f t="shared" si="71"/>
        <v>-15</v>
      </c>
      <c r="L664" s="313"/>
      <c r="M664" s="228">
        <f t="shared" si="72"/>
        <v>0</v>
      </c>
      <c r="N664" s="228">
        <f t="shared" si="75"/>
        <v>0</v>
      </c>
      <c r="O664" s="228">
        <f t="shared" si="76"/>
        <v>0</v>
      </c>
      <c r="P664" s="228">
        <f t="shared" si="76"/>
        <v>0</v>
      </c>
      <c r="Q664" s="228">
        <f t="shared" si="73"/>
        <v>0</v>
      </c>
      <c r="R664" s="343">
        <f t="shared" si="74"/>
        <v>-15</v>
      </c>
      <c r="S664" s="240"/>
      <c r="T664" s="201"/>
      <c r="U664" s="201"/>
      <c r="V664" s="201"/>
    </row>
    <row r="665" spans="1:22" ht="30" x14ac:dyDescent="0.25">
      <c r="A665" s="234" t="s">
        <v>974</v>
      </c>
      <c r="B665" s="235" t="s">
        <v>672</v>
      </c>
      <c r="C665" s="234" t="s">
        <v>499</v>
      </c>
      <c r="D665" s="312">
        <v>1</v>
      </c>
      <c r="E665" s="312"/>
      <c r="F665" s="248"/>
      <c r="G665" s="312"/>
      <c r="H665" s="312"/>
      <c r="I665" s="312"/>
      <c r="J665" s="248">
        <f t="shared" si="70"/>
        <v>0</v>
      </c>
      <c r="K665" s="330">
        <f t="shared" si="71"/>
        <v>-1</v>
      </c>
      <c r="L665" s="313"/>
      <c r="M665" s="228">
        <f t="shared" si="72"/>
        <v>0</v>
      </c>
      <c r="N665" s="228">
        <f t="shared" si="75"/>
        <v>0</v>
      </c>
      <c r="O665" s="228">
        <f t="shared" si="76"/>
        <v>0</v>
      </c>
      <c r="P665" s="228">
        <f t="shared" si="76"/>
        <v>0</v>
      </c>
      <c r="Q665" s="228">
        <f t="shared" si="73"/>
        <v>0</v>
      </c>
      <c r="R665" s="343">
        <f t="shared" si="74"/>
        <v>-1</v>
      </c>
      <c r="S665" s="240"/>
      <c r="T665" s="201"/>
      <c r="U665" s="201"/>
      <c r="V665" s="201"/>
    </row>
    <row r="666" spans="1:22" ht="15.75" x14ac:dyDescent="0.25">
      <c r="A666" s="230" t="s">
        <v>975</v>
      </c>
      <c r="B666" s="231" t="s">
        <v>976</v>
      </c>
      <c r="C666" s="230"/>
      <c r="D666" s="316"/>
      <c r="E666" s="316"/>
      <c r="F666" s="317"/>
      <c r="G666" s="316"/>
      <c r="H666" s="316"/>
      <c r="I666" s="316"/>
      <c r="J666" s="248">
        <f t="shared" si="70"/>
        <v>0</v>
      </c>
      <c r="K666" s="330">
        <f t="shared" si="71"/>
        <v>0</v>
      </c>
      <c r="L666" s="318"/>
      <c r="M666" s="228">
        <f t="shared" si="72"/>
        <v>0</v>
      </c>
      <c r="N666" s="228">
        <f t="shared" si="75"/>
        <v>0</v>
      </c>
      <c r="O666" s="228">
        <f t="shared" si="76"/>
        <v>0</v>
      </c>
      <c r="P666" s="228">
        <f t="shared" si="76"/>
        <v>0</v>
      </c>
      <c r="Q666" s="228">
        <f t="shared" si="73"/>
        <v>0</v>
      </c>
      <c r="R666" s="343">
        <f t="shared" si="74"/>
        <v>0</v>
      </c>
      <c r="S666" s="240"/>
      <c r="T666" s="201"/>
      <c r="U666" s="201"/>
      <c r="V666" s="201"/>
    </row>
    <row r="667" spans="1:22" ht="15.75" x14ac:dyDescent="0.25">
      <c r="A667" s="234" t="s">
        <v>977</v>
      </c>
      <c r="B667" s="235" t="s">
        <v>676</v>
      </c>
      <c r="C667" s="234" t="s">
        <v>9</v>
      </c>
      <c r="D667" s="312">
        <v>1</v>
      </c>
      <c r="E667" s="312"/>
      <c r="F667" s="248"/>
      <c r="G667" s="312"/>
      <c r="H667" s="312"/>
      <c r="I667" s="312"/>
      <c r="J667" s="248">
        <f t="shared" si="70"/>
        <v>0</v>
      </c>
      <c r="K667" s="330">
        <f t="shared" si="71"/>
        <v>-1</v>
      </c>
      <c r="L667" s="313"/>
      <c r="M667" s="228">
        <f t="shared" si="72"/>
        <v>0</v>
      </c>
      <c r="N667" s="228">
        <f t="shared" si="75"/>
        <v>0</v>
      </c>
      <c r="O667" s="228">
        <f t="shared" si="76"/>
        <v>0</v>
      </c>
      <c r="P667" s="228">
        <f t="shared" si="76"/>
        <v>0</v>
      </c>
      <c r="Q667" s="228">
        <f t="shared" si="73"/>
        <v>0</v>
      </c>
      <c r="R667" s="343">
        <f t="shared" si="74"/>
        <v>-1</v>
      </c>
      <c r="S667" s="240"/>
      <c r="T667" s="201"/>
      <c r="U667" s="201"/>
      <c r="V667" s="201"/>
    </row>
    <row r="668" spans="1:22" ht="15.75" x14ac:dyDescent="0.25">
      <c r="A668" s="234" t="s">
        <v>978</v>
      </c>
      <c r="B668" s="235" t="s">
        <v>979</v>
      </c>
      <c r="C668" s="234" t="s">
        <v>9</v>
      </c>
      <c r="D668" s="312">
        <v>1</v>
      </c>
      <c r="E668" s="312"/>
      <c r="F668" s="248"/>
      <c r="G668" s="312"/>
      <c r="H668" s="312"/>
      <c r="I668" s="312"/>
      <c r="J668" s="248">
        <f t="shared" si="70"/>
        <v>0</v>
      </c>
      <c r="K668" s="330">
        <f t="shared" si="71"/>
        <v>-1</v>
      </c>
      <c r="L668" s="313"/>
      <c r="M668" s="228">
        <f t="shared" si="72"/>
        <v>0</v>
      </c>
      <c r="N668" s="228">
        <f t="shared" si="75"/>
        <v>0</v>
      </c>
      <c r="O668" s="228">
        <f t="shared" si="76"/>
        <v>0</v>
      </c>
      <c r="P668" s="228">
        <f t="shared" si="76"/>
        <v>0</v>
      </c>
      <c r="Q668" s="228">
        <f t="shared" si="73"/>
        <v>0</v>
      </c>
      <c r="R668" s="343">
        <f t="shared" si="74"/>
        <v>-1</v>
      </c>
      <c r="S668" s="240"/>
      <c r="T668" s="201"/>
      <c r="U668" s="201"/>
      <c r="V668" s="201"/>
    </row>
    <row r="669" spans="1:22" ht="15.75" x14ac:dyDescent="0.25">
      <c r="A669" s="234" t="s">
        <v>980</v>
      </c>
      <c r="B669" s="235" t="s">
        <v>981</v>
      </c>
      <c r="C669" s="234" t="s">
        <v>9</v>
      </c>
      <c r="D669" s="312">
        <v>1</v>
      </c>
      <c r="E669" s="312"/>
      <c r="F669" s="248"/>
      <c r="G669" s="312"/>
      <c r="H669" s="312"/>
      <c r="I669" s="312"/>
      <c r="J669" s="248">
        <f t="shared" si="70"/>
        <v>0</v>
      </c>
      <c r="K669" s="330">
        <f t="shared" si="71"/>
        <v>-1</v>
      </c>
      <c r="L669" s="313"/>
      <c r="M669" s="228">
        <f t="shared" si="72"/>
        <v>0</v>
      </c>
      <c r="N669" s="228">
        <f t="shared" si="75"/>
        <v>0</v>
      </c>
      <c r="O669" s="228">
        <f t="shared" si="76"/>
        <v>0</v>
      </c>
      <c r="P669" s="228">
        <f t="shared" si="76"/>
        <v>0</v>
      </c>
      <c r="Q669" s="228">
        <f t="shared" si="73"/>
        <v>0</v>
      </c>
      <c r="R669" s="343">
        <f t="shared" si="74"/>
        <v>-1</v>
      </c>
      <c r="S669" s="240"/>
      <c r="T669" s="201"/>
      <c r="U669" s="201"/>
      <c r="V669" s="201"/>
    </row>
    <row r="670" spans="1:22" ht="15.75" x14ac:dyDescent="0.25">
      <c r="A670" s="234" t="s">
        <v>982</v>
      </c>
      <c r="B670" s="235" t="s">
        <v>585</v>
      </c>
      <c r="C670" s="234" t="s">
        <v>9</v>
      </c>
      <c r="D670" s="312">
        <v>2</v>
      </c>
      <c r="E670" s="312"/>
      <c r="F670" s="248"/>
      <c r="G670" s="312"/>
      <c r="H670" s="312"/>
      <c r="I670" s="312"/>
      <c r="J670" s="248">
        <f t="shared" si="70"/>
        <v>0</v>
      </c>
      <c r="K670" s="330">
        <f t="shared" si="71"/>
        <v>-2</v>
      </c>
      <c r="L670" s="313"/>
      <c r="M670" s="228">
        <f t="shared" si="72"/>
        <v>0</v>
      </c>
      <c r="N670" s="228">
        <f t="shared" si="75"/>
        <v>0</v>
      </c>
      <c r="O670" s="228">
        <f t="shared" si="76"/>
        <v>0</v>
      </c>
      <c r="P670" s="228">
        <f t="shared" si="76"/>
        <v>0</v>
      </c>
      <c r="Q670" s="228">
        <f t="shared" si="73"/>
        <v>0</v>
      </c>
      <c r="R670" s="343">
        <f t="shared" si="74"/>
        <v>-2</v>
      </c>
      <c r="S670" s="240"/>
      <c r="T670" s="201"/>
      <c r="U670" s="201"/>
      <c r="V670" s="201"/>
    </row>
    <row r="671" spans="1:22" ht="15.75" x14ac:dyDescent="0.25">
      <c r="A671" s="234" t="s">
        <v>983</v>
      </c>
      <c r="B671" s="235" t="s">
        <v>972</v>
      </c>
      <c r="C671" s="234" t="s">
        <v>9</v>
      </c>
      <c r="D671" s="312">
        <v>2</v>
      </c>
      <c r="E671" s="312"/>
      <c r="F671" s="248"/>
      <c r="G671" s="312"/>
      <c r="H671" s="312"/>
      <c r="I671" s="312"/>
      <c r="J671" s="248">
        <f t="shared" si="70"/>
        <v>0</v>
      </c>
      <c r="K671" s="330">
        <f t="shared" si="71"/>
        <v>-2</v>
      </c>
      <c r="L671" s="313"/>
      <c r="M671" s="228">
        <f t="shared" si="72"/>
        <v>0</v>
      </c>
      <c r="N671" s="228">
        <f t="shared" si="75"/>
        <v>0</v>
      </c>
      <c r="O671" s="228">
        <f t="shared" si="76"/>
        <v>0</v>
      </c>
      <c r="P671" s="228">
        <f t="shared" si="76"/>
        <v>0</v>
      </c>
      <c r="Q671" s="228">
        <f t="shared" si="73"/>
        <v>0</v>
      </c>
      <c r="R671" s="343">
        <f t="shared" si="74"/>
        <v>-2</v>
      </c>
      <c r="S671" s="240"/>
      <c r="T671" s="201"/>
      <c r="U671" s="201"/>
      <c r="V671" s="201"/>
    </row>
    <row r="672" spans="1:22" ht="15.75" x14ac:dyDescent="0.25">
      <c r="A672" s="234" t="s">
        <v>984</v>
      </c>
      <c r="B672" s="235" t="s">
        <v>593</v>
      </c>
      <c r="C672" s="234" t="s">
        <v>9</v>
      </c>
      <c r="D672" s="312">
        <v>17</v>
      </c>
      <c r="E672" s="312"/>
      <c r="F672" s="248"/>
      <c r="G672" s="312"/>
      <c r="H672" s="312"/>
      <c r="I672" s="312"/>
      <c r="J672" s="248">
        <f t="shared" si="70"/>
        <v>0</v>
      </c>
      <c r="K672" s="330">
        <f t="shared" si="71"/>
        <v>-17</v>
      </c>
      <c r="L672" s="313"/>
      <c r="M672" s="228">
        <f t="shared" si="72"/>
        <v>0</v>
      </c>
      <c r="N672" s="228">
        <f t="shared" si="75"/>
        <v>0</v>
      </c>
      <c r="O672" s="228">
        <f t="shared" si="76"/>
        <v>0</v>
      </c>
      <c r="P672" s="228">
        <f t="shared" si="76"/>
        <v>0</v>
      </c>
      <c r="Q672" s="228">
        <f t="shared" si="73"/>
        <v>0</v>
      </c>
      <c r="R672" s="343">
        <f t="shared" si="74"/>
        <v>-17</v>
      </c>
      <c r="S672" s="240"/>
      <c r="T672" s="201"/>
      <c r="U672" s="201"/>
      <c r="V672" s="201"/>
    </row>
    <row r="673" spans="1:22" ht="30" x14ac:dyDescent="0.25">
      <c r="A673" s="234" t="s">
        <v>985</v>
      </c>
      <c r="B673" s="235" t="s">
        <v>602</v>
      </c>
      <c r="C673" s="234" t="s">
        <v>499</v>
      </c>
      <c r="D673" s="312">
        <v>1</v>
      </c>
      <c r="E673" s="312"/>
      <c r="F673" s="248"/>
      <c r="G673" s="312"/>
      <c r="H673" s="312"/>
      <c r="I673" s="312"/>
      <c r="J673" s="248">
        <f t="shared" si="70"/>
        <v>0</v>
      </c>
      <c r="K673" s="330">
        <f t="shared" si="71"/>
        <v>-1</v>
      </c>
      <c r="L673" s="313"/>
      <c r="M673" s="228">
        <f t="shared" si="72"/>
        <v>0</v>
      </c>
      <c r="N673" s="228">
        <f t="shared" si="75"/>
        <v>0</v>
      </c>
      <c r="O673" s="228">
        <f t="shared" si="76"/>
        <v>0</v>
      </c>
      <c r="P673" s="228">
        <f t="shared" si="76"/>
        <v>0</v>
      </c>
      <c r="Q673" s="228">
        <f t="shared" si="73"/>
        <v>0</v>
      </c>
      <c r="R673" s="343">
        <f t="shared" si="74"/>
        <v>-1</v>
      </c>
      <c r="S673" s="240"/>
      <c r="T673" s="201"/>
      <c r="U673" s="201"/>
      <c r="V673" s="201"/>
    </row>
    <row r="674" spans="1:22" ht="15.75" x14ac:dyDescent="0.25">
      <c r="A674" s="230" t="s">
        <v>986</v>
      </c>
      <c r="B674" s="231" t="s">
        <v>987</v>
      </c>
      <c r="C674" s="230"/>
      <c r="D674" s="316"/>
      <c r="E674" s="316"/>
      <c r="F674" s="317"/>
      <c r="G674" s="316"/>
      <c r="H674" s="316"/>
      <c r="I674" s="316"/>
      <c r="J674" s="248">
        <f t="shared" si="70"/>
        <v>0</v>
      </c>
      <c r="K674" s="330">
        <f t="shared" si="71"/>
        <v>0</v>
      </c>
      <c r="L674" s="318"/>
      <c r="M674" s="228">
        <f t="shared" si="72"/>
        <v>0</v>
      </c>
      <c r="N674" s="228">
        <f t="shared" si="75"/>
        <v>0</v>
      </c>
      <c r="O674" s="228">
        <f t="shared" si="76"/>
        <v>0</v>
      </c>
      <c r="P674" s="228">
        <f t="shared" si="76"/>
        <v>0</v>
      </c>
      <c r="Q674" s="228">
        <f t="shared" si="73"/>
        <v>0</v>
      </c>
      <c r="R674" s="343">
        <f t="shared" si="74"/>
        <v>0</v>
      </c>
      <c r="S674" s="240"/>
      <c r="T674" s="201"/>
      <c r="U674" s="201"/>
      <c r="V674" s="201"/>
    </row>
    <row r="675" spans="1:22" ht="15.75" x14ac:dyDescent="0.25">
      <c r="A675" s="234" t="s">
        <v>988</v>
      </c>
      <c r="B675" s="235" t="s">
        <v>676</v>
      </c>
      <c r="C675" s="234" t="s">
        <v>9</v>
      </c>
      <c r="D675" s="312">
        <v>1</v>
      </c>
      <c r="E675" s="312"/>
      <c r="F675" s="248"/>
      <c r="G675" s="312"/>
      <c r="H675" s="312"/>
      <c r="I675" s="312"/>
      <c r="J675" s="248">
        <f t="shared" si="70"/>
        <v>0</v>
      </c>
      <c r="K675" s="330">
        <f t="shared" si="71"/>
        <v>-1</v>
      </c>
      <c r="L675" s="313"/>
      <c r="M675" s="228">
        <f t="shared" si="72"/>
        <v>0</v>
      </c>
      <c r="N675" s="228">
        <f t="shared" si="75"/>
        <v>0</v>
      </c>
      <c r="O675" s="228">
        <f t="shared" si="76"/>
        <v>0</v>
      </c>
      <c r="P675" s="228">
        <f t="shared" si="76"/>
        <v>0</v>
      </c>
      <c r="Q675" s="228">
        <f t="shared" si="73"/>
        <v>0</v>
      </c>
      <c r="R675" s="343">
        <f t="shared" si="74"/>
        <v>-1</v>
      </c>
      <c r="S675" s="240"/>
      <c r="T675" s="201"/>
      <c r="U675" s="201"/>
      <c r="V675" s="201"/>
    </row>
    <row r="676" spans="1:22" ht="15.75" x14ac:dyDescent="0.25">
      <c r="A676" s="234" t="s">
        <v>989</v>
      </c>
      <c r="B676" s="235" t="s">
        <v>979</v>
      </c>
      <c r="C676" s="234" t="s">
        <v>9</v>
      </c>
      <c r="D676" s="312">
        <v>3</v>
      </c>
      <c r="E676" s="312"/>
      <c r="F676" s="248"/>
      <c r="G676" s="312"/>
      <c r="H676" s="312"/>
      <c r="I676" s="312"/>
      <c r="J676" s="248">
        <f t="shared" si="70"/>
        <v>0</v>
      </c>
      <c r="K676" s="330">
        <f t="shared" si="71"/>
        <v>-3</v>
      </c>
      <c r="L676" s="313"/>
      <c r="M676" s="228">
        <f t="shared" si="72"/>
        <v>0</v>
      </c>
      <c r="N676" s="228">
        <f t="shared" si="75"/>
        <v>0</v>
      </c>
      <c r="O676" s="228">
        <f t="shared" si="76"/>
        <v>0</v>
      </c>
      <c r="P676" s="228">
        <f t="shared" si="76"/>
        <v>0</v>
      </c>
      <c r="Q676" s="228">
        <f t="shared" si="73"/>
        <v>0</v>
      </c>
      <c r="R676" s="343">
        <f t="shared" si="74"/>
        <v>-3</v>
      </c>
      <c r="S676" s="240"/>
      <c r="T676" s="201"/>
      <c r="U676" s="201"/>
      <c r="V676" s="201"/>
    </row>
    <row r="677" spans="1:22" ht="15.75" x14ac:dyDescent="0.25">
      <c r="A677" s="234" t="s">
        <v>990</v>
      </c>
      <c r="B677" s="235" t="s">
        <v>981</v>
      </c>
      <c r="C677" s="234" t="s">
        <v>9</v>
      </c>
      <c r="D677" s="312">
        <v>2</v>
      </c>
      <c r="E677" s="312"/>
      <c r="F677" s="248"/>
      <c r="G677" s="312"/>
      <c r="H677" s="312"/>
      <c r="I677" s="312"/>
      <c r="J677" s="248">
        <f t="shared" si="70"/>
        <v>0</v>
      </c>
      <c r="K677" s="330">
        <f t="shared" si="71"/>
        <v>-2</v>
      </c>
      <c r="L677" s="313"/>
      <c r="M677" s="228">
        <f t="shared" si="72"/>
        <v>0</v>
      </c>
      <c r="N677" s="228">
        <f t="shared" si="75"/>
        <v>0</v>
      </c>
      <c r="O677" s="228">
        <f t="shared" si="76"/>
        <v>0</v>
      </c>
      <c r="P677" s="228">
        <f t="shared" si="76"/>
        <v>0</v>
      </c>
      <c r="Q677" s="228">
        <f t="shared" si="73"/>
        <v>0</v>
      </c>
      <c r="R677" s="343">
        <f t="shared" si="74"/>
        <v>-2</v>
      </c>
      <c r="S677" s="240"/>
      <c r="T677" s="201"/>
      <c r="U677" s="201"/>
      <c r="V677" s="201"/>
    </row>
    <row r="678" spans="1:22" ht="15.75" x14ac:dyDescent="0.25">
      <c r="A678" s="234" t="s">
        <v>991</v>
      </c>
      <c r="B678" s="235" t="s">
        <v>585</v>
      </c>
      <c r="C678" s="234" t="s">
        <v>9</v>
      </c>
      <c r="D678" s="312">
        <v>2</v>
      </c>
      <c r="E678" s="312"/>
      <c r="F678" s="248"/>
      <c r="G678" s="312"/>
      <c r="H678" s="312"/>
      <c r="I678" s="312"/>
      <c r="J678" s="248">
        <f t="shared" si="70"/>
        <v>0</v>
      </c>
      <c r="K678" s="330">
        <f t="shared" si="71"/>
        <v>-2</v>
      </c>
      <c r="L678" s="313"/>
      <c r="M678" s="228">
        <f t="shared" si="72"/>
        <v>0</v>
      </c>
      <c r="N678" s="228">
        <f t="shared" si="75"/>
        <v>0</v>
      </c>
      <c r="O678" s="228">
        <f t="shared" si="76"/>
        <v>0</v>
      </c>
      <c r="P678" s="228">
        <f t="shared" si="76"/>
        <v>0</v>
      </c>
      <c r="Q678" s="228">
        <f t="shared" si="73"/>
        <v>0</v>
      </c>
      <c r="R678" s="343">
        <f t="shared" si="74"/>
        <v>-2</v>
      </c>
      <c r="S678" s="240"/>
      <c r="T678" s="201"/>
      <c r="U678" s="201"/>
      <c r="V678" s="201"/>
    </row>
    <row r="679" spans="1:22" ht="15.75" x14ac:dyDescent="0.25">
      <c r="A679" s="234" t="s">
        <v>992</v>
      </c>
      <c r="B679" s="235" t="s">
        <v>972</v>
      </c>
      <c r="C679" s="234" t="s">
        <v>9</v>
      </c>
      <c r="D679" s="312">
        <v>2</v>
      </c>
      <c r="E679" s="312"/>
      <c r="F679" s="248"/>
      <c r="G679" s="312"/>
      <c r="H679" s="312"/>
      <c r="I679" s="312"/>
      <c r="J679" s="248">
        <f t="shared" si="70"/>
        <v>0</v>
      </c>
      <c r="K679" s="330">
        <f t="shared" si="71"/>
        <v>-2</v>
      </c>
      <c r="L679" s="313"/>
      <c r="M679" s="228">
        <f t="shared" si="72"/>
        <v>0</v>
      </c>
      <c r="N679" s="228">
        <f t="shared" si="75"/>
        <v>0</v>
      </c>
      <c r="O679" s="228">
        <f t="shared" si="76"/>
        <v>0</v>
      </c>
      <c r="P679" s="228">
        <f t="shared" si="76"/>
        <v>0</v>
      </c>
      <c r="Q679" s="228">
        <f t="shared" si="73"/>
        <v>0</v>
      </c>
      <c r="R679" s="343">
        <f t="shared" si="74"/>
        <v>-2</v>
      </c>
      <c r="S679" s="240"/>
      <c r="T679" s="201"/>
      <c r="U679" s="201"/>
      <c r="V679" s="201"/>
    </row>
    <row r="680" spans="1:22" ht="15.75" x14ac:dyDescent="0.25">
      <c r="A680" s="234" t="s">
        <v>993</v>
      </c>
      <c r="B680" s="235" t="s">
        <v>593</v>
      </c>
      <c r="C680" s="234" t="s">
        <v>9</v>
      </c>
      <c r="D680" s="312">
        <v>17</v>
      </c>
      <c r="E680" s="312"/>
      <c r="F680" s="248"/>
      <c r="G680" s="312"/>
      <c r="H680" s="312"/>
      <c r="I680" s="312"/>
      <c r="J680" s="248">
        <f t="shared" si="70"/>
        <v>0</v>
      </c>
      <c r="K680" s="330">
        <f t="shared" si="71"/>
        <v>-17</v>
      </c>
      <c r="L680" s="313"/>
      <c r="M680" s="228">
        <f t="shared" si="72"/>
        <v>0</v>
      </c>
      <c r="N680" s="228">
        <f t="shared" si="75"/>
        <v>0</v>
      </c>
      <c r="O680" s="228">
        <f t="shared" si="76"/>
        <v>0</v>
      </c>
      <c r="P680" s="228">
        <f t="shared" si="76"/>
        <v>0</v>
      </c>
      <c r="Q680" s="228">
        <f t="shared" si="73"/>
        <v>0</v>
      </c>
      <c r="R680" s="343">
        <f t="shared" si="74"/>
        <v>-17</v>
      </c>
      <c r="S680" s="240"/>
      <c r="T680" s="201"/>
      <c r="U680" s="201"/>
      <c r="V680" s="201"/>
    </row>
    <row r="681" spans="1:22" ht="30" x14ac:dyDescent="0.25">
      <c r="A681" s="234" t="s">
        <v>994</v>
      </c>
      <c r="B681" s="235" t="s">
        <v>602</v>
      </c>
      <c r="C681" s="234" t="s">
        <v>499</v>
      </c>
      <c r="D681" s="312">
        <v>1</v>
      </c>
      <c r="E681" s="312"/>
      <c r="F681" s="248"/>
      <c r="G681" s="312"/>
      <c r="H681" s="312"/>
      <c r="I681" s="312"/>
      <c r="J681" s="248">
        <f t="shared" si="70"/>
        <v>0</v>
      </c>
      <c r="K681" s="330">
        <f t="shared" si="71"/>
        <v>-1</v>
      </c>
      <c r="L681" s="313"/>
      <c r="M681" s="228">
        <f t="shared" si="72"/>
        <v>0</v>
      </c>
      <c r="N681" s="228">
        <f t="shared" si="75"/>
        <v>0</v>
      </c>
      <c r="O681" s="228">
        <f t="shared" si="76"/>
        <v>0</v>
      </c>
      <c r="P681" s="228">
        <f t="shared" si="76"/>
        <v>0</v>
      </c>
      <c r="Q681" s="228">
        <f t="shared" si="73"/>
        <v>0</v>
      </c>
      <c r="R681" s="343">
        <f t="shared" si="74"/>
        <v>-1</v>
      </c>
      <c r="S681" s="240"/>
      <c r="T681" s="201"/>
      <c r="U681" s="201"/>
      <c r="V681" s="201"/>
    </row>
    <row r="682" spans="1:22" ht="28.5" x14ac:dyDescent="0.25">
      <c r="A682" s="230" t="s">
        <v>995</v>
      </c>
      <c r="B682" s="231" t="s">
        <v>996</v>
      </c>
      <c r="C682" s="230"/>
      <c r="D682" s="316"/>
      <c r="E682" s="316"/>
      <c r="F682" s="317"/>
      <c r="G682" s="316"/>
      <c r="H682" s="316"/>
      <c r="I682" s="316"/>
      <c r="J682" s="248">
        <f t="shared" si="70"/>
        <v>0</v>
      </c>
      <c r="K682" s="330">
        <f t="shared" si="71"/>
        <v>0</v>
      </c>
      <c r="L682" s="318"/>
      <c r="M682" s="228">
        <f t="shared" si="72"/>
        <v>0</v>
      </c>
      <c r="N682" s="228">
        <f t="shared" si="75"/>
        <v>0</v>
      </c>
      <c r="O682" s="228">
        <f t="shared" si="76"/>
        <v>0</v>
      </c>
      <c r="P682" s="228">
        <f t="shared" si="76"/>
        <v>0</v>
      </c>
      <c r="Q682" s="228">
        <f t="shared" si="73"/>
        <v>0</v>
      </c>
      <c r="R682" s="343">
        <f t="shared" si="74"/>
        <v>0</v>
      </c>
      <c r="S682" s="240"/>
      <c r="T682" s="201"/>
      <c r="U682" s="201"/>
      <c r="V682" s="201"/>
    </row>
    <row r="683" spans="1:22" ht="15.75" x14ac:dyDescent="0.25">
      <c r="A683" s="234" t="s">
        <v>997</v>
      </c>
      <c r="B683" s="235" t="s">
        <v>969</v>
      </c>
      <c r="C683" s="234" t="s">
        <v>9</v>
      </c>
      <c r="D683" s="312">
        <v>1</v>
      </c>
      <c r="E683" s="312"/>
      <c r="F683" s="248"/>
      <c r="G683" s="312"/>
      <c r="H683" s="312"/>
      <c r="I683" s="312"/>
      <c r="J683" s="248">
        <f t="shared" si="70"/>
        <v>0</v>
      </c>
      <c r="K683" s="330">
        <f t="shared" si="71"/>
        <v>-1</v>
      </c>
      <c r="L683" s="313"/>
      <c r="M683" s="228">
        <f t="shared" si="72"/>
        <v>0</v>
      </c>
      <c r="N683" s="228">
        <f t="shared" si="75"/>
        <v>0</v>
      </c>
      <c r="O683" s="228">
        <f t="shared" si="76"/>
        <v>0</v>
      </c>
      <c r="P683" s="228">
        <f t="shared" si="76"/>
        <v>0</v>
      </c>
      <c r="Q683" s="228">
        <f t="shared" si="73"/>
        <v>0</v>
      </c>
      <c r="R683" s="343">
        <f t="shared" si="74"/>
        <v>-1</v>
      </c>
      <c r="S683" s="240"/>
      <c r="T683" s="201"/>
      <c r="U683" s="201"/>
      <c r="V683" s="201"/>
    </row>
    <row r="684" spans="1:22" ht="15.75" x14ac:dyDescent="0.25">
      <c r="A684" s="234" t="s">
        <v>998</v>
      </c>
      <c r="B684" s="235" t="s">
        <v>972</v>
      </c>
      <c r="C684" s="234" t="s">
        <v>9</v>
      </c>
      <c r="D684" s="312">
        <v>2</v>
      </c>
      <c r="E684" s="312"/>
      <c r="F684" s="248"/>
      <c r="G684" s="312"/>
      <c r="H684" s="312"/>
      <c r="I684" s="312"/>
      <c r="J684" s="248">
        <f t="shared" si="70"/>
        <v>0</v>
      </c>
      <c r="K684" s="330">
        <f t="shared" si="71"/>
        <v>-2</v>
      </c>
      <c r="L684" s="313"/>
      <c r="M684" s="228">
        <f t="shared" si="72"/>
        <v>0</v>
      </c>
      <c r="N684" s="228">
        <f t="shared" si="75"/>
        <v>0</v>
      </c>
      <c r="O684" s="228">
        <f t="shared" si="76"/>
        <v>0</v>
      </c>
      <c r="P684" s="228">
        <f t="shared" si="76"/>
        <v>0</v>
      </c>
      <c r="Q684" s="228">
        <f t="shared" si="73"/>
        <v>0</v>
      </c>
      <c r="R684" s="343">
        <f t="shared" si="74"/>
        <v>-2</v>
      </c>
      <c r="S684" s="240"/>
      <c r="T684" s="201"/>
      <c r="U684" s="201"/>
      <c r="V684" s="201"/>
    </row>
    <row r="685" spans="1:22" ht="15.75" x14ac:dyDescent="0.25">
      <c r="A685" s="234" t="s">
        <v>999</v>
      </c>
      <c r="B685" s="235" t="s">
        <v>593</v>
      </c>
      <c r="C685" s="234" t="s">
        <v>9</v>
      </c>
      <c r="D685" s="312">
        <v>9</v>
      </c>
      <c r="E685" s="312"/>
      <c r="F685" s="248"/>
      <c r="G685" s="312"/>
      <c r="H685" s="312"/>
      <c r="I685" s="312"/>
      <c r="J685" s="248">
        <f t="shared" si="70"/>
        <v>0</v>
      </c>
      <c r="K685" s="330">
        <f t="shared" si="71"/>
        <v>-9</v>
      </c>
      <c r="L685" s="313"/>
      <c r="M685" s="228">
        <f t="shared" si="72"/>
        <v>0</v>
      </c>
      <c r="N685" s="228">
        <f t="shared" si="75"/>
        <v>0</v>
      </c>
      <c r="O685" s="228">
        <f t="shared" si="76"/>
        <v>0</v>
      </c>
      <c r="P685" s="228">
        <f t="shared" si="76"/>
        <v>0</v>
      </c>
      <c r="Q685" s="228">
        <f t="shared" si="73"/>
        <v>0</v>
      </c>
      <c r="R685" s="343">
        <f t="shared" si="74"/>
        <v>-9</v>
      </c>
      <c r="S685" s="240"/>
      <c r="T685" s="201"/>
      <c r="U685" s="201"/>
      <c r="V685" s="201"/>
    </row>
    <row r="686" spans="1:22" ht="30" x14ac:dyDescent="0.25">
      <c r="A686" s="234" t="s">
        <v>1000</v>
      </c>
      <c r="B686" s="235" t="s">
        <v>672</v>
      </c>
      <c r="C686" s="234" t="s">
        <v>499</v>
      </c>
      <c r="D686" s="312">
        <v>1</v>
      </c>
      <c r="E686" s="312"/>
      <c r="F686" s="248"/>
      <c r="G686" s="312"/>
      <c r="H686" s="312"/>
      <c r="I686" s="312"/>
      <c r="J686" s="248">
        <f t="shared" si="70"/>
        <v>0</v>
      </c>
      <c r="K686" s="330">
        <f t="shared" si="71"/>
        <v>-1</v>
      </c>
      <c r="L686" s="313"/>
      <c r="M686" s="228">
        <f t="shared" si="72"/>
        <v>0</v>
      </c>
      <c r="N686" s="228">
        <f t="shared" si="75"/>
        <v>0</v>
      </c>
      <c r="O686" s="228">
        <f t="shared" si="76"/>
        <v>0</v>
      </c>
      <c r="P686" s="228">
        <f t="shared" si="76"/>
        <v>0</v>
      </c>
      <c r="Q686" s="228">
        <f t="shared" si="73"/>
        <v>0</v>
      </c>
      <c r="R686" s="343">
        <f t="shared" si="74"/>
        <v>-1</v>
      </c>
      <c r="S686" s="240"/>
      <c r="T686" s="201"/>
      <c r="U686" s="201"/>
      <c r="V686" s="201"/>
    </row>
    <row r="687" spans="1:22" ht="15.75" x14ac:dyDescent="0.25">
      <c r="A687" s="230" t="s">
        <v>1001</v>
      </c>
      <c r="B687" s="231" t="s">
        <v>1002</v>
      </c>
      <c r="C687" s="230"/>
      <c r="D687" s="316"/>
      <c r="E687" s="316"/>
      <c r="F687" s="317"/>
      <c r="G687" s="316"/>
      <c r="H687" s="316"/>
      <c r="I687" s="316"/>
      <c r="J687" s="248">
        <f t="shared" si="70"/>
        <v>0</v>
      </c>
      <c r="K687" s="330">
        <f t="shared" si="71"/>
        <v>0</v>
      </c>
      <c r="L687" s="318"/>
      <c r="M687" s="228">
        <f t="shared" si="72"/>
        <v>0</v>
      </c>
      <c r="N687" s="228">
        <f t="shared" si="75"/>
        <v>0</v>
      </c>
      <c r="O687" s="228">
        <f t="shared" si="76"/>
        <v>0</v>
      </c>
      <c r="P687" s="228">
        <f t="shared" si="76"/>
        <v>0</v>
      </c>
      <c r="Q687" s="228">
        <f t="shared" si="73"/>
        <v>0</v>
      </c>
      <c r="R687" s="343">
        <f t="shared" si="74"/>
        <v>0</v>
      </c>
      <c r="S687" s="240"/>
      <c r="T687" s="201"/>
      <c r="U687" s="201"/>
      <c r="V687" s="201"/>
    </row>
    <row r="688" spans="1:22" ht="15.75" x14ac:dyDescent="0.25">
      <c r="A688" s="234" t="s">
        <v>1003</v>
      </c>
      <c r="B688" s="235" t="s">
        <v>969</v>
      </c>
      <c r="C688" s="234" t="s">
        <v>9</v>
      </c>
      <c r="D688" s="312">
        <v>1</v>
      </c>
      <c r="E688" s="312"/>
      <c r="F688" s="248"/>
      <c r="G688" s="312"/>
      <c r="H688" s="312"/>
      <c r="I688" s="312"/>
      <c r="J688" s="248">
        <f t="shared" si="70"/>
        <v>0</v>
      </c>
      <c r="K688" s="330">
        <f t="shared" si="71"/>
        <v>-1</v>
      </c>
      <c r="L688" s="313"/>
      <c r="M688" s="228">
        <f t="shared" si="72"/>
        <v>0</v>
      </c>
      <c r="N688" s="228">
        <f t="shared" si="75"/>
        <v>0</v>
      </c>
      <c r="O688" s="228">
        <f t="shared" si="76"/>
        <v>0</v>
      </c>
      <c r="P688" s="228">
        <f t="shared" si="76"/>
        <v>0</v>
      </c>
      <c r="Q688" s="228">
        <f t="shared" si="73"/>
        <v>0</v>
      </c>
      <c r="R688" s="343">
        <f t="shared" si="74"/>
        <v>-1</v>
      </c>
      <c r="S688" s="240"/>
      <c r="T688" s="201"/>
      <c r="U688" s="201"/>
      <c r="V688" s="201"/>
    </row>
    <row r="689" spans="1:22" ht="15.75" x14ac:dyDescent="0.25">
      <c r="A689" s="234" t="s">
        <v>1004</v>
      </c>
      <c r="B689" s="235" t="s">
        <v>972</v>
      </c>
      <c r="C689" s="234" t="s">
        <v>9</v>
      </c>
      <c r="D689" s="312">
        <v>2</v>
      </c>
      <c r="E689" s="312"/>
      <c r="F689" s="248"/>
      <c r="G689" s="312"/>
      <c r="H689" s="312"/>
      <c r="I689" s="312"/>
      <c r="J689" s="248">
        <f t="shared" si="70"/>
        <v>0</v>
      </c>
      <c r="K689" s="330">
        <f t="shared" si="71"/>
        <v>-2</v>
      </c>
      <c r="L689" s="313"/>
      <c r="M689" s="228">
        <f t="shared" si="72"/>
        <v>0</v>
      </c>
      <c r="N689" s="228">
        <f t="shared" si="75"/>
        <v>0</v>
      </c>
      <c r="O689" s="228">
        <f t="shared" si="76"/>
        <v>0</v>
      </c>
      <c r="P689" s="228">
        <f t="shared" si="76"/>
        <v>0</v>
      </c>
      <c r="Q689" s="228">
        <f t="shared" si="73"/>
        <v>0</v>
      </c>
      <c r="R689" s="343">
        <f t="shared" si="74"/>
        <v>-2</v>
      </c>
      <c r="S689" s="240"/>
      <c r="T689" s="201"/>
      <c r="U689" s="201"/>
      <c r="V689" s="201"/>
    </row>
    <row r="690" spans="1:22" ht="15.75" x14ac:dyDescent="0.25">
      <c r="A690" s="234" t="s">
        <v>1005</v>
      </c>
      <c r="B690" s="235" t="s">
        <v>593</v>
      </c>
      <c r="C690" s="234" t="s">
        <v>9</v>
      </c>
      <c r="D690" s="312">
        <v>10</v>
      </c>
      <c r="E690" s="312"/>
      <c r="F690" s="248"/>
      <c r="G690" s="312"/>
      <c r="H690" s="312"/>
      <c r="I690" s="312"/>
      <c r="J690" s="248">
        <f t="shared" si="70"/>
        <v>0</v>
      </c>
      <c r="K690" s="330">
        <f t="shared" si="71"/>
        <v>-10</v>
      </c>
      <c r="L690" s="313"/>
      <c r="M690" s="228">
        <f t="shared" si="72"/>
        <v>0</v>
      </c>
      <c r="N690" s="228">
        <f t="shared" si="75"/>
        <v>0</v>
      </c>
      <c r="O690" s="228">
        <f t="shared" si="76"/>
        <v>0</v>
      </c>
      <c r="P690" s="228">
        <f t="shared" si="76"/>
        <v>0</v>
      </c>
      <c r="Q690" s="228">
        <f t="shared" si="73"/>
        <v>0</v>
      </c>
      <c r="R690" s="343">
        <f t="shared" si="74"/>
        <v>-10</v>
      </c>
      <c r="S690" s="240"/>
      <c r="T690" s="201"/>
      <c r="U690" s="201"/>
      <c r="V690" s="201"/>
    </row>
    <row r="691" spans="1:22" ht="30" x14ac:dyDescent="0.25">
      <c r="A691" s="234" t="s">
        <v>1006</v>
      </c>
      <c r="B691" s="235" t="s">
        <v>672</v>
      </c>
      <c r="C691" s="234" t="s">
        <v>499</v>
      </c>
      <c r="D691" s="312">
        <v>1</v>
      </c>
      <c r="E691" s="312"/>
      <c r="F691" s="248"/>
      <c r="G691" s="312"/>
      <c r="H691" s="312"/>
      <c r="I691" s="312"/>
      <c r="J691" s="248">
        <f t="shared" si="70"/>
        <v>0</v>
      </c>
      <c r="K691" s="330">
        <f t="shared" si="71"/>
        <v>-1</v>
      </c>
      <c r="L691" s="313"/>
      <c r="M691" s="228">
        <f t="shared" si="72"/>
        <v>0</v>
      </c>
      <c r="N691" s="228">
        <f t="shared" si="75"/>
        <v>0</v>
      </c>
      <c r="O691" s="228">
        <f t="shared" si="76"/>
        <v>0</v>
      </c>
      <c r="P691" s="228">
        <f t="shared" si="76"/>
        <v>0</v>
      </c>
      <c r="Q691" s="228">
        <f t="shared" si="73"/>
        <v>0</v>
      </c>
      <c r="R691" s="343">
        <f t="shared" si="74"/>
        <v>-1</v>
      </c>
      <c r="S691" s="240"/>
      <c r="T691" s="201"/>
      <c r="U691" s="201"/>
      <c r="V691" s="201"/>
    </row>
    <row r="692" spans="1:22" ht="15.75" x14ac:dyDescent="0.25">
      <c r="A692" s="230" t="s">
        <v>1007</v>
      </c>
      <c r="B692" s="231" t="s">
        <v>1008</v>
      </c>
      <c r="C692" s="230"/>
      <c r="D692" s="316"/>
      <c r="E692" s="316"/>
      <c r="F692" s="317"/>
      <c r="G692" s="316"/>
      <c r="H692" s="316"/>
      <c r="I692" s="316"/>
      <c r="J692" s="248">
        <f t="shared" si="70"/>
        <v>0</v>
      </c>
      <c r="K692" s="330">
        <f t="shared" si="71"/>
        <v>0</v>
      </c>
      <c r="L692" s="318"/>
      <c r="M692" s="228">
        <f t="shared" si="72"/>
        <v>0</v>
      </c>
      <c r="N692" s="228">
        <f t="shared" si="75"/>
        <v>0</v>
      </c>
      <c r="O692" s="228">
        <f t="shared" si="76"/>
        <v>0</v>
      </c>
      <c r="P692" s="228">
        <f t="shared" si="76"/>
        <v>0</v>
      </c>
      <c r="Q692" s="228">
        <f t="shared" si="73"/>
        <v>0</v>
      </c>
      <c r="R692" s="343">
        <f t="shared" si="74"/>
        <v>0</v>
      </c>
      <c r="S692" s="240"/>
      <c r="T692" s="201"/>
      <c r="U692" s="201"/>
      <c r="V692" s="201"/>
    </row>
    <row r="693" spans="1:22" ht="15.75" x14ac:dyDescent="0.25">
      <c r="A693" s="234" t="s">
        <v>1009</v>
      </c>
      <c r="B693" s="235" t="s">
        <v>676</v>
      </c>
      <c r="C693" s="234" t="s">
        <v>9</v>
      </c>
      <c r="D693" s="312">
        <v>1</v>
      </c>
      <c r="E693" s="312"/>
      <c r="F693" s="248"/>
      <c r="G693" s="312"/>
      <c r="H693" s="312"/>
      <c r="I693" s="312"/>
      <c r="J693" s="248">
        <f t="shared" si="70"/>
        <v>0</v>
      </c>
      <c r="K693" s="330">
        <f t="shared" si="71"/>
        <v>-1</v>
      </c>
      <c r="L693" s="313"/>
      <c r="M693" s="228">
        <f t="shared" si="72"/>
        <v>0</v>
      </c>
      <c r="N693" s="228">
        <f t="shared" si="75"/>
        <v>0</v>
      </c>
      <c r="O693" s="228">
        <f t="shared" si="76"/>
        <v>0</v>
      </c>
      <c r="P693" s="228">
        <f t="shared" si="76"/>
        <v>0</v>
      </c>
      <c r="Q693" s="228">
        <f t="shared" si="73"/>
        <v>0</v>
      </c>
      <c r="R693" s="343">
        <f t="shared" si="74"/>
        <v>-1</v>
      </c>
      <c r="S693" s="240"/>
      <c r="T693" s="201"/>
      <c r="U693" s="201"/>
      <c r="V693" s="201"/>
    </row>
    <row r="694" spans="1:22" ht="15.75" x14ac:dyDescent="0.25">
      <c r="A694" s="234" t="s">
        <v>1010</v>
      </c>
      <c r="B694" s="235" t="s">
        <v>483</v>
      </c>
      <c r="C694" s="234" t="s">
        <v>248</v>
      </c>
      <c r="D694" s="312">
        <v>3</v>
      </c>
      <c r="E694" s="312"/>
      <c r="F694" s="248"/>
      <c r="G694" s="312"/>
      <c r="H694" s="312"/>
      <c r="I694" s="312"/>
      <c r="J694" s="248">
        <f t="shared" si="70"/>
        <v>0</v>
      </c>
      <c r="K694" s="330">
        <f t="shared" si="71"/>
        <v>-3</v>
      </c>
      <c r="L694" s="313"/>
      <c r="M694" s="228">
        <f t="shared" si="72"/>
        <v>0</v>
      </c>
      <c r="N694" s="228">
        <f t="shared" si="75"/>
        <v>0</v>
      </c>
      <c r="O694" s="228">
        <f t="shared" si="76"/>
        <v>0</v>
      </c>
      <c r="P694" s="228">
        <f t="shared" si="76"/>
        <v>0</v>
      </c>
      <c r="Q694" s="228">
        <f t="shared" si="73"/>
        <v>0</v>
      </c>
      <c r="R694" s="343">
        <f t="shared" si="74"/>
        <v>-3</v>
      </c>
      <c r="S694" s="240"/>
      <c r="T694" s="201"/>
      <c r="U694" s="201"/>
      <c r="V694" s="201"/>
    </row>
    <row r="695" spans="1:22" ht="15.75" x14ac:dyDescent="0.25">
      <c r="A695" s="234" t="s">
        <v>1011</v>
      </c>
      <c r="B695" s="235" t="s">
        <v>877</v>
      </c>
      <c r="C695" s="234" t="s">
        <v>248</v>
      </c>
      <c r="D695" s="312">
        <v>3</v>
      </c>
      <c r="E695" s="312"/>
      <c r="F695" s="248"/>
      <c r="G695" s="312"/>
      <c r="H695" s="312"/>
      <c r="I695" s="312"/>
      <c r="J695" s="248">
        <f t="shared" si="70"/>
        <v>0</v>
      </c>
      <c r="K695" s="330">
        <f t="shared" si="71"/>
        <v>-3</v>
      </c>
      <c r="L695" s="313"/>
      <c r="M695" s="228">
        <f t="shared" si="72"/>
        <v>0</v>
      </c>
      <c r="N695" s="228">
        <f t="shared" si="75"/>
        <v>0</v>
      </c>
      <c r="O695" s="228">
        <f t="shared" si="76"/>
        <v>0</v>
      </c>
      <c r="P695" s="228">
        <f t="shared" si="76"/>
        <v>0</v>
      </c>
      <c r="Q695" s="228">
        <f t="shared" si="73"/>
        <v>0</v>
      </c>
      <c r="R695" s="343">
        <f t="shared" si="74"/>
        <v>-3</v>
      </c>
      <c r="S695" s="240"/>
      <c r="T695" s="201"/>
      <c r="U695" s="201"/>
      <c r="V695" s="201"/>
    </row>
    <row r="696" spans="1:22" ht="15.75" x14ac:dyDescent="0.25">
      <c r="A696" s="234" t="s">
        <v>1012</v>
      </c>
      <c r="B696" s="235" t="s">
        <v>622</v>
      </c>
      <c r="C696" s="234" t="s">
        <v>9</v>
      </c>
      <c r="D696" s="312">
        <v>1</v>
      </c>
      <c r="E696" s="312"/>
      <c r="F696" s="248"/>
      <c r="G696" s="312"/>
      <c r="H696" s="312"/>
      <c r="I696" s="312"/>
      <c r="J696" s="248">
        <f t="shared" si="70"/>
        <v>0</v>
      </c>
      <c r="K696" s="330">
        <f t="shared" si="71"/>
        <v>-1</v>
      </c>
      <c r="L696" s="313"/>
      <c r="M696" s="228">
        <f t="shared" si="72"/>
        <v>0</v>
      </c>
      <c r="N696" s="228">
        <f t="shared" si="75"/>
        <v>0</v>
      </c>
      <c r="O696" s="228">
        <f t="shared" si="76"/>
        <v>0</v>
      </c>
      <c r="P696" s="228">
        <f t="shared" si="76"/>
        <v>0</v>
      </c>
      <c r="Q696" s="228">
        <f t="shared" si="73"/>
        <v>0</v>
      </c>
      <c r="R696" s="343">
        <f t="shared" si="74"/>
        <v>-1</v>
      </c>
      <c r="S696" s="240"/>
      <c r="T696" s="201"/>
      <c r="U696" s="201"/>
      <c r="V696" s="201"/>
    </row>
    <row r="697" spans="1:22" ht="15.75" x14ac:dyDescent="0.25">
      <c r="A697" s="234" t="s">
        <v>1013</v>
      </c>
      <c r="B697" s="235" t="s">
        <v>804</v>
      </c>
      <c r="C697" s="234" t="s">
        <v>9</v>
      </c>
      <c r="D697" s="312">
        <v>3</v>
      </c>
      <c r="E697" s="312"/>
      <c r="F697" s="248"/>
      <c r="G697" s="312"/>
      <c r="H697" s="312"/>
      <c r="I697" s="312"/>
      <c r="J697" s="248">
        <f t="shared" si="70"/>
        <v>0</v>
      </c>
      <c r="K697" s="330">
        <f t="shared" si="71"/>
        <v>-3</v>
      </c>
      <c r="L697" s="313"/>
      <c r="M697" s="228">
        <f t="shared" si="72"/>
        <v>0</v>
      </c>
      <c r="N697" s="228">
        <f t="shared" si="75"/>
        <v>0</v>
      </c>
      <c r="O697" s="228">
        <f t="shared" si="76"/>
        <v>0</v>
      </c>
      <c r="P697" s="228">
        <f t="shared" si="76"/>
        <v>0</v>
      </c>
      <c r="Q697" s="228">
        <f t="shared" si="73"/>
        <v>0</v>
      </c>
      <c r="R697" s="343">
        <f t="shared" si="74"/>
        <v>-3</v>
      </c>
      <c r="S697" s="240"/>
      <c r="T697" s="201"/>
      <c r="U697" s="201"/>
      <c r="V697" s="201"/>
    </row>
    <row r="698" spans="1:22" ht="15.75" x14ac:dyDescent="0.25">
      <c r="A698" s="234" t="s">
        <v>1014</v>
      </c>
      <c r="B698" s="235" t="s">
        <v>628</v>
      </c>
      <c r="C698" s="234" t="s">
        <v>9</v>
      </c>
      <c r="D698" s="312">
        <v>1</v>
      </c>
      <c r="E698" s="312"/>
      <c r="F698" s="248"/>
      <c r="G698" s="312"/>
      <c r="H698" s="312"/>
      <c r="I698" s="312"/>
      <c r="J698" s="248">
        <f t="shared" ref="J698:J761" si="77">F698+G698+H698+I698</f>
        <v>0</v>
      </c>
      <c r="K698" s="330">
        <f t="shared" ref="K698:K761" si="78">J698-D698</f>
        <v>-1</v>
      </c>
      <c r="L698" s="313"/>
      <c r="M698" s="228">
        <f t="shared" ref="M698:M761" si="79">F698</f>
        <v>0</v>
      </c>
      <c r="N698" s="228">
        <f t="shared" si="75"/>
        <v>0</v>
      </c>
      <c r="O698" s="228">
        <f t="shared" si="76"/>
        <v>0</v>
      </c>
      <c r="P698" s="228">
        <f t="shared" si="76"/>
        <v>0</v>
      </c>
      <c r="Q698" s="228">
        <f t="shared" ref="Q698:Q761" si="80">M698+N698+O698+P698</f>
        <v>0</v>
      </c>
      <c r="R698" s="343">
        <f t="shared" ref="R698:R761" si="81">Q698-D698</f>
        <v>-1</v>
      </c>
      <c r="S698" s="240"/>
      <c r="T698" s="201"/>
      <c r="U698" s="201"/>
      <c r="V698" s="201"/>
    </row>
    <row r="699" spans="1:22" ht="15.75" x14ac:dyDescent="0.25">
      <c r="A699" s="234" t="s">
        <v>1015</v>
      </c>
      <c r="B699" s="235" t="s">
        <v>593</v>
      </c>
      <c r="C699" s="234" t="s">
        <v>9</v>
      </c>
      <c r="D699" s="312">
        <v>8</v>
      </c>
      <c r="E699" s="312"/>
      <c r="F699" s="248"/>
      <c r="G699" s="312"/>
      <c r="H699" s="312"/>
      <c r="I699" s="312"/>
      <c r="J699" s="248">
        <f t="shared" si="77"/>
        <v>0</v>
      </c>
      <c r="K699" s="330">
        <f t="shared" si="78"/>
        <v>-8</v>
      </c>
      <c r="L699" s="313"/>
      <c r="M699" s="228">
        <f t="shared" si="79"/>
        <v>0</v>
      </c>
      <c r="N699" s="228">
        <f t="shared" si="75"/>
        <v>0</v>
      </c>
      <c r="O699" s="228">
        <f t="shared" si="76"/>
        <v>0</v>
      </c>
      <c r="P699" s="228">
        <f t="shared" si="76"/>
        <v>0</v>
      </c>
      <c r="Q699" s="228">
        <f t="shared" si="80"/>
        <v>0</v>
      </c>
      <c r="R699" s="343">
        <f t="shared" si="81"/>
        <v>-8</v>
      </c>
      <c r="S699" s="240"/>
      <c r="T699" s="201"/>
      <c r="U699" s="201"/>
      <c r="V699" s="201"/>
    </row>
    <row r="700" spans="1:22" ht="15.75" x14ac:dyDescent="0.25">
      <c r="A700" s="234" t="s">
        <v>1016</v>
      </c>
      <c r="B700" s="235" t="s">
        <v>495</v>
      </c>
      <c r="C700" s="234" t="s">
        <v>248</v>
      </c>
      <c r="D700" s="312">
        <v>1</v>
      </c>
      <c r="E700" s="312"/>
      <c r="F700" s="248"/>
      <c r="G700" s="312"/>
      <c r="H700" s="312"/>
      <c r="I700" s="312"/>
      <c r="J700" s="248">
        <f t="shared" si="77"/>
        <v>0</v>
      </c>
      <c r="K700" s="330">
        <f t="shared" si="78"/>
        <v>-1</v>
      </c>
      <c r="L700" s="313"/>
      <c r="M700" s="228">
        <f t="shared" si="79"/>
        <v>0</v>
      </c>
      <c r="N700" s="228">
        <f t="shared" si="75"/>
        <v>0</v>
      </c>
      <c r="O700" s="228">
        <f t="shared" si="76"/>
        <v>0</v>
      </c>
      <c r="P700" s="228">
        <f t="shared" si="76"/>
        <v>0</v>
      </c>
      <c r="Q700" s="228">
        <f t="shared" si="80"/>
        <v>0</v>
      </c>
      <c r="R700" s="343">
        <f t="shared" si="81"/>
        <v>-1</v>
      </c>
      <c r="S700" s="240"/>
      <c r="T700" s="201"/>
      <c r="U700" s="201"/>
      <c r="V700" s="201"/>
    </row>
    <row r="701" spans="1:22" ht="30" x14ac:dyDescent="0.25">
      <c r="A701" s="234" t="s">
        <v>1017</v>
      </c>
      <c r="B701" s="235" t="s">
        <v>645</v>
      </c>
      <c r="C701" s="234" t="s">
        <v>499</v>
      </c>
      <c r="D701" s="312">
        <v>1</v>
      </c>
      <c r="E701" s="312"/>
      <c r="F701" s="248"/>
      <c r="G701" s="312"/>
      <c r="H701" s="312"/>
      <c r="I701" s="312"/>
      <c r="J701" s="248">
        <f t="shared" si="77"/>
        <v>0</v>
      </c>
      <c r="K701" s="330">
        <f t="shared" si="78"/>
        <v>-1</v>
      </c>
      <c r="L701" s="313"/>
      <c r="M701" s="228">
        <f t="shared" si="79"/>
        <v>0</v>
      </c>
      <c r="N701" s="228">
        <f t="shared" si="75"/>
        <v>0</v>
      </c>
      <c r="O701" s="228">
        <f t="shared" si="76"/>
        <v>0</v>
      </c>
      <c r="P701" s="228">
        <f t="shared" si="76"/>
        <v>0</v>
      </c>
      <c r="Q701" s="228">
        <f t="shared" si="80"/>
        <v>0</v>
      </c>
      <c r="R701" s="343">
        <f t="shared" si="81"/>
        <v>-1</v>
      </c>
      <c r="S701" s="240"/>
      <c r="T701" s="201"/>
      <c r="U701" s="201"/>
      <c r="V701" s="201"/>
    </row>
    <row r="702" spans="1:22" ht="15.75" x14ac:dyDescent="0.25">
      <c r="A702" s="230" t="s">
        <v>1018</v>
      </c>
      <c r="B702" s="231" t="s">
        <v>1019</v>
      </c>
      <c r="C702" s="230"/>
      <c r="D702" s="316"/>
      <c r="E702" s="316"/>
      <c r="F702" s="317"/>
      <c r="G702" s="316"/>
      <c r="H702" s="316"/>
      <c r="I702" s="316"/>
      <c r="J702" s="248">
        <f t="shared" si="77"/>
        <v>0</v>
      </c>
      <c r="K702" s="330">
        <f t="shared" si="78"/>
        <v>0</v>
      </c>
      <c r="L702" s="318"/>
      <c r="M702" s="228">
        <f t="shared" si="79"/>
        <v>0</v>
      </c>
      <c r="N702" s="228">
        <f t="shared" si="75"/>
        <v>0</v>
      </c>
      <c r="O702" s="228">
        <f t="shared" si="76"/>
        <v>0</v>
      </c>
      <c r="P702" s="228">
        <f t="shared" si="76"/>
        <v>0</v>
      </c>
      <c r="Q702" s="228">
        <f t="shared" si="80"/>
        <v>0</v>
      </c>
      <c r="R702" s="343">
        <f t="shared" si="81"/>
        <v>0</v>
      </c>
      <c r="S702" s="240"/>
      <c r="T702" s="201"/>
      <c r="U702" s="201"/>
      <c r="V702" s="201"/>
    </row>
    <row r="703" spans="1:22" ht="15.75" x14ac:dyDescent="0.25">
      <c r="A703" s="234" t="s">
        <v>1020</v>
      </c>
      <c r="B703" s="235" t="s">
        <v>1021</v>
      </c>
      <c r="C703" s="234" t="s">
        <v>9</v>
      </c>
      <c r="D703" s="312">
        <v>1</v>
      </c>
      <c r="E703" s="312"/>
      <c r="F703" s="248"/>
      <c r="G703" s="312"/>
      <c r="H703" s="312"/>
      <c r="I703" s="312"/>
      <c r="J703" s="248">
        <f t="shared" si="77"/>
        <v>0</v>
      </c>
      <c r="K703" s="330">
        <f t="shared" si="78"/>
        <v>-1</v>
      </c>
      <c r="L703" s="313"/>
      <c r="M703" s="228">
        <f t="shared" si="79"/>
        <v>0</v>
      </c>
      <c r="N703" s="228">
        <f t="shared" si="75"/>
        <v>0</v>
      </c>
      <c r="O703" s="228">
        <f t="shared" si="76"/>
        <v>0</v>
      </c>
      <c r="P703" s="228">
        <f t="shared" si="76"/>
        <v>0</v>
      </c>
      <c r="Q703" s="228">
        <f t="shared" si="80"/>
        <v>0</v>
      </c>
      <c r="R703" s="343">
        <f t="shared" si="81"/>
        <v>-1</v>
      </c>
      <c r="S703" s="240"/>
      <c r="T703" s="201"/>
      <c r="U703" s="201"/>
      <c r="V703" s="201"/>
    </row>
    <row r="704" spans="1:22" ht="15.75" x14ac:dyDescent="0.25">
      <c r="A704" s="234" t="s">
        <v>1022</v>
      </c>
      <c r="B704" s="235" t="s">
        <v>483</v>
      </c>
      <c r="C704" s="234" t="s">
        <v>248</v>
      </c>
      <c r="D704" s="312">
        <v>3</v>
      </c>
      <c r="E704" s="312"/>
      <c r="F704" s="248"/>
      <c r="G704" s="312"/>
      <c r="H704" s="312"/>
      <c r="I704" s="312"/>
      <c r="J704" s="248">
        <f t="shared" si="77"/>
        <v>0</v>
      </c>
      <c r="K704" s="330">
        <f t="shared" si="78"/>
        <v>-3</v>
      </c>
      <c r="L704" s="313"/>
      <c r="M704" s="228">
        <f t="shared" si="79"/>
        <v>0</v>
      </c>
      <c r="N704" s="228">
        <f t="shared" si="75"/>
        <v>0</v>
      </c>
      <c r="O704" s="228">
        <f t="shared" si="76"/>
        <v>0</v>
      </c>
      <c r="P704" s="228">
        <f t="shared" si="76"/>
        <v>0</v>
      </c>
      <c r="Q704" s="228">
        <f t="shared" si="80"/>
        <v>0</v>
      </c>
      <c r="R704" s="343">
        <f t="shared" si="81"/>
        <v>-3</v>
      </c>
      <c r="S704" s="240"/>
      <c r="T704" s="201"/>
      <c r="U704" s="201"/>
      <c r="V704" s="201"/>
    </row>
    <row r="705" spans="1:22" ht="15.75" x14ac:dyDescent="0.25">
      <c r="A705" s="234" t="s">
        <v>1023</v>
      </c>
      <c r="B705" s="235" t="s">
        <v>877</v>
      </c>
      <c r="C705" s="234" t="s">
        <v>248</v>
      </c>
      <c r="D705" s="312">
        <v>3</v>
      </c>
      <c r="E705" s="312"/>
      <c r="F705" s="248"/>
      <c r="G705" s="312"/>
      <c r="H705" s="312"/>
      <c r="I705" s="312"/>
      <c r="J705" s="248">
        <f t="shared" si="77"/>
        <v>0</v>
      </c>
      <c r="K705" s="330">
        <f t="shared" si="78"/>
        <v>-3</v>
      </c>
      <c r="L705" s="313"/>
      <c r="M705" s="228">
        <f t="shared" si="79"/>
        <v>0</v>
      </c>
      <c r="N705" s="228">
        <f t="shared" si="75"/>
        <v>0</v>
      </c>
      <c r="O705" s="228">
        <f t="shared" si="76"/>
        <v>0</v>
      </c>
      <c r="P705" s="228">
        <f t="shared" si="76"/>
        <v>0</v>
      </c>
      <c r="Q705" s="228">
        <f t="shared" si="80"/>
        <v>0</v>
      </c>
      <c r="R705" s="343">
        <f t="shared" si="81"/>
        <v>-3</v>
      </c>
      <c r="S705" s="240"/>
      <c r="T705" s="201"/>
      <c r="U705" s="201"/>
      <c r="V705" s="201"/>
    </row>
    <row r="706" spans="1:22" ht="15.75" x14ac:dyDescent="0.25">
      <c r="A706" s="234" t="s">
        <v>1024</v>
      </c>
      <c r="B706" s="235" t="s">
        <v>1025</v>
      </c>
      <c r="C706" s="234" t="s">
        <v>9</v>
      </c>
      <c r="D706" s="312">
        <v>2</v>
      </c>
      <c r="E706" s="312"/>
      <c r="F706" s="248"/>
      <c r="G706" s="312"/>
      <c r="H706" s="312"/>
      <c r="I706" s="312"/>
      <c r="J706" s="248">
        <f t="shared" si="77"/>
        <v>0</v>
      </c>
      <c r="K706" s="330">
        <f t="shared" si="78"/>
        <v>-2</v>
      </c>
      <c r="L706" s="313"/>
      <c r="M706" s="228">
        <f t="shared" si="79"/>
        <v>0</v>
      </c>
      <c r="N706" s="228">
        <f t="shared" si="75"/>
        <v>0</v>
      </c>
      <c r="O706" s="228">
        <f t="shared" si="76"/>
        <v>0</v>
      </c>
      <c r="P706" s="228">
        <f t="shared" si="76"/>
        <v>0</v>
      </c>
      <c r="Q706" s="228">
        <f t="shared" si="80"/>
        <v>0</v>
      </c>
      <c r="R706" s="343">
        <f t="shared" si="81"/>
        <v>-2</v>
      </c>
      <c r="S706" s="240"/>
      <c r="T706" s="201"/>
      <c r="U706" s="201"/>
      <c r="V706" s="201"/>
    </row>
    <row r="707" spans="1:22" ht="15.75" x14ac:dyDescent="0.25">
      <c r="A707" s="234" t="s">
        <v>1026</v>
      </c>
      <c r="B707" s="235" t="s">
        <v>618</v>
      </c>
      <c r="C707" s="234" t="s">
        <v>9</v>
      </c>
      <c r="D707" s="312">
        <v>1</v>
      </c>
      <c r="E707" s="312"/>
      <c r="F707" s="248"/>
      <c r="G707" s="312"/>
      <c r="H707" s="312"/>
      <c r="I707" s="312"/>
      <c r="J707" s="248">
        <f t="shared" si="77"/>
        <v>0</v>
      </c>
      <c r="K707" s="330">
        <f t="shared" si="78"/>
        <v>-1</v>
      </c>
      <c r="L707" s="313"/>
      <c r="M707" s="228">
        <f t="shared" si="79"/>
        <v>0</v>
      </c>
      <c r="N707" s="228">
        <f t="shared" si="75"/>
        <v>0</v>
      </c>
      <c r="O707" s="228">
        <f t="shared" si="76"/>
        <v>0</v>
      </c>
      <c r="P707" s="228">
        <f t="shared" si="76"/>
        <v>0</v>
      </c>
      <c r="Q707" s="228">
        <f t="shared" si="80"/>
        <v>0</v>
      </c>
      <c r="R707" s="343">
        <f t="shared" si="81"/>
        <v>-1</v>
      </c>
      <c r="S707" s="240"/>
      <c r="T707" s="201"/>
      <c r="U707" s="201"/>
      <c r="V707" s="201"/>
    </row>
    <row r="708" spans="1:22" ht="15.75" x14ac:dyDescent="0.25">
      <c r="A708" s="234" t="s">
        <v>1027</v>
      </c>
      <c r="B708" s="235" t="s">
        <v>581</v>
      </c>
      <c r="C708" s="234" t="s">
        <v>9</v>
      </c>
      <c r="D708" s="312">
        <v>1</v>
      </c>
      <c r="E708" s="312"/>
      <c r="F708" s="248"/>
      <c r="G708" s="312"/>
      <c r="H708" s="312"/>
      <c r="I708" s="312"/>
      <c r="J708" s="248">
        <f t="shared" si="77"/>
        <v>0</v>
      </c>
      <c r="K708" s="330">
        <f t="shared" si="78"/>
        <v>-1</v>
      </c>
      <c r="L708" s="313"/>
      <c r="M708" s="228">
        <f t="shared" si="79"/>
        <v>0</v>
      </c>
      <c r="N708" s="228">
        <f t="shared" si="75"/>
        <v>0</v>
      </c>
      <c r="O708" s="228">
        <f t="shared" si="76"/>
        <v>0</v>
      </c>
      <c r="P708" s="228">
        <f t="shared" si="76"/>
        <v>0</v>
      </c>
      <c r="Q708" s="228">
        <f t="shared" si="80"/>
        <v>0</v>
      </c>
      <c r="R708" s="343">
        <f t="shared" si="81"/>
        <v>-1</v>
      </c>
      <c r="S708" s="240"/>
      <c r="T708" s="201"/>
      <c r="U708" s="201"/>
      <c r="V708" s="201"/>
    </row>
    <row r="709" spans="1:22" ht="15.75" x14ac:dyDescent="0.25">
      <c r="A709" s="234" t="s">
        <v>1028</v>
      </c>
      <c r="B709" s="235" t="s">
        <v>1029</v>
      </c>
      <c r="C709" s="234" t="s">
        <v>248</v>
      </c>
      <c r="D709" s="312">
        <v>2</v>
      </c>
      <c r="E709" s="312"/>
      <c r="F709" s="248"/>
      <c r="G709" s="312"/>
      <c r="H709" s="312"/>
      <c r="I709" s="312"/>
      <c r="J709" s="248">
        <f t="shared" si="77"/>
        <v>0</v>
      </c>
      <c r="K709" s="330">
        <f t="shared" si="78"/>
        <v>-2</v>
      </c>
      <c r="L709" s="313"/>
      <c r="M709" s="228">
        <f t="shared" si="79"/>
        <v>0</v>
      </c>
      <c r="N709" s="228">
        <f t="shared" si="75"/>
        <v>0</v>
      </c>
      <c r="O709" s="228">
        <f t="shared" si="76"/>
        <v>0</v>
      </c>
      <c r="P709" s="228">
        <f t="shared" si="76"/>
        <v>0</v>
      </c>
      <c r="Q709" s="228">
        <f t="shared" si="80"/>
        <v>0</v>
      </c>
      <c r="R709" s="343">
        <f t="shared" si="81"/>
        <v>-2</v>
      </c>
      <c r="S709" s="240"/>
      <c r="T709" s="201"/>
      <c r="U709" s="201"/>
      <c r="V709" s="201"/>
    </row>
    <row r="710" spans="1:22" ht="15.75" x14ac:dyDescent="0.25">
      <c r="A710" s="234" t="s">
        <v>1030</v>
      </c>
      <c r="B710" s="235" t="s">
        <v>495</v>
      </c>
      <c r="C710" s="234" t="s">
        <v>248</v>
      </c>
      <c r="D710" s="312">
        <v>1</v>
      </c>
      <c r="E710" s="312"/>
      <c r="F710" s="248"/>
      <c r="G710" s="312"/>
      <c r="H710" s="312"/>
      <c r="I710" s="312"/>
      <c r="J710" s="248">
        <f t="shared" si="77"/>
        <v>0</v>
      </c>
      <c r="K710" s="330">
        <f t="shared" si="78"/>
        <v>-1</v>
      </c>
      <c r="L710" s="313"/>
      <c r="M710" s="228">
        <f t="shared" si="79"/>
        <v>0</v>
      </c>
      <c r="N710" s="228">
        <f t="shared" si="75"/>
        <v>0</v>
      </c>
      <c r="O710" s="228">
        <f t="shared" si="76"/>
        <v>0</v>
      </c>
      <c r="P710" s="228">
        <f t="shared" si="76"/>
        <v>0</v>
      </c>
      <c r="Q710" s="228">
        <f t="shared" si="80"/>
        <v>0</v>
      </c>
      <c r="R710" s="343">
        <f t="shared" si="81"/>
        <v>-1</v>
      </c>
      <c r="S710" s="240"/>
      <c r="T710" s="201"/>
      <c r="U710" s="201"/>
      <c r="V710" s="201"/>
    </row>
    <row r="711" spans="1:22" ht="30" x14ac:dyDescent="0.25">
      <c r="A711" s="234" t="s">
        <v>1031</v>
      </c>
      <c r="B711" s="235" t="s">
        <v>498</v>
      </c>
      <c r="C711" s="234" t="s">
        <v>248</v>
      </c>
      <c r="D711" s="312">
        <v>1</v>
      </c>
      <c r="E711" s="312"/>
      <c r="F711" s="248"/>
      <c r="G711" s="312"/>
      <c r="H711" s="312"/>
      <c r="I711" s="312"/>
      <c r="J711" s="248">
        <f t="shared" si="77"/>
        <v>0</v>
      </c>
      <c r="K711" s="330">
        <f t="shared" si="78"/>
        <v>-1</v>
      </c>
      <c r="L711" s="313"/>
      <c r="M711" s="228">
        <f t="shared" si="79"/>
        <v>0</v>
      </c>
      <c r="N711" s="228">
        <f t="shared" si="75"/>
        <v>0</v>
      </c>
      <c r="O711" s="228">
        <f t="shared" si="76"/>
        <v>0</v>
      </c>
      <c r="P711" s="228">
        <f t="shared" si="76"/>
        <v>0</v>
      </c>
      <c r="Q711" s="228">
        <f t="shared" si="80"/>
        <v>0</v>
      </c>
      <c r="R711" s="343">
        <f t="shared" si="81"/>
        <v>-1</v>
      </c>
      <c r="S711" s="240"/>
      <c r="T711" s="201"/>
      <c r="U711" s="201"/>
      <c r="V711" s="201"/>
    </row>
    <row r="712" spans="1:22" ht="15.75" x14ac:dyDescent="0.25">
      <c r="A712" s="230" t="s">
        <v>1032</v>
      </c>
      <c r="B712" s="231" t="s">
        <v>1033</v>
      </c>
      <c r="C712" s="230"/>
      <c r="D712" s="316"/>
      <c r="E712" s="316"/>
      <c r="F712" s="317"/>
      <c r="G712" s="316"/>
      <c r="H712" s="316"/>
      <c r="I712" s="316"/>
      <c r="J712" s="248">
        <f t="shared" si="77"/>
        <v>0</v>
      </c>
      <c r="K712" s="330">
        <f t="shared" si="78"/>
        <v>0</v>
      </c>
      <c r="L712" s="318"/>
      <c r="M712" s="228">
        <f t="shared" si="79"/>
        <v>0</v>
      </c>
      <c r="N712" s="228">
        <f t="shared" si="75"/>
        <v>0</v>
      </c>
      <c r="O712" s="228">
        <f t="shared" si="76"/>
        <v>0</v>
      </c>
      <c r="P712" s="228">
        <f t="shared" si="76"/>
        <v>0</v>
      </c>
      <c r="Q712" s="228">
        <f t="shared" si="80"/>
        <v>0</v>
      </c>
      <c r="R712" s="343">
        <f t="shared" si="81"/>
        <v>0</v>
      </c>
      <c r="S712" s="240"/>
      <c r="T712" s="201"/>
      <c r="U712" s="201"/>
      <c r="V712" s="201"/>
    </row>
    <row r="713" spans="1:22" ht="15.75" x14ac:dyDescent="0.25">
      <c r="A713" s="234" t="s">
        <v>1034</v>
      </c>
      <c r="B713" s="235" t="s">
        <v>618</v>
      </c>
      <c r="C713" s="234" t="s">
        <v>9</v>
      </c>
      <c r="D713" s="312">
        <v>1</v>
      </c>
      <c r="E713" s="312"/>
      <c r="F713" s="248"/>
      <c r="G713" s="312"/>
      <c r="H713" s="312"/>
      <c r="I713" s="312"/>
      <c r="J713" s="248">
        <f t="shared" si="77"/>
        <v>0</v>
      </c>
      <c r="K713" s="330">
        <f t="shared" si="78"/>
        <v>-1</v>
      </c>
      <c r="L713" s="313"/>
      <c r="M713" s="228">
        <f t="shared" si="79"/>
        <v>0</v>
      </c>
      <c r="N713" s="228">
        <f t="shared" ref="N713:N776" si="82">G713</f>
        <v>0</v>
      </c>
      <c r="O713" s="228">
        <f t="shared" ref="O713:P776" si="83">H713</f>
        <v>0</v>
      </c>
      <c r="P713" s="228">
        <f t="shared" si="83"/>
        <v>0</v>
      </c>
      <c r="Q713" s="228">
        <f t="shared" si="80"/>
        <v>0</v>
      </c>
      <c r="R713" s="343">
        <f t="shared" si="81"/>
        <v>-1</v>
      </c>
      <c r="S713" s="240"/>
      <c r="T713" s="201"/>
      <c r="U713" s="201"/>
      <c r="V713" s="201"/>
    </row>
    <row r="714" spans="1:22" ht="15.75" x14ac:dyDescent="0.25">
      <c r="A714" s="234" t="s">
        <v>1035</v>
      </c>
      <c r="B714" s="235" t="s">
        <v>747</v>
      </c>
      <c r="C714" s="234" t="s">
        <v>248</v>
      </c>
      <c r="D714" s="312">
        <v>6</v>
      </c>
      <c r="E714" s="312"/>
      <c r="F714" s="248"/>
      <c r="G714" s="312"/>
      <c r="H714" s="312"/>
      <c r="I714" s="312"/>
      <c r="J714" s="248">
        <f t="shared" si="77"/>
        <v>0</v>
      </c>
      <c r="K714" s="330">
        <f t="shared" si="78"/>
        <v>-6</v>
      </c>
      <c r="L714" s="313"/>
      <c r="M714" s="228">
        <f t="shared" si="79"/>
        <v>0</v>
      </c>
      <c r="N714" s="228">
        <f t="shared" si="82"/>
        <v>0</v>
      </c>
      <c r="O714" s="228">
        <f t="shared" si="83"/>
        <v>0</v>
      </c>
      <c r="P714" s="228">
        <f t="shared" si="83"/>
        <v>0</v>
      </c>
      <c r="Q714" s="228">
        <f t="shared" si="80"/>
        <v>0</v>
      </c>
      <c r="R714" s="343">
        <f t="shared" si="81"/>
        <v>-6</v>
      </c>
      <c r="S714" s="240"/>
      <c r="T714" s="201"/>
      <c r="U714" s="201"/>
      <c r="V714" s="201"/>
    </row>
    <row r="715" spans="1:22" ht="15.75" x14ac:dyDescent="0.25">
      <c r="A715" s="234" t="s">
        <v>1036</v>
      </c>
      <c r="B715" s="235" t="s">
        <v>483</v>
      </c>
      <c r="C715" s="234" t="s">
        <v>248</v>
      </c>
      <c r="D715" s="312">
        <v>3</v>
      </c>
      <c r="E715" s="312"/>
      <c r="F715" s="248"/>
      <c r="G715" s="312"/>
      <c r="H715" s="312"/>
      <c r="I715" s="312"/>
      <c r="J715" s="248">
        <f t="shared" si="77"/>
        <v>0</v>
      </c>
      <c r="K715" s="330">
        <f t="shared" si="78"/>
        <v>-3</v>
      </c>
      <c r="L715" s="313"/>
      <c r="M715" s="228">
        <f t="shared" si="79"/>
        <v>0</v>
      </c>
      <c r="N715" s="228">
        <f t="shared" si="82"/>
        <v>0</v>
      </c>
      <c r="O715" s="228">
        <f t="shared" si="83"/>
        <v>0</v>
      </c>
      <c r="P715" s="228">
        <f t="shared" si="83"/>
        <v>0</v>
      </c>
      <c r="Q715" s="228">
        <f t="shared" si="80"/>
        <v>0</v>
      </c>
      <c r="R715" s="343">
        <f t="shared" si="81"/>
        <v>-3</v>
      </c>
      <c r="S715" s="240"/>
      <c r="T715" s="201"/>
      <c r="U715" s="201"/>
      <c r="V715" s="201"/>
    </row>
    <row r="716" spans="1:22" ht="15.75" x14ac:dyDescent="0.25">
      <c r="A716" s="234" t="s">
        <v>1037</v>
      </c>
      <c r="B716" s="235" t="s">
        <v>1038</v>
      </c>
      <c r="C716" s="234" t="s">
        <v>9</v>
      </c>
      <c r="D716" s="312">
        <v>3</v>
      </c>
      <c r="E716" s="312"/>
      <c r="F716" s="248"/>
      <c r="G716" s="312"/>
      <c r="H716" s="312"/>
      <c r="I716" s="312"/>
      <c r="J716" s="248">
        <f t="shared" si="77"/>
        <v>0</v>
      </c>
      <c r="K716" s="330">
        <f t="shared" si="78"/>
        <v>-3</v>
      </c>
      <c r="L716" s="313"/>
      <c r="M716" s="228">
        <f t="shared" si="79"/>
        <v>0</v>
      </c>
      <c r="N716" s="228">
        <f t="shared" si="82"/>
        <v>0</v>
      </c>
      <c r="O716" s="228">
        <f t="shared" si="83"/>
        <v>0</v>
      </c>
      <c r="P716" s="228">
        <f t="shared" si="83"/>
        <v>0</v>
      </c>
      <c r="Q716" s="228">
        <f t="shared" si="80"/>
        <v>0</v>
      </c>
      <c r="R716" s="343">
        <f t="shared" si="81"/>
        <v>-3</v>
      </c>
      <c r="S716" s="240"/>
      <c r="T716" s="201"/>
      <c r="U716" s="201"/>
      <c r="V716" s="201"/>
    </row>
    <row r="717" spans="1:22" ht="15.75" x14ac:dyDescent="0.25">
      <c r="A717" s="234" t="s">
        <v>1039</v>
      </c>
      <c r="B717" s="235" t="s">
        <v>593</v>
      </c>
      <c r="C717" s="234" t="s">
        <v>9</v>
      </c>
      <c r="D717" s="312">
        <v>1</v>
      </c>
      <c r="E717" s="312"/>
      <c r="F717" s="248"/>
      <c r="G717" s="312"/>
      <c r="H717" s="312"/>
      <c r="I717" s="312"/>
      <c r="J717" s="248">
        <f t="shared" si="77"/>
        <v>0</v>
      </c>
      <c r="K717" s="330">
        <f t="shared" si="78"/>
        <v>-1</v>
      </c>
      <c r="L717" s="313"/>
      <c r="M717" s="228">
        <f t="shared" si="79"/>
        <v>0</v>
      </c>
      <c r="N717" s="228">
        <f t="shared" si="82"/>
        <v>0</v>
      </c>
      <c r="O717" s="228">
        <f t="shared" si="83"/>
        <v>0</v>
      </c>
      <c r="P717" s="228">
        <f t="shared" si="83"/>
        <v>0</v>
      </c>
      <c r="Q717" s="228">
        <f t="shared" si="80"/>
        <v>0</v>
      </c>
      <c r="R717" s="343">
        <f t="shared" si="81"/>
        <v>-1</v>
      </c>
      <c r="S717" s="240"/>
      <c r="T717" s="201"/>
      <c r="U717" s="201"/>
      <c r="V717" s="201"/>
    </row>
    <row r="718" spans="1:22" ht="15.75" x14ac:dyDescent="0.25">
      <c r="A718" s="234" t="s">
        <v>1040</v>
      </c>
      <c r="B718" s="235" t="s">
        <v>1041</v>
      </c>
      <c r="C718" s="234" t="s">
        <v>248</v>
      </c>
      <c r="D718" s="312">
        <v>3</v>
      </c>
      <c r="E718" s="312"/>
      <c r="F718" s="248"/>
      <c r="G718" s="312"/>
      <c r="H718" s="312"/>
      <c r="I718" s="312"/>
      <c r="J718" s="248">
        <f t="shared" si="77"/>
        <v>0</v>
      </c>
      <c r="K718" s="330">
        <f t="shared" si="78"/>
        <v>-3</v>
      </c>
      <c r="L718" s="313"/>
      <c r="M718" s="228">
        <f t="shared" si="79"/>
        <v>0</v>
      </c>
      <c r="N718" s="228">
        <f t="shared" si="82"/>
        <v>0</v>
      </c>
      <c r="O718" s="228">
        <f t="shared" si="83"/>
        <v>0</v>
      </c>
      <c r="P718" s="228">
        <f t="shared" si="83"/>
        <v>0</v>
      </c>
      <c r="Q718" s="228">
        <f t="shared" si="80"/>
        <v>0</v>
      </c>
      <c r="R718" s="343">
        <f t="shared" si="81"/>
        <v>-3</v>
      </c>
      <c r="S718" s="240"/>
      <c r="T718" s="201"/>
      <c r="U718" s="201"/>
      <c r="V718" s="201"/>
    </row>
    <row r="719" spans="1:22" ht="15.75" x14ac:dyDescent="0.25">
      <c r="A719" s="234" t="s">
        <v>1042</v>
      </c>
      <c r="B719" s="235" t="s">
        <v>495</v>
      </c>
      <c r="C719" s="234" t="s">
        <v>248</v>
      </c>
      <c r="D719" s="312">
        <v>1</v>
      </c>
      <c r="E719" s="312"/>
      <c r="F719" s="248"/>
      <c r="G719" s="312"/>
      <c r="H719" s="312"/>
      <c r="I719" s="312"/>
      <c r="J719" s="248">
        <f t="shared" si="77"/>
        <v>0</v>
      </c>
      <c r="K719" s="330">
        <f t="shared" si="78"/>
        <v>-1</v>
      </c>
      <c r="L719" s="313"/>
      <c r="M719" s="228">
        <f t="shared" si="79"/>
        <v>0</v>
      </c>
      <c r="N719" s="228">
        <f t="shared" si="82"/>
        <v>0</v>
      </c>
      <c r="O719" s="228">
        <f t="shared" si="83"/>
        <v>0</v>
      </c>
      <c r="P719" s="228">
        <f t="shared" si="83"/>
        <v>0</v>
      </c>
      <c r="Q719" s="228">
        <f t="shared" si="80"/>
        <v>0</v>
      </c>
      <c r="R719" s="343">
        <f t="shared" si="81"/>
        <v>-1</v>
      </c>
      <c r="S719" s="240"/>
      <c r="T719" s="201"/>
      <c r="U719" s="201"/>
      <c r="V719" s="201"/>
    </row>
    <row r="720" spans="1:22" ht="30" x14ac:dyDescent="0.25">
      <c r="A720" s="234" t="s">
        <v>1043</v>
      </c>
      <c r="B720" s="235" t="s">
        <v>1044</v>
      </c>
      <c r="C720" s="234" t="s">
        <v>248</v>
      </c>
      <c r="D720" s="312">
        <v>1</v>
      </c>
      <c r="E720" s="312"/>
      <c r="F720" s="248"/>
      <c r="G720" s="312"/>
      <c r="H720" s="312"/>
      <c r="I720" s="312"/>
      <c r="J720" s="248">
        <f t="shared" si="77"/>
        <v>0</v>
      </c>
      <c r="K720" s="330">
        <f t="shared" si="78"/>
        <v>-1</v>
      </c>
      <c r="L720" s="313"/>
      <c r="M720" s="228">
        <f t="shared" si="79"/>
        <v>0</v>
      </c>
      <c r="N720" s="228">
        <f t="shared" si="82"/>
        <v>0</v>
      </c>
      <c r="O720" s="228">
        <f t="shared" si="83"/>
        <v>0</v>
      </c>
      <c r="P720" s="228">
        <f t="shared" si="83"/>
        <v>0</v>
      </c>
      <c r="Q720" s="228">
        <f t="shared" si="80"/>
        <v>0</v>
      </c>
      <c r="R720" s="343">
        <f t="shared" si="81"/>
        <v>-1</v>
      </c>
      <c r="S720" s="240"/>
      <c r="T720" s="201"/>
      <c r="U720" s="201"/>
      <c r="V720" s="201"/>
    </row>
    <row r="721" spans="1:22" ht="15.75" x14ac:dyDescent="0.25">
      <c r="A721" s="230" t="s">
        <v>1045</v>
      </c>
      <c r="B721" s="231" t="s">
        <v>1046</v>
      </c>
      <c r="C721" s="230"/>
      <c r="D721" s="316"/>
      <c r="E721" s="316"/>
      <c r="F721" s="317"/>
      <c r="G721" s="316"/>
      <c r="H721" s="316"/>
      <c r="I721" s="316"/>
      <c r="J721" s="248">
        <f t="shared" si="77"/>
        <v>0</v>
      </c>
      <c r="K721" s="330">
        <f t="shared" si="78"/>
        <v>0</v>
      </c>
      <c r="L721" s="318"/>
      <c r="M721" s="228">
        <f t="shared" si="79"/>
        <v>0</v>
      </c>
      <c r="N721" s="228">
        <f t="shared" si="82"/>
        <v>0</v>
      </c>
      <c r="O721" s="228">
        <f t="shared" si="83"/>
        <v>0</v>
      </c>
      <c r="P721" s="228">
        <f t="shared" si="83"/>
        <v>0</v>
      </c>
      <c r="Q721" s="228">
        <f t="shared" si="80"/>
        <v>0</v>
      </c>
      <c r="R721" s="343">
        <f t="shared" si="81"/>
        <v>0</v>
      </c>
      <c r="S721" s="240"/>
      <c r="T721" s="201"/>
      <c r="U721" s="201"/>
      <c r="V721" s="201"/>
    </row>
    <row r="722" spans="1:22" ht="15.75" x14ac:dyDescent="0.25">
      <c r="A722" s="234" t="s">
        <v>1047</v>
      </c>
      <c r="B722" s="235" t="s">
        <v>1048</v>
      </c>
      <c r="C722" s="234" t="s">
        <v>9</v>
      </c>
      <c r="D722" s="312">
        <v>9</v>
      </c>
      <c r="E722" s="312"/>
      <c r="F722" s="248"/>
      <c r="G722" s="312"/>
      <c r="H722" s="312"/>
      <c r="I722" s="312"/>
      <c r="J722" s="248">
        <f t="shared" si="77"/>
        <v>0</v>
      </c>
      <c r="K722" s="330">
        <f t="shared" si="78"/>
        <v>-9</v>
      </c>
      <c r="L722" s="313"/>
      <c r="M722" s="228">
        <f t="shared" si="79"/>
        <v>0</v>
      </c>
      <c r="N722" s="228">
        <f t="shared" si="82"/>
        <v>0</v>
      </c>
      <c r="O722" s="228">
        <f t="shared" si="83"/>
        <v>0</v>
      </c>
      <c r="P722" s="228">
        <f t="shared" si="83"/>
        <v>0</v>
      </c>
      <c r="Q722" s="228">
        <f t="shared" si="80"/>
        <v>0</v>
      </c>
      <c r="R722" s="343">
        <f t="shared" si="81"/>
        <v>-9</v>
      </c>
      <c r="S722" s="240"/>
      <c r="T722" s="201"/>
      <c r="U722" s="201"/>
      <c r="V722" s="201"/>
    </row>
    <row r="723" spans="1:22" ht="15.75" x14ac:dyDescent="0.25">
      <c r="A723" s="234" t="s">
        <v>1049</v>
      </c>
      <c r="B723" s="235" t="s">
        <v>1050</v>
      </c>
      <c r="C723" s="234" t="s">
        <v>9</v>
      </c>
      <c r="D723" s="312">
        <v>9</v>
      </c>
      <c r="E723" s="312"/>
      <c r="F723" s="248"/>
      <c r="G723" s="312"/>
      <c r="H723" s="312"/>
      <c r="I723" s="312"/>
      <c r="J723" s="248">
        <f t="shared" si="77"/>
        <v>0</v>
      </c>
      <c r="K723" s="330">
        <f t="shared" si="78"/>
        <v>-9</v>
      </c>
      <c r="L723" s="313"/>
      <c r="M723" s="228">
        <f t="shared" si="79"/>
        <v>0</v>
      </c>
      <c r="N723" s="228">
        <f t="shared" si="82"/>
        <v>0</v>
      </c>
      <c r="O723" s="228">
        <f t="shared" si="83"/>
        <v>0</v>
      </c>
      <c r="P723" s="228">
        <f t="shared" si="83"/>
        <v>0</v>
      </c>
      <c r="Q723" s="228">
        <f t="shared" si="80"/>
        <v>0</v>
      </c>
      <c r="R723" s="343">
        <f t="shared" si="81"/>
        <v>-9</v>
      </c>
      <c r="S723" s="240"/>
      <c r="T723" s="201"/>
      <c r="U723" s="201"/>
      <c r="V723" s="201"/>
    </row>
    <row r="724" spans="1:22" ht="15.75" x14ac:dyDescent="0.25">
      <c r="A724" s="234" t="s">
        <v>1051</v>
      </c>
      <c r="B724" s="235" t="s">
        <v>1052</v>
      </c>
      <c r="C724" s="234" t="s">
        <v>9</v>
      </c>
      <c r="D724" s="312">
        <v>9</v>
      </c>
      <c r="E724" s="312"/>
      <c r="F724" s="248"/>
      <c r="G724" s="312"/>
      <c r="H724" s="312"/>
      <c r="I724" s="312"/>
      <c r="J724" s="248">
        <f t="shared" si="77"/>
        <v>0</v>
      </c>
      <c r="K724" s="330">
        <f t="shared" si="78"/>
        <v>-9</v>
      </c>
      <c r="L724" s="313"/>
      <c r="M724" s="228">
        <f t="shared" si="79"/>
        <v>0</v>
      </c>
      <c r="N724" s="228">
        <f t="shared" si="82"/>
        <v>0</v>
      </c>
      <c r="O724" s="228">
        <f t="shared" si="83"/>
        <v>0</v>
      </c>
      <c r="P724" s="228">
        <f t="shared" si="83"/>
        <v>0</v>
      </c>
      <c r="Q724" s="228">
        <f t="shared" si="80"/>
        <v>0</v>
      </c>
      <c r="R724" s="343">
        <f t="shared" si="81"/>
        <v>-9</v>
      </c>
      <c r="S724" s="240"/>
      <c r="T724" s="201"/>
      <c r="U724" s="201"/>
      <c r="V724" s="201"/>
    </row>
    <row r="725" spans="1:22" ht="15.75" x14ac:dyDescent="0.25">
      <c r="A725" s="234" t="s">
        <v>1053</v>
      </c>
      <c r="B725" s="235" t="s">
        <v>804</v>
      </c>
      <c r="C725" s="234" t="s">
        <v>9</v>
      </c>
      <c r="D725" s="312">
        <v>18</v>
      </c>
      <c r="E725" s="312"/>
      <c r="F725" s="248"/>
      <c r="G725" s="312"/>
      <c r="H725" s="312"/>
      <c r="I725" s="312"/>
      <c r="J725" s="248">
        <f t="shared" si="77"/>
        <v>0</v>
      </c>
      <c r="K725" s="330">
        <f t="shared" si="78"/>
        <v>-18</v>
      </c>
      <c r="L725" s="313"/>
      <c r="M725" s="228">
        <f t="shared" si="79"/>
        <v>0</v>
      </c>
      <c r="N725" s="228">
        <f t="shared" si="82"/>
        <v>0</v>
      </c>
      <c r="O725" s="228">
        <f t="shared" si="83"/>
        <v>0</v>
      </c>
      <c r="P725" s="228">
        <f t="shared" si="83"/>
        <v>0</v>
      </c>
      <c r="Q725" s="228">
        <f t="shared" si="80"/>
        <v>0</v>
      </c>
      <c r="R725" s="343">
        <f t="shared" si="81"/>
        <v>-18</v>
      </c>
      <c r="S725" s="240"/>
      <c r="T725" s="201"/>
      <c r="U725" s="201"/>
      <c r="V725" s="201"/>
    </row>
    <row r="726" spans="1:22" ht="15.75" x14ac:dyDescent="0.25">
      <c r="A726" s="234" t="s">
        <v>1054</v>
      </c>
      <c r="B726" s="235" t="s">
        <v>611</v>
      </c>
      <c r="C726" s="234" t="s">
        <v>9</v>
      </c>
      <c r="D726" s="312">
        <v>27</v>
      </c>
      <c r="E726" s="312"/>
      <c r="F726" s="248"/>
      <c r="G726" s="312"/>
      <c r="H726" s="312"/>
      <c r="I726" s="312"/>
      <c r="J726" s="248">
        <f t="shared" si="77"/>
        <v>0</v>
      </c>
      <c r="K726" s="330">
        <f t="shared" si="78"/>
        <v>-27</v>
      </c>
      <c r="L726" s="313"/>
      <c r="M726" s="228">
        <f t="shared" si="79"/>
        <v>0</v>
      </c>
      <c r="N726" s="228">
        <f t="shared" si="82"/>
        <v>0</v>
      </c>
      <c r="O726" s="228">
        <f t="shared" si="83"/>
        <v>0</v>
      </c>
      <c r="P726" s="228">
        <f t="shared" si="83"/>
        <v>0</v>
      </c>
      <c r="Q726" s="228">
        <f t="shared" si="80"/>
        <v>0</v>
      </c>
      <c r="R726" s="343">
        <f t="shared" si="81"/>
        <v>-27</v>
      </c>
      <c r="S726" s="240"/>
      <c r="T726" s="201"/>
      <c r="U726" s="201"/>
      <c r="V726" s="201"/>
    </row>
    <row r="727" spans="1:22" ht="15.75" x14ac:dyDescent="0.25">
      <c r="A727" s="234" t="s">
        <v>1055</v>
      </c>
      <c r="B727" s="235" t="s">
        <v>593</v>
      </c>
      <c r="C727" s="234" t="s">
        <v>9</v>
      </c>
      <c r="D727" s="312">
        <v>9</v>
      </c>
      <c r="E727" s="312"/>
      <c r="F727" s="248"/>
      <c r="G727" s="312"/>
      <c r="H727" s="312"/>
      <c r="I727" s="312"/>
      <c r="J727" s="248">
        <f t="shared" si="77"/>
        <v>0</v>
      </c>
      <c r="K727" s="330">
        <f t="shared" si="78"/>
        <v>-9</v>
      </c>
      <c r="L727" s="313"/>
      <c r="M727" s="228">
        <f t="shared" si="79"/>
        <v>0</v>
      </c>
      <c r="N727" s="228">
        <f t="shared" si="82"/>
        <v>0</v>
      </c>
      <c r="O727" s="228">
        <f t="shared" si="83"/>
        <v>0</v>
      </c>
      <c r="P727" s="228">
        <f t="shared" si="83"/>
        <v>0</v>
      </c>
      <c r="Q727" s="228">
        <f t="shared" si="80"/>
        <v>0</v>
      </c>
      <c r="R727" s="343">
        <f t="shared" si="81"/>
        <v>-9</v>
      </c>
      <c r="S727" s="240"/>
      <c r="T727" s="201"/>
      <c r="U727" s="201"/>
      <c r="V727" s="201"/>
    </row>
    <row r="728" spans="1:22" ht="15.75" x14ac:dyDescent="0.25">
      <c r="A728" s="234" t="s">
        <v>1056</v>
      </c>
      <c r="B728" s="235" t="s">
        <v>495</v>
      </c>
      <c r="C728" s="234" t="s">
        <v>248</v>
      </c>
      <c r="D728" s="312">
        <v>9</v>
      </c>
      <c r="E728" s="312"/>
      <c r="F728" s="248"/>
      <c r="G728" s="312"/>
      <c r="H728" s="312"/>
      <c r="I728" s="312"/>
      <c r="J728" s="248">
        <f t="shared" si="77"/>
        <v>0</v>
      </c>
      <c r="K728" s="330">
        <f t="shared" si="78"/>
        <v>-9</v>
      </c>
      <c r="L728" s="313"/>
      <c r="M728" s="228">
        <f t="shared" si="79"/>
        <v>0</v>
      </c>
      <c r="N728" s="228">
        <f t="shared" si="82"/>
        <v>0</v>
      </c>
      <c r="O728" s="228">
        <f t="shared" si="83"/>
        <v>0</v>
      </c>
      <c r="P728" s="228">
        <f t="shared" si="83"/>
        <v>0</v>
      </c>
      <c r="Q728" s="228">
        <f t="shared" si="80"/>
        <v>0</v>
      </c>
      <c r="R728" s="343">
        <f t="shared" si="81"/>
        <v>-9</v>
      </c>
      <c r="S728" s="240"/>
      <c r="T728" s="201"/>
      <c r="U728" s="201"/>
      <c r="V728" s="201"/>
    </row>
    <row r="729" spans="1:22" ht="15.75" x14ac:dyDescent="0.25">
      <c r="A729" s="234" t="s">
        <v>1057</v>
      </c>
      <c r="B729" s="235" t="s">
        <v>1058</v>
      </c>
      <c r="C729" s="234" t="s">
        <v>499</v>
      </c>
      <c r="D729" s="312">
        <v>9</v>
      </c>
      <c r="E729" s="312"/>
      <c r="F729" s="248"/>
      <c r="G729" s="312"/>
      <c r="H729" s="312"/>
      <c r="I729" s="312"/>
      <c r="J729" s="248">
        <f t="shared" si="77"/>
        <v>0</v>
      </c>
      <c r="K729" s="330">
        <f t="shared" si="78"/>
        <v>-9</v>
      </c>
      <c r="L729" s="313"/>
      <c r="M729" s="228">
        <f t="shared" si="79"/>
        <v>0</v>
      </c>
      <c r="N729" s="228">
        <f t="shared" si="82"/>
        <v>0</v>
      </c>
      <c r="O729" s="228">
        <f t="shared" si="83"/>
        <v>0</v>
      </c>
      <c r="P729" s="228">
        <f t="shared" si="83"/>
        <v>0</v>
      </c>
      <c r="Q729" s="228">
        <f t="shared" si="80"/>
        <v>0</v>
      </c>
      <c r="R729" s="343">
        <f t="shared" si="81"/>
        <v>-9</v>
      </c>
      <c r="S729" s="240"/>
      <c r="T729" s="201"/>
      <c r="U729" s="201"/>
      <c r="V729" s="201"/>
    </row>
    <row r="730" spans="1:22" ht="15.75" x14ac:dyDescent="0.25">
      <c r="A730" s="230" t="s">
        <v>1059</v>
      </c>
      <c r="B730" s="231" t="s">
        <v>1060</v>
      </c>
      <c r="C730" s="230"/>
      <c r="D730" s="316"/>
      <c r="E730" s="316"/>
      <c r="F730" s="317"/>
      <c r="G730" s="316"/>
      <c r="H730" s="316"/>
      <c r="I730" s="316"/>
      <c r="J730" s="248">
        <f t="shared" si="77"/>
        <v>0</v>
      </c>
      <c r="K730" s="330">
        <f t="shared" si="78"/>
        <v>0</v>
      </c>
      <c r="L730" s="318"/>
      <c r="M730" s="228">
        <f t="shared" si="79"/>
        <v>0</v>
      </c>
      <c r="N730" s="228">
        <f t="shared" si="82"/>
        <v>0</v>
      </c>
      <c r="O730" s="228">
        <f t="shared" si="83"/>
        <v>0</v>
      </c>
      <c r="P730" s="228">
        <f t="shared" si="83"/>
        <v>0</v>
      </c>
      <c r="Q730" s="228">
        <f t="shared" si="80"/>
        <v>0</v>
      </c>
      <c r="R730" s="343">
        <f t="shared" si="81"/>
        <v>0</v>
      </c>
      <c r="S730" s="240"/>
      <c r="T730" s="201"/>
      <c r="U730" s="201"/>
      <c r="V730" s="201"/>
    </row>
    <row r="731" spans="1:22" ht="15.75" x14ac:dyDescent="0.25">
      <c r="A731" s="234" t="s">
        <v>1061</v>
      </c>
      <c r="B731" s="235" t="s">
        <v>901</v>
      </c>
      <c r="C731" s="234" t="s">
        <v>9</v>
      </c>
      <c r="D731" s="312">
        <v>231</v>
      </c>
      <c r="E731" s="312"/>
      <c r="F731" s="248"/>
      <c r="G731" s="312"/>
      <c r="H731" s="312"/>
      <c r="I731" s="312"/>
      <c r="J731" s="248">
        <f t="shared" si="77"/>
        <v>0</v>
      </c>
      <c r="K731" s="330">
        <f t="shared" si="78"/>
        <v>-231</v>
      </c>
      <c r="L731" s="313"/>
      <c r="M731" s="228">
        <f t="shared" si="79"/>
        <v>0</v>
      </c>
      <c r="N731" s="228">
        <f t="shared" si="82"/>
        <v>0</v>
      </c>
      <c r="O731" s="228">
        <f t="shared" si="83"/>
        <v>0</v>
      </c>
      <c r="P731" s="228">
        <f t="shared" si="83"/>
        <v>0</v>
      </c>
      <c r="Q731" s="228">
        <f t="shared" si="80"/>
        <v>0</v>
      </c>
      <c r="R731" s="343">
        <f t="shared" si="81"/>
        <v>-231</v>
      </c>
      <c r="S731" s="240"/>
      <c r="T731" s="201"/>
      <c r="U731" s="201"/>
      <c r="V731" s="201"/>
    </row>
    <row r="732" spans="1:22" ht="15.75" x14ac:dyDescent="0.25">
      <c r="A732" s="234" t="s">
        <v>1062</v>
      </c>
      <c r="B732" s="235" t="s">
        <v>1050</v>
      </c>
      <c r="C732" s="234" t="s">
        <v>9</v>
      </c>
      <c r="D732" s="312">
        <v>231</v>
      </c>
      <c r="E732" s="312"/>
      <c r="F732" s="248"/>
      <c r="G732" s="312"/>
      <c r="H732" s="312"/>
      <c r="I732" s="312"/>
      <c r="J732" s="248">
        <f t="shared" si="77"/>
        <v>0</v>
      </c>
      <c r="K732" s="330">
        <f t="shared" si="78"/>
        <v>-231</v>
      </c>
      <c r="L732" s="313"/>
      <c r="M732" s="228">
        <f t="shared" si="79"/>
        <v>0</v>
      </c>
      <c r="N732" s="228">
        <f t="shared" si="82"/>
        <v>0</v>
      </c>
      <c r="O732" s="228">
        <f t="shared" si="83"/>
        <v>0</v>
      </c>
      <c r="P732" s="228">
        <f t="shared" si="83"/>
        <v>0</v>
      </c>
      <c r="Q732" s="228">
        <f t="shared" si="80"/>
        <v>0</v>
      </c>
      <c r="R732" s="343">
        <f t="shared" si="81"/>
        <v>-231</v>
      </c>
      <c r="S732" s="240"/>
      <c r="T732" s="201"/>
      <c r="U732" s="201"/>
      <c r="V732" s="201"/>
    </row>
    <row r="733" spans="1:22" ht="15.75" x14ac:dyDescent="0.25">
      <c r="A733" s="234" t="s">
        <v>1063</v>
      </c>
      <c r="B733" s="235" t="s">
        <v>1052</v>
      </c>
      <c r="C733" s="234" t="s">
        <v>9</v>
      </c>
      <c r="D733" s="312">
        <v>231</v>
      </c>
      <c r="E733" s="312"/>
      <c r="F733" s="248"/>
      <c r="G733" s="312"/>
      <c r="H733" s="312"/>
      <c r="I733" s="312"/>
      <c r="J733" s="248">
        <f t="shared" si="77"/>
        <v>0</v>
      </c>
      <c r="K733" s="330">
        <f t="shared" si="78"/>
        <v>-231</v>
      </c>
      <c r="L733" s="313"/>
      <c r="M733" s="228">
        <f t="shared" si="79"/>
        <v>0</v>
      </c>
      <c r="N733" s="228">
        <f t="shared" si="82"/>
        <v>0</v>
      </c>
      <c r="O733" s="228">
        <f t="shared" si="83"/>
        <v>0</v>
      </c>
      <c r="P733" s="228">
        <f t="shared" si="83"/>
        <v>0</v>
      </c>
      <c r="Q733" s="228">
        <f t="shared" si="80"/>
        <v>0</v>
      </c>
      <c r="R733" s="343">
        <f t="shared" si="81"/>
        <v>-231</v>
      </c>
      <c r="S733" s="240"/>
      <c r="T733" s="201"/>
      <c r="U733" s="201"/>
      <c r="V733" s="201"/>
    </row>
    <row r="734" spans="1:22" ht="15.75" x14ac:dyDescent="0.25">
      <c r="A734" s="234" t="s">
        <v>1064</v>
      </c>
      <c r="B734" s="235" t="s">
        <v>804</v>
      </c>
      <c r="C734" s="234" t="s">
        <v>9</v>
      </c>
      <c r="D734" s="312">
        <v>462</v>
      </c>
      <c r="E734" s="312"/>
      <c r="F734" s="248"/>
      <c r="G734" s="312"/>
      <c r="H734" s="312"/>
      <c r="I734" s="312"/>
      <c r="J734" s="248">
        <f t="shared" si="77"/>
        <v>0</v>
      </c>
      <c r="K734" s="330">
        <f t="shared" si="78"/>
        <v>-462</v>
      </c>
      <c r="L734" s="313"/>
      <c r="M734" s="228">
        <f t="shared" si="79"/>
        <v>0</v>
      </c>
      <c r="N734" s="228">
        <f t="shared" si="82"/>
        <v>0</v>
      </c>
      <c r="O734" s="228">
        <f t="shared" si="83"/>
        <v>0</v>
      </c>
      <c r="P734" s="228">
        <f t="shared" si="83"/>
        <v>0</v>
      </c>
      <c r="Q734" s="228">
        <f t="shared" si="80"/>
        <v>0</v>
      </c>
      <c r="R734" s="343">
        <f t="shared" si="81"/>
        <v>-462</v>
      </c>
      <c r="S734" s="240"/>
      <c r="T734" s="201"/>
      <c r="U734" s="201"/>
      <c r="V734" s="201"/>
    </row>
    <row r="735" spans="1:22" ht="15.75" x14ac:dyDescent="0.25">
      <c r="A735" s="234" t="s">
        <v>1065</v>
      </c>
      <c r="B735" s="235" t="s">
        <v>611</v>
      </c>
      <c r="C735" s="234" t="s">
        <v>9</v>
      </c>
      <c r="D735" s="312">
        <v>462</v>
      </c>
      <c r="E735" s="312"/>
      <c r="F735" s="248"/>
      <c r="G735" s="312"/>
      <c r="H735" s="312"/>
      <c r="I735" s="312"/>
      <c r="J735" s="248">
        <f t="shared" si="77"/>
        <v>0</v>
      </c>
      <c r="K735" s="330">
        <f t="shared" si="78"/>
        <v>-462</v>
      </c>
      <c r="L735" s="313"/>
      <c r="M735" s="228">
        <f t="shared" si="79"/>
        <v>0</v>
      </c>
      <c r="N735" s="228">
        <f t="shared" si="82"/>
        <v>0</v>
      </c>
      <c r="O735" s="228">
        <f t="shared" si="83"/>
        <v>0</v>
      </c>
      <c r="P735" s="228">
        <f t="shared" si="83"/>
        <v>0</v>
      </c>
      <c r="Q735" s="228">
        <f t="shared" si="80"/>
        <v>0</v>
      </c>
      <c r="R735" s="343">
        <f t="shared" si="81"/>
        <v>-462</v>
      </c>
      <c r="S735" s="240"/>
      <c r="T735" s="201"/>
      <c r="U735" s="201"/>
      <c r="V735" s="201"/>
    </row>
    <row r="736" spans="1:22" ht="15.75" x14ac:dyDescent="0.25">
      <c r="A736" s="234" t="s">
        <v>1066</v>
      </c>
      <c r="B736" s="235" t="s">
        <v>593</v>
      </c>
      <c r="C736" s="234" t="s">
        <v>9</v>
      </c>
      <c r="D736" s="312">
        <v>231</v>
      </c>
      <c r="E736" s="312"/>
      <c r="F736" s="248"/>
      <c r="G736" s="312"/>
      <c r="H736" s="312"/>
      <c r="I736" s="312"/>
      <c r="J736" s="248">
        <f t="shared" si="77"/>
        <v>0</v>
      </c>
      <c r="K736" s="330">
        <f t="shared" si="78"/>
        <v>-231</v>
      </c>
      <c r="L736" s="313"/>
      <c r="M736" s="228">
        <f t="shared" si="79"/>
        <v>0</v>
      </c>
      <c r="N736" s="228">
        <f t="shared" si="82"/>
        <v>0</v>
      </c>
      <c r="O736" s="228">
        <f t="shared" si="83"/>
        <v>0</v>
      </c>
      <c r="P736" s="228">
        <f t="shared" si="83"/>
        <v>0</v>
      </c>
      <c r="Q736" s="228">
        <f t="shared" si="80"/>
        <v>0</v>
      </c>
      <c r="R736" s="343">
        <f t="shared" si="81"/>
        <v>-231</v>
      </c>
      <c r="S736" s="240"/>
      <c r="T736" s="201"/>
      <c r="U736" s="201"/>
      <c r="V736" s="201"/>
    </row>
    <row r="737" spans="1:22" ht="15.75" x14ac:dyDescent="0.25">
      <c r="A737" s="234" t="s">
        <v>1067</v>
      </c>
      <c r="B737" s="235" t="s">
        <v>495</v>
      </c>
      <c r="C737" s="234" t="s">
        <v>248</v>
      </c>
      <c r="D737" s="312">
        <v>231</v>
      </c>
      <c r="E737" s="312"/>
      <c r="F737" s="248"/>
      <c r="G737" s="312"/>
      <c r="H737" s="312"/>
      <c r="I737" s="312"/>
      <c r="J737" s="248">
        <f t="shared" si="77"/>
        <v>0</v>
      </c>
      <c r="K737" s="330">
        <f t="shared" si="78"/>
        <v>-231</v>
      </c>
      <c r="L737" s="313"/>
      <c r="M737" s="228">
        <f t="shared" si="79"/>
        <v>0</v>
      </c>
      <c r="N737" s="228">
        <f t="shared" si="82"/>
        <v>0</v>
      </c>
      <c r="O737" s="228">
        <f t="shared" si="83"/>
        <v>0</v>
      </c>
      <c r="P737" s="228">
        <f t="shared" si="83"/>
        <v>0</v>
      </c>
      <c r="Q737" s="228">
        <f t="shared" si="80"/>
        <v>0</v>
      </c>
      <c r="R737" s="343">
        <f t="shared" si="81"/>
        <v>-231</v>
      </c>
      <c r="S737" s="240"/>
      <c r="T737" s="201"/>
      <c r="U737" s="201"/>
      <c r="V737" s="201"/>
    </row>
    <row r="738" spans="1:22" ht="15.75" x14ac:dyDescent="0.25">
      <c r="A738" s="234" t="s">
        <v>1068</v>
      </c>
      <c r="B738" s="235" t="s">
        <v>1069</v>
      </c>
      <c r="C738" s="234" t="s">
        <v>499</v>
      </c>
      <c r="D738" s="312">
        <v>231</v>
      </c>
      <c r="E738" s="312"/>
      <c r="F738" s="248"/>
      <c r="G738" s="312"/>
      <c r="H738" s="312"/>
      <c r="I738" s="312"/>
      <c r="J738" s="248">
        <f t="shared" si="77"/>
        <v>0</v>
      </c>
      <c r="K738" s="330">
        <f t="shared" si="78"/>
        <v>-231</v>
      </c>
      <c r="L738" s="313"/>
      <c r="M738" s="228">
        <f t="shared" si="79"/>
        <v>0</v>
      </c>
      <c r="N738" s="228">
        <f t="shared" si="82"/>
        <v>0</v>
      </c>
      <c r="O738" s="228">
        <f t="shared" si="83"/>
        <v>0</v>
      </c>
      <c r="P738" s="228">
        <f t="shared" si="83"/>
        <v>0</v>
      </c>
      <c r="Q738" s="228">
        <f t="shared" si="80"/>
        <v>0</v>
      </c>
      <c r="R738" s="343">
        <f t="shared" si="81"/>
        <v>-231</v>
      </c>
      <c r="S738" s="240"/>
      <c r="T738" s="201"/>
      <c r="U738" s="201"/>
      <c r="V738" s="201"/>
    </row>
    <row r="739" spans="1:22" ht="15.75" x14ac:dyDescent="0.25">
      <c r="A739" s="230" t="s">
        <v>1070</v>
      </c>
      <c r="B739" s="231" t="s">
        <v>1071</v>
      </c>
      <c r="C739" s="230"/>
      <c r="D739" s="316"/>
      <c r="E739" s="316"/>
      <c r="F739" s="317"/>
      <c r="G739" s="316"/>
      <c r="H739" s="316"/>
      <c r="I739" s="316"/>
      <c r="J739" s="248">
        <f t="shared" si="77"/>
        <v>0</v>
      </c>
      <c r="K739" s="330">
        <f t="shared" si="78"/>
        <v>0</v>
      </c>
      <c r="L739" s="318"/>
      <c r="M739" s="228">
        <f t="shared" si="79"/>
        <v>0</v>
      </c>
      <c r="N739" s="228">
        <f t="shared" si="82"/>
        <v>0</v>
      </c>
      <c r="O739" s="228">
        <f t="shared" si="83"/>
        <v>0</v>
      </c>
      <c r="P739" s="228">
        <f t="shared" si="83"/>
        <v>0</v>
      </c>
      <c r="Q739" s="228">
        <f t="shared" si="80"/>
        <v>0</v>
      </c>
      <c r="R739" s="343">
        <f t="shared" si="81"/>
        <v>0</v>
      </c>
      <c r="S739" s="240"/>
      <c r="T739" s="201"/>
      <c r="U739" s="201"/>
      <c r="V739" s="201"/>
    </row>
    <row r="740" spans="1:22" ht="30" x14ac:dyDescent="0.25">
      <c r="A740" s="234" t="s">
        <v>1072</v>
      </c>
      <c r="B740" s="235" t="s">
        <v>1073</v>
      </c>
      <c r="C740" s="234" t="s">
        <v>248</v>
      </c>
      <c r="D740" s="312">
        <v>148</v>
      </c>
      <c r="E740" s="312"/>
      <c r="F740" s="248"/>
      <c r="G740" s="312"/>
      <c r="H740" s="312"/>
      <c r="I740" s="312"/>
      <c r="J740" s="248">
        <f t="shared" si="77"/>
        <v>0</v>
      </c>
      <c r="K740" s="330">
        <f t="shared" si="78"/>
        <v>-148</v>
      </c>
      <c r="L740" s="313"/>
      <c r="M740" s="228">
        <f t="shared" si="79"/>
        <v>0</v>
      </c>
      <c r="N740" s="228">
        <f t="shared" si="82"/>
        <v>0</v>
      </c>
      <c r="O740" s="228">
        <f t="shared" si="83"/>
        <v>0</v>
      </c>
      <c r="P740" s="228">
        <f t="shared" si="83"/>
        <v>0</v>
      </c>
      <c r="Q740" s="228">
        <f t="shared" si="80"/>
        <v>0</v>
      </c>
      <c r="R740" s="343">
        <f t="shared" si="81"/>
        <v>-148</v>
      </c>
      <c r="S740" s="240"/>
      <c r="T740" s="201"/>
      <c r="U740" s="201"/>
      <c r="V740" s="201"/>
    </row>
    <row r="741" spans="1:22" ht="30" x14ac:dyDescent="0.25">
      <c r="A741" s="234" t="s">
        <v>1074</v>
      </c>
      <c r="B741" s="235" t="s">
        <v>1075</v>
      </c>
      <c r="C741" s="234" t="s">
        <v>248</v>
      </c>
      <c r="D741" s="312">
        <v>16</v>
      </c>
      <c r="E741" s="312"/>
      <c r="F741" s="248"/>
      <c r="G741" s="312"/>
      <c r="H741" s="312"/>
      <c r="I741" s="312"/>
      <c r="J741" s="248">
        <f t="shared" si="77"/>
        <v>0</v>
      </c>
      <c r="K741" s="330">
        <f t="shared" si="78"/>
        <v>-16</v>
      </c>
      <c r="L741" s="313"/>
      <c r="M741" s="228">
        <f t="shared" si="79"/>
        <v>0</v>
      </c>
      <c r="N741" s="228">
        <f t="shared" si="82"/>
        <v>0</v>
      </c>
      <c r="O741" s="228">
        <f t="shared" si="83"/>
        <v>0</v>
      </c>
      <c r="P741" s="228">
        <f t="shared" si="83"/>
        <v>0</v>
      </c>
      <c r="Q741" s="228">
        <f t="shared" si="80"/>
        <v>0</v>
      </c>
      <c r="R741" s="343">
        <f t="shared" si="81"/>
        <v>-16</v>
      </c>
      <c r="S741" s="240"/>
      <c r="T741" s="201"/>
      <c r="U741" s="201"/>
      <c r="V741" s="201"/>
    </row>
    <row r="742" spans="1:22" ht="30" x14ac:dyDescent="0.25">
      <c r="A742" s="234" t="s">
        <v>1076</v>
      </c>
      <c r="B742" s="235" t="s">
        <v>1077</v>
      </c>
      <c r="C742" s="234" t="s">
        <v>248</v>
      </c>
      <c r="D742" s="312">
        <v>21</v>
      </c>
      <c r="E742" s="312"/>
      <c r="F742" s="248"/>
      <c r="G742" s="312"/>
      <c r="H742" s="312"/>
      <c r="I742" s="312"/>
      <c r="J742" s="248">
        <f t="shared" si="77"/>
        <v>0</v>
      </c>
      <c r="K742" s="330">
        <f t="shared" si="78"/>
        <v>-21</v>
      </c>
      <c r="L742" s="313"/>
      <c r="M742" s="228">
        <f t="shared" si="79"/>
        <v>0</v>
      </c>
      <c r="N742" s="228">
        <f t="shared" si="82"/>
        <v>0</v>
      </c>
      <c r="O742" s="228">
        <f t="shared" si="83"/>
        <v>0</v>
      </c>
      <c r="P742" s="228">
        <f t="shared" si="83"/>
        <v>0</v>
      </c>
      <c r="Q742" s="228">
        <f t="shared" si="80"/>
        <v>0</v>
      </c>
      <c r="R742" s="343">
        <f t="shared" si="81"/>
        <v>-21</v>
      </c>
      <c r="S742" s="240"/>
      <c r="T742" s="201"/>
      <c r="U742" s="201"/>
      <c r="V742" s="201"/>
    </row>
    <row r="743" spans="1:22" ht="15.75" x14ac:dyDescent="0.25">
      <c r="A743" s="234" t="s">
        <v>1078</v>
      </c>
      <c r="B743" s="235" t="s">
        <v>1079</v>
      </c>
      <c r="C743" s="234" t="s">
        <v>248</v>
      </c>
      <c r="D743" s="312">
        <v>4</v>
      </c>
      <c r="E743" s="312"/>
      <c r="F743" s="248"/>
      <c r="G743" s="312"/>
      <c r="H743" s="312"/>
      <c r="I743" s="312"/>
      <c r="J743" s="248">
        <f t="shared" si="77"/>
        <v>0</v>
      </c>
      <c r="K743" s="330">
        <f t="shared" si="78"/>
        <v>-4</v>
      </c>
      <c r="L743" s="313"/>
      <c r="M743" s="228">
        <f t="shared" si="79"/>
        <v>0</v>
      </c>
      <c r="N743" s="228">
        <f t="shared" si="82"/>
        <v>0</v>
      </c>
      <c r="O743" s="228">
        <f t="shared" si="83"/>
        <v>0</v>
      </c>
      <c r="P743" s="228">
        <f t="shared" si="83"/>
        <v>0</v>
      </c>
      <c r="Q743" s="228">
        <f t="shared" si="80"/>
        <v>0</v>
      </c>
      <c r="R743" s="343">
        <f t="shared" si="81"/>
        <v>-4</v>
      </c>
      <c r="S743" s="240"/>
      <c r="T743" s="201"/>
      <c r="U743" s="201"/>
      <c r="V743" s="201"/>
    </row>
    <row r="744" spans="1:22" ht="15.75" x14ac:dyDescent="0.25">
      <c r="A744" s="234" t="s">
        <v>1080</v>
      </c>
      <c r="B744" s="235" t="s">
        <v>1081</v>
      </c>
      <c r="C744" s="234" t="s">
        <v>248</v>
      </c>
      <c r="D744" s="312">
        <v>19</v>
      </c>
      <c r="E744" s="312"/>
      <c r="F744" s="248"/>
      <c r="G744" s="312"/>
      <c r="H744" s="312"/>
      <c r="I744" s="312"/>
      <c r="J744" s="248">
        <f t="shared" si="77"/>
        <v>0</v>
      </c>
      <c r="K744" s="330">
        <f t="shared" si="78"/>
        <v>-19</v>
      </c>
      <c r="L744" s="313"/>
      <c r="M744" s="228">
        <f t="shared" si="79"/>
        <v>0</v>
      </c>
      <c r="N744" s="228">
        <f t="shared" si="82"/>
        <v>0</v>
      </c>
      <c r="O744" s="228">
        <f t="shared" si="83"/>
        <v>0</v>
      </c>
      <c r="P744" s="228">
        <f t="shared" si="83"/>
        <v>0</v>
      </c>
      <c r="Q744" s="228">
        <f t="shared" si="80"/>
        <v>0</v>
      </c>
      <c r="R744" s="343">
        <f t="shared" si="81"/>
        <v>-19</v>
      </c>
      <c r="S744" s="240"/>
      <c r="T744" s="201"/>
      <c r="U744" s="201"/>
      <c r="V744" s="201"/>
    </row>
    <row r="745" spans="1:22" ht="30" x14ac:dyDescent="0.25">
      <c r="A745" s="234" t="s">
        <v>1082</v>
      </c>
      <c r="B745" s="235" t="s">
        <v>1083</v>
      </c>
      <c r="C745" s="234" t="s">
        <v>248</v>
      </c>
      <c r="D745" s="312">
        <v>119</v>
      </c>
      <c r="E745" s="312"/>
      <c r="F745" s="248"/>
      <c r="G745" s="312"/>
      <c r="H745" s="312"/>
      <c r="I745" s="312"/>
      <c r="J745" s="248">
        <f t="shared" si="77"/>
        <v>0</v>
      </c>
      <c r="K745" s="330">
        <f t="shared" si="78"/>
        <v>-119</v>
      </c>
      <c r="L745" s="313"/>
      <c r="M745" s="228">
        <f t="shared" si="79"/>
        <v>0</v>
      </c>
      <c r="N745" s="228">
        <f t="shared" si="82"/>
        <v>0</v>
      </c>
      <c r="O745" s="228">
        <f t="shared" si="83"/>
        <v>0</v>
      </c>
      <c r="P745" s="228">
        <f t="shared" si="83"/>
        <v>0</v>
      </c>
      <c r="Q745" s="228">
        <f t="shared" si="80"/>
        <v>0</v>
      </c>
      <c r="R745" s="343">
        <f t="shared" si="81"/>
        <v>-119</v>
      </c>
      <c r="S745" s="240"/>
      <c r="T745" s="201"/>
      <c r="U745" s="201"/>
      <c r="V745" s="201"/>
    </row>
    <row r="746" spans="1:22" ht="30" x14ac:dyDescent="0.25">
      <c r="A746" s="234" t="s">
        <v>1084</v>
      </c>
      <c r="B746" s="235" t="s">
        <v>1085</v>
      </c>
      <c r="C746" s="234" t="s">
        <v>248</v>
      </c>
      <c r="D746" s="312">
        <v>56</v>
      </c>
      <c r="E746" s="312"/>
      <c r="F746" s="248"/>
      <c r="G746" s="312"/>
      <c r="H746" s="312"/>
      <c r="I746" s="312"/>
      <c r="J746" s="248">
        <f t="shared" si="77"/>
        <v>0</v>
      </c>
      <c r="K746" s="330">
        <f t="shared" si="78"/>
        <v>-56</v>
      </c>
      <c r="L746" s="313"/>
      <c r="M746" s="228">
        <f t="shared" si="79"/>
        <v>0</v>
      </c>
      <c r="N746" s="228">
        <f t="shared" si="82"/>
        <v>0</v>
      </c>
      <c r="O746" s="228">
        <f t="shared" si="83"/>
        <v>0</v>
      </c>
      <c r="P746" s="228">
        <f t="shared" si="83"/>
        <v>0</v>
      </c>
      <c r="Q746" s="228">
        <f t="shared" si="80"/>
        <v>0</v>
      </c>
      <c r="R746" s="343">
        <f t="shared" si="81"/>
        <v>-56</v>
      </c>
      <c r="S746" s="240"/>
      <c r="T746" s="201"/>
      <c r="U746" s="201"/>
      <c r="V746" s="201"/>
    </row>
    <row r="747" spans="1:22" ht="15.75" x14ac:dyDescent="0.25">
      <c r="A747" s="234" t="s">
        <v>1086</v>
      </c>
      <c r="B747" s="235" t="s">
        <v>1087</v>
      </c>
      <c r="C747" s="234" t="s">
        <v>248</v>
      </c>
      <c r="D747" s="312">
        <v>249</v>
      </c>
      <c r="E747" s="312"/>
      <c r="F747" s="248"/>
      <c r="G747" s="312"/>
      <c r="H747" s="312"/>
      <c r="I747" s="312"/>
      <c r="J747" s="248">
        <f t="shared" si="77"/>
        <v>0</v>
      </c>
      <c r="K747" s="330">
        <f t="shared" si="78"/>
        <v>-249</v>
      </c>
      <c r="L747" s="313"/>
      <c r="M747" s="228">
        <f t="shared" si="79"/>
        <v>0</v>
      </c>
      <c r="N747" s="228">
        <f t="shared" si="82"/>
        <v>0</v>
      </c>
      <c r="O747" s="228">
        <f t="shared" si="83"/>
        <v>0</v>
      </c>
      <c r="P747" s="228">
        <f t="shared" si="83"/>
        <v>0</v>
      </c>
      <c r="Q747" s="228">
        <f t="shared" si="80"/>
        <v>0</v>
      </c>
      <c r="R747" s="343">
        <f t="shared" si="81"/>
        <v>-249</v>
      </c>
      <c r="S747" s="240"/>
      <c r="T747" s="201"/>
      <c r="U747" s="201"/>
      <c r="V747" s="201"/>
    </row>
    <row r="748" spans="1:22" ht="15.75" x14ac:dyDescent="0.25">
      <c r="A748" s="234" t="s">
        <v>1088</v>
      </c>
      <c r="B748" s="235" t="s">
        <v>1089</v>
      </c>
      <c r="C748" s="234" t="s">
        <v>6</v>
      </c>
      <c r="D748" s="312">
        <v>70</v>
      </c>
      <c r="E748" s="312"/>
      <c r="F748" s="248"/>
      <c r="G748" s="312"/>
      <c r="H748" s="312"/>
      <c r="I748" s="312"/>
      <c r="J748" s="248">
        <f t="shared" si="77"/>
        <v>0</v>
      </c>
      <c r="K748" s="330">
        <f t="shared" si="78"/>
        <v>-70</v>
      </c>
      <c r="L748" s="313"/>
      <c r="M748" s="228">
        <f t="shared" si="79"/>
        <v>0</v>
      </c>
      <c r="N748" s="228">
        <f t="shared" si="82"/>
        <v>0</v>
      </c>
      <c r="O748" s="228">
        <f t="shared" si="83"/>
        <v>0</v>
      </c>
      <c r="P748" s="228">
        <f t="shared" si="83"/>
        <v>0</v>
      </c>
      <c r="Q748" s="228">
        <f t="shared" si="80"/>
        <v>0</v>
      </c>
      <c r="R748" s="343">
        <f t="shared" si="81"/>
        <v>-70</v>
      </c>
      <c r="S748" s="240"/>
      <c r="T748" s="201"/>
      <c r="U748" s="201"/>
      <c r="V748" s="201"/>
    </row>
    <row r="749" spans="1:22" ht="15.75" x14ac:dyDescent="0.25">
      <c r="A749" s="234" t="s">
        <v>1090</v>
      </c>
      <c r="B749" s="235" t="s">
        <v>1091</v>
      </c>
      <c r="C749" s="234" t="s">
        <v>6</v>
      </c>
      <c r="D749" s="312">
        <v>2400</v>
      </c>
      <c r="E749" s="312"/>
      <c r="F749" s="248"/>
      <c r="G749" s="312"/>
      <c r="H749" s="312"/>
      <c r="I749" s="312"/>
      <c r="J749" s="248">
        <f t="shared" si="77"/>
        <v>0</v>
      </c>
      <c r="K749" s="330">
        <f t="shared" si="78"/>
        <v>-2400</v>
      </c>
      <c r="L749" s="313"/>
      <c r="M749" s="228">
        <f t="shared" si="79"/>
        <v>0</v>
      </c>
      <c r="N749" s="228">
        <f t="shared" si="82"/>
        <v>0</v>
      </c>
      <c r="O749" s="228">
        <f t="shared" si="83"/>
        <v>0</v>
      </c>
      <c r="P749" s="228">
        <f t="shared" si="83"/>
        <v>0</v>
      </c>
      <c r="Q749" s="228">
        <f t="shared" si="80"/>
        <v>0</v>
      </c>
      <c r="R749" s="343">
        <f t="shared" si="81"/>
        <v>-2400</v>
      </c>
      <c r="S749" s="240"/>
      <c r="T749" s="201"/>
      <c r="U749" s="201"/>
      <c r="V749" s="201"/>
    </row>
    <row r="750" spans="1:22" ht="15.75" x14ac:dyDescent="0.25">
      <c r="A750" s="234" t="s">
        <v>1092</v>
      </c>
      <c r="B750" s="235" t="s">
        <v>1093</v>
      </c>
      <c r="C750" s="234" t="s">
        <v>248</v>
      </c>
      <c r="D750" s="312">
        <v>265</v>
      </c>
      <c r="E750" s="312"/>
      <c r="F750" s="248"/>
      <c r="G750" s="312"/>
      <c r="H750" s="312"/>
      <c r="I750" s="312"/>
      <c r="J750" s="248">
        <f t="shared" si="77"/>
        <v>0</v>
      </c>
      <c r="K750" s="330">
        <f t="shared" si="78"/>
        <v>-265</v>
      </c>
      <c r="L750" s="313"/>
      <c r="M750" s="228">
        <f t="shared" si="79"/>
        <v>0</v>
      </c>
      <c r="N750" s="228">
        <f t="shared" si="82"/>
        <v>0</v>
      </c>
      <c r="O750" s="228">
        <f t="shared" si="83"/>
        <v>0</v>
      </c>
      <c r="P750" s="228">
        <f t="shared" si="83"/>
        <v>0</v>
      </c>
      <c r="Q750" s="228">
        <f t="shared" si="80"/>
        <v>0</v>
      </c>
      <c r="R750" s="343">
        <f t="shared" si="81"/>
        <v>-265</v>
      </c>
      <c r="S750" s="240"/>
      <c r="T750" s="201"/>
      <c r="U750" s="201"/>
      <c r="V750" s="201"/>
    </row>
    <row r="751" spans="1:22" ht="15.75" x14ac:dyDescent="0.25">
      <c r="A751" s="234" t="s">
        <v>1094</v>
      </c>
      <c r="B751" s="235" t="s">
        <v>1095</v>
      </c>
      <c r="C751" s="234" t="s">
        <v>248</v>
      </c>
      <c r="D751" s="312">
        <v>30</v>
      </c>
      <c r="E751" s="312"/>
      <c r="F751" s="248"/>
      <c r="G751" s="312"/>
      <c r="H751" s="312"/>
      <c r="I751" s="312"/>
      <c r="J751" s="248">
        <f t="shared" si="77"/>
        <v>0</v>
      </c>
      <c r="K751" s="330">
        <f t="shared" si="78"/>
        <v>-30</v>
      </c>
      <c r="L751" s="313"/>
      <c r="M751" s="228">
        <f t="shared" si="79"/>
        <v>0</v>
      </c>
      <c r="N751" s="228">
        <f t="shared" si="82"/>
        <v>0</v>
      </c>
      <c r="O751" s="228">
        <f t="shared" si="83"/>
        <v>0</v>
      </c>
      <c r="P751" s="228">
        <f t="shared" si="83"/>
        <v>0</v>
      </c>
      <c r="Q751" s="228">
        <f t="shared" si="80"/>
        <v>0</v>
      </c>
      <c r="R751" s="343">
        <f t="shared" si="81"/>
        <v>-30</v>
      </c>
      <c r="S751" s="240"/>
      <c r="T751" s="201"/>
      <c r="U751" s="201"/>
      <c r="V751" s="201"/>
    </row>
    <row r="752" spans="1:22" ht="15.75" x14ac:dyDescent="0.25">
      <c r="A752" s="234" t="s">
        <v>1096</v>
      </c>
      <c r="B752" s="235" t="s">
        <v>1097</v>
      </c>
      <c r="C752" s="234" t="s">
        <v>248</v>
      </c>
      <c r="D752" s="312">
        <v>9</v>
      </c>
      <c r="E752" s="312"/>
      <c r="F752" s="248"/>
      <c r="G752" s="312"/>
      <c r="H752" s="312"/>
      <c r="I752" s="312"/>
      <c r="J752" s="248">
        <f t="shared" si="77"/>
        <v>0</v>
      </c>
      <c r="K752" s="330">
        <f t="shared" si="78"/>
        <v>-9</v>
      </c>
      <c r="L752" s="313"/>
      <c r="M752" s="228">
        <f t="shared" si="79"/>
        <v>0</v>
      </c>
      <c r="N752" s="228">
        <f t="shared" si="82"/>
        <v>0</v>
      </c>
      <c r="O752" s="228">
        <f t="shared" si="83"/>
        <v>0</v>
      </c>
      <c r="P752" s="228">
        <f t="shared" si="83"/>
        <v>0</v>
      </c>
      <c r="Q752" s="228">
        <f t="shared" si="80"/>
        <v>0</v>
      </c>
      <c r="R752" s="343">
        <f t="shared" si="81"/>
        <v>-9</v>
      </c>
      <c r="S752" s="240"/>
      <c r="T752" s="201"/>
      <c r="U752" s="201"/>
      <c r="V752" s="201"/>
    </row>
    <row r="753" spans="1:22" ht="15.75" x14ac:dyDescent="0.25">
      <c r="A753" s="234" t="s">
        <v>1098</v>
      </c>
      <c r="B753" s="235" t="s">
        <v>1099</v>
      </c>
      <c r="C753" s="234" t="s">
        <v>248</v>
      </c>
      <c r="D753" s="312">
        <v>1983</v>
      </c>
      <c r="E753" s="312"/>
      <c r="F753" s="248"/>
      <c r="G753" s="312"/>
      <c r="H753" s="312"/>
      <c r="I753" s="312"/>
      <c r="J753" s="248">
        <f t="shared" si="77"/>
        <v>0</v>
      </c>
      <c r="K753" s="330">
        <f t="shared" si="78"/>
        <v>-1983</v>
      </c>
      <c r="L753" s="313"/>
      <c r="M753" s="228">
        <f t="shared" si="79"/>
        <v>0</v>
      </c>
      <c r="N753" s="228">
        <f t="shared" si="82"/>
        <v>0</v>
      </c>
      <c r="O753" s="228">
        <f t="shared" si="83"/>
        <v>0</v>
      </c>
      <c r="P753" s="228">
        <f t="shared" si="83"/>
        <v>0</v>
      </c>
      <c r="Q753" s="228">
        <f t="shared" si="80"/>
        <v>0</v>
      </c>
      <c r="R753" s="343">
        <f t="shared" si="81"/>
        <v>-1983</v>
      </c>
      <c r="S753" s="240"/>
      <c r="T753" s="201"/>
      <c r="U753" s="201"/>
      <c r="V753" s="201"/>
    </row>
    <row r="754" spans="1:22" ht="15.75" x14ac:dyDescent="0.25">
      <c r="A754" s="234" t="s">
        <v>1100</v>
      </c>
      <c r="B754" s="235" t="s">
        <v>1101</v>
      </c>
      <c r="C754" s="234" t="s">
        <v>248</v>
      </c>
      <c r="D754" s="312">
        <v>489</v>
      </c>
      <c r="E754" s="312"/>
      <c r="F754" s="248"/>
      <c r="G754" s="312"/>
      <c r="H754" s="312"/>
      <c r="I754" s="312"/>
      <c r="J754" s="248">
        <f t="shared" si="77"/>
        <v>0</v>
      </c>
      <c r="K754" s="330">
        <f t="shared" si="78"/>
        <v>-489</v>
      </c>
      <c r="L754" s="313"/>
      <c r="M754" s="228">
        <f t="shared" si="79"/>
        <v>0</v>
      </c>
      <c r="N754" s="228">
        <f t="shared" si="82"/>
        <v>0</v>
      </c>
      <c r="O754" s="228">
        <f t="shared" si="83"/>
        <v>0</v>
      </c>
      <c r="P754" s="228">
        <f t="shared" si="83"/>
        <v>0</v>
      </c>
      <c r="Q754" s="228">
        <f t="shared" si="80"/>
        <v>0</v>
      </c>
      <c r="R754" s="343">
        <f t="shared" si="81"/>
        <v>-489</v>
      </c>
      <c r="S754" s="240"/>
      <c r="T754" s="201"/>
      <c r="U754" s="201"/>
      <c r="V754" s="201"/>
    </row>
    <row r="755" spans="1:22" ht="15.75" x14ac:dyDescent="0.25">
      <c r="A755" s="234" t="s">
        <v>1102</v>
      </c>
      <c r="B755" s="235" t="s">
        <v>1103</v>
      </c>
      <c r="C755" s="234" t="s">
        <v>248</v>
      </c>
      <c r="D755" s="312">
        <v>65</v>
      </c>
      <c r="E755" s="312"/>
      <c r="F755" s="248"/>
      <c r="G755" s="312"/>
      <c r="H755" s="312"/>
      <c r="I755" s="312"/>
      <c r="J755" s="248">
        <f t="shared" si="77"/>
        <v>0</v>
      </c>
      <c r="K755" s="330">
        <f t="shared" si="78"/>
        <v>-65</v>
      </c>
      <c r="L755" s="313"/>
      <c r="M755" s="228">
        <f t="shared" si="79"/>
        <v>0</v>
      </c>
      <c r="N755" s="228">
        <f t="shared" si="82"/>
        <v>0</v>
      </c>
      <c r="O755" s="228">
        <f t="shared" si="83"/>
        <v>0</v>
      </c>
      <c r="P755" s="228">
        <f t="shared" si="83"/>
        <v>0</v>
      </c>
      <c r="Q755" s="228">
        <f t="shared" si="80"/>
        <v>0</v>
      </c>
      <c r="R755" s="343">
        <f t="shared" si="81"/>
        <v>-65</v>
      </c>
      <c r="S755" s="240"/>
      <c r="T755" s="201"/>
      <c r="U755" s="201"/>
      <c r="V755" s="201"/>
    </row>
    <row r="756" spans="1:22" ht="15.75" x14ac:dyDescent="0.25">
      <c r="A756" s="234" t="s">
        <v>1104</v>
      </c>
      <c r="B756" s="235" t="s">
        <v>1105</v>
      </c>
      <c r="C756" s="234" t="s">
        <v>248</v>
      </c>
      <c r="D756" s="312">
        <v>97</v>
      </c>
      <c r="E756" s="312"/>
      <c r="F756" s="248"/>
      <c r="G756" s="312"/>
      <c r="H756" s="312"/>
      <c r="I756" s="312"/>
      <c r="J756" s="248">
        <f t="shared" si="77"/>
        <v>0</v>
      </c>
      <c r="K756" s="330">
        <f t="shared" si="78"/>
        <v>-97</v>
      </c>
      <c r="L756" s="313"/>
      <c r="M756" s="228">
        <f t="shared" si="79"/>
        <v>0</v>
      </c>
      <c r="N756" s="228">
        <f t="shared" si="82"/>
        <v>0</v>
      </c>
      <c r="O756" s="228">
        <f t="shared" si="83"/>
        <v>0</v>
      </c>
      <c r="P756" s="228">
        <f t="shared" si="83"/>
        <v>0</v>
      </c>
      <c r="Q756" s="228">
        <f t="shared" si="80"/>
        <v>0</v>
      </c>
      <c r="R756" s="343">
        <f t="shared" si="81"/>
        <v>-97</v>
      </c>
      <c r="S756" s="240"/>
      <c r="T756" s="201"/>
      <c r="U756" s="201"/>
      <c r="V756" s="201"/>
    </row>
    <row r="757" spans="1:22" ht="15.75" x14ac:dyDescent="0.25">
      <c r="A757" s="234" t="s">
        <v>1106</v>
      </c>
      <c r="B757" s="235" t="s">
        <v>1107</v>
      </c>
      <c r="C757" s="234" t="s">
        <v>248</v>
      </c>
      <c r="D757" s="312">
        <v>1444</v>
      </c>
      <c r="E757" s="312"/>
      <c r="F757" s="248"/>
      <c r="G757" s="312"/>
      <c r="H757" s="312"/>
      <c r="I757" s="312"/>
      <c r="J757" s="248">
        <f t="shared" si="77"/>
        <v>0</v>
      </c>
      <c r="K757" s="330">
        <f t="shared" si="78"/>
        <v>-1444</v>
      </c>
      <c r="L757" s="313"/>
      <c r="M757" s="228">
        <f t="shared" si="79"/>
        <v>0</v>
      </c>
      <c r="N757" s="228">
        <f t="shared" si="82"/>
        <v>0</v>
      </c>
      <c r="O757" s="228">
        <f t="shared" si="83"/>
        <v>0</v>
      </c>
      <c r="P757" s="228">
        <f t="shared" si="83"/>
        <v>0</v>
      </c>
      <c r="Q757" s="228">
        <f t="shared" si="80"/>
        <v>0</v>
      </c>
      <c r="R757" s="343">
        <f t="shared" si="81"/>
        <v>-1444</v>
      </c>
      <c r="S757" s="240"/>
      <c r="T757" s="201"/>
      <c r="U757" s="201"/>
      <c r="V757" s="201"/>
    </row>
    <row r="758" spans="1:22" ht="15.75" x14ac:dyDescent="0.25">
      <c r="A758" s="234" t="s">
        <v>1108</v>
      </c>
      <c r="B758" s="235" t="s">
        <v>1109</v>
      </c>
      <c r="C758" s="234" t="s">
        <v>248</v>
      </c>
      <c r="D758" s="312">
        <v>179</v>
      </c>
      <c r="E758" s="312"/>
      <c r="F758" s="248"/>
      <c r="G758" s="312"/>
      <c r="H758" s="312"/>
      <c r="I758" s="312"/>
      <c r="J758" s="248">
        <f t="shared" si="77"/>
        <v>0</v>
      </c>
      <c r="K758" s="330">
        <f t="shared" si="78"/>
        <v>-179</v>
      </c>
      <c r="L758" s="313"/>
      <c r="M758" s="228">
        <f t="shared" si="79"/>
        <v>0</v>
      </c>
      <c r="N758" s="228">
        <f t="shared" si="82"/>
        <v>0</v>
      </c>
      <c r="O758" s="228">
        <f t="shared" si="83"/>
        <v>0</v>
      </c>
      <c r="P758" s="228">
        <f t="shared" si="83"/>
        <v>0</v>
      </c>
      <c r="Q758" s="228">
        <f t="shared" si="80"/>
        <v>0</v>
      </c>
      <c r="R758" s="343">
        <f t="shared" si="81"/>
        <v>-179</v>
      </c>
      <c r="S758" s="240"/>
      <c r="T758" s="201"/>
      <c r="U758" s="201"/>
      <c r="V758" s="201"/>
    </row>
    <row r="759" spans="1:22" ht="30" x14ac:dyDescent="0.25">
      <c r="A759" s="234" t="s">
        <v>1110</v>
      </c>
      <c r="B759" s="235" t="s">
        <v>1111</v>
      </c>
      <c r="C759" s="234" t="s">
        <v>248</v>
      </c>
      <c r="D759" s="312">
        <v>73</v>
      </c>
      <c r="E759" s="312"/>
      <c r="F759" s="248"/>
      <c r="G759" s="312"/>
      <c r="H759" s="312"/>
      <c r="I759" s="312"/>
      <c r="J759" s="248">
        <f t="shared" si="77"/>
        <v>0</v>
      </c>
      <c r="K759" s="330">
        <f t="shared" si="78"/>
        <v>-73</v>
      </c>
      <c r="L759" s="313"/>
      <c r="M759" s="228">
        <f t="shared" si="79"/>
        <v>0</v>
      </c>
      <c r="N759" s="228">
        <f t="shared" si="82"/>
        <v>0</v>
      </c>
      <c r="O759" s="228">
        <f t="shared" si="83"/>
        <v>0</v>
      </c>
      <c r="P759" s="228">
        <f t="shared" si="83"/>
        <v>0</v>
      </c>
      <c r="Q759" s="228">
        <f t="shared" si="80"/>
        <v>0</v>
      </c>
      <c r="R759" s="343">
        <f t="shared" si="81"/>
        <v>-73</v>
      </c>
      <c r="S759" s="240"/>
      <c r="T759" s="201"/>
      <c r="U759" s="201"/>
      <c r="V759" s="201"/>
    </row>
    <row r="760" spans="1:22" ht="15.75" x14ac:dyDescent="0.25">
      <c r="A760" s="234" t="s">
        <v>1112</v>
      </c>
      <c r="B760" s="235" t="s">
        <v>1113</v>
      </c>
      <c r="C760" s="234" t="s">
        <v>248</v>
      </c>
      <c r="D760" s="312">
        <v>15</v>
      </c>
      <c r="E760" s="312"/>
      <c r="F760" s="248"/>
      <c r="G760" s="312"/>
      <c r="H760" s="312"/>
      <c r="I760" s="312"/>
      <c r="J760" s="248">
        <f t="shared" si="77"/>
        <v>0</v>
      </c>
      <c r="K760" s="330">
        <f t="shared" si="78"/>
        <v>-15</v>
      </c>
      <c r="L760" s="313"/>
      <c r="M760" s="228">
        <f t="shared" si="79"/>
        <v>0</v>
      </c>
      <c r="N760" s="228">
        <f t="shared" si="82"/>
        <v>0</v>
      </c>
      <c r="O760" s="228">
        <f t="shared" si="83"/>
        <v>0</v>
      </c>
      <c r="P760" s="228">
        <f t="shared" si="83"/>
        <v>0</v>
      </c>
      <c r="Q760" s="228">
        <f t="shared" si="80"/>
        <v>0</v>
      </c>
      <c r="R760" s="343">
        <f t="shared" si="81"/>
        <v>-15</v>
      </c>
      <c r="S760" s="240"/>
      <c r="T760" s="201"/>
      <c r="U760" s="201"/>
      <c r="V760" s="201"/>
    </row>
    <row r="761" spans="1:22" ht="15.75" x14ac:dyDescent="0.25">
      <c r="A761" s="234" t="s">
        <v>1114</v>
      </c>
      <c r="B761" s="235" t="s">
        <v>1115</v>
      </c>
      <c r="C761" s="234" t="s">
        <v>9</v>
      </c>
      <c r="D761" s="312">
        <v>590</v>
      </c>
      <c r="E761" s="312"/>
      <c r="F761" s="248"/>
      <c r="G761" s="312"/>
      <c r="H761" s="312"/>
      <c r="I761" s="312"/>
      <c r="J761" s="248">
        <f t="shared" si="77"/>
        <v>0</v>
      </c>
      <c r="K761" s="330">
        <f t="shared" si="78"/>
        <v>-590</v>
      </c>
      <c r="L761" s="313"/>
      <c r="M761" s="228">
        <f t="shared" si="79"/>
        <v>0</v>
      </c>
      <c r="N761" s="228">
        <f t="shared" si="82"/>
        <v>0</v>
      </c>
      <c r="O761" s="228">
        <f t="shared" si="83"/>
        <v>0</v>
      </c>
      <c r="P761" s="228">
        <f t="shared" si="83"/>
        <v>0</v>
      </c>
      <c r="Q761" s="228">
        <f t="shared" si="80"/>
        <v>0</v>
      </c>
      <c r="R761" s="343">
        <f t="shared" si="81"/>
        <v>-590</v>
      </c>
      <c r="S761" s="240"/>
      <c r="T761" s="201"/>
      <c r="U761" s="201">
        <v>1</v>
      </c>
      <c r="V761" s="201"/>
    </row>
    <row r="762" spans="1:22" ht="15.75" x14ac:dyDescent="0.25">
      <c r="A762" s="234" t="s">
        <v>1116</v>
      </c>
      <c r="B762" s="235" t="s">
        <v>1117</v>
      </c>
      <c r="C762" s="234" t="s">
        <v>9</v>
      </c>
      <c r="D762" s="312">
        <v>47</v>
      </c>
      <c r="E762" s="312"/>
      <c r="F762" s="248"/>
      <c r="G762" s="312"/>
      <c r="H762" s="312"/>
      <c r="I762" s="312"/>
      <c r="J762" s="248">
        <f t="shared" ref="J762:J825" si="84">F762+G762+H762+I762</f>
        <v>0</v>
      </c>
      <c r="K762" s="330">
        <f t="shared" ref="K762:K825" si="85">J762-D762</f>
        <v>-47</v>
      </c>
      <c r="L762" s="313"/>
      <c r="M762" s="228">
        <f t="shared" ref="M762:M825" si="86">F762</f>
        <v>0</v>
      </c>
      <c r="N762" s="228">
        <f t="shared" si="82"/>
        <v>0</v>
      </c>
      <c r="O762" s="228">
        <f t="shared" si="83"/>
        <v>0</v>
      </c>
      <c r="P762" s="228">
        <f t="shared" si="83"/>
        <v>0</v>
      </c>
      <c r="Q762" s="228">
        <f t="shared" ref="Q762:Q825" si="87">M762+N762+O762+P762</f>
        <v>0</v>
      </c>
      <c r="R762" s="343">
        <f t="shared" ref="R762:R825" si="88">Q762-D762</f>
        <v>-47</v>
      </c>
      <c r="S762" s="240"/>
      <c r="T762" s="201"/>
      <c r="U762" s="201"/>
      <c r="V762" s="201"/>
    </row>
    <row r="763" spans="1:22" ht="15.75" x14ac:dyDescent="0.25">
      <c r="A763" s="234" t="s">
        <v>1118</v>
      </c>
      <c r="B763" s="235" t="s">
        <v>1119</v>
      </c>
      <c r="C763" s="234" t="s">
        <v>9</v>
      </c>
      <c r="D763" s="312">
        <v>283</v>
      </c>
      <c r="E763" s="312"/>
      <c r="F763" s="248"/>
      <c r="G763" s="312"/>
      <c r="H763" s="312"/>
      <c r="I763" s="312"/>
      <c r="J763" s="248">
        <f t="shared" si="84"/>
        <v>0</v>
      </c>
      <c r="K763" s="330">
        <f t="shared" si="85"/>
        <v>-283</v>
      </c>
      <c r="L763" s="313"/>
      <c r="M763" s="228">
        <f t="shared" si="86"/>
        <v>0</v>
      </c>
      <c r="N763" s="228">
        <f t="shared" si="82"/>
        <v>0</v>
      </c>
      <c r="O763" s="228">
        <f t="shared" si="83"/>
        <v>0</v>
      </c>
      <c r="P763" s="228">
        <f t="shared" si="83"/>
        <v>0</v>
      </c>
      <c r="Q763" s="228">
        <f t="shared" si="87"/>
        <v>0</v>
      </c>
      <c r="R763" s="343">
        <f t="shared" si="88"/>
        <v>-283</v>
      </c>
      <c r="S763" s="240"/>
      <c r="T763" s="201"/>
      <c r="U763" s="201"/>
      <c r="V763" s="201"/>
    </row>
    <row r="764" spans="1:22" ht="15.75" x14ac:dyDescent="0.25">
      <c r="A764" s="234" t="s">
        <v>1120</v>
      </c>
      <c r="B764" s="235" t="s">
        <v>1121</v>
      </c>
      <c r="C764" s="234" t="s">
        <v>9</v>
      </c>
      <c r="D764" s="312">
        <v>502</v>
      </c>
      <c r="E764" s="312"/>
      <c r="F764" s="248"/>
      <c r="G764" s="312"/>
      <c r="H764" s="312"/>
      <c r="I764" s="312"/>
      <c r="J764" s="248">
        <f t="shared" si="84"/>
        <v>0</v>
      </c>
      <c r="K764" s="330">
        <f t="shared" si="85"/>
        <v>-502</v>
      </c>
      <c r="L764" s="313"/>
      <c r="M764" s="228">
        <f t="shared" si="86"/>
        <v>0</v>
      </c>
      <c r="N764" s="228">
        <f t="shared" si="82"/>
        <v>0</v>
      </c>
      <c r="O764" s="228">
        <f t="shared" si="83"/>
        <v>0</v>
      </c>
      <c r="P764" s="228">
        <f t="shared" si="83"/>
        <v>0</v>
      </c>
      <c r="Q764" s="228">
        <f t="shared" si="87"/>
        <v>0</v>
      </c>
      <c r="R764" s="343">
        <f t="shared" si="88"/>
        <v>-502</v>
      </c>
      <c r="S764" s="240"/>
      <c r="T764" s="201"/>
      <c r="U764" s="201"/>
      <c r="V764" s="201"/>
    </row>
    <row r="765" spans="1:22" ht="15.75" x14ac:dyDescent="0.25">
      <c r="A765" s="234" t="s">
        <v>1122</v>
      </c>
      <c r="B765" s="235" t="s">
        <v>1123</v>
      </c>
      <c r="C765" s="234" t="s">
        <v>9</v>
      </c>
      <c r="D765" s="312">
        <v>3</v>
      </c>
      <c r="E765" s="312"/>
      <c r="F765" s="248"/>
      <c r="G765" s="312"/>
      <c r="H765" s="312"/>
      <c r="I765" s="312"/>
      <c r="J765" s="248">
        <f t="shared" si="84"/>
        <v>0</v>
      </c>
      <c r="K765" s="330">
        <f t="shared" si="85"/>
        <v>-3</v>
      </c>
      <c r="L765" s="313"/>
      <c r="M765" s="228">
        <f t="shared" si="86"/>
        <v>0</v>
      </c>
      <c r="N765" s="228">
        <f t="shared" si="82"/>
        <v>0</v>
      </c>
      <c r="O765" s="228">
        <f t="shared" si="83"/>
        <v>0</v>
      </c>
      <c r="P765" s="228">
        <f t="shared" si="83"/>
        <v>0</v>
      </c>
      <c r="Q765" s="228">
        <f t="shared" si="87"/>
        <v>0</v>
      </c>
      <c r="R765" s="343">
        <f t="shared" si="88"/>
        <v>-3</v>
      </c>
      <c r="S765" s="240"/>
      <c r="T765" s="201"/>
      <c r="U765" s="201"/>
      <c r="V765" s="201"/>
    </row>
    <row r="766" spans="1:22" ht="15.75" x14ac:dyDescent="0.25">
      <c r="A766" s="234" t="s">
        <v>1124</v>
      </c>
      <c r="B766" s="235" t="s">
        <v>1125</v>
      </c>
      <c r="C766" s="234" t="s">
        <v>9</v>
      </c>
      <c r="D766" s="312">
        <v>1</v>
      </c>
      <c r="E766" s="312"/>
      <c r="F766" s="248"/>
      <c r="G766" s="312"/>
      <c r="H766" s="312"/>
      <c r="I766" s="312"/>
      <c r="J766" s="248">
        <f t="shared" si="84"/>
        <v>0</v>
      </c>
      <c r="K766" s="330">
        <f t="shared" si="85"/>
        <v>-1</v>
      </c>
      <c r="L766" s="313"/>
      <c r="M766" s="228">
        <f t="shared" si="86"/>
        <v>0</v>
      </c>
      <c r="N766" s="228">
        <f t="shared" si="82"/>
        <v>0</v>
      </c>
      <c r="O766" s="228">
        <f t="shared" si="83"/>
        <v>0</v>
      </c>
      <c r="P766" s="228">
        <f t="shared" si="83"/>
        <v>0</v>
      </c>
      <c r="Q766" s="228">
        <f t="shared" si="87"/>
        <v>0</v>
      </c>
      <c r="R766" s="343">
        <f t="shared" si="88"/>
        <v>-1</v>
      </c>
      <c r="S766" s="240"/>
      <c r="T766" s="201"/>
      <c r="U766" s="201"/>
      <c r="V766" s="201"/>
    </row>
    <row r="767" spans="1:22" ht="15.75" x14ac:dyDescent="0.25">
      <c r="A767" s="234" t="s">
        <v>1126</v>
      </c>
      <c r="B767" s="235" t="s">
        <v>1127</v>
      </c>
      <c r="C767" s="234" t="s">
        <v>9</v>
      </c>
      <c r="D767" s="312">
        <v>240</v>
      </c>
      <c r="E767" s="312"/>
      <c r="F767" s="248"/>
      <c r="G767" s="312"/>
      <c r="H767" s="312"/>
      <c r="I767" s="312"/>
      <c r="J767" s="248">
        <f t="shared" si="84"/>
        <v>0</v>
      </c>
      <c r="K767" s="330">
        <f t="shared" si="85"/>
        <v>-240</v>
      </c>
      <c r="L767" s="313"/>
      <c r="M767" s="228">
        <f t="shared" si="86"/>
        <v>0</v>
      </c>
      <c r="N767" s="228">
        <f t="shared" si="82"/>
        <v>0</v>
      </c>
      <c r="O767" s="228">
        <f t="shared" si="83"/>
        <v>0</v>
      </c>
      <c r="P767" s="228">
        <f t="shared" si="83"/>
        <v>0</v>
      </c>
      <c r="Q767" s="228">
        <f t="shared" si="87"/>
        <v>0</v>
      </c>
      <c r="R767" s="343">
        <f t="shared" si="88"/>
        <v>-240</v>
      </c>
      <c r="S767" s="240"/>
      <c r="T767" s="201"/>
      <c r="U767" s="201"/>
      <c r="V767" s="201"/>
    </row>
    <row r="768" spans="1:22" ht="15.75" x14ac:dyDescent="0.25">
      <c r="A768" s="234" t="s">
        <v>1128</v>
      </c>
      <c r="B768" s="235" t="s">
        <v>1129</v>
      </c>
      <c r="C768" s="234" t="s">
        <v>9</v>
      </c>
      <c r="D768" s="312">
        <v>1450</v>
      </c>
      <c r="E768" s="312"/>
      <c r="F768" s="248"/>
      <c r="G768" s="312"/>
      <c r="H768" s="312"/>
      <c r="I768" s="312"/>
      <c r="J768" s="248">
        <f t="shared" si="84"/>
        <v>0</v>
      </c>
      <c r="K768" s="330">
        <f t="shared" si="85"/>
        <v>-1450</v>
      </c>
      <c r="L768" s="313"/>
      <c r="M768" s="228">
        <f t="shared" si="86"/>
        <v>0</v>
      </c>
      <c r="N768" s="228">
        <f t="shared" si="82"/>
        <v>0</v>
      </c>
      <c r="O768" s="228">
        <f t="shared" si="83"/>
        <v>0</v>
      </c>
      <c r="P768" s="228">
        <f t="shared" si="83"/>
        <v>0</v>
      </c>
      <c r="Q768" s="228">
        <f t="shared" si="87"/>
        <v>0</v>
      </c>
      <c r="R768" s="343">
        <f t="shared" si="88"/>
        <v>-1450</v>
      </c>
      <c r="S768" s="240"/>
      <c r="T768" s="201"/>
      <c r="U768" s="201"/>
      <c r="V768" s="201"/>
    </row>
    <row r="769" spans="1:22" ht="15.75" x14ac:dyDescent="0.25">
      <c r="A769" s="234" t="s">
        <v>1130</v>
      </c>
      <c r="B769" s="235" t="s">
        <v>1131</v>
      </c>
      <c r="C769" s="234" t="s">
        <v>9</v>
      </c>
      <c r="D769" s="312">
        <v>269</v>
      </c>
      <c r="E769" s="312"/>
      <c r="F769" s="248"/>
      <c r="G769" s="312"/>
      <c r="H769" s="312"/>
      <c r="I769" s="312"/>
      <c r="J769" s="248">
        <f t="shared" si="84"/>
        <v>0</v>
      </c>
      <c r="K769" s="330">
        <f t="shared" si="85"/>
        <v>-269</v>
      </c>
      <c r="L769" s="313"/>
      <c r="M769" s="228">
        <f t="shared" si="86"/>
        <v>0</v>
      </c>
      <c r="N769" s="228">
        <f t="shared" si="82"/>
        <v>0</v>
      </c>
      <c r="O769" s="228">
        <f t="shared" si="83"/>
        <v>0</v>
      </c>
      <c r="P769" s="228">
        <f t="shared" si="83"/>
        <v>0</v>
      </c>
      <c r="Q769" s="228">
        <f t="shared" si="87"/>
        <v>0</v>
      </c>
      <c r="R769" s="343">
        <f t="shared" si="88"/>
        <v>-269</v>
      </c>
      <c r="S769" s="240"/>
      <c r="T769" s="201"/>
      <c r="U769" s="201"/>
      <c r="V769" s="201"/>
    </row>
    <row r="770" spans="1:22" ht="15.75" x14ac:dyDescent="0.25">
      <c r="A770" s="234" t="s">
        <v>1132</v>
      </c>
      <c r="B770" s="235" t="s">
        <v>1133</v>
      </c>
      <c r="C770" s="234" t="s">
        <v>9</v>
      </c>
      <c r="D770" s="312">
        <v>9</v>
      </c>
      <c r="E770" s="312"/>
      <c r="F770" s="248"/>
      <c r="G770" s="312"/>
      <c r="H770" s="312"/>
      <c r="I770" s="312"/>
      <c r="J770" s="248">
        <f t="shared" si="84"/>
        <v>0</v>
      </c>
      <c r="K770" s="330">
        <f t="shared" si="85"/>
        <v>-9</v>
      </c>
      <c r="L770" s="313"/>
      <c r="M770" s="228">
        <f t="shared" si="86"/>
        <v>0</v>
      </c>
      <c r="N770" s="228">
        <f t="shared" si="82"/>
        <v>0</v>
      </c>
      <c r="O770" s="228">
        <f t="shared" si="83"/>
        <v>0</v>
      </c>
      <c r="P770" s="228">
        <f t="shared" si="83"/>
        <v>0</v>
      </c>
      <c r="Q770" s="228">
        <f t="shared" si="87"/>
        <v>0</v>
      </c>
      <c r="R770" s="343">
        <f t="shared" si="88"/>
        <v>-9</v>
      </c>
      <c r="S770" s="240"/>
      <c r="T770" s="201"/>
      <c r="U770" s="201">
        <v>0.7</v>
      </c>
      <c r="V770" s="201"/>
    </row>
    <row r="771" spans="1:22" ht="15.75" x14ac:dyDescent="0.25">
      <c r="A771" s="234" t="s">
        <v>1134</v>
      </c>
      <c r="B771" s="235" t="s">
        <v>1135</v>
      </c>
      <c r="C771" s="234" t="s">
        <v>6</v>
      </c>
      <c r="D771" s="312">
        <v>45</v>
      </c>
      <c r="E771" s="312"/>
      <c r="F771" s="248">
        <f t="shared" ref="F771:F787" si="89">D771*$U$770</f>
        <v>31.499999999999996</v>
      </c>
      <c r="G771" s="312"/>
      <c r="H771" s="312"/>
      <c r="I771" s="312"/>
      <c r="J771" s="248">
        <f t="shared" si="84"/>
        <v>31.499999999999996</v>
      </c>
      <c r="K771" s="330">
        <f t="shared" si="85"/>
        <v>-13.500000000000004</v>
      </c>
      <c r="L771" s="313"/>
      <c r="M771" s="228">
        <f t="shared" si="86"/>
        <v>31.499999999999996</v>
      </c>
      <c r="N771" s="228">
        <f t="shared" si="82"/>
        <v>0</v>
      </c>
      <c r="O771" s="228">
        <f t="shared" si="83"/>
        <v>0</v>
      </c>
      <c r="P771" s="228">
        <f t="shared" si="83"/>
        <v>0</v>
      </c>
      <c r="Q771" s="228">
        <f t="shared" si="87"/>
        <v>31.499999999999996</v>
      </c>
      <c r="R771" s="343">
        <f t="shared" si="88"/>
        <v>-13.500000000000004</v>
      </c>
      <c r="S771" s="240"/>
      <c r="T771" s="201"/>
      <c r="U771" s="201"/>
      <c r="V771" s="201"/>
    </row>
    <row r="772" spans="1:22" ht="15.75" x14ac:dyDescent="0.25">
      <c r="A772" s="234" t="s">
        <v>1136</v>
      </c>
      <c r="B772" s="235" t="s">
        <v>1137</v>
      </c>
      <c r="C772" s="234" t="s">
        <v>6</v>
      </c>
      <c r="D772" s="312">
        <v>50</v>
      </c>
      <c r="E772" s="312"/>
      <c r="F772" s="248">
        <f t="shared" si="89"/>
        <v>35</v>
      </c>
      <c r="G772" s="312"/>
      <c r="H772" s="312"/>
      <c r="I772" s="312"/>
      <c r="J772" s="248">
        <f t="shared" si="84"/>
        <v>35</v>
      </c>
      <c r="K772" s="330">
        <f t="shared" si="85"/>
        <v>-15</v>
      </c>
      <c r="L772" s="313"/>
      <c r="M772" s="228">
        <f t="shared" si="86"/>
        <v>35</v>
      </c>
      <c r="N772" s="228">
        <f t="shared" si="82"/>
        <v>0</v>
      </c>
      <c r="O772" s="228">
        <f t="shared" si="83"/>
        <v>0</v>
      </c>
      <c r="P772" s="228">
        <f t="shared" si="83"/>
        <v>0</v>
      </c>
      <c r="Q772" s="228">
        <f t="shared" si="87"/>
        <v>35</v>
      </c>
      <c r="R772" s="343">
        <f t="shared" si="88"/>
        <v>-15</v>
      </c>
      <c r="S772" s="240"/>
      <c r="T772" s="201"/>
      <c r="U772" s="201"/>
      <c r="V772" s="201"/>
    </row>
    <row r="773" spans="1:22" ht="15.75" x14ac:dyDescent="0.25">
      <c r="A773" s="234" t="s">
        <v>1138</v>
      </c>
      <c r="B773" s="235" t="s">
        <v>1139</v>
      </c>
      <c r="C773" s="234" t="s">
        <v>6</v>
      </c>
      <c r="D773" s="312">
        <v>65</v>
      </c>
      <c r="E773" s="312"/>
      <c r="F773" s="248">
        <f t="shared" si="89"/>
        <v>45.5</v>
      </c>
      <c r="G773" s="312"/>
      <c r="H773" s="312"/>
      <c r="I773" s="312"/>
      <c r="J773" s="248">
        <f t="shared" si="84"/>
        <v>45.5</v>
      </c>
      <c r="K773" s="330">
        <f t="shared" si="85"/>
        <v>-19.5</v>
      </c>
      <c r="L773" s="313"/>
      <c r="M773" s="228">
        <f t="shared" si="86"/>
        <v>45.5</v>
      </c>
      <c r="N773" s="228">
        <f t="shared" si="82"/>
        <v>0</v>
      </c>
      <c r="O773" s="228">
        <f t="shared" si="83"/>
        <v>0</v>
      </c>
      <c r="P773" s="228">
        <f t="shared" si="83"/>
        <v>0</v>
      </c>
      <c r="Q773" s="228">
        <f t="shared" si="87"/>
        <v>45.5</v>
      </c>
      <c r="R773" s="343">
        <f t="shared" si="88"/>
        <v>-19.5</v>
      </c>
      <c r="S773" s="240"/>
      <c r="T773" s="201"/>
      <c r="U773" s="201"/>
      <c r="V773" s="201"/>
    </row>
    <row r="774" spans="1:22" ht="15.75" x14ac:dyDescent="0.25">
      <c r="A774" s="234" t="s">
        <v>1140</v>
      </c>
      <c r="B774" s="235" t="s">
        <v>1141</v>
      </c>
      <c r="C774" s="234" t="s">
        <v>6</v>
      </c>
      <c r="D774" s="312">
        <v>300</v>
      </c>
      <c r="E774" s="312"/>
      <c r="F774" s="248">
        <f t="shared" si="89"/>
        <v>210</v>
      </c>
      <c r="G774" s="312"/>
      <c r="H774" s="312"/>
      <c r="I774" s="312"/>
      <c r="J774" s="248">
        <f t="shared" si="84"/>
        <v>210</v>
      </c>
      <c r="K774" s="330">
        <f t="shared" si="85"/>
        <v>-90</v>
      </c>
      <c r="L774" s="313"/>
      <c r="M774" s="228">
        <f t="shared" si="86"/>
        <v>210</v>
      </c>
      <c r="N774" s="228">
        <f t="shared" si="82"/>
        <v>0</v>
      </c>
      <c r="O774" s="228">
        <f t="shared" si="83"/>
        <v>0</v>
      </c>
      <c r="P774" s="228">
        <f t="shared" si="83"/>
        <v>0</v>
      </c>
      <c r="Q774" s="228">
        <f t="shared" si="87"/>
        <v>210</v>
      </c>
      <c r="R774" s="343">
        <f t="shared" si="88"/>
        <v>-90</v>
      </c>
      <c r="S774" s="240"/>
      <c r="T774" s="201"/>
      <c r="U774" s="201"/>
      <c r="V774" s="201"/>
    </row>
    <row r="775" spans="1:22" ht="15.75" x14ac:dyDescent="0.25">
      <c r="A775" s="234" t="s">
        <v>1142</v>
      </c>
      <c r="B775" s="235" t="s">
        <v>1143</v>
      </c>
      <c r="C775" s="234" t="s">
        <v>6</v>
      </c>
      <c r="D775" s="312">
        <v>250</v>
      </c>
      <c r="E775" s="312"/>
      <c r="F775" s="248">
        <f t="shared" si="89"/>
        <v>175</v>
      </c>
      <c r="G775" s="312"/>
      <c r="H775" s="312"/>
      <c r="I775" s="312"/>
      <c r="J775" s="248">
        <f t="shared" si="84"/>
        <v>175</v>
      </c>
      <c r="K775" s="330">
        <f t="shared" si="85"/>
        <v>-75</v>
      </c>
      <c r="L775" s="313"/>
      <c r="M775" s="228">
        <f t="shared" si="86"/>
        <v>175</v>
      </c>
      <c r="N775" s="228">
        <f t="shared" si="82"/>
        <v>0</v>
      </c>
      <c r="O775" s="228">
        <f t="shared" si="83"/>
        <v>0</v>
      </c>
      <c r="P775" s="228">
        <f t="shared" si="83"/>
        <v>0</v>
      </c>
      <c r="Q775" s="228">
        <f t="shared" si="87"/>
        <v>175</v>
      </c>
      <c r="R775" s="343">
        <f t="shared" si="88"/>
        <v>-75</v>
      </c>
      <c r="S775" s="240"/>
      <c r="T775" s="201"/>
      <c r="U775" s="201"/>
      <c r="V775" s="201"/>
    </row>
    <row r="776" spans="1:22" ht="15.75" x14ac:dyDescent="0.25">
      <c r="A776" s="234" t="s">
        <v>1144</v>
      </c>
      <c r="B776" s="235" t="s">
        <v>1145</v>
      </c>
      <c r="C776" s="234" t="s">
        <v>6</v>
      </c>
      <c r="D776" s="312">
        <v>5200</v>
      </c>
      <c r="E776" s="312"/>
      <c r="F776" s="248">
        <f t="shared" si="89"/>
        <v>3639.9999999999995</v>
      </c>
      <c r="G776" s="312"/>
      <c r="H776" s="312"/>
      <c r="I776" s="312"/>
      <c r="J776" s="248">
        <f t="shared" si="84"/>
        <v>3639.9999999999995</v>
      </c>
      <c r="K776" s="330">
        <f t="shared" si="85"/>
        <v>-1560.0000000000005</v>
      </c>
      <c r="L776" s="313"/>
      <c r="M776" s="228">
        <f t="shared" si="86"/>
        <v>3639.9999999999995</v>
      </c>
      <c r="N776" s="228">
        <f t="shared" si="82"/>
        <v>0</v>
      </c>
      <c r="O776" s="228">
        <f t="shared" si="83"/>
        <v>0</v>
      </c>
      <c r="P776" s="228">
        <f t="shared" si="83"/>
        <v>0</v>
      </c>
      <c r="Q776" s="228">
        <f t="shared" si="87"/>
        <v>3639.9999999999995</v>
      </c>
      <c r="R776" s="343">
        <f t="shared" si="88"/>
        <v>-1560.0000000000005</v>
      </c>
      <c r="S776" s="240"/>
      <c r="T776" s="201"/>
      <c r="U776" s="201"/>
      <c r="V776" s="201"/>
    </row>
    <row r="777" spans="1:22" ht="15.75" x14ac:dyDescent="0.25">
      <c r="A777" s="234" t="s">
        <v>1146</v>
      </c>
      <c r="B777" s="235" t="s">
        <v>1147</v>
      </c>
      <c r="C777" s="234" t="s">
        <v>6</v>
      </c>
      <c r="D777" s="312">
        <v>500</v>
      </c>
      <c r="E777" s="312"/>
      <c r="F777" s="248">
        <f t="shared" si="89"/>
        <v>350</v>
      </c>
      <c r="G777" s="312"/>
      <c r="H777" s="312"/>
      <c r="I777" s="312"/>
      <c r="J777" s="248">
        <f t="shared" si="84"/>
        <v>350</v>
      </c>
      <c r="K777" s="330">
        <f t="shared" si="85"/>
        <v>-150</v>
      </c>
      <c r="L777" s="313"/>
      <c r="M777" s="228">
        <f t="shared" si="86"/>
        <v>350</v>
      </c>
      <c r="N777" s="228">
        <f t="shared" ref="N777:N840" si="90">G777</f>
        <v>0</v>
      </c>
      <c r="O777" s="228">
        <f t="shared" ref="O777:P840" si="91">H777</f>
        <v>0</v>
      </c>
      <c r="P777" s="228">
        <f t="shared" si="91"/>
        <v>0</v>
      </c>
      <c r="Q777" s="228">
        <f t="shared" si="87"/>
        <v>350</v>
      </c>
      <c r="R777" s="343">
        <f t="shared" si="88"/>
        <v>-150</v>
      </c>
      <c r="S777" s="240"/>
      <c r="T777" s="201"/>
      <c r="U777" s="201"/>
      <c r="V777" s="201"/>
    </row>
    <row r="778" spans="1:22" ht="15.75" x14ac:dyDescent="0.25">
      <c r="A778" s="234" t="s">
        <v>1148</v>
      </c>
      <c r="B778" s="235" t="s">
        <v>1149</v>
      </c>
      <c r="C778" s="234" t="s">
        <v>6</v>
      </c>
      <c r="D778" s="312">
        <v>34170</v>
      </c>
      <c r="E778" s="312"/>
      <c r="F778" s="248">
        <f t="shared" si="89"/>
        <v>23919</v>
      </c>
      <c r="G778" s="312"/>
      <c r="H778" s="312"/>
      <c r="I778" s="312"/>
      <c r="J778" s="248">
        <f t="shared" si="84"/>
        <v>23919</v>
      </c>
      <c r="K778" s="330">
        <f t="shared" si="85"/>
        <v>-10251</v>
      </c>
      <c r="L778" s="313"/>
      <c r="M778" s="228">
        <f t="shared" si="86"/>
        <v>23919</v>
      </c>
      <c r="N778" s="228">
        <f t="shared" si="90"/>
        <v>0</v>
      </c>
      <c r="O778" s="228">
        <f t="shared" si="91"/>
        <v>0</v>
      </c>
      <c r="P778" s="228">
        <f t="shared" si="91"/>
        <v>0</v>
      </c>
      <c r="Q778" s="228">
        <f t="shared" si="87"/>
        <v>23919</v>
      </c>
      <c r="R778" s="343">
        <f t="shared" si="88"/>
        <v>-10251</v>
      </c>
      <c r="S778" s="240"/>
      <c r="T778" s="201"/>
      <c r="U778" s="201"/>
      <c r="V778" s="201"/>
    </row>
    <row r="779" spans="1:22" ht="15.75" x14ac:dyDescent="0.25">
      <c r="A779" s="234" t="s">
        <v>1150</v>
      </c>
      <c r="B779" s="235" t="s">
        <v>1151</v>
      </c>
      <c r="C779" s="234" t="s">
        <v>6</v>
      </c>
      <c r="D779" s="312">
        <v>76100</v>
      </c>
      <c r="E779" s="312"/>
      <c r="F779" s="248">
        <f t="shared" si="89"/>
        <v>53270</v>
      </c>
      <c r="G779" s="312"/>
      <c r="H779" s="312"/>
      <c r="I779" s="312"/>
      <c r="J779" s="248">
        <f t="shared" si="84"/>
        <v>53270</v>
      </c>
      <c r="K779" s="330">
        <f t="shared" si="85"/>
        <v>-22830</v>
      </c>
      <c r="L779" s="313"/>
      <c r="M779" s="228">
        <f t="shared" si="86"/>
        <v>53270</v>
      </c>
      <c r="N779" s="228">
        <f t="shared" si="90"/>
        <v>0</v>
      </c>
      <c r="O779" s="228">
        <f t="shared" si="91"/>
        <v>0</v>
      </c>
      <c r="P779" s="228">
        <f t="shared" si="91"/>
        <v>0</v>
      </c>
      <c r="Q779" s="228">
        <f t="shared" si="87"/>
        <v>53270</v>
      </c>
      <c r="R779" s="343">
        <f t="shared" si="88"/>
        <v>-22830</v>
      </c>
      <c r="S779" s="240"/>
      <c r="T779" s="201"/>
      <c r="U779" s="201"/>
      <c r="V779" s="201"/>
    </row>
    <row r="780" spans="1:22" ht="15.75" x14ac:dyDescent="0.25">
      <c r="A780" s="234" t="s">
        <v>1152</v>
      </c>
      <c r="B780" s="235" t="s">
        <v>1153</v>
      </c>
      <c r="C780" s="234" t="s">
        <v>6</v>
      </c>
      <c r="D780" s="312">
        <v>45</v>
      </c>
      <c r="E780" s="312"/>
      <c r="F780" s="248">
        <f t="shared" si="89"/>
        <v>31.499999999999996</v>
      </c>
      <c r="G780" s="312"/>
      <c r="H780" s="312"/>
      <c r="I780" s="312"/>
      <c r="J780" s="248">
        <f t="shared" si="84"/>
        <v>31.499999999999996</v>
      </c>
      <c r="K780" s="330">
        <f t="shared" si="85"/>
        <v>-13.500000000000004</v>
      </c>
      <c r="L780" s="313"/>
      <c r="M780" s="228">
        <f t="shared" si="86"/>
        <v>31.499999999999996</v>
      </c>
      <c r="N780" s="228">
        <f t="shared" si="90"/>
        <v>0</v>
      </c>
      <c r="O780" s="228">
        <f t="shared" si="91"/>
        <v>0</v>
      </c>
      <c r="P780" s="228">
        <f t="shared" si="91"/>
        <v>0</v>
      </c>
      <c r="Q780" s="228">
        <f t="shared" si="87"/>
        <v>31.499999999999996</v>
      </c>
      <c r="R780" s="343">
        <f t="shared" si="88"/>
        <v>-13.500000000000004</v>
      </c>
      <c r="S780" s="240"/>
      <c r="T780" s="201"/>
      <c r="U780" s="201"/>
      <c r="V780" s="201"/>
    </row>
    <row r="781" spans="1:22" ht="15.75" x14ac:dyDescent="0.25">
      <c r="A781" s="234" t="s">
        <v>1154</v>
      </c>
      <c r="B781" s="235" t="s">
        <v>1155</v>
      </c>
      <c r="C781" s="234" t="s">
        <v>6</v>
      </c>
      <c r="D781" s="312">
        <v>50</v>
      </c>
      <c r="E781" s="312"/>
      <c r="F781" s="248">
        <f t="shared" si="89"/>
        <v>35</v>
      </c>
      <c r="G781" s="312"/>
      <c r="H781" s="312"/>
      <c r="I781" s="312"/>
      <c r="J781" s="248">
        <f t="shared" si="84"/>
        <v>35</v>
      </c>
      <c r="K781" s="330">
        <f t="shared" si="85"/>
        <v>-15</v>
      </c>
      <c r="L781" s="313"/>
      <c r="M781" s="228">
        <f t="shared" si="86"/>
        <v>35</v>
      </c>
      <c r="N781" s="228">
        <f t="shared" si="90"/>
        <v>0</v>
      </c>
      <c r="O781" s="228">
        <f t="shared" si="91"/>
        <v>0</v>
      </c>
      <c r="P781" s="228">
        <f t="shared" si="91"/>
        <v>0</v>
      </c>
      <c r="Q781" s="228">
        <f t="shared" si="87"/>
        <v>35</v>
      </c>
      <c r="R781" s="343">
        <f t="shared" si="88"/>
        <v>-15</v>
      </c>
      <c r="S781" s="240"/>
      <c r="T781" s="201"/>
      <c r="U781" s="201"/>
      <c r="V781" s="201"/>
    </row>
    <row r="782" spans="1:22" ht="15.75" x14ac:dyDescent="0.25">
      <c r="A782" s="234" t="s">
        <v>1156</v>
      </c>
      <c r="B782" s="235" t="s">
        <v>1157</v>
      </c>
      <c r="C782" s="234" t="s">
        <v>6</v>
      </c>
      <c r="D782" s="312">
        <v>5200</v>
      </c>
      <c r="E782" s="312"/>
      <c r="F782" s="248">
        <f t="shared" si="89"/>
        <v>3639.9999999999995</v>
      </c>
      <c r="G782" s="312"/>
      <c r="H782" s="312"/>
      <c r="I782" s="312"/>
      <c r="J782" s="248">
        <f t="shared" si="84"/>
        <v>3639.9999999999995</v>
      </c>
      <c r="K782" s="330">
        <f t="shared" si="85"/>
        <v>-1560.0000000000005</v>
      </c>
      <c r="L782" s="313"/>
      <c r="M782" s="228">
        <f t="shared" si="86"/>
        <v>3639.9999999999995</v>
      </c>
      <c r="N782" s="228">
        <f t="shared" si="90"/>
        <v>0</v>
      </c>
      <c r="O782" s="228">
        <f t="shared" si="91"/>
        <v>0</v>
      </c>
      <c r="P782" s="228">
        <f t="shared" si="91"/>
        <v>0</v>
      </c>
      <c r="Q782" s="228">
        <f t="shared" si="87"/>
        <v>3639.9999999999995</v>
      </c>
      <c r="R782" s="343">
        <f t="shared" si="88"/>
        <v>-1560.0000000000005</v>
      </c>
      <c r="S782" s="240"/>
      <c r="T782" s="201"/>
      <c r="U782" s="201"/>
      <c r="V782" s="201"/>
    </row>
    <row r="783" spans="1:22" ht="15.75" x14ac:dyDescent="0.25">
      <c r="A783" s="234" t="s">
        <v>1158</v>
      </c>
      <c r="B783" s="235" t="s">
        <v>1159</v>
      </c>
      <c r="C783" s="234" t="s">
        <v>6</v>
      </c>
      <c r="D783" s="312">
        <v>250</v>
      </c>
      <c r="E783" s="312"/>
      <c r="F783" s="248">
        <f t="shared" si="89"/>
        <v>175</v>
      </c>
      <c r="G783" s="312"/>
      <c r="H783" s="312"/>
      <c r="I783" s="312"/>
      <c r="J783" s="248">
        <f t="shared" si="84"/>
        <v>175</v>
      </c>
      <c r="K783" s="330">
        <f t="shared" si="85"/>
        <v>-75</v>
      </c>
      <c r="L783" s="313"/>
      <c r="M783" s="228">
        <f t="shared" si="86"/>
        <v>175</v>
      </c>
      <c r="N783" s="228">
        <f t="shared" si="90"/>
        <v>0</v>
      </c>
      <c r="O783" s="228">
        <f t="shared" si="91"/>
        <v>0</v>
      </c>
      <c r="P783" s="228">
        <f t="shared" si="91"/>
        <v>0</v>
      </c>
      <c r="Q783" s="228">
        <f t="shared" si="87"/>
        <v>175</v>
      </c>
      <c r="R783" s="343">
        <f t="shared" si="88"/>
        <v>-75</v>
      </c>
      <c r="S783" s="240"/>
      <c r="T783" s="201"/>
      <c r="U783" s="201"/>
      <c r="V783" s="201"/>
    </row>
    <row r="784" spans="1:22" ht="15.75" x14ac:dyDescent="0.25">
      <c r="A784" s="234" t="s">
        <v>1160</v>
      </c>
      <c r="B784" s="235" t="s">
        <v>1161</v>
      </c>
      <c r="C784" s="234" t="s">
        <v>6</v>
      </c>
      <c r="D784" s="312">
        <v>17235</v>
      </c>
      <c r="E784" s="312"/>
      <c r="F784" s="248">
        <f t="shared" si="89"/>
        <v>12064.5</v>
      </c>
      <c r="G784" s="312"/>
      <c r="H784" s="312"/>
      <c r="I784" s="312"/>
      <c r="J784" s="248">
        <f t="shared" si="84"/>
        <v>12064.5</v>
      </c>
      <c r="K784" s="330">
        <f t="shared" si="85"/>
        <v>-5170.5</v>
      </c>
      <c r="L784" s="313"/>
      <c r="M784" s="228">
        <f t="shared" si="86"/>
        <v>12064.5</v>
      </c>
      <c r="N784" s="228">
        <f t="shared" si="90"/>
        <v>0</v>
      </c>
      <c r="O784" s="228">
        <f t="shared" si="91"/>
        <v>0</v>
      </c>
      <c r="P784" s="228">
        <f t="shared" si="91"/>
        <v>0</v>
      </c>
      <c r="Q784" s="228">
        <f t="shared" si="87"/>
        <v>12064.5</v>
      </c>
      <c r="R784" s="343">
        <f t="shared" si="88"/>
        <v>-5170.5</v>
      </c>
      <c r="S784" s="240"/>
      <c r="T784" s="201"/>
      <c r="U784" s="201"/>
      <c r="V784" s="201"/>
    </row>
    <row r="785" spans="1:22" ht="15.75" x14ac:dyDescent="0.25">
      <c r="A785" s="234" t="s">
        <v>1162</v>
      </c>
      <c r="B785" s="235" t="s">
        <v>1163</v>
      </c>
      <c r="C785" s="234" t="s">
        <v>6</v>
      </c>
      <c r="D785" s="312">
        <v>16660.5</v>
      </c>
      <c r="E785" s="312"/>
      <c r="F785" s="248">
        <f t="shared" si="89"/>
        <v>11662.349999999999</v>
      </c>
      <c r="G785" s="312"/>
      <c r="H785" s="312"/>
      <c r="I785" s="312"/>
      <c r="J785" s="248">
        <f t="shared" si="84"/>
        <v>11662.349999999999</v>
      </c>
      <c r="K785" s="330">
        <f t="shared" si="85"/>
        <v>-4998.1500000000015</v>
      </c>
      <c r="L785" s="313"/>
      <c r="M785" s="228">
        <f t="shared" si="86"/>
        <v>11662.349999999999</v>
      </c>
      <c r="N785" s="228">
        <f t="shared" si="90"/>
        <v>0</v>
      </c>
      <c r="O785" s="228">
        <f t="shared" si="91"/>
        <v>0</v>
      </c>
      <c r="P785" s="228">
        <f t="shared" si="91"/>
        <v>0</v>
      </c>
      <c r="Q785" s="228">
        <f t="shared" si="87"/>
        <v>11662.349999999999</v>
      </c>
      <c r="R785" s="343">
        <f t="shared" si="88"/>
        <v>-4998.1500000000015</v>
      </c>
      <c r="S785" s="240"/>
      <c r="T785" s="201"/>
      <c r="U785" s="201"/>
      <c r="V785" s="201"/>
    </row>
    <row r="786" spans="1:22" ht="15.75" x14ac:dyDescent="0.25">
      <c r="A786" s="234" t="s">
        <v>1164</v>
      </c>
      <c r="B786" s="235" t="s">
        <v>1165</v>
      </c>
      <c r="C786" s="234" t="s">
        <v>6</v>
      </c>
      <c r="D786" s="312">
        <v>11107</v>
      </c>
      <c r="E786" s="312"/>
      <c r="F786" s="248">
        <f t="shared" si="89"/>
        <v>7774.9</v>
      </c>
      <c r="G786" s="312"/>
      <c r="H786" s="312"/>
      <c r="I786" s="312"/>
      <c r="J786" s="248">
        <f t="shared" si="84"/>
        <v>7774.9</v>
      </c>
      <c r="K786" s="330">
        <f t="shared" si="85"/>
        <v>-3332.1000000000004</v>
      </c>
      <c r="L786" s="313"/>
      <c r="M786" s="228">
        <f t="shared" si="86"/>
        <v>7774.9</v>
      </c>
      <c r="N786" s="228">
        <f t="shared" si="90"/>
        <v>0</v>
      </c>
      <c r="O786" s="228">
        <f t="shared" si="91"/>
        <v>0</v>
      </c>
      <c r="P786" s="228">
        <f t="shared" si="91"/>
        <v>0</v>
      </c>
      <c r="Q786" s="228">
        <f t="shared" si="87"/>
        <v>7774.9</v>
      </c>
      <c r="R786" s="343">
        <f t="shared" si="88"/>
        <v>-3332.1000000000004</v>
      </c>
      <c r="S786" s="240"/>
      <c r="T786" s="201"/>
      <c r="U786" s="201"/>
      <c r="V786" s="201"/>
    </row>
    <row r="787" spans="1:22" ht="15.75" x14ac:dyDescent="0.25">
      <c r="A787" s="234" t="s">
        <v>1166</v>
      </c>
      <c r="B787" s="235" t="s">
        <v>1167</v>
      </c>
      <c r="C787" s="234" t="s">
        <v>6</v>
      </c>
      <c r="D787" s="312">
        <v>707.5</v>
      </c>
      <c r="E787" s="312"/>
      <c r="F787" s="248">
        <f t="shared" si="89"/>
        <v>495.24999999999994</v>
      </c>
      <c r="G787" s="312"/>
      <c r="H787" s="312"/>
      <c r="I787" s="312"/>
      <c r="J787" s="248">
        <f t="shared" si="84"/>
        <v>495.24999999999994</v>
      </c>
      <c r="K787" s="330">
        <f t="shared" si="85"/>
        <v>-212.25000000000006</v>
      </c>
      <c r="L787" s="313"/>
      <c r="M787" s="228">
        <f t="shared" si="86"/>
        <v>495.24999999999994</v>
      </c>
      <c r="N787" s="228">
        <f t="shared" si="90"/>
        <v>0</v>
      </c>
      <c r="O787" s="228">
        <f t="shared" si="91"/>
        <v>0</v>
      </c>
      <c r="P787" s="228">
        <f t="shared" si="91"/>
        <v>0</v>
      </c>
      <c r="Q787" s="228">
        <f t="shared" si="87"/>
        <v>495.24999999999994</v>
      </c>
      <c r="R787" s="343">
        <f t="shared" si="88"/>
        <v>-212.25000000000006</v>
      </c>
      <c r="S787" s="240"/>
      <c r="T787" s="201"/>
      <c r="U787" s="201"/>
      <c r="V787" s="201"/>
    </row>
    <row r="788" spans="1:22" ht="15.75" x14ac:dyDescent="0.25">
      <c r="A788" s="234" t="s">
        <v>1168</v>
      </c>
      <c r="B788" s="235" t="s">
        <v>1169</v>
      </c>
      <c r="C788" s="234" t="s">
        <v>6</v>
      </c>
      <c r="D788" s="312">
        <v>780</v>
      </c>
      <c r="E788" s="312"/>
      <c r="F788" s="248"/>
      <c r="G788" s="312"/>
      <c r="H788" s="312"/>
      <c r="I788" s="312"/>
      <c r="J788" s="248">
        <f t="shared" si="84"/>
        <v>0</v>
      </c>
      <c r="K788" s="330">
        <f t="shared" si="85"/>
        <v>-780</v>
      </c>
      <c r="L788" s="313"/>
      <c r="M788" s="228">
        <f t="shared" si="86"/>
        <v>0</v>
      </c>
      <c r="N788" s="228">
        <f t="shared" si="90"/>
        <v>0</v>
      </c>
      <c r="O788" s="228">
        <f t="shared" si="91"/>
        <v>0</v>
      </c>
      <c r="P788" s="228">
        <f t="shared" si="91"/>
        <v>0</v>
      </c>
      <c r="Q788" s="228">
        <f t="shared" si="87"/>
        <v>0</v>
      </c>
      <c r="R788" s="343">
        <f t="shared" si="88"/>
        <v>-780</v>
      </c>
      <c r="S788" s="240"/>
      <c r="T788" s="201"/>
      <c r="U788" s="201"/>
      <c r="V788" s="201"/>
    </row>
    <row r="789" spans="1:22" ht="15.75" x14ac:dyDescent="0.25">
      <c r="A789" s="234" t="s">
        <v>1170</v>
      </c>
      <c r="B789" s="235" t="s">
        <v>1171</v>
      </c>
      <c r="C789" s="234" t="s">
        <v>6</v>
      </c>
      <c r="D789" s="312">
        <v>25</v>
      </c>
      <c r="E789" s="312"/>
      <c r="F789" s="248"/>
      <c r="G789" s="312"/>
      <c r="H789" s="312"/>
      <c r="I789" s="312"/>
      <c r="J789" s="248">
        <f t="shared" si="84"/>
        <v>0</v>
      </c>
      <c r="K789" s="330">
        <f t="shared" si="85"/>
        <v>-25</v>
      </c>
      <c r="L789" s="313"/>
      <c r="M789" s="228">
        <f t="shared" si="86"/>
        <v>0</v>
      </c>
      <c r="N789" s="228">
        <f t="shared" si="90"/>
        <v>0</v>
      </c>
      <c r="O789" s="228">
        <f t="shared" si="91"/>
        <v>0</v>
      </c>
      <c r="P789" s="228">
        <f t="shared" si="91"/>
        <v>0</v>
      </c>
      <c r="Q789" s="228">
        <f t="shared" si="87"/>
        <v>0</v>
      </c>
      <c r="R789" s="343">
        <f t="shared" si="88"/>
        <v>-25</v>
      </c>
      <c r="S789" s="240"/>
      <c r="T789" s="201"/>
      <c r="U789" s="201"/>
      <c r="V789" s="201"/>
    </row>
    <row r="790" spans="1:22" ht="15.75" x14ac:dyDescent="0.25">
      <c r="A790" s="234" t="s">
        <v>1172</v>
      </c>
      <c r="B790" s="235" t="s">
        <v>1173</v>
      </c>
      <c r="C790" s="234" t="s">
        <v>6</v>
      </c>
      <c r="D790" s="312">
        <v>20</v>
      </c>
      <c r="E790" s="312"/>
      <c r="F790" s="248"/>
      <c r="G790" s="312"/>
      <c r="H790" s="312"/>
      <c r="I790" s="312"/>
      <c r="J790" s="248">
        <f t="shared" si="84"/>
        <v>0</v>
      </c>
      <c r="K790" s="330">
        <f t="shared" si="85"/>
        <v>-20</v>
      </c>
      <c r="L790" s="313"/>
      <c r="M790" s="228">
        <f t="shared" si="86"/>
        <v>0</v>
      </c>
      <c r="N790" s="228">
        <f t="shared" si="90"/>
        <v>0</v>
      </c>
      <c r="O790" s="228">
        <f t="shared" si="91"/>
        <v>0</v>
      </c>
      <c r="P790" s="228">
        <f t="shared" si="91"/>
        <v>0</v>
      </c>
      <c r="Q790" s="228">
        <f t="shared" si="87"/>
        <v>0</v>
      </c>
      <c r="R790" s="343">
        <f t="shared" si="88"/>
        <v>-20</v>
      </c>
      <c r="S790" s="240"/>
      <c r="T790" s="201"/>
      <c r="U790" s="201"/>
      <c r="V790" s="201"/>
    </row>
    <row r="791" spans="1:22" ht="15.75" x14ac:dyDescent="0.25">
      <c r="A791" s="234" t="s">
        <v>1174</v>
      </c>
      <c r="B791" s="235" t="s">
        <v>1175</v>
      </c>
      <c r="C791" s="234" t="s">
        <v>6</v>
      </c>
      <c r="D791" s="312">
        <v>20</v>
      </c>
      <c r="E791" s="312"/>
      <c r="F791" s="248"/>
      <c r="G791" s="312"/>
      <c r="H791" s="312"/>
      <c r="I791" s="312"/>
      <c r="J791" s="248">
        <f t="shared" si="84"/>
        <v>0</v>
      </c>
      <c r="K791" s="330">
        <f t="shared" si="85"/>
        <v>-20</v>
      </c>
      <c r="L791" s="313"/>
      <c r="M791" s="228">
        <f t="shared" si="86"/>
        <v>0</v>
      </c>
      <c r="N791" s="228">
        <f t="shared" si="90"/>
        <v>0</v>
      </c>
      <c r="O791" s="228">
        <f t="shared" si="91"/>
        <v>0</v>
      </c>
      <c r="P791" s="228">
        <f t="shared" si="91"/>
        <v>0</v>
      </c>
      <c r="Q791" s="228">
        <f t="shared" si="87"/>
        <v>0</v>
      </c>
      <c r="R791" s="343">
        <f t="shared" si="88"/>
        <v>-20</v>
      </c>
      <c r="S791" s="240"/>
      <c r="T791" s="201"/>
      <c r="U791" s="201"/>
      <c r="V791" s="201"/>
    </row>
    <row r="792" spans="1:22" ht="30.75" customHeight="1" x14ac:dyDescent="0.25">
      <c r="A792" s="230" t="s">
        <v>1176</v>
      </c>
      <c r="B792" s="231" t="s">
        <v>1177</v>
      </c>
      <c r="C792" s="230"/>
      <c r="D792" s="316"/>
      <c r="E792" s="316"/>
      <c r="F792" s="317"/>
      <c r="G792" s="316"/>
      <c r="H792" s="316"/>
      <c r="I792" s="316"/>
      <c r="J792" s="248">
        <f t="shared" si="84"/>
        <v>0</v>
      </c>
      <c r="K792" s="330">
        <f t="shared" si="85"/>
        <v>0</v>
      </c>
      <c r="L792" s="318"/>
      <c r="M792" s="228">
        <f t="shared" si="86"/>
        <v>0</v>
      </c>
      <c r="N792" s="228">
        <f t="shared" si="90"/>
        <v>0</v>
      </c>
      <c r="O792" s="228">
        <f t="shared" si="91"/>
        <v>0</v>
      </c>
      <c r="P792" s="228">
        <f t="shared" si="91"/>
        <v>0</v>
      </c>
      <c r="Q792" s="228">
        <f t="shared" si="87"/>
        <v>0</v>
      </c>
      <c r="R792" s="343">
        <f t="shared" si="88"/>
        <v>0</v>
      </c>
      <c r="S792" s="240"/>
      <c r="T792" s="201"/>
      <c r="U792" s="201"/>
      <c r="V792" s="201"/>
    </row>
    <row r="793" spans="1:22" ht="20.100000000000001" customHeight="1" x14ac:dyDescent="0.25">
      <c r="A793" s="234" t="s">
        <v>1178</v>
      </c>
      <c r="B793" s="235" t="s">
        <v>1179</v>
      </c>
      <c r="C793" s="234" t="s">
        <v>6</v>
      </c>
      <c r="D793" s="312">
        <v>2880</v>
      </c>
      <c r="E793" s="312"/>
      <c r="F793" s="248">
        <f>D793*$U$770</f>
        <v>2015.9999999999998</v>
      </c>
      <c r="G793" s="312"/>
      <c r="H793" s="312"/>
      <c r="I793" s="312"/>
      <c r="J793" s="248">
        <f t="shared" si="84"/>
        <v>2015.9999999999998</v>
      </c>
      <c r="K793" s="330">
        <f t="shared" si="85"/>
        <v>-864.00000000000023</v>
      </c>
      <c r="L793" s="313"/>
      <c r="M793" s="228">
        <f t="shared" si="86"/>
        <v>2015.9999999999998</v>
      </c>
      <c r="N793" s="228">
        <f t="shared" si="90"/>
        <v>0</v>
      </c>
      <c r="O793" s="228">
        <f t="shared" si="91"/>
        <v>0</v>
      </c>
      <c r="P793" s="228">
        <f t="shared" si="91"/>
        <v>0</v>
      </c>
      <c r="Q793" s="228">
        <f t="shared" si="87"/>
        <v>2015.9999999999998</v>
      </c>
      <c r="R793" s="343">
        <f t="shared" si="88"/>
        <v>-864.00000000000023</v>
      </c>
      <c r="S793" s="240"/>
      <c r="T793" s="201"/>
      <c r="U793" s="201"/>
      <c r="V793" s="201"/>
    </row>
    <row r="794" spans="1:22" ht="20.100000000000001" customHeight="1" x14ac:dyDescent="0.25">
      <c r="A794" s="234" t="s">
        <v>1180</v>
      </c>
      <c r="B794" s="235" t="s">
        <v>1181</v>
      </c>
      <c r="C794" s="234" t="s">
        <v>6</v>
      </c>
      <c r="D794" s="312">
        <v>15</v>
      </c>
      <c r="E794" s="312"/>
      <c r="F794" s="248">
        <f>D794*$U$770</f>
        <v>10.5</v>
      </c>
      <c r="G794" s="312"/>
      <c r="H794" s="312"/>
      <c r="I794" s="312"/>
      <c r="J794" s="248">
        <f t="shared" si="84"/>
        <v>10.5</v>
      </c>
      <c r="K794" s="330">
        <f t="shared" si="85"/>
        <v>-4.5</v>
      </c>
      <c r="L794" s="313"/>
      <c r="M794" s="228">
        <f t="shared" si="86"/>
        <v>10.5</v>
      </c>
      <c r="N794" s="228">
        <f t="shared" si="90"/>
        <v>0</v>
      </c>
      <c r="O794" s="228">
        <f t="shared" si="91"/>
        <v>0</v>
      </c>
      <c r="P794" s="228">
        <f t="shared" si="91"/>
        <v>0</v>
      </c>
      <c r="Q794" s="228">
        <f t="shared" si="87"/>
        <v>10.5</v>
      </c>
      <c r="R794" s="343">
        <f t="shared" si="88"/>
        <v>-4.5</v>
      </c>
      <c r="S794" s="240"/>
      <c r="T794" s="201"/>
      <c r="U794" s="201"/>
      <c r="V794" s="201"/>
    </row>
    <row r="795" spans="1:22" ht="33" customHeight="1" x14ac:dyDescent="0.25">
      <c r="A795" s="230" t="s">
        <v>1182</v>
      </c>
      <c r="B795" s="231" t="s">
        <v>1183</v>
      </c>
      <c r="C795" s="230"/>
      <c r="D795" s="316"/>
      <c r="E795" s="316"/>
      <c r="F795" s="317"/>
      <c r="G795" s="316"/>
      <c r="H795" s="316"/>
      <c r="I795" s="316"/>
      <c r="J795" s="248">
        <f t="shared" si="84"/>
        <v>0</v>
      </c>
      <c r="K795" s="330">
        <f t="shared" si="85"/>
        <v>0</v>
      </c>
      <c r="L795" s="318"/>
      <c r="M795" s="228">
        <f t="shared" si="86"/>
        <v>0</v>
      </c>
      <c r="N795" s="228">
        <f t="shared" si="90"/>
        <v>0</v>
      </c>
      <c r="O795" s="228">
        <f t="shared" si="91"/>
        <v>0</v>
      </c>
      <c r="P795" s="228">
        <f t="shared" si="91"/>
        <v>0</v>
      </c>
      <c r="Q795" s="228">
        <f t="shared" si="87"/>
        <v>0</v>
      </c>
      <c r="R795" s="343">
        <f t="shared" si="88"/>
        <v>0</v>
      </c>
      <c r="S795" s="240"/>
      <c r="T795" s="201"/>
      <c r="U795" s="201"/>
      <c r="V795" s="201"/>
    </row>
    <row r="796" spans="1:22" ht="20.100000000000001" customHeight="1" x14ac:dyDescent="0.25">
      <c r="A796" s="234" t="s">
        <v>1184</v>
      </c>
      <c r="B796" s="235" t="s">
        <v>1137</v>
      </c>
      <c r="C796" s="234" t="s">
        <v>6</v>
      </c>
      <c r="D796" s="312">
        <v>65</v>
      </c>
      <c r="E796" s="312"/>
      <c r="F796" s="248">
        <f>D796*$U$770</f>
        <v>45.5</v>
      </c>
      <c r="G796" s="312"/>
      <c r="H796" s="312"/>
      <c r="I796" s="312"/>
      <c r="J796" s="248">
        <f t="shared" si="84"/>
        <v>45.5</v>
      </c>
      <c r="K796" s="330">
        <f t="shared" si="85"/>
        <v>-19.5</v>
      </c>
      <c r="L796" s="313"/>
      <c r="M796" s="228">
        <f t="shared" si="86"/>
        <v>45.5</v>
      </c>
      <c r="N796" s="228">
        <f t="shared" si="90"/>
        <v>0</v>
      </c>
      <c r="O796" s="228">
        <f t="shared" si="91"/>
        <v>0</v>
      </c>
      <c r="P796" s="228">
        <f t="shared" si="91"/>
        <v>0</v>
      </c>
      <c r="Q796" s="228">
        <f t="shared" si="87"/>
        <v>45.5</v>
      </c>
      <c r="R796" s="343">
        <f t="shared" si="88"/>
        <v>-19.5</v>
      </c>
      <c r="S796" s="240"/>
      <c r="T796" s="201"/>
      <c r="U796" s="201"/>
      <c r="V796" s="201"/>
    </row>
    <row r="797" spans="1:22" ht="20.100000000000001" customHeight="1" x14ac:dyDescent="0.25">
      <c r="A797" s="234" t="s">
        <v>1185</v>
      </c>
      <c r="B797" s="235" t="s">
        <v>1186</v>
      </c>
      <c r="C797" s="234" t="s">
        <v>6</v>
      </c>
      <c r="D797" s="312">
        <v>10</v>
      </c>
      <c r="E797" s="312"/>
      <c r="F797" s="248">
        <f>D797*$U$770</f>
        <v>7</v>
      </c>
      <c r="G797" s="312"/>
      <c r="H797" s="312"/>
      <c r="I797" s="312"/>
      <c r="J797" s="248">
        <f t="shared" si="84"/>
        <v>7</v>
      </c>
      <c r="K797" s="330">
        <f t="shared" si="85"/>
        <v>-3</v>
      </c>
      <c r="L797" s="313"/>
      <c r="M797" s="228">
        <f t="shared" si="86"/>
        <v>7</v>
      </c>
      <c r="N797" s="228">
        <f t="shared" si="90"/>
        <v>0</v>
      </c>
      <c r="O797" s="228">
        <f t="shared" si="91"/>
        <v>0</v>
      </c>
      <c r="P797" s="228">
        <f t="shared" si="91"/>
        <v>0</v>
      </c>
      <c r="Q797" s="228">
        <f t="shared" si="87"/>
        <v>7</v>
      </c>
      <c r="R797" s="343">
        <f t="shared" si="88"/>
        <v>-3</v>
      </c>
      <c r="S797" s="240"/>
      <c r="T797" s="201"/>
      <c r="U797" s="201"/>
      <c r="V797" s="201"/>
    </row>
    <row r="798" spans="1:22" ht="20.100000000000001" customHeight="1" x14ac:dyDescent="0.25">
      <c r="A798" s="230" t="s">
        <v>1187</v>
      </c>
      <c r="B798" s="231" t="s">
        <v>1188</v>
      </c>
      <c r="C798" s="230"/>
      <c r="D798" s="316"/>
      <c r="E798" s="316"/>
      <c r="F798" s="317"/>
      <c r="G798" s="316"/>
      <c r="H798" s="316"/>
      <c r="I798" s="316"/>
      <c r="J798" s="248">
        <f t="shared" si="84"/>
        <v>0</v>
      </c>
      <c r="K798" s="330">
        <f t="shared" si="85"/>
        <v>0</v>
      </c>
      <c r="L798" s="318"/>
      <c r="M798" s="228">
        <f t="shared" si="86"/>
        <v>0</v>
      </c>
      <c r="N798" s="228">
        <f t="shared" si="90"/>
        <v>0</v>
      </c>
      <c r="O798" s="228">
        <f t="shared" si="91"/>
        <v>0</v>
      </c>
      <c r="P798" s="228">
        <f t="shared" si="91"/>
        <v>0</v>
      </c>
      <c r="Q798" s="228">
        <f t="shared" si="87"/>
        <v>0</v>
      </c>
      <c r="R798" s="343">
        <f t="shared" si="88"/>
        <v>0</v>
      </c>
      <c r="S798" s="240"/>
      <c r="T798" s="201"/>
      <c r="U798" s="201"/>
      <c r="V798" s="201"/>
    </row>
    <row r="799" spans="1:22" ht="20.100000000000001" customHeight="1" x14ac:dyDescent="0.25">
      <c r="A799" s="234" t="s">
        <v>1189</v>
      </c>
      <c r="B799" s="235" t="s">
        <v>1190</v>
      </c>
      <c r="C799" s="234" t="s">
        <v>6</v>
      </c>
      <c r="D799" s="312">
        <v>260</v>
      </c>
      <c r="E799" s="312"/>
      <c r="F799" s="248">
        <f>D799*$U$770</f>
        <v>182</v>
      </c>
      <c r="G799" s="312"/>
      <c r="H799" s="312"/>
      <c r="I799" s="312"/>
      <c r="J799" s="248">
        <f t="shared" si="84"/>
        <v>182</v>
      </c>
      <c r="K799" s="330">
        <f t="shared" si="85"/>
        <v>-78</v>
      </c>
      <c r="L799" s="313"/>
      <c r="M799" s="228">
        <f t="shared" si="86"/>
        <v>182</v>
      </c>
      <c r="N799" s="228">
        <f t="shared" si="90"/>
        <v>0</v>
      </c>
      <c r="O799" s="228">
        <f t="shared" si="91"/>
        <v>0</v>
      </c>
      <c r="P799" s="228">
        <f t="shared" si="91"/>
        <v>0</v>
      </c>
      <c r="Q799" s="228">
        <f t="shared" si="87"/>
        <v>182</v>
      </c>
      <c r="R799" s="343">
        <f t="shared" si="88"/>
        <v>-78</v>
      </c>
      <c r="S799" s="240"/>
      <c r="T799" s="201"/>
      <c r="U799" s="201"/>
      <c r="V799" s="201"/>
    </row>
    <row r="800" spans="1:22" ht="20.100000000000001" customHeight="1" x14ac:dyDescent="0.25">
      <c r="A800" s="234" t="s">
        <v>1191</v>
      </c>
      <c r="B800" s="235" t="s">
        <v>1192</v>
      </c>
      <c r="C800" s="234" t="s">
        <v>6</v>
      </c>
      <c r="D800" s="312">
        <v>10</v>
      </c>
      <c r="E800" s="312"/>
      <c r="F800" s="248">
        <f>D800*$U$770</f>
        <v>7</v>
      </c>
      <c r="G800" s="312"/>
      <c r="H800" s="312"/>
      <c r="I800" s="312"/>
      <c r="J800" s="248">
        <f t="shared" si="84"/>
        <v>7</v>
      </c>
      <c r="K800" s="330">
        <f t="shared" si="85"/>
        <v>-3</v>
      </c>
      <c r="L800" s="313"/>
      <c r="M800" s="228">
        <f t="shared" si="86"/>
        <v>7</v>
      </c>
      <c r="N800" s="228">
        <f t="shared" si="90"/>
        <v>0</v>
      </c>
      <c r="O800" s="228">
        <f t="shared" si="91"/>
        <v>0</v>
      </c>
      <c r="P800" s="228">
        <f t="shared" si="91"/>
        <v>0</v>
      </c>
      <c r="Q800" s="228">
        <f t="shared" si="87"/>
        <v>7</v>
      </c>
      <c r="R800" s="343">
        <f t="shared" si="88"/>
        <v>-3</v>
      </c>
      <c r="S800" s="240"/>
      <c r="T800" s="201"/>
      <c r="U800" s="201"/>
      <c r="V800" s="201"/>
    </row>
    <row r="801" spans="1:22" ht="28.5" customHeight="1" x14ac:dyDescent="0.25">
      <c r="A801" s="230" t="s">
        <v>1193</v>
      </c>
      <c r="B801" s="231" t="s">
        <v>1194</v>
      </c>
      <c r="C801" s="230"/>
      <c r="D801" s="316"/>
      <c r="E801" s="316"/>
      <c r="F801" s="317"/>
      <c r="G801" s="316"/>
      <c r="H801" s="316"/>
      <c r="I801" s="316"/>
      <c r="J801" s="248">
        <f t="shared" si="84"/>
        <v>0</v>
      </c>
      <c r="K801" s="330">
        <f t="shared" si="85"/>
        <v>0</v>
      </c>
      <c r="L801" s="318"/>
      <c r="M801" s="228">
        <f t="shared" si="86"/>
        <v>0</v>
      </c>
      <c r="N801" s="228">
        <f t="shared" si="90"/>
        <v>0</v>
      </c>
      <c r="O801" s="228">
        <f t="shared" si="91"/>
        <v>0</v>
      </c>
      <c r="P801" s="228">
        <f t="shared" si="91"/>
        <v>0</v>
      </c>
      <c r="Q801" s="228">
        <f t="shared" si="87"/>
        <v>0</v>
      </c>
      <c r="R801" s="343">
        <f t="shared" si="88"/>
        <v>0</v>
      </c>
      <c r="S801" s="240"/>
      <c r="T801" s="201"/>
      <c r="U801" s="201"/>
      <c r="V801" s="201"/>
    </row>
    <row r="802" spans="1:22" s="49" customFormat="1" ht="20.100000000000001" customHeight="1" x14ac:dyDescent="0.25">
      <c r="A802" s="241" t="s">
        <v>1195</v>
      </c>
      <c r="B802" s="242" t="s">
        <v>1196</v>
      </c>
      <c r="C802" s="241" t="s">
        <v>6</v>
      </c>
      <c r="D802" s="319">
        <v>30</v>
      </c>
      <c r="E802" s="319"/>
      <c r="F802" s="248">
        <f>D802*$U$770</f>
        <v>21</v>
      </c>
      <c r="G802" s="312"/>
      <c r="H802" s="312"/>
      <c r="I802" s="312"/>
      <c r="J802" s="248">
        <f t="shared" si="84"/>
        <v>21</v>
      </c>
      <c r="K802" s="330">
        <f t="shared" si="85"/>
        <v>-9</v>
      </c>
      <c r="L802" s="320"/>
      <c r="M802" s="228">
        <f t="shared" si="86"/>
        <v>21</v>
      </c>
      <c r="N802" s="228">
        <f t="shared" si="90"/>
        <v>0</v>
      </c>
      <c r="O802" s="228">
        <f t="shared" si="91"/>
        <v>0</v>
      </c>
      <c r="P802" s="228">
        <f t="shared" si="91"/>
        <v>0</v>
      </c>
      <c r="Q802" s="228">
        <f t="shared" si="87"/>
        <v>21</v>
      </c>
      <c r="R802" s="343">
        <f t="shared" si="88"/>
        <v>-9</v>
      </c>
      <c r="S802" s="243"/>
      <c r="T802" s="207"/>
      <c r="U802" s="207"/>
      <c r="V802" s="207" t="s">
        <v>3461</v>
      </c>
    </row>
    <row r="803" spans="1:22" s="49" customFormat="1" ht="20.100000000000001" customHeight="1" x14ac:dyDescent="0.25">
      <c r="A803" s="241" t="s">
        <v>1197</v>
      </c>
      <c r="B803" s="242" t="s">
        <v>1198</v>
      </c>
      <c r="C803" s="241" t="s">
        <v>6</v>
      </c>
      <c r="D803" s="319">
        <v>10</v>
      </c>
      <c r="E803" s="319"/>
      <c r="F803" s="248">
        <f>D803*$U$770</f>
        <v>7</v>
      </c>
      <c r="G803" s="312"/>
      <c r="H803" s="312"/>
      <c r="I803" s="312"/>
      <c r="J803" s="248">
        <f t="shared" si="84"/>
        <v>7</v>
      </c>
      <c r="K803" s="330">
        <f t="shared" si="85"/>
        <v>-3</v>
      </c>
      <c r="L803" s="320"/>
      <c r="M803" s="228">
        <f t="shared" si="86"/>
        <v>7</v>
      </c>
      <c r="N803" s="228">
        <f t="shared" si="90"/>
        <v>0</v>
      </c>
      <c r="O803" s="228">
        <f t="shared" si="91"/>
        <v>0</v>
      </c>
      <c r="P803" s="228">
        <f t="shared" si="91"/>
        <v>0</v>
      </c>
      <c r="Q803" s="228">
        <f t="shared" si="87"/>
        <v>7</v>
      </c>
      <c r="R803" s="343">
        <f t="shared" si="88"/>
        <v>-3</v>
      </c>
      <c r="S803" s="243"/>
      <c r="T803" s="207"/>
      <c r="U803" s="207"/>
      <c r="V803" s="207" t="s">
        <v>3461</v>
      </c>
    </row>
    <row r="804" spans="1:22" ht="27" customHeight="1" x14ac:dyDescent="0.25">
      <c r="A804" s="230" t="s">
        <v>1199</v>
      </c>
      <c r="B804" s="231" t="s">
        <v>1200</v>
      </c>
      <c r="C804" s="230"/>
      <c r="D804" s="316"/>
      <c r="E804" s="316"/>
      <c r="F804" s="248"/>
      <c r="G804" s="312"/>
      <c r="H804" s="312"/>
      <c r="I804" s="312"/>
      <c r="J804" s="248">
        <f t="shared" si="84"/>
        <v>0</v>
      </c>
      <c r="K804" s="330">
        <f t="shared" si="85"/>
        <v>0</v>
      </c>
      <c r="L804" s="318"/>
      <c r="M804" s="228">
        <f t="shared" si="86"/>
        <v>0</v>
      </c>
      <c r="N804" s="228">
        <f t="shared" si="90"/>
        <v>0</v>
      </c>
      <c r="O804" s="228">
        <f t="shared" si="91"/>
        <v>0</v>
      </c>
      <c r="P804" s="228">
        <f t="shared" si="91"/>
        <v>0</v>
      </c>
      <c r="Q804" s="228">
        <f t="shared" si="87"/>
        <v>0</v>
      </c>
      <c r="R804" s="343">
        <f t="shared" si="88"/>
        <v>0</v>
      </c>
      <c r="S804" s="240"/>
      <c r="T804" s="201"/>
      <c r="U804" s="201"/>
      <c r="V804" s="201"/>
    </row>
    <row r="805" spans="1:22" ht="20.100000000000001" customHeight="1" x14ac:dyDescent="0.25">
      <c r="A805" s="234" t="s">
        <v>1201</v>
      </c>
      <c r="B805" s="235" t="s">
        <v>1135</v>
      </c>
      <c r="C805" s="234" t="s">
        <v>6</v>
      </c>
      <c r="D805" s="312">
        <v>35</v>
      </c>
      <c r="E805" s="312"/>
      <c r="F805" s="248">
        <f>D805*$U$770</f>
        <v>24.5</v>
      </c>
      <c r="G805" s="312"/>
      <c r="H805" s="312"/>
      <c r="I805" s="312"/>
      <c r="J805" s="248">
        <f t="shared" si="84"/>
        <v>24.5</v>
      </c>
      <c r="K805" s="330">
        <f t="shared" si="85"/>
        <v>-10.5</v>
      </c>
      <c r="L805" s="313"/>
      <c r="M805" s="228">
        <f t="shared" si="86"/>
        <v>24.5</v>
      </c>
      <c r="N805" s="228">
        <f t="shared" si="90"/>
        <v>0</v>
      </c>
      <c r="O805" s="228">
        <f t="shared" si="91"/>
        <v>0</v>
      </c>
      <c r="P805" s="228">
        <f t="shared" si="91"/>
        <v>0</v>
      </c>
      <c r="Q805" s="228">
        <f t="shared" si="87"/>
        <v>24.5</v>
      </c>
      <c r="R805" s="343">
        <f t="shared" si="88"/>
        <v>-10.5</v>
      </c>
      <c r="S805" s="240"/>
      <c r="T805" s="201"/>
      <c r="U805" s="201"/>
      <c r="V805" s="201"/>
    </row>
    <row r="806" spans="1:22" ht="20.100000000000001" customHeight="1" x14ac:dyDescent="0.25">
      <c r="A806" s="234" t="s">
        <v>1202</v>
      </c>
      <c r="B806" s="235" t="s">
        <v>1203</v>
      </c>
      <c r="C806" s="234" t="s">
        <v>6</v>
      </c>
      <c r="D806" s="312">
        <v>10</v>
      </c>
      <c r="E806" s="312"/>
      <c r="F806" s="248">
        <f>D806*$U$770</f>
        <v>7</v>
      </c>
      <c r="G806" s="312"/>
      <c r="H806" s="312"/>
      <c r="I806" s="312"/>
      <c r="J806" s="248">
        <f t="shared" si="84"/>
        <v>7</v>
      </c>
      <c r="K806" s="330">
        <f t="shared" si="85"/>
        <v>-3</v>
      </c>
      <c r="L806" s="313"/>
      <c r="M806" s="228">
        <f t="shared" si="86"/>
        <v>7</v>
      </c>
      <c r="N806" s="228">
        <f t="shared" si="90"/>
        <v>0</v>
      </c>
      <c r="O806" s="228">
        <f t="shared" si="91"/>
        <v>0</v>
      </c>
      <c r="P806" s="228">
        <f t="shared" si="91"/>
        <v>0</v>
      </c>
      <c r="Q806" s="228">
        <f t="shared" si="87"/>
        <v>7</v>
      </c>
      <c r="R806" s="343">
        <f t="shared" si="88"/>
        <v>-3</v>
      </c>
      <c r="S806" s="240"/>
      <c r="T806" s="201"/>
      <c r="U806" s="201"/>
      <c r="V806" s="201"/>
    </row>
    <row r="807" spans="1:22" ht="27" customHeight="1" x14ac:dyDescent="0.25">
      <c r="A807" s="230" t="s">
        <v>1204</v>
      </c>
      <c r="B807" s="231" t="s">
        <v>1205</v>
      </c>
      <c r="C807" s="230"/>
      <c r="D807" s="316"/>
      <c r="E807" s="316"/>
      <c r="F807" s="317"/>
      <c r="G807" s="316"/>
      <c r="H807" s="316"/>
      <c r="I807" s="316"/>
      <c r="J807" s="248">
        <f t="shared" si="84"/>
        <v>0</v>
      </c>
      <c r="K807" s="330">
        <f t="shared" si="85"/>
        <v>0</v>
      </c>
      <c r="L807" s="318"/>
      <c r="M807" s="228">
        <f t="shared" si="86"/>
        <v>0</v>
      </c>
      <c r="N807" s="228">
        <f t="shared" si="90"/>
        <v>0</v>
      </c>
      <c r="O807" s="228">
        <f t="shared" si="91"/>
        <v>0</v>
      </c>
      <c r="P807" s="228">
        <f t="shared" si="91"/>
        <v>0</v>
      </c>
      <c r="Q807" s="228">
        <f t="shared" si="87"/>
        <v>0</v>
      </c>
      <c r="R807" s="343">
        <f t="shared" si="88"/>
        <v>0</v>
      </c>
      <c r="S807" s="240"/>
      <c r="T807" s="201"/>
      <c r="U807" s="201"/>
      <c r="V807" s="201"/>
    </row>
    <row r="808" spans="1:22" ht="20.100000000000001" customHeight="1" x14ac:dyDescent="0.25">
      <c r="A808" s="234" t="s">
        <v>1206</v>
      </c>
      <c r="B808" s="235" t="s">
        <v>1135</v>
      </c>
      <c r="C808" s="234" t="s">
        <v>6</v>
      </c>
      <c r="D808" s="312">
        <v>40</v>
      </c>
      <c r="E808" s="312"/>
      <c r="F808" s="248">
        <f>D808*$U$770</f>
        <v>28</v>
      </c>
      <c r="G808" s="312"/>
      <c r="H808" s="312"/>
      <c r="I808" s="312"/>
      <c r="J808" s="248">
        <f t="shared" si="84"/>
        <v>28</v>
      </c>
      <c r="K808" s="330">
        <f t="shared" si="85"/>
        <v>-12</v>
      </c>
      <c r="L808" s="313"/>
      <c r="M808" s="228">
        <f t="shared" si="86"/>
        <v>28</v>
      </c>
      <c r="N808" s="228">
        <f t="shared" si="90"/>
        <v>0</v>
      </c>
      <c r="O808" s="228">
        <f t="shared" si="91"/>
        <v>0</v>
      </c>
      <c r="P808" s="228">
        <f t="shared" si="91"/>
        <v>0</v>
      </c>
      <c r="Q808" s="228">
        <f t="shared" si="87"/>
        <v>28</v>
      </c>
      <c r="R808" s="343">
        <f t="shared" si="88"/>
        <v>-12</v>
      </c>
      <c r="S808" s="240"/>
      <c r="T808" s="201"/>
      <c r="U808" s="201"/>
      <c r="V808" s="201"/>
    </row>
    <row r="809" spans="1:22" ht="20.100000000000001" customHeight="1" x14ac:dyDescent="0.25">
      <c r="A809" s="234" t="s">
        <v>1207</v>
      </c>
      <c r="B809" s="235" t="s">
        <v>1203</v>
      </c>
      <c r="C809" s="234" t="s">
        <v>6</v>
      </c>
      <c r="D809" s="312">
        <v>10</v>
      </c>
      <c r="E809" s="312"/>
      <c r="F809" s="248">
        <f>D809*$U$770</f>
        <v>7</v>
      </c>
      <c r="G809" s="312"/>
      <c r="H809" s="312"/>
      <c r="I809" s="312"/>
      <c r="J809" s="248">
        <f t="shared" si="84"/>
        <v>7</v>
      </c>
      <c r="K809" s="330">
        <f t="shared" si="85"/>
        <v>-3</v>
      </c>
      <c r="L809" s="313"/>
      <c r="M809" s="228">
        <f t="shared" si="86"/>
        <v>7</v>
      </c>
      <c r="N809" s="228">
        <f t="shared" si="90"/>
        <v>0</v>
      </c>
      <c r="O809" s="228">
        <f t="shared" si="91"/>
        <v>0</v>
      </c>
      <c r="P809" s="228">
        <f t="shared" si="91"/>
        <v>0</v>
      </c>
      <c r="Q809" s="228">
        <f t="shared" si="87"/>
        <v>7</v>
      </c>
      <c r="R809" s="343">
        <f t="shared" si="88"/>
        <v>-3</v>
      </c>
      <c r="S809" s="240"/>
      <c r="T809" s="201"/>
      <c r="U809" s="201"/>
      <c r="V809" s="201"/>
    </row>
    <row r="810" spans="1:22" ht="33" customHeight="1" x14ac:dyDescent="0.25">
      <c r="A810" s="230" t="s">
        <v>1208</v>
      </c>
      <c r="B810" s="231" t="s">
        <v>1209</v>
      </c>
      <c r="C810" s="230"/>
      <c r="D810" s="316"/>
      <c r="E810" s="316"/>
      <c r="F810" s="317"/>
      <c r="G810" s="316"/>
      <c r="H810" s="316"/>
      <c r="I810" s="316"/>
      <c r="J810" s="248">
        <f t="shared" si="84"/>
        <v>0</v>
      </c>
      <c r="K810" s="330">
        <f t="shared" si="85"/>
        <v>0</v>
      </c>
      <c r="L810" s="318"/>
      <c r="M810" s="228">
        <f t="shared" si="86"/>
        <v>0</v>
      </c>
      <c r="N810" s="228">
        <f t="shared" si="90"/>
        <v>0</v>
      </c>
      <c r="O810" s="228">
        <f t="shared" si="91"/>
        <v>0</v>
      </c>
      <c r="P810" s="228">
        <f t="shared" si="91"/>
        <v>0</v>
      </c>
      <c r="Q810" s="228">
        <f t="shared" si="87"/>
        <v>0</v>
      </c>
      <c r="R810" s="343">
        <f t="shared" si="88"/>
        <v>0</v>
      </c>
      <c r="S810" s="240"/>
      <c r="T810" s="201"/>
      <c r="U810" s="201"/>
      <c r="V810" s="201"/>
    </row>
    <row r="811" spans="1:22" ht="20.100000000000001" customHeight="1" x14ac:dyDescent="0.25">
      <c r="A811" s="234" t="s">
        <v>1210</v>
      </c>
      <c r="B811" s="235" t="s">
        <v>1139</v>
      </c>
      <c r="C811" s="234" t="s">
        <v>6</v>
      </c>
      <c r="D811" s="312">
        <v>45</v>
      </c>
      <c r="E811" s="312"/>
      <c r="F811" s="248">
        <f>D811*$U$770</f>
        <v>31.499999999999996</v>
      </c>
      <c r="G811" s="312"/>
      <c r="H811" s="312"/>
      <c r="I811" s="312"/>
      <c r="J811" s="248">
        <f t="shared" si="84"/>
        <v>31.499999999999996</v>
      </c>
      <c r="K811" s="330">
        <f t="shared" si="85"/>
        <v>-13.500000000000004</v>
      </c>
      <c r="L811" s="313"/>
      <c r="M811" s="228">
        <f t="shared" si="86"/>
        <v>31.499999999999996</v>
      </c>
      <c r="N811" s="228">
        <f t="shared" si="90"/>
        <v>0</v>
      </c>
      <c r="O811" s="228">
        <f t="shared" si="91"/>
        <v>0</v>
      </c>
      <c r="P811" s="228">
        <f t="shared" si="91"/>
        <v>0</v>
      </c>
      <c r="Q811" s="228">
        <f t="shared" si="87"/>
        <v>31.499999999999996</v>
      </c>
      <c r="R811" s="343">
        <f t="shared" si="88"/>
        <v>-13.500000000000004</v>
      </c>
      <c r="S811" s="240"/>
      <c r="T811" s="201"/>
      <c r="U811" s="201"/>
      <c r="V811" s="201"/>
    </row>
    <row r="812" spans="1:22" ht="20.100000000000001" customHeight="1" x14ac:dyDescent="0.25">
      <c r="A812" s="234" t="s">
        <v>1211</v>
      </c>
      <c r="B812" s="235" t="s">
        <v>1212</v>
      </c>
      <c r="C812" s="234" t="s">
        <v>6</v>
      </c>
      <c r="D812" s="312">
        <v>10</v>
      </c>
      <c r="E812" s="312"/>
      <c r="F812" s="248">
        <f>D812*$U$770</f>
        <v>7</v>
      </c>
      <c r="G812" s="312"/>
      <c r="H812" s="312"/>
      <c r="I812" s="312"/>
      <c r="J812" s="248">
        <f t="shared" si="84"/>
        <v>7</v>
      </c>
      <c r="K812" s="330">
        <f t="shared" si="85"/>
        <v>-3</v>
      </c>
      <c r="L812" s="313"/>
      <c r="M812" s="228">
        <f t="shared" si="86"/>
        <v>7</v>
      </c>
      <c r="N812" s="228">
        <f t="shared" si="90"/>
        <v>0</v>
      </c>
      <c r="O812" s="228">
        <f t="shared" si="91"/>
        <v>0</v>
      </c>
      <c r="P812" s="228">
        <f t="shared" si="91"/>
        <v>0</v>
      </c>
      <c r="Q812" s="228">
        <f t="shared" si="87"/>
        <v>7</v>
      </c>
      <c r="R812" s="343">
        <f t="shared" si="88"/>
        <v>-3</v>
      </c>
      <c r="S812" s="240"/>
      <c r="T812" s="201"/>
      <c r="U812" s="201"/>
      <c r="V812" s="201"/>
    </row>
    <row r="813" spans="1:22" ht="34.5" customHeight="1" x14ac:dyDescent="0.25">
      <c r="A813" s="230" t="s">
        <v>1213</v>
      </c>
      <c r="B813" s="231" t="s">
        <v>1214</v>
      </c>
      <c r="C813" s="230"/>
      <c r="D813" s="316"/>
      <c r="E813" s="316"/>
      <c r="F813" s="317"/>
      <c r="G813" s="316"/>
      <c r="H813" s="316"/>
      <c r="I813" s="316"/>
      <c r="J813" s="248">
        <f t="shared" si="84"/>
        <v>0</v>
      </c>
      <c r="K813" s="330">
        <f t="shared" si="85"/>
        <v>0</v>
      </c>
      <c r="L813" s="318"/>
      <c r="M813" s="228">
        <f t="shared" si="86"/>
        <v>0</v>
      </c>
      <c r="N813" s="228">
        <f t="shared" si="90"/>
        <v>0</v>
      </c>
      <c r="O813" s="228">
        <f t="shared" si="91"/>
        <v>0</v>
      </c>
      <c r="P813" s="228">
        <f t="shared" si="91"/>
        <v>0</v>
      </c>
      <c r="Q813" s="228">
        <f t="shared" si="87"/>
        <v>0</v>
      </c>
      <c r="R813" s="343">
        <f t="shared" si="88"/>
        <v>0</v>
      </c>
      <c r="S813" s="240"/>
      <c r="T813" s="201"/>
      <c r="U813" s="201"/>
      <c r="V813" s="201"/>
    </row>
    <row r="814" spans="1:22" ht="20.100000000000001" customHeight="1" x14ac:dyDescent="0.25">
      <c r="A814" s="234" t="s">
        <v>1215</v>
      </c>
      <c r="B814" s="235" t="s">
        <v>1139</v>
      </c>
      <c r="C814" s="234" t="s">
        <v>6</v>
      </c>
      <c r="D814" s="312">
        <v>45</v>
      </c>
      <c r="E814" s="312"/>
      <c r="F814" s="248">
        <f>D814*$U$770</f>
        <v>31.499999999999996</v>
      </c>
      <c r="G814" s="312"/>
      <c r="H814" s="312"/>
      <c r="I814" s="312"/>
      <c r="J814" s="248">
        <f t="shared" si="84"/>
        <v>31.499999999999996</v>
      </c>
      <c r="K814" s="330">
        <f t="shared" si="85"/>
        <v>-13.500000000000004</v>
      </c>
      <c r="L814" s="313"/>
      <c r="M814" s="228">
        <f t="shared" si="86"/>
        <v>31.499999999999996</v>
      </c>
      <c r="N814" s="228">
        <f t="shared" si="90"/>
        <v>0</v>
      </c>
      <c r="O814" s="228">
        <f t="shared" si="91"/>
        <v>0</v>
      </c>
      <c r="P814" s="228">
        <f t="shared" si="91"/>
        <v>0</v>
      </c>
      <c r="Q814" s="228">
        <f t="shared" si="87"/>
        <v>31.499999999999996</v>
      </c>
      <c r="R814" s="343">
        <f t="shared" si="88"/>
        <v>-13.500000000000004</v>
      </c>
      <c r="S814" s="240"/>
      <c r="T814" s="201"/>
      <c r="U814" s="201"/>
      <c r="V814" s="201"/>
    </row>
    <row r="815" spans="1:22" ht="20.100000000000001" customHeight="1" x14ac:dyDescent="0.25">
      <c r="A815" s="234" t="s">
        <v>1216</v>
      </c>
      <c r="B815" s="235" t="s">
        <v>1212</v>
      </c>
      <c r="C815" s="234" t="s">
        <v>6</v>
      </c>
      <c r="D815" s="312">
        <v>10</v>
      </c>
      <c r="E815" s="312"/>
      <c r="F815" s="248">
        <f>D815*$U$770</f>
        <v>7</v>
      </c>
      <c r="G815" s="312"/>
      <c r="H815" s="312"/>
      <c r="I815" s="312"/>
      <c r="J815" s="248">
        <f t="shared" si="84"/>
        <v>7</v>
      </c>
      <c r="K815" s="330">
        <f t="shared" si="85"/>
        <v>-3</v>
      </c>
      <c r="L815" s="313"/>
      <c r="M815" s="228">
        <f t="shared" si="86"/>
        <v>7</v>
      </c>
      <c r="N815" s="228">
        <f t="shared" si="90"/>
        <v>0</v>
      </c>
      <c r="O815" s="228">
        <f t="shared" si="91"/>
        <v>0</v>
      </c>
      <c r="P815" s="228">
        <f t="shared" si="91"/>
        <v>0</v>
      </c>
      <c r="Q815" s="228">
        <f t="shared" si="87"/>
        <v>7</v>
      </c>
      <c r="R815" s="343">
        <f t="shared" si="88"/>
        <v>-3</v>
      </c>
      <c r="S815" s="240"/>
      <c r="T815" s="201"/>
      <c r="U815" s="201"/>
      <c r="V815" s="201"/>
    </row>
    <row r="816" spans="1:22" ht="33" customHeight="1" x14ac:dyDescent="0.25">
      <c r="A816" s="230" t="s">
        <v>1217</v>
      </c>
      <c r="B816" s="231" t="s">
        <v>1218</v>
      </c>
      <c r="C816" s="230"/>
      <c r="D816" s="316"/>
      <c r="E816" s="316"/>
      <c r="F816" s="317"/>
      <c r="G816" s="316"/>
      <c r="H816" s="316"/>
      <c r="I816" s="316"/>
      <c r="J816" s="248">
        <f t="shared" si="84"/>
        <v>0</v>
      </c>
      <c r="K816" s="330">
        <f t="shared" si="85"/>
        <v>0</v>
      </c>
      <c r="L816" s="318"/>
      <c r="M816" s="228">
        <f t="shared" si="86"/>
        <v>0</v>
      </c>
      <c r="N816" s="228">
        <f t="shared" si="90"/>
        <v>0</v>
      </c>
      <c r="O816" s="228">
        <f t="shared" si="91"/>
        <v>0</v>
      </c>
      <c r="P816" s="228">
        <f t="shared" si="91"/>
        <v>0</v>
      </c>
      <c r="Q816" s="228">
        <f t="shared" si="87"/>
        <v>0</v>
      </c>
      <c r="R816" s="343">
        <f t="shared" si="88"/>
        <v>0</v>
      </c>
      <c r="S816" s="240"/>
      <c r="T816" s="201"/>
      <c r="U816" s="201"/>
      <c r="V816" s="201"/>
    </row>
    <row r="817" spans="1:22" ht="20.100000000000001" customHeight="1" x14ac:dyDescent="0.25">
      <c r="A817" s="234" t="s">
        <v>1219</v>
      </c>
      <c r="B817" s="235" t="s">
        <v>1220</v>
      </c>
      <c r="C817" s="234" t="s">
        <v>6</v>
      </c>
      <c r="D817" s="312">
        <v>460</v>
      </c>
      <c r="E817" s="312"/>
      <c r="F817" s="248">
        <f>D817*$U$770</f>
        <v>322</v>
      </c>
      <c r="G817" s="312"/>
      <c r="H817" s="312"/>
      <c r="I817" s="312"/>
      <c r="J817" s="248">
        <f t="shared" si="84"/>
        <v>322</v>
      </c>
      <c r="K817" s="330">
        <f t="shared" si="85"/>
        <v>-138</v>
      </c>
      <c r="L817" s="313"/>
      <c r="M817" s="228">
        <f t="shared" si="86"/>
        <v>322</v>
      </c>
      <c r="N817" s="228">
        <f t="shared" si="90"/>
        <v>0</v>
      </c>
      <c r="O817" s="228">
        <f t="shared" si="91"/>
        <v>0</v>
      </c>
      <c r="P817" s="228">
        <f t="shared" si="91"/>
        <v>0</v>
      </c>
      <c r="Q817" s="228">
        <f t="shared" si="87"/>
        <v>322</v>
      </c>
      <c r="R817" s="343">
        <f t="shared" si="88"/>
        <v>-138</v>
      </c>
      <c r="S817" s="240"/>
      <c r="T817" s="201"/>
      <c r="U817" s="201"/>
      <c r="V817" s="201"/>
    </row>
    <row r="818" spans="1:22" ht="20.100000000000001" customHeight="1" x14ac:dyDescent="0.25">
      <c r="A818" s="234" t="s">
        <v>1221</v>
      </c>
      <c r="B818" s="235" t="s">
        <v>1222</v>
      </c>
      <c r="C818" s="234" t="s">
        <v>6</v>
      </c>
      <c r="D818" s="312">
        <v>10</v>
      </c>
      <c r="E818" s="312"/>
      <c r="F818" s="248">
        <f>D818*$U$770</f>
        <v>7</v>
      </c>
      <c r="G818" s="312"/>
      <c r="H818" s="312"/>
      <c r="I818" s="312"/>
      <c r="J818" s="248">
        <f t="shared" si="84"/>
        <v>7</v>
      </c>
      <c r="K818" s="330">
        <f t="shared" si="85"/>
        <v>-3</v>
      </c>
      <c r="L818" s="313"/>
      <c r="M818" s="228">
        <f t="shared" si="86"/>
        <v>7</v>
      </c>
      <c r="N818" s="228">
        <f t="shared" si="90"/>
        <v>0</v>
      </c>
      <c r="O818" s="228">
        <f t="shared" si="91"/>
        <v>0</v>
      </c>
      <c r="P818" s="228">
        <f t="shared" si="91"/>
        <v>0</v>
      </c>
      <c r="Q818" s="228">
        <f t="shared" si="87"/>
        <v>7</v>
      </c>
      <c r="R818" s="343">
        <f t="shared" si="88"/>
        <v>-3</v>
      </c>
      <c r="S818" s="240"/>
      <c r="T818" s="201"/>
      <c r="U818" s="201"/>
      <c r="V818" s="201"/>
    </row>
    <row r="819" spans="1:22" ht="33" customHeight="1" x14ac:dyDescent="0.25">
      <c r="A819" s="230" t="s">
        <v>1223</v>
      </c>
      <c r="B819" s="231" t="s">
        <v>1224</v>
      </c>
      <c r="C819" s="230"/>
      <c r="D819" s="316"/>
      <c r="E819" s="316"/>
      <c r="F819" s="317"/>
      <c r="G819" s="316"/>
      <c r="H819" s="316"/>
      <c r="I819" s="316"/>
      <c r="J819" s="248">
        <f t="shared" si="84"/>
        <v>0</v>
      </c>
      <c r="K819" s="330">
        <f t="shared" si="85"/>
        <v>0</v>
      </c>
      <c r="L819" s="318"/>
      <c r="M819" s="228">
        <f t="shared" si="86"/>
        <v>0</v>
      </c>
      <c r="N819" s="228">
        <f t="shared" si="90"/>
        <v>0</v>
      </c>
      <c r="O819" s="228">
        <f t="shared" si="91"/>
        <v>0</v>
      </c>
      <c r="P819" s="228">
        <f t="shared" si="91"/>
        <v>0</v>
      </c>
      <c r="Q819" s="228">
        <f t="shared" si="87"/>
        <v>0</v>
      </c>
      <c r="R819" s="343">
        <f t="shared" si="88"/>
        <v>0</v>
      </c>
      <c r="S819" s="240"/>
      <c r="T819" s="201"/>
      <c r="U819" s="201"/>
      <c r="V819" s="201"/>
    </row>
    <row r="820" spans="1:22" ht="20.100000000000001" customHeight="1" x14ac:dyDescent="0.25">
      <c r="A820" s="234" t="s">
        <v>1225</v>
      </c>
      <c r="B820" s="235" t="s">
        <v>1220</v>
      </c>
      <c r="C820" s="234" t="s">
        <v>6</v>
      </c>
      <c r="D820" s="312">
        <v>180</v>
      </c>
      <c r="E820" s="312"/>
      <c r="F820" s="248">
        <f>D820*$U$770</f>
        <v>125.99999999999999</v>
      </c>
      <c r="G820" s="312"/>
      <c r="H820" s="312"/>
      <c r="I820" s="312"/>
      <c r="J820" s="248">
        <f t="shared" si="84"/>
        <v>125.99999999999999</v>
      </c>
      <c r="K820" s="330">
        <f t="shared" si="85"/>
        <v>-54.000000000000014</v>
      </c>
      <c r="L820" s="313"/>
      <c r="M820" s="228">
        <f t="shared" si="86"/>
        <v>125.99999999999999</v>
      </c>
      <c r="N820" s="228">
        <f t="shared" si="90"/>
        <v>0</v>
      </c>
      <c r="O820" s="228">
        <f t="shared" si="91"/>
        <v>0</v>
      </c>
      <c r="P820" s="228">
        <f t="shared" si="91"/>
        <v>0</v>
      </c>
      <c r="Q820" s="228">
        <f t="shared" si="87"/>
        <v>125.99999999999999</v>
      </c>
      <c r="R820" s="343">
        <f t="shared" si="88"/>
        <v>-54.000000000000014</v>
      </c>
      <c r="S820" s="240"/>
      <c r="T820" s="201"/>
      <c r="U820" s="201"/>
      <c r="V820" s="201"/>
    </row>
    <row r="821" spans="1:22" ht="20.100000000000001" customHeight="1" x14ac:dyDescent="0.25">
      <c r="A821" s="234" t="s">
        <v>1226</v>
      </c>
      <c r="B821" s="235" t="s">
        <v>1222</v>
      </c>
      <c r="C821" s="234" t="s">
        <v>6</v>
      </c>
      <c r="D821" s="312">
        <v>10</v>
      </c>
      <c r="E821" s="312"/>
      <c r="F821" s="248">
        <f>D821*$U$770</f>
        <v>7</v>
      </c>
      <c r="G821" s="312"/>
      <c r="H821" s="312"/>
      <c r="I821" s="312"/>
      <c r="J821" s="248">
        <f t="shared" si="84"/>
        <v>7</v>
      </c>
      <c r="K821" s="330">
        <f t="shared" si="85"/>
        <v>-3</v>
      </c>
      <c r="L821" s="313"/>
      <c r="M821" s="228">
        <f t="shared" si="86"/>
        <v>7</v>
      </c>
      <c r="N821" s="228">
        <f t="shared" si="90"/>
        <v>0</v>
      </c>
      <c r="O821" s="228">
        <f t="shared" si="91"/>
        <v>0</v>
      </c>
      <c r="P821" s="228">
        <f t="shared" si="91"/>
        <v>0</v>
      </c>
      <c r="Q821" s="228">
        <f t="shared" si="87"/>
        <v>7</v>
      </c>
      <c r="R821" s="343">
        <f t="shared" si="88"/>
        <v>-3</v>
      </c>
      <c r="S821" s="240"/>
      <c r="T821" s="201"/>
      <c r="U821" s="201"/>
      <c r="V821" s="201"/>
    </row>
    <row r="822" spans="1:22" ht="28.5" customHeight="1" x14ac:dyDescent="0.25">
      <c r="A822" s="230" t="s">
        <v>1227</v>
      </c>
      <c r="B822" s="231" t="s">
        <v>1228</v>
      </c>
      <c r="C822" s="230"/>
      <c r="D822" s="316"/>
      <c r="E822" s="316"/>
      <c r="F822" s="317"/>
      <c r="G822" s="316"/>
      <c r="H822" s="316"/>
      <c r="I822" s="316"/>
      <c r="J822" s="248">
        <f t="shared" si="84"/>
        <v>0</v>
      </c>
      <c r="K822" s="330">
        <f t="shared" si="85"/>
        <v>0</v>
      </c>
      <c r="L822" s="318"/>
      <c r="M822" s="228">
        <f t="shared" si="86"/>
        <v>0</v>
      </c>
      <c r="N822" s="228">
        <f t="shared" si="90"/>
        <v>0</v>
      </c>
      <c r="O822" s="228">
        <f t="shared" si="91"/>
        <v>0</v>
      </c>
      <c r="P822" s="228">
        <f t="shared" si="91"/>
        <v>0</v>
      </c>
      <c r="Q822" s="228">
        <f t="shared" si="87"/>
        <v>0</v>
      </c>
      <c r="R822" s="343">
        <f t="shared" si="88"/>
        <v>0</v>
      </c>
      <c r="S822" s="240"/>
      <c r="T822" s="201"/>
      <c r="U822" s="201"/>
      <c r="V822" s="201"/>
    </row>
    <row r="823" spans="1:22" ht="20.100000000000001" customHeight="1" x14ac:dyDescent="0.25">
      <c r="A823" s="234" t="s">
        <v>1229</v>
      </c>
      <c r="B823" s="235" t="s">
        <v>1230</v>
      </c>
      <c r="C823" s="234" t="s">
        <v>6</v>
      </c>
      <c r="D823" s="312">
        <v>30</v>
      </c>
      <c r="E823" s="312"/>
      <c r="F823" s="248">
        <f>D823*$U$770</f>
        <v>21</v>
      </c>
      <c r="G823" s="312"/>
      <c r="H823" s="312"/>
      <c r="I823" s="312"/>
      <c r="J823" s="248">
        <f t="shared" si="84"/>
        <v>21</v>
      </c>
      <c r="K823" s="330">
        <f t="shared" si="85"/>
        <v>-9</v>
      </c>
      <c r="L823" s="313"/>
      <c r="M823" s="228">
        <f t="shared" si="86"/>
        <v>21</v>
      </c>
      <c r="N823" s="228">
        <f t="shared" si="90"/>
        <v>0</v>
      </c>
      <c r="O823" s="228">
        <f t="shared" si="91"/>
        <v>0</v>
      </c>
      <c r="P823" s="228">
        <f t="shared" si="91"/>
        <v>0</v>
      </c>
      <c r="Q823" s="228">
        <f t="shared" si="87"/>
        <v>21</v>
      </c>
      <c r="R823" s="343">
        <f t="shared" si="88"/>
        <v>-9</v>
      </c>
      <c r="S823" s="240"/>
      <c r="T823" s="201"/>
      <c r="U823" s="201"/>
      <c r="V823" s="201"/>
    </row>
    <row r="824" spans="1:22" ht="20.100000000000001" customHeight="1" x14ac:dyDescent="0.25">
      <c r="A824" s="234" t="s">
        <v>1231</v>
      </c>
      <c r="B824" s="235" t="s">
        <v>1232</v>
      </c>
      <c r="C824" s="234" t="s">
        <v>6</v>
      </c>
      <c r="D824" s="312">
        <v>10</v>
      </c>
      <c r="E824" s="312"/>
      <c r="F824" s="248">
        <f>D824*$U$770</f>
        <v>7</v>
      </c>
      <c r="G824" s="312"/>
      <c r="H824" s="312"/>
      <c r="I824" s="312"/>
      <c r="J824" s="248">
        <f t="shared" si="84"/>
        <v>7</v>
      </c>
      <c r="K824" s="330">
        <f t="shared" si="85"/>
        <v>-3</v>
      </c>
      <c r="L824" s="313"/>
      <c r="M824" s="228">
        <f t="shared" si="86"/>
        <v>7</v>
      </c>
      <c r="N824" s="228">
        <f t="shared" si="90"/>
        <v>0</v>
      </c>
      <c r="O824" s="228">
        <f t="shared" si="91"/>
        <v>0</v>
      </c>
      <c r="P824" s="228">
        <f t="shared" si="91"/>
        <v>0</v>
      </c>
      <c r="Q824" s="228">
        <f t="shared" si="87"/>
        <v>7</v>
      </c>
      <c r="R824" s="343">
        <f t="shared" si="88"/>
        <v>-3</v>
      </c>
      <c r="S824" s="240"/>
      <c r="T824" s="201"/>
      <c r="U824" s="201"/>
      <c r="V824" s="201"/>
    </row>
    <row r="825" spans="1:22" ht="20.100000000000001" customHeight="1" x14ac:dyDescent="0.25">
      <c r="A825" s="230" t="s">
        <v>1233</v>
      </c>
      <c r="B825" s="231" t="s">
        <v>1234</v>
      </c>
      <c r="C825" s="230"/>
      <c r="D825" s="316"/>
      <c r="E825" s="316"/>
      <c r="F825" s="317"/>
      <c r="G825" s="316"/>
      <c r="H825" s="316"/>
      <c r="I825" s="316"/>
      <c r="J825" s="248">
        <f t="shared" si="84"/>
        <v>0</v>
      </c>
      <c r="K825" s="330">
        <f t="shared" si="85"/>
        <v>0</v>
      </c>
      <c r="L825" s="318"/>
      <c r="M825" s="228">
        <f t="shared" si="86"/>
        <v>0</v>
      </c>
      <c r="N825" s="228">
        <f t="shared" si="90"/>
        <v>0</v>
      </c>
      <c r="O825" s="228">
        <f t="shared" si="91"/>
        <v>0</v>
      </c>
      <c r="P825" s="228">
        <f t="shared" si="91"/>
        <v>0</v>
      </c>
      <c r="Q825" s="228">
        <f t="shared" si="87"/>
        <v>0</v>
      </c>
      <c r="R825" s="343">
        <f t="shared" si="88"/>
        <v>0</v>
      </c>
      <c r="S825" s="240"/>
      <c r="T825" s="201"/>
      <c r="U825" s="201"/>
      <c r="V825" s="201"/>
    </row>
    <row r="826" spans="1:22" ht="20.100000000000001" customHeight="1" x14ac:dyDescent="0.25">
      <c r="A826" s="234" t="s">
        <v>1235</v>
      </c>
      <c r="B826" s="235" t="s">
        <v>1236</v>
      </c>
      <c r="C826" s="234" t="s">
        <v>6</v>
      </c>
      <c r="D826" s="312">
        <v>115</v>
      </c>
      <c r="E826" s="312"/>
      <c r="F826" s="248">
        <f>D826*$U$770</f>
        <v>80.5</v>
      </c>
      <c r="G826" s="312"/>
      <c r="H826" s="312"/>
      <c r="I826" s="312"/>
      <c r="J826" s="248">
        <f t="shared" ref="J826:J889" si="92">F826+G826+H826+I826</f>
        <v>80.5</v>
      </c>
      <c r="K826" s="330">
        <f t="shared" ref="K826:K889" si="93">J826-D826</f>
        <v>-34.5</v>
      </c>
      <c r="L826" s="313"/>
      <c r="M826" s="228">
        <f t="shared" ref="M826:M889" si="94">F826</f>
        <v>80.5</v>
      </c>
      <c r="N826" s="228">
        <f t="shared" si="90"/>
        <v>0</v>
      </c>
      <c r="O826" s="228">
        <f t="shared" si="91"/>
        <v>0</v>
      </c>
      <c r="P826" s="228">
        <f t="shared" si="91"/>
        <v>0</v>
      </c>
      <c r="Q826" s="228">
        <f t="shared" ref="Q826:Q889" si="95">M826+N826+O826+P826</f>
        <v>80.5</v>
      </c>
      <c r="R826" s="343">
        <f t="shared" ref="R826:R889" si="96">Q826-D826</f>
        <v>-34.5</v>
      </c>
      <c r="S826" s="240"/>
      <c r="T826" s="201"/>
      <c r="U826" s="201"/>
      <c r="V826" s="201"/>
    </row>
    <row r="827" spans="1:22" ht="20.100000000000001" customHeight="1" x14ac:dyDescent="0.25">
      <c r="A827" s="234" t="s">
        <v>1237</v>
      </c>
      <c r="B827" s="235" t="s">
        <v>1238</v>
      </c>
      <c r="C827" s="234" t="s">
        <v>6</v>
      </c>
      <c r="D827" s="312">
        <v>10</v>
      </c>
      <c r="E827" s="312"/>
      <c r="F827" s="248">
        <f>D827*$U$770</f>
        <v>7</v>
      </c>
      <c r="G827" s="312"/>
      <c r="H827" s="312"/>
      <c r="I827" s="312"/>
      <c r="J827" s="248">
        <f t="shared" si="92"/>
        <v>7</v>
      </c>
      <c r="K827" s="330">
        <f t="shared" si="93"/>
        <v>-3</v>
      </c>
      <c r="L827" s="313"/>
      <c r="M827" s="228">
        <f t="shared" si="94"/>
        <v>7</v>
      </c>
      <c r="N827" s="228">
        <f t="shared" si="90"/>
        <v>0</v>
      </c>
      <c r="O827" s="228">
        <f t="shared" si="91"/>
        <v>0</v>
      </c>
      <c r="P827" s="228">
        <f t="shared" si="91"/>
        <v>0</v>
      </c>
      <c r="Q827" s="228">
        <f t="shared" si="95"/>
        <v>7</v>
      </c>
      <c r="R827" s="343">
        <f t="shared" si="96"/>
        <v>-3</v>
      </c>
      <c r="S827" s="240"/>
      <c r="T827" s="201"/>
      <c r="U827" s="201"/>
      <c r="V827" s="201"/>
    </row>
    <row r="828" spans="1:22" ht="29.25" customHeight="1" x14ac:dyDescent="0.25">
      <c r="A828" s="230" t="s">
        <v>1239</v>
      </c>
      <c r="B828" s="231" t="s">
        <v>1240</v>
      </c>
      <c r="C828" s="230"/>
      <c r="D828" s="316"/>
      <c r="E828" s="316"/>
      <c r="F828" s="317"/>
      <c r="G828" s="316"/>
      <c r="H828" s="316"/>
      <c r="I828" s="316"/>
      <c r="J828" s="248">
        <f t="shared" si="92"/>
        <v>0</v>
      </c>
      <c r="K828" s="330">
        <f t="shared" si="93"/>
        <v>0</v>
      </c>
      <c r="L828" s="318"/>
      <c r="M828" s="228">
        <f t="shared" si="94"/>
        <v>0</v>
      </c>
      <c r="N828" s="228">
        <f t="shared" si="90"/>
        <v>0</v>
      </c>
      <c r="O828" s="228">
        <f t="shared" si="91"/>
        <v>0</v>
      </c>
      <c r="P828" s="228">
        <f t="shared" si="91"/>
        <v>0</v>
      </c>
      <c r="Q828" s="228">
        <f t="shared" si="95"/>
        <v>0</v>
      </c>
      <c r="R828" s="343">
        <f t="shared" si="96"/>
        <v>0</v>
      </c>
      <c r="S828" s="240"/>
      <c r="T828" s="201"/>
      <c r="U828" s="201"/>
      <c r="V828" s="201"/>
    </row>
    <row r="829" spans="1:22" ht="20.100000000000001" customHeight="1" x14ac:dyDescent="0.25">
      <c r="A829" s="234" t="s">
        <v>1241</v>
      </c>
      <c r="B829" s="235" t="s">
        <v>1242</v>
      </c>
      <c r="C829" s="234" t="s">
        <v>6</v>
      </c>
      <c r="D829" s="312">
        <v>50</v>
      </c>
      <c r="E829" s="312"/>
      <c r="F829" s="248">
        <f>D829*$U$770</f>
        <v>35</v>
      </c>
      <c r="G829" s="312"/>
      <c r="H829" s="312"/>
      <c r="I829" s="312"/>
      <c r="J829" s="248">
        <f t="shared" si="92"/>
        <v>35</v>
      </c>
      <c r="K829" s="330">
        <f t="shared" si="93"/>
        <v>-15</v>
      </c>
      <c r="L829" s="313"/>
      <c r="M829" s="228">
        <f t="shared" si="94"/>
        <v>35</v>
      </c>
      <c r="N829" s="228">
        <f t="shared" si="90"/>
        <v>0</v>
      </c>
      <c r="O829" s="228">
        <f t="shared" si="91"/>
        <v>0</v>
      </c>
      <c r="P829" s="228">
        <f t="shared" si="91"/>
        <v>0</v>
      </c>
      <c r="Q829" s="228">
        <f t="shared" si="95"/>
        <v>35</v>
      </c>
      <c r="R829" s="343">
        <f t="shared" si="96"/>
        <v>-15</v>
      </c>
      <c r="S829" s="240"/>
      <c r="T829" s="201"/>
      <c r="U829" s="201"/>
      <c r="V829" s="201"/>
    </row>
    <row r="830" spans="1:22" ht="20.100000000000001" customHeight="1" x14ac:dyDescent="0.25">
      <c r="A830" s="234" t="s">
        <v>1243</v>
      </c>
      <c r="B830" s="235" t="s">
        <v>1212</v>
      </c>
      <c r="C830" s="234" t="s">
        <v>6</v>
      </c>
      <c r="D830" s="312">
        <v>10</v>
      </c>
      <c r="E830" s="312"/>
      <c r="F830" s="248">
        <f>D830*$U$770</f>
        <v>7</v>
      </c>
      <c r="G830" s="312"/>
      <c r="H830" s="312"/>
      <c r="I830" s="312"/>
      <c r="J830" s="248">
        <f t="shared" si="92"/>
        <v>7</v>
      </c>
      <c r="K830" s="330">
        <f t="shared" si="93"/>
        <v>-3</v>
      </c>
      <c r="L830" s="313"/>
      <c r="M830" s="228">
        <f t="shared" si="94"/>
        <v>7</v>
      </c>
      <c r="N830" s="228">
        <f t="shared" si="90"/>
        <v>0</v>
      </c>
      <c r="O830" s="228">
        <f t="shared" si="91"/>
        <v>0</v>
      </c>
      <c r="P830" s="228">
        <f t="shared" si="91"/>
        <v>0</v>
      </c>
      <c r="Q830" s="228">
        <f t="shared" si="95"/>
        <v>7</v>
      </c>
      <c r="R830" s="343">
        <f t="shared" si="96"/>
        <v>-3</v>
      </c>
      <c r="S830" s="240"/>
      <c r="T830" s="201"/>
      <c r="U830" s="201"/>
      <c r="V830" s="201"/>
    </row>
    <row r="831" spans="1:22" ht="30.75" customHeight="1" x14ac:dyDescent="0.25">
      <c r="A831" s="230" t="s">
        <v>1244</v>
      </c>
      <c r="B831" s="231" t="s">
        <v>1245</v>
      </c>
      <c r="C831" s="230"/>
      <c r="D831" s="316"/>
      <c r="E831" s="316"/>
      <c r="F831" s="317"/>
      <c r="G831" s="316"/>
      <c r="H831" s="316"/>
      <c r="I831" s="316"/>
      <c r="J831" s="248">
        <f t="shared" si="92"/>
        <v>0</v>
      </c>
      <c r="K831" s="330">
        <f t="shared" si="93"/>
        <v>0</v>
      </c>
      <c r="L831" s="318"/>
      <c r="M831" s="228">
        <f t="shared" si="94"/>
        <v>0</v>
      </c>
      <c r="N831" s="228">
        <f t="shared" si="90"/>
        <v>0</v>
      </c>
      <c r="O831" s="228">
        <f t="shared" si="91"/>
        <v>0</v>
      </c>
      <c r="P831" s="228">
        <f t="shared" si="91"/>
        <v>0</v>
      </c>
      <c r="Q831" s="228">
        <f t="shared" si="95"/>
        <v>0</v>
      </c>
      <c r="R831" s="343">
        <f t="shared" si="96"/>
        <v>0</v>
      </c>
      <c r="S831" s="240"/>
      <c r="T831" s="201"/>
      <c r="U831" s="201"/>
      <c r="V831" s="201"/>
    </row>
    <row r="832" spans="1:22" ht="20.100000000000001" customHeight="1" x14ac:dyDescent="0.25">
      <c r="A832" s="234" t="s">
        <v>1246</v>
      </c>
      <c r="B832" s="235" t="s">
        <v>1247</v>
      </c>
      <c r="C832" s="234" t="s">
        <v>6</v>
      </c>
      <c r="D832" s="312">
        <v>200</v>
      </c>
      <c r="E832" s="312"/>
      <c r="F832" s="248">
        <f>D832*$U$770</f>
        <v>140</v>
      </c>
      <c r="G832" s="312"/>
      <c r="H832" s="312"/>
      <c r="I832" s="312"/>
      <c r="J832" s="248">
        <f t="shared" si="92"/>
        <v>140</v>
      </c>
      <c r="K832" s="330">
        <f t="shared" si="93"/>
        <v>-60</v>
      </c>
      <c r="L832" s="313"/>
      <c r="M832" s="228">
        <f t="shared" si="94"/>
        <v>140</v>
      </c>
      <c r="N832" s="228">
        <f t="shared" si="90"/>
        <v>0</v>
      </c>
      <c r="O832" s="228">
        <f t="shared" si="91"/>
        <v>0</v>
      </c>
      <c r="P832" s="228">
        <f t="shared" si="91"/>
        <v>0</v>
      </c>
      <c r="Q832" s="228">
        <f t="shared" si="95"/>
        <v>140</v>
      </c>
      <c r="R832" s="343">
        <f t="shared" si="96"/>
        <v>-60</v>
      </c>
      <c r="S832" s="240"/>
      <c r="T832" s="201"/>
      <c r="U832" s="201"/>
      <c r="V832" s="201"/>
    </row>
    <row r="833" spans="1:22" ht="20.100000000000001" customHeight="1" x14ac:dyDescent="0.25">
      <c r="A833" s="234" t="s">
        <v>1248</v>
      </c>
      <c r="B833" s="235" t="s">
        <v>1249</v>
      </c>
      <c r="C833" s="234" t="s">
        <v>6</v>
      </c>
      <c r="D833" s="312">
        <v>10</v>
      </c>
      <c r="E833" s="312"/>
      <c r="F833" s="248">
        <f>D833*$U$770</f>
        <v>7</v>
      </c>
      <c r="G833" s="312"/>
      <c r="H833" s="312"/>
      <c r="I833" s="312"/>
      <c r="J833" s="248">
        <f t="shared" si="92"/>
        <v>7</v>
      </c>
      <c r="K833" s="330">
        <f t="shared" si="93"/>
        <v>-3</v>
      </c>
      <c r="L833" s="313"/>
      <c r="M833" s="228">
        <f t="shared" si="94"/>
        <v>7</v>
      </c>
      <c r="N833" s="228">
        <f t="shared" si="90"/>
        <v>0</v>
      </c>
      <c r="O833" s="228">
        <f t="shared" si="91"/>
        <v>0</v>
      </c>
      <c r="P833" s="228">
        <f t="shared" si="91"/>
        <v>0</v>
      </c>
      <c r="Q833" s="228">
        <f t="shared" si="95"/>
        <v>7</v>
      </c>
      <c r="R833" s="343">
        <f t="shared" si="96"/>
        <v>-3</v>
      </c>
      <c r="S833" s="240"/>
      <c r="T833" s="201"/>
      <c r="U833" s="201"/>
      <c r="V833" s="201"/>
    </row>
    <row r="834" spans="1:22" ht="20.100000000000001" customHeight="1" x14ac:dyDescent="0.25">
      <c r="A834" s="230" t="s">
        <v>1250</v>
      </c>
      <c r="B834" s="231" t="s">
        <v>1251</v>
      </c>
      <c r="C834" s="230"/>
      <c r="D834" s="316"/>
      <c r="E834" s="316"/>
      <c r="F834" s="317"/>
      <c r="G834" s="316"/>
      <c r="H834" s="316"/>
      <c r="I834" s="316"/>
      <c r="J834" s="248">
        <f t="shared" si="92"/>
        <v>0</v>
      </c>
      <c r="K834" s="330">
        <f t="shared" si="93"/>
        <v>0</v>
      </c>
      <c r="L834" s="318"/>
      <c r="M834" s="228">
        <f t="shared" si="94"/>
        <v>0</v>
      </c>
      <c r="N834" s="228">
        <f t="shared" si="90"/>
        <v>0</v>
      </c>
      <c r="O834" s="228">
        <f t="shared" si="91"/>
        <v>0</v>
      </c>
      <c r="P834" s="228">
        <f t="shared" si="91"/>
        <v>0</v>
      </c>
      <c r="Q834" s="228">
        <f t="shared" si="95"/>
        <v>0</v>
      </c>
      <c r="R834" s="343">
        <f t="shared" si="96"/>
        <v>0</v>
      </c>
      <c r="S834" s="240"/>
      <c r="T834" s="201"/>
      <c r="U834" s="201"/>
      <c r="V834" s="201"/>
    </row>
    <row r="835" spans="1:22" ht="20.100000000000001" customHeight="1" x14ac:dyDescent="0.25">
      <c r="A835" s="234" t="s">
        <v>1252</v>
      </c>
      <c r="B835" s="235" t="s">
        <v>1137</v>
      </c>
      <c r="C835" s="234" t="s">
        <v>6</v>
      </c>
      <c r="D835" s="312">
        <v>25</v>
      </c>
      <c r="E835" s="312"/>
      <c r="F835" s="248">
        <f>D835*$U$770</f>
        <v>17.5</v>
      </c>
      <c r="G835" s="312"/>
      <c r="H835" s="312"/>
      <c r="I835" s="312"/>
      <c r="J835" s="248">
        <f t="shared" si="92"/>
        <v>17.5</v>
      </c>
      <c r="K835" s="330">
        <f t="shared" si="93"/>
        <v>-7.5</v>
      </c>
      <c r="L835" s="313"/>
      <c r="M835" s="228">
        <f t="shared" si="94"/>
        <v>17.5</v>
      </c>
      <c r="N835" s="228">
        <f t="shared" si="90"/>
        <v>0</v>
      </c>
      <c r="O835" s="228">
        <f t="shared" si="91"/>
        <v>0</v>
      </c>
      <c r="P835" s="228">
        <f t="shared" si="91"/>
        <v>0</v>
      </c>
      <c r="Q835" s="228">
        <f t="shared" si="95"/>
        <v>17.5</v>
      </c>
      <c r="R835" s="343">
        <f t="shared" si="96"/>
        <v>-7.5</v>
      </c>
      <c r="S835" s="240"/>
      <c r="T835" s="201"/>
      <c r="U835" s="201"/>
      <c r="V835" s="201"/>
    </row>
    <row r="836" spans="1:22" ht="20.100000000000001" customHeight="1" x14ac:dyDescent="0.25">
      <c r="A836" s="234" t="s">
        <v>1253</v>
      </c>
      <c r="B836" s="235" t="s">
        <v>1186</v>
      </c>
      <c r="C836" s="234" t="s">
        <v>6</v>
      </c>
      <c r="D836" s="312">
        <v>10</v>
      </c>
      <c r="E836" s="312"/>
      <c r="F836" s="248">
        <f>D836*$U$770</f>
        <v>7</v>
      </c>
      <c r="G836" s="312"/>
      <c r="H836" s="312"/>
      <c r="I836" s="312"/>
      <c r="J836" s="248">
        <f t="shared" si="92"/>
        <v>7</v>
      </c>
      <c r="K836" s="330">
        <f t="shared" si="93"/>
        <v>-3</v>
      </c>
      <c r="L836" s="313"/>
      <c r="M836" s="228">
        <f t="shared" si="94"/>
        <v>7</v>
      </c>
      <c r="N836" s="228">
        <f t="shared" si="90"/>
        <v>0</v>
      </c>
      <c r="O836" s="228">
        <f t="shared" si="91"/>
        <v>0</v>
      </c>
      <c r="P836" s="228">
        <f t="shared" si="91"/>
        <v>0</v>
      </c>
      <c r="Q836" s="228">
        <f t="shared" si="95"/>
        <v>7</v>
      </c>
      <c r="R836" s="343">
        <f t="shared" si="96"/>
        <v>-3</v>
      </c>
      <c r="S836" s="240"/>
      <c r="T836" s="201"/>
      <c r="U836" s="201"/>
      <c r="V836" s="201"/>
    </row>
    <row r="837" spans="1:22" s="49" customFormat="1" ht="20.100000000000001" customHeight="1" x14ac:dyDescent="0.25">
      <c r="A837" s="241" t="s">
        <v>1254</v>
      </c>
      <c r="B837" s="242" t="s">
        <v>1255</v>
      </c>
      <c r="C837" s="241" t="s">
        <v>6</v>
      </c>
      <c r="D837" s="319">
        <v>30</v>
      </c>
      <c r="E837" s="319"/>
      <c r="F837" s="321">
        <f>D837*$U$770</f>
        <v>21</v>
      </c>
      <c r="G837" s="319"/>
      <c r="H837" s="319"/>
      <c r="I837" s="319"/>
      <c r="J837" s="248">
        <f t="shared" si="92"/>
        <v>21</v>
      </c>
      <c r="K837" s="330">
        <f t="shared" si="93"/>
        <v>-9</v>
      </c>
      <c r="L837" s="320"/>
      <c r="M837" s="228">
        <f t="shared" si="94"/>
        <v>21</v>
      </c>
      <c r="N837" s="228">
        <f t="shared" si="90"/>
        <v>0</v>
      </c>
      <c r="O837" s="228">
        <f t="shared" si="91"/>
        <v>0</v>
      </c>
      <c r="P837" s="228">
        <f t="shared" si="91"/>
        <v>0</v>
      </c>
      <c r="Q837" s="228">
        <f t="shared" si="95"/>
        <v>21</v>
      </c>
      <c r="R837" s="343">
        <f t="shared" si="96"/>
        <v>-9</v>
      </c>
      <c r="S837" s="243"/>
      <c r="T837" s="207"/>
      <c r="U837" s="207" t="s">
        <v>3461</v>
      </c>
      <c r="V837" s="207"/>
    </row>
    <row r="838" spans="1:22" s="49" customFormat="1" ht="20.100000000000001" customHeight="1" x14ac:dyDescent="0.25">
      <c r="A838" s="241" t="s">
        <v>1256</v>
      </c>
      <c r="B838" s="242" t="s">
        <v>1238</v>
      </c>
      <c r="C838" s="241" t="s">
        <v>6</v>
      </c>
      <c r="D838" s="319">
        <v>10</v>
      </c>
      <c r="E838" s="319"/>
      <c r="F838" s="321">
        <f>D838*$U$770</f>
        <v>7</v>
      </c>
      <c r="G838" s="319"/>
      <c r="H838" s="319"/>
      <c r="I838" s="319"/>
      <c r="J838" s="248">
        <f t="shared" si="92"/>
        <v>7</v>
      </c>
      <c r="K838" s="330">
        <f t="shared" si="93"/>
        <v>-3</v>
      </c>
      <c r="L838" s="320"/>
      <c r="M838" s="228">
        <f t="shared" si="94"/>
        <v>7</v>
      </c>
      <c r="N838" s="228">
        <f t="shared" si="90"/>
        <v>0</v>
      </c>
      <c r="O838" s="228">
        <f t="shared" si="91"/>
        <v>0</v>
      </c>
      <c r="P838" s="228">
        <f t="shared" si="91"/>
        <v>0</v>
      </c>
      <c r="Q838" s="228">
        <f t="shared" si="95"/>
        <v>7</v>
      </c>
      <c r="R838" s="343">
        <f t="shared" si="96"/>
        <v>-3</v>
      </c>
      <c r="S838" s="243"/>
      <c r="T838" s="207"/>
      <c r="U838" s="207" t="s">
        <v>3461</v>
      </c>
      <c r="V838" s="207"/>
    </row>
    <row r="839" spans="1:22" ht="20.100000000000001" customHeight="1" x14ac:dyDescent="0.25">
      <c r="A839" s="230" t="s">
        <v>1257</v>
      </c>
      <c r="B839" s="231" t="s">
        <v>1258</v>
      </c>
      <c r="C839" s="230"/>
      <c r="D839" s="316"/>
      <c r="E839" s="316"/>
      <c r="F839" s="317"/>
      <c r="G839" s="316"/>
      <c r="H839" s="316"/>
      <c r="I839" s="316"/>
      <c r="J839" s="248">
        <f t="shared" si="92"/>
        <v>0</v>
      </c>
      <c r="K839" s="330">
        <f t="shared" si="93"/>
        <v>0</v>
      </c>
      <c r="L839" s="318"/>
      <c r="M839" s="228">
        <f t="shared" si="94"/>
        <v>0</v>
      </c>
      <c r="N839" s="228">
        <f t="shared" si="90"/>
        <v>0</v>
      </c>
      <c r="O839" s="228">
        <f t="shared" si="91"/>
        <v>0</v>
      </c>
      <c r="P839" s="228">
        <f t="shared" si="91"/>
        <v>0</v>
      </c>
      <c r="Q839" s="228">
        <f t="shared" si="95"/>
        <v>0</v>
      </c>
      <c r="R839" s="343">
        <f t="shared" si="96"/>
        <v>0</v>
      </c>
      <c r="S839" s="240"/>
      <c r="T839" s="201"/>
      <c r="U839" s="201"/>
      <c r="V839" s="201"/>
    </row>
    <row r="840" spans="1:22" ht="20.100000000000001" customHeight="1" x14ac:dyDescent="0.25">
      <c r="A840" s="234" t="s">
        <v>1259</v>
      </c>
      <c r="B840" s="235" t="s">
        <v>1260</v>
      </c>
      <c r="C840" s="234" t="s">
        <v>6</v>
      </c>
      <c r="D840" s="312">
        <v>35</v>
      </c>
      <c r="E840" s="312"/>
      <c r="F840" s="248">
        <f>D840*$U$770</f>
        <v>24.5</v>
      </c>
      <c r="G840" s="312"/>
      <c r="H840" s="312"/>
      <c r="I840" s="312"/>
      <c r="J840" s="248">
        <f t="shared" si="92"/>
        <v>24.5</v>
      </c>
      <c r="K840" s="330">
        <f t="shared" si="93"/>
        <v>-10.5</v>
      </c>
      <c r="L840" s="313"/>
      <c r="M840" s="228">
        <f t="shared" si="94"/>
        <v>24.5</v>
      </c>
      <c r="N840" s="228">
        <f t="shared" si="90"/>
        <v>0</v>
      </c>
      <c r="O840" s="228">
        <f t="shared" si="91"/>
        <v>0</v>
      </c>
      <c r="P840" s="228">
        <f t="shared" si="91"/>
        <v>0</v>
      </c>
      <c r="Q840" s="228">
        <f t="shared" si="95"/>
        <v>24.5</v>
      </c>
      <c r="R840" s="343">
        <f t="shared" si="96"/>
        <v>-10.5</v>
      </c>
      <c r="S840" s="240"/>
      <c r="T840" s="201"/>
      <c r="U840" s="201"/>
      <c r="V840" s="201"/>
    </row>
    <row r="841" spans="1:22" ht="20.100000000000001" customHeight="1" x14ac:dyDescent="0.25">
      <c r="A841" s="234" t="s">
        <v>1261</v>
      </c>
      <c r="B841" s="235" t="s">
        <v>1232</v>
      </c>
      <c r="C841" s="234" t="s">
        <v>6</v>
      </c>
      <c r="D841" s="312">
        <v>10</v>
      </c>
      <c r="E841" s="312"/>
      <c r="F841" s="248">
        <f>D841*$U$770</f>
        <v>7</v>
      </c>
      <c r="G841" s="312"/>
      <c r="H841" s="312"/>
      <c r="I841" s="312"/>
      <c r="J841" s="248">
        <f t="shared" si="92"/>
        <v>7</v>
      </c>
      <c r="K841" s="330">
        <f t="shared" si="93"/>
        <v>-3</v>
      </c>
      <c r="L841" s="313"/>
      <c r="M841" s="228">
        <f t="shared" si="94"/>
        <v>7</v>
      </c>
      <c r="N841" s="228">
        <f t="shared" ref="N841:N904" si="97">G841</f>
        <v>0</v>
      </c>
      <c r="O841" s="228">
        <f t="shared" ref="O841:P904" si="98">H841</f>
        <v>0</v>
      </c>
      <c r="P841" s="228">
        <f t="shared" si="98"/>
        <v>0</v>
      </c>
      <c r="Q841" s="228">
        <f t="shared" si="95"/>
        <v>7</v>
      </c>
      <c r="R841" s="343">
        <f t="shared" si="96"/>
        <v>-3</v>
      </c>
      <c r="S841" s="240"/>
      <c r="T841" s="201"/>
      <c r="U841" s="201"/>
      <c r="V841" s="201"/>
    </row>
    <row r="842" spans="1:22" ht="20.100000000000001" customHeight="1" x14ac:dyDescent="0.25">
      <c r="A842" s="230" t="s">
        <v>1262</v>
      </c>
      <c r="B842" s="231" t="s">
        <v>1263</v>
      </c>
      <c r="C842" s="230"/>
      <c r="D842" s="316"/>
      <c r="E842" s="316"/>
      <c r="F842" s="317"/>
      <c r="G842" s="316"/>
      <c r="H842" s="316"/>
      <c r="I842" s="316"/>
      <c r="J842" s="248">
        <f t="shared" si="92"/>
        <v>0</v>
      </c>
      <c r="K842" s="330">
        <f t="shared" si="93"/>
        <v>0</v>
      </c>
      <c r="L842" s="318"/>
      <c r="M842" s="228">
        <f t="shared" si="94"/>
        <v>0</v>
      </c>
      <c r="N842" s="228">
        <f t="shared" si="97"/>
        <v>0</v>
      </c>
      <c r="O842" s="228">
        <f t="shared" si="98"/>
        <v>0</v>
      </c>
      <c r="P842" s="228">
        <f t="shared" si="98"/>
        <v>0</v>
      </c>
      <c r="Q842" s="228">
        <f t="shared" si="95"/>
        <v>0</v>
      </c>
      <c r="R842" s="343">
        <f t="shared" si="96"/>
        <v>0</v>
      </c>
      <c r="S842" s="240"/>
      <c r="T842" s="201"/>
      <c r="U842" s="201"/>
      <c r="V842" s="201"/>
    </row>
    <row r="843" spans="1:22" ht="20.100000000000001" customHeight="1" x14ac:dyDescent="0.25">
      <c r="A843" s="234" t="s">
        <v>1264</v>
      </c>
      <c r="B843" s="235" t="s">
        <v>1265</v>
      </c>
      <c r="C843" s="234" t="s">
        <v>6</v>
      </c>
      <c r="D843" s="312">
        <v>40</v>
      </c>
      <c r="E843" s="312"/>
      <c r="F843" s="248">
        <f>D843*$U$770</f>
        <v>28</v>
      </c>
      <c r="G843" s="312"/>
      <c r="H843" s="312"/>
      <c r="I843" s="312"/>
      <c r="J843" s="248">
        <f t="shared" si="92"/>
        <v>28</v>
      </c>
      <c r="K843" s="330">
        <f t="shared" si="93"/>
        <v>-12</v>
      </c>
      <c r="L843" s="313"/>
      <c r="M843" s="228">
        <f t="shared" si="94"/>
        <v>28</v>
      </c>
      <c r="N843" s="228">
        <f t="shared" si="97"/>
        <v>0</v>
      </c>
      <c r="O843" s="228">
        <f t="shared" si="98"/>
        <v>0</v>
      </c>
      <c r="P843" s="228">
        <f t="shared" si="98"/>
        <v>0</v>
      </c>
      <c r="Q843" s="228">
        <f t="shared" si="95"/>
        <v>28</v>
      </c>
      <c r="R843" s="343">
        <f t="shared" si="96"/>
        <v>-12</v>
      </c>
      <c r="S843" s="240"/>
      <c r="T843" s="201"/>
      <c r="U843" s="201"/>
      <c r="V843" s="201"/>
    </row>
    <row r="844" spans="1:22" ht="20.100000000000001" customHeight="1" x14ac:dyDescent="0.25">
      <c r="A844" s="234" t="s">
        <v>1266</v>
      </c>
      <c r="B844" s="235" t="s">
        <v>1249</v>
      </c>
      <c r="C844" s="234" t="s">
        <v>6</v>
      </c>
      <c r="D844" s="312">
        <v>10</v>
      </c>
      <c r="E844" s="312"/>
      <c r="F844" s="248">
        <f>D844*$U$770</f>
        <v>7</v>
      </c>
      <c r="G844" s="312"/>
      <c r="H844" s="312"/>
      <c r="I844" s="312"/>
      <c r="J844" s="248">
        <f t="shared" si="92"/>
        <v>7</v>
      </c>
      <c r="K844" s="330">
        <f t="shared" si="93"/>
        <v>-3</v>
      </c>
      <c r="L844" s="313"/>
      <c r="M844" s="228">
        <f t="shared" si="94"/>
        <v>7</v>
      </c>
      <c r="N844" s="228">
        <f t="shared" si="97"/>
        <v>0</v>
      </c>
      <c r="O844" s="228">
        <f t="shared" si="98"/>
        <v>0</v>
      </c>
      <c r="P844" s="228">
        <f t="shared" si="98"/>
        <v>0</v>
      </c>
      <c r="Q844" s="228">
        <f t="shared" si="95"/>
        <v>7</v>
      </c>
      <c r="R844" s="343">
        <f t="shared" si="96"/>
        <v>-3</v>
      </c>
      <c r="S844" s="240"/>
      <c r="T844" s="201"/>
      <c r="U844" s="201"/>
      <c r="V844" s="201"/>
    </row>
    <row r="845" spans="1:22" ht="20.100000000000001" customHeight="1" x14ac:dyDescent="0.25">
      <c r="A845" s="230" t="s">
        <v>1267</v>
      </c>
      <c r="B845" s="231" t="s">
        <v>1268</v>
      </c>
      <c r="C845" s="230"/>
      <c r="D845" s="316"/>
      <c r="E845" s="316"/>
      <c r="F845" s="317"/>
      <c r="G845" s="316"/>
      <c r="H845" s="316"/>
      <c r="I845" s="316"/>
      <c r="J845" s="248">
        <f t="shared" si="92"/>
        <v>0</v>
      </c>
      <c r="K845" s="330">
        <f t="shared" si="93"/>
        <v>0</v>
      </c>
      <c r="L845" s="318"/>
      <c r="M845" s="228">
        <f t="shared" si="94"/>
        <v>0</v>
      </c>
      <c r="N845" s="228">
        <f t="shared" si="97"/>
        <v>0</v>
      </c>
      <c r="O845" s="228">
        <f t="shared" si="98"/>
        <v>0</v>
      </c>
      <c r="P845" s="228">
        <f t="shared" si="98"/>
        <v>0</v>
      </c>
      <c r="Q845" s="228">
        <f t="shared" si="95"/>
        <v>0</v>
      </c>
      <c r="R845" s="343">
        <f t="shared" si="96"/>
        <v>0</v>
      </c>
      <c r="S845" s="240"/>
      <c r="T845" s="201"/>
      <c r="U845" s="201"/>
      <c r="V845" s="201"/>
    </row>
    <row r="846" spans="1:22" ht="20.100000000000001" customHeight="1" x14ac:dyDescent="0.25">
      <c r="A846" s="234" t="s">
        <v>1269</v>
      </c>
      <c r="B846" s="235" t="s">
        <v>1137</v>
      </c>
      <c r="C846" s="234" t="s">
        <v>6</v>
      </c>
      <c r="D846" s="312">
        <v>45</v>
      </c>
      <c r="E846" s="312"/>
      <c r="F846" s="248">
        <f>D846*$U$770</f>
        <v>31.499999999999996</v>
      </c>
      <c r="G846" s="312"/>
      <c r="H846" s="312"/>
      <c r="I846" s="312"/>
      <c r="J846" s="248">
        <f t="shared" si="92"/>
        <v>31.499999999999996</v>
      </c>
      <c r="K846" s="330">
        <f t="shared" si="93"/>
        <v>-13.500000000000004</v>
      </c>
      <c r="L846" s="313"/>
      <c r="M846" s="228">
        <f t="shared" si="94"/>
        <v>31.499999999999996</v>
      </c>
      <c r="N846" s="228">
        <f t="shared" si="97"/>
        <v>0</v>
      </c>
      <c r="O846" s="228">
        <f t="shared" si="98"/>
        <v>0</v>
      </c>
      <c r="P846" s="228">
        <f t="shared" si="98"/>
        <v>0</v>
      </c>
      <c r="Q846" s="228">
        <f t="shared" si="95"/>
        <v>31.499999999999996</v>
      </c>
      <c r="R846" s="343">
        <f t="shared" si="96"/>
        <v>-13.500000000000004</v>
      </c>
      <c r="S846" s="240"/>
      <c r="T846" s="201"/>
      <c r="U846" s="201"/>
      <c r="V846" s="201"/>
    </row>
    <row r="847" spans="1:22" ht="20.100000000000001" customHeight="1" x14ac:dyDescent="0.25">
      <c r="A847" s="234" t="s">
        <v>1270</v>
      </c>
      <c r="B847" s="235" t="s">
        <v>1186</v>
      </c>
      <c r="C847" s="234" t="s">
        <v>6</v>
      </c>
      <c r="D847" s="312">
        <v>10</v>
      </c>
      <c r="E847" s="312"/>
      <c r="F847" s="248">
        <f>D847*$U$770</f>
        <v>7</v>
      </c>
      <c r="G847" s="312"/>
      <c r="H847" s="312"/>
      <c r="I847" s="312"/>
      <c r="J847" s="248">
        <f t="shared" si="92"/>
        <v>7</v>
      </c>
      <c r="K847" s="330">
        <f t="shared" si="93"/>
        <v>-3</v>
      </c>
      <c r="L847" s="313"/>
      <c r="M847" s="228">
        <f t="shared" si="94"/>
        <v>7</v>
      </c>
      <c r="N847" s="228">
        <f t="shared" si="97"/>
        <v>0</v>
      </c>
      <c r="O847" s="228">
        <f t="shared" si="98"/>
        <v>0</v>
      </c>
      <c r="P847" s="228">
        <f t="shared" si="98"/>
        <v>0</v>
      </c>
      <c r="Q847" s="228">
        <f t="shared" si="95"/>
        <v>7</v>
      </c>
      <c r="R847" s="343">
        <f t="shared" si="96"/>
        <v>-3</v>
      </c>
      <c r="S847" s="240"/>
      <c r="T847" s="201"/>
      <c r="U847" s="201"/>
      <c r="V847" s="201"/>
    </row>
    <row r="848" spans="1:22" ht="20.100000000000001" customHeight="1" x14ac:dyDescent="0.25">
      <c r="A848" s="230" t="s">
        <v>1271</v>
      </c>
      <c r="B848" s="231" t="s">
        <v>1272</v>
      </c>
      <c r="C848" s="230"/>
      <c r="D848" s="316"/>
      <c r="E848" s="316"/>
      <c r="F848" s="317"/>
      <c r="G848" s="316"/>
      <c r="H848" s="316"/>
      <c r="I848" s="316"/>
      <c r="J848" s="248">
        <f t="shared" si="92"/>
        <v>0</v>
      </c>
      <c r="K848" s="330">
        <f t="shared" si="93"/>
        <v>0</v>
      </c>
      <c r="L848" s="318"/>
      <c r="M848" s="228">
        <f t="shared" si="94"/>
        <v>0</v>
      </c>
      <c r="N848" s="228">
        <f t="shared" si="97"/>
        <v>0</v>
      </c>
      <c r="O848" s="228">
        <f t="shared" si="98"/>
        <v>0</v>
      </c>
      <c r="P848" s="228">
        <f t="shared" si="98"/>
        <v>0</v>
      </c>
      <c r="Q848" s="228">
        <f t="shared" si="95"/>
        <v>0</v>
      </c>
      <c r="R848" s="343">
        <f t="shared" si="96"/>
        <v>0</v>
      </c>
      <c r="S848" s="240"/>
      <c r="T848" s="201"/>
      <c r="U848" s="201"/>
      <c r="V848" s="201"/>
    </row>
    <row r="849" spans="1:22" ht="20.100000000000001" customHeight="1" x14ac:dyDescent="0.25">
      <c r="A849" s="234" t="s">
        <v>1273</v>
      </c>
      <c r="B849" s="235" t="s">
        <v>1137</v>
      </c>
      <c r="C849" s="234" t="s">
        <v>6</v>
      </c>
      <c r="D849" s="312">
        <v>50</v>
      </c>
      <c r="E849" s="312"/>
      <c r="F849" s="248">
        <f>D849*$U$770</f>
        <v>35</v>
      </c>
      <c r="G849" s="312"/>
      <c r="H849" s="312"/>
      <c r="I849" s="312"/>
      <c r="J849" s="248">
        <f t="shared" si="92"/>
        <v>35</v>
      </c>
      <c r="K849" s="330">
        <f t="shared" si="93"/>
        <v>-15</v>
      </c>
      <c r="L849" s="313"/>
      <c r="M849" s="228">
        <f t="shared" si="94"/>
        <v>35</v>
      </c>
      <c r="N849" s="228">
        <f t="shared" si="97"/>
        <v>0</v>
      </c>
      <c r="O849" s="228">
        <f t="shared" si="98"/>
        <v>0</v>
      </c>
      <c r="P849" s="228">
        <f t="shared" si="98"/>
        <v>0</v>
      </c>
      <c r="Q849" s="228">
        <f t="shared" si="95"/>
        <v>35</v>
      </c>
      <c r="R849" s="343">
        <f t="shared" si="96"/>
        <v>-15</v>
      </c>
      <c r="S849" s="240"/>
      <c r="T849" s="201"/>
      <c r="U849" s="201"/>
      <c r="V849" s="201"/>
    </row>
    <row r="850" spans="1:22" ht="20.100000000000001" customHeight="1" x14ac:dyDescent="0.25">
      <c r="A850" s="234" t="s">
        <v>1274</v>
      </c>
      <c r="B850" s="235" t="s">
        <v>1186</v>
      </c>
      <c r="C850" s="234" t="s">
        <v>6</v>
      </c>
      <c r="D850" s="312">
        <v>10</v>
      </c>
      <c r="E850" s="312"/>
      <c r="F850" s="248">
        <f>D850*$U$770</f>
        <v>7</v>
      </c>
      <c r="G850" s="312"/>
      <c r="H850" s="312"/>
      <c r="I850" s="312"/>
      <c r="J850" s="248">
        <f t="shared" si="92"/>
        <v>7</v>
      </c>
      <c r="K850" s="330">
        <f t="shared" si="93"/>
        <v>-3</v>
      </c>
      <c r="L850" s="313"/>
      <c r="M850" s="228">
        <f t="shared" si="94"/>
        <v>7</v>
      </c>
      <c r="N850" s="228">
        <f t="shared" si="97"/>
        <v>0</v>
      </c>
      <c r="O850" s="228">
        <f t="shared" si="98"/>
        <v>0</v>
      </c>
      <c r="P850" s="228">
        <f t="shared" si="98"/>
        <v>0</v>
      </c>
      <c r="Q850" s="228">
        <f t="shared" si="95"/>
        <v>7</v>
      </c>
      <c r="R850" s="343">
        <f t="shared" si="96"/>
        <v>-3</v>
      </c>
      <c r="S850" s="240"/>
      <c r="T850" s="201"/>
      <c r="U850" s="201"/>
      <c r="V850" s="201"/>
    </row>
    <row r="851" spans="1:22" ht="24.75" customHeight="1" x14ac:dyDescent="0.25">
      <c r="A851" s="230" t="s">
        <v>1275</v>
      </c>
      <c r="B851" s="231" t="s">
        <v>1276</v>
      </c>
      <c r="C851" s="230"/>
      <c r="D851" s="316"/>
      <c r="E851" s="316"/>
      <c r="F851" s="317"/>
      <c r="G851" s="316"/>
      <c r="H851" s="316"/>
      <c r="I851" s="316"/>
      <c r="J851" s="248">
        <f t="shared" si="92"/>
        <v>0</v>
      </c>
      <c r="K851" s="330">
        <f t="shared" si="93"/>
        <v>0</v>
      </c>
      <c r="L851" s="318"/>
      <c r="M851" s="228">
        <f t="shared" si="94"/>
        <v>0</v>
      </c>
      <c r="N851" s="228">
        <f t="shared" si="97"/>
        <v>0</v>
      </c>
      <c r="O851" s="228">
        <f t="shared" si="98"/>
        <v>0</v>
      </c>
      <c r="P851" s="228">
        <f t="shared" si="98"/>
        <v>0</v>
      </c>
      <c r="Q851" s="228">
        <f t="shared" si="95"/>
        <v>0</v>
      </c>
      <c r="R851" s="343">
        <f t="shared" si="96"/>
        <v>0</v>
      </c>
      <c r="S851" s="240"/>
      <c r="T851" s="201"/>
      <c r="U851" s="201"/>
      <c r="V851" s="201"/>
    </row>
    <row r="852" spans="1:22" ht="20.100000000000001" customHeight="1" x14ac:dyDescent="0.25">
      <c r="A852" s="234" t="s">
        <v>1277</v>
      </c>
      <c r="B852" s="235" t="s">
        <v>1196</v>
      </c>
      <c r="C852" s="234" t="s">
        <v>6</v>
      </c>
      <c r="D852" s="312">
        <v>115</v>
      </c>
      <c r="E852" s="312"/>
      <c r="F852" s="248">
        <f>D852*$U$770</f>
        <v>80.5</v>
      </c>
      <c r="G852" s="312"/>
      <c r="H852" s="312"/>
      <c r="I852" s="312"/>
      <c r="J852" s="248">
        <f t="shared" si="92"/>
        <v>80.5</v>
      </c>
      <c r="K852" s="330">
        <f t="shared" si="93"/>
        <v>-34.5</v>
      </c>
      <c r="L852" s="313"/>
      <c r="M852" s="228">
        <f t="shared" si="94"/>
        <v>80.5</v>
      </c>
      <c r="N852" s="228">
        <f t="shared" si="97"/>
        <v>0</v>
      </c>
      <c r="O852" s="228">
        <f t="shared" si="98"/>
        <v>0</v>
      </c>
      <c r="P852" s="228">
        <f t="shared" si="98"/>
        <v>0</v>
      </c>
      <c r="Q852" s="228">
        <f t="shared" si="95"/>
        <v>80.5</v>
      </c>
      <c r="R852" s="343">
        <f t="shared" si="96"/>
        <v>-34.5</v>
      </c>
      <c r="S852" s="240"/>
      <c r="T852" s="201"/>
      <c r="U852" s="201"/>
      <c r="V852" s="201"/>
    </row>
    <row r="853" spans="1:22" ht="20.100000000000001" customHeight="1" x14ac:dyDescent="0.25">
      <c r="A853" s="234" t="s">
        <v>1278</v>
      </c>
      <c r="B853" s="235" t="s">
        <v>1198</v>
      </c>
      <c r="C853" s="234" t="s">
        <v>6</v>
      </c>
      <c r="D853" s="312">
        <v>10</v>
      </c>
      <c r="E853" s="312"/>
      <c r="F853" s="248">
        <f>D853*$U$770</f>
        <v>7</v>
      </c>
      <c r="G853" s="312"/>
      <c r="H853" s="312"/>
      <c r="I853" s="312"/>
      <c r="J853" s="248">
        <f t="shared" si="92"/>
        <v>7</v>
      </c>
      <c r="K853" s="330">
        <f t="shared" si="93"/>
        <v>-3</v>
      </c>
      <c r="L853" s="313"/>
      <c r="M853" s="228">
        <f t="shared" si="94"/>
        <v>7</v>
      </c>
      <c r="N853" s="228">
        <f t="shared" si="97"/>
        <v>0</v>
      </c>
      <c r="O853" s="228">
        <f t="shared" si="98"/>
        <v>0</v>
      </c>
      <c r="P853" s="228">
        <f t="shared" si="98"/>
        <v>0</v>
      </c>
      <c r="Q853" s="228">
        <f t="shared" si="95"/>
        <v>7</v>
      </c>
      <c r="R853" s="343">
        <f t="shared" si="96"/>
        <v>-3</v>
      </c>
      <c r="S853" s="240"/>
      <c r="T853" s="201"/>
      <c r="U853" s="201"/>
      <c r="V853" s="201"/>
    </row>
    <row r="854" spans="1:22" ht="20.100000000000001" customHeight="1" x14ac:dyDescent="0.25">
      <c r="A854" s="230" t="s">
        <v>1279</v>
      </c>
      <c r="B854" s="231" t="s">
        <v>1280</v>
      </c>
      <c r="C854" s="230"/>
      <c r="D854" s="316"/>
      <c r="E854" s="316"/>
      <c r="F854" s="317"/>
      <c r="G854" s="316"/>
      <c r="H854" s="316"/>
      <c r="I854" s="316"/>
      <c r="J854" s="248">
        <f t="shared" si="92"/>
        <v>0</v>
      </c>
      <c r="K854" s="330">
        <f t="shared" si="93"/>
        <v>0</v>
      </c>
      <c r="L854" s="318"/>
      <c r="M854" s="228">
        <f t="shared" si="94"/>
        <v>0</v>
      </c>
      <c r="N854" s="228">
        <f t="shared" si="97"/>
        <v>0</v>
      </c>
      <c r="O854" s="228">
        <f t="shared" si="98"/>
        <v>0</v>
      </c>
      <c r="P854" s="228">
        <f t="shared" si="98"/>
        <v>0</v>
      </c>
      <c r="Q854" s="228">
        <f t="shared" si="95"/>
        <v>0</v>
      </c>
      <c r="R854" s="343">
        <f t="shared" si="96"/>
        <v>0</v>
      </c>
      <c r="S854" s="240"/>
      <c r="T854" s="201"/>
      <c r="U854" s="201"/>
      <c r="V854" s="201"/>
    </row>
    <row r="855" spans="1:22" ht="20.100000000000001" customHeight="1" x14ac:dyDescent="0.25">
      <c r="A855" s="234" t="s">
        <v>1281</v>
      </c>
      <c r="B855" s="235" t="s">
        <v>1196</v>
      </c>
      <c r="C855" s="234" t="s">
        <v>6</v>
      </c>
      <c r="D855" s="312">
        <v>115</v>
      </c>
      <c r="E855" s="312"/>
      <c r="F855" s="248">
        <f>D855*$U$770</f>
        <v>80.5</v>
      </c>
      <c r="G855" s="312"/>
      <c r="H855" s="312"/>
      <c r="I855" s="312"/>
      <c r="J855" s="248">
        <f t="shared" si="92"/>
        <v>80.5</v>
      </c>
      <c r="K855" s="330">
        <f t="shared" si="93"/>
        <v>-34.5</v>
      </c>
      <c r="L855" s="313"/>
      <c r="M855" s="228">
        <f t="shared" si="94"/>
        <v>80.5</v>
      </c>
      <c r="N855" s="228">
        <f t="shared" si="97"/>
        <v>0</v>
      </c>
      <c r="O855" s="228">
        <f t="shared" si="98"/>
        <v>0</v>
      </c>
      <c r="P855" s="228">
        <f t="shared" si="98"/>
        <v>0</v>
      </c>
      <c r="Q855" s="228">
        <f t="shared" si="95"/>
        <v>80.5</v>
      </c>
      <c r="R855" s="343">
        <f t="shared" si="96"/>
        <v>-34.5</v>
      </c>
      <c r="S855" s="240"/>
      <c r="T855" s="201"/>
      <c r="U855" s="201"/>
      <c r="V855" s="201"/>
    </row>
    <row r="856" spans="1:22" ht="20.100000000000001" customHeight="1" x14ac:dyDescent="0.25">
      <c r="A856" s="234" t="s">
        <v>1282</v>
      </c>
      <c r="B856" s="235" t="s">
        <v>1198</v>
      </c>
      <c r="C856" s="234" t="s">
        <v>6</v>
      </c>
      <c r="D856" s="312">
        <v>10</v>
      </c>
      <c r="E856" s="312"/>
      <c r="F856" s="248">
        <f>D856*$U$770</f>
        <v>7</v>
      </c>
      <c r="G856" s="312"/>
      <c r="H856" s="312"/>
      <c r="I856" s="312"/>
      <c r="J856" s="248">
        <f t="shared" si="92"/>
        <v>7</v>
      </c>
      <c r="K856" s="330">
        <f t="shared" si="93"/>
        <v>-3</v>
      </c>
      <c r="L856" s="313"/>
      <c r="M856" s="228">
        <f t="shared" si="94"/>
        <v>7</v>
      </c>
      <c r="N856" s="228">
        <f t="shared" si="97"/>
        <v>0</v>
      </c>
      <c r="O856" s="228">
        <f t="shared" si="98"/>
        <v>0</v>
      </c>
      <c r="P856" s="228">
        <f t="shared" si="98"/>
        <v>0</v>
      </c>
      <c r="Q856" s="228">
        <f t="shared" si="95"/>
        <v>7</v>
      </c>
      <c r="R856" s="343">
        <f t="shared" si="96"/>
        <v>-3</v>
      </c>
      <c r="S856" s="240"/>
      <c r="T856" s="201"/>
      <c r="U856" s="201"/>
      <c r="V856" s="201"/>
    </row>
    <row r="857" spans="1:22" ht="20.100000000000001" customHeight="1" x14ac:dyDescent="0.25">
      <c r="A857" s="230" t="s">
        <v>1283</v>
      </c>
      <c r="B857" s="231" t="s">
        <v>1284</v>
      </c>
      <c r="C857" s="230"/>
      <c r="D857" s="316"/>
      <c r="E857" s="316"/>
      <c r="F857" s="317"/>
      <c r="G857" s="316"/>
      <c r="H857" s="316"/>
      <c r="I857" s="316"/>
      <c r="J857" s="248">
        <f t="shared" si="92"/>
        <v>0</v>
      </c>
      <c r="K857" s="330">
        <f t="shared" si="93"/>
        <v>0</v>
      </c>
      <c r="L857" s="318"/>
      <c r="M857" s="228">
        <f t="shared" si="94"/>
        <v>0</v>
      </c>
      <c r="N857" s="228">
        <f t="shared" si="97"/>
        <v>0</v>
      </c>
      <c r="O857" s="228">
        <f t="shared" si="98"/>
        <v>0</v>
      </c>
      <c r="P857" s="228">
        <f t="shared" si="98"/>
        <v>0</v>
      </c>
      <c r="Q857" s="228">
        <f t="shared" si="95"/>
        <v>0</v>
      </c>
      <c r="R857" s="343">
        <f t="shared" si="96"/>
        <v>0</v>
      </c>
      <c r="S857" s="240"/>
      <c r="T857" s="201"/>
      <c r="U857" s="201"/>
      <c r="V857" s="201"/>
    </row>
    <row r="858" spans="1:22" ht="20.100000000000001" customHeight="1" x14ac:dyDescent="0.25">
      <c r="A858" s="234" t="s">
        <v>1285</v>
      </c>
      <c r="B858" s="235" t="s">
        <v>1137</v>
      </c>
      <c r="C858" s="234" t="s">
        <v>6</v>
      </c>
      <c r="D858" s="312">
        <v>50</v>
      </c>
      <c r="E858" s="312"/>
      <c r="F858" s="248">
        <f>D858*$U$770</f>
        <v>35</v>
      </c>
      <c r="G858" s="312"/>
      <c r="H858" s="312"/>
      <c r="I858" s="312"/>
      <c r="J858" s="248">
        <f t="shared" si="92"/>
        <v>35</v>
      </c>
      <c r="K858" s="330">
        <f t="shared" si="93"/>
        <v>-15</v>
      </c>
      <c r="L858" s="313"/>
      <c r="M858" s="228">
        <f t="shared" si="94"/>
        <v>35</v>
      </c>
      <c r="N858" s="228">
        <f t="shared" si="97"/>
        <v>0</v>
      </c>
      <c r="O858" s="228">
        <f t="shared" si="98"/>
        <v>0</v>
      </c>
      <c r="P858" s="228">
        <f t="shared" si="98"/>
        <v>0</v>
      </c>
      <c r="Q858" s="228">
        <f t="shared" si="95"/>
        <v>35</v>
      </c>
      <c r="R858" s="343">
        <f t="shared" si="96"/>
        <v>-15</v>
      </c>
      <c r="S858" s="240"/>
      <c r="T858" s="201"/>
      <c r="U858" s="201"/>
      <c r="V858" s="201"/>
    </row>
    <row r="859" spans="1:22" ht="20.100000000000001" customHeight="1" x14ac:dyDescent="0.25">
      <c r="A859" s="234" t="s">
        <v>1286</v>
      </c>
      <c r="B859" s="235" t="s">
        <v>1186</v>
      </c>
      <c r="C859" s="234" t="s">
        <v>6</v>
      </c>
      <c r="D859" s="312">
        <v>10</v>
      </c>
      <c r="E859" s="312"/>
      <c r="F859" s="248">
        <f>D859*$U$770</f>
        <v>7</v>
      </c>
      <c r="G859" s="312"/>
      <c r="H859" s="312"/>
      <c r="I859" s="312"/>
      <c r="J859" s="248">
        <f t="shared" si="92"/>
        <v>7</v>
      </c>
      <c r="K859" s="330">
        <f t="shared" si="93"/>
        <v>-3</v>
      </c>
      <c r="L859" s="313"/>
      <c r="M859" s="228">
        <f t="shared" si="94"/>
        <v>7</v>
      </c>
      <c r="N859" s="228">
        <f t="shared" si="97"/>
        <v>0</v>
      </c>
      <c r="O859" s="228">
        <f t="shared" si="98"/>
        <v>0</v>
      </c>
      <c r="P859" s="228">
        <f t="shared" si="98"/>
        <v>0</v>
      </c>
      <c r="Q859" s="228">
        <f t="shared" si="95"/>
        <v>7</v>
      </c>
      <c r="R859" s="343">
        <f t="shared" si="96"/>
        <v>-3</v>
      </c>
      <c r="S859" s="240"/>
      <c r="T859" s="201"/>
      <c r="U859" s="201"/>
      <c r="V859" s="201"/>
    </row>
    <row r="860" spans="1:22" ht="20.100000000000001" customHeight="1" x14ac:dyDescent="0.25">
      <c r="A860" s="230" t="s">
        <v>1287</v>
      </c>
      <c r="B860" s="231" t="s">
        <v>1288</v>
      </c>
      <c r="C860" s="230"/>
      <c r="D860" s="316"/>
      <c r="E860" s="316"/>
      <c r="F860" s="317"/>
      <c r="G860" s="316"/>
      <c r="H860" s="316"/>
      <c r="I860" s="316"/>
      <c r="J860" s="248">
        <f t="shared" si="92"/>
        <v>0</v>
      </c>
      <c r="K860" s="330">
        <f t="shared" si="93"/>
        <v>0</v>
      </c>
      <c r="L860" s="318"/>
      <c r="M860" s="228">
        <f t="shared" si="94"/>
        <v>0</v>
      </c>
      <c r="N860" s="228">
        <f t="shared" si="97"/>
        <v>0</v>
      </c>
      <c r="O860" s="228">
        <f t="shared" si="98"/>
        <v>0</v>
      </c>
      <c r="P860" s="228">
        <f t="shared" si="98"/>
        <v>0</v>
      </c>
      <c r="Q860" s="228">
        <f t="shared" si="95"/>
        <v>0</v>
      </c>
      <c r="R860" s="343">
        <f t="shared" si="96"/>
        <v>0</v>
      </c>
      <c r="S860" s="240"/>
      <c r="T860" s="201"/>
      <c r="U860" s="201"/>
      <c r="V860" s="201"/>
    </row>
    <row r="861" spans="1:22" ht="20.100000000000001" customHeight="1" x14ac:dyDescent="0.25">
      <c r="A861" s="234" t="s">
        <v>1289</v>
      </c>
      <c r="B861" s="235" t="s">
        <v>1196</v>
      </c>
      <c r="C861" s="234" t="s">
        <v>6</v>
      </c>
      <c r="D861" s="312">
        <v>50</v>
      </c>
      <c r="E861" s="312"/>
      <c r="F861" s="248">
        <f>D861*$U$770</f>
        <v>35</v>
      </c>
      <c r="G861" s="312"/>
      <c r="H861" s="312"/>
      <c r="I861" s="312"/>
      <c r="J861" s="248">
        <f t="shared" si="92"/>
        <v>35</v>
      </c>
      <c r="K861" s="330">
        <f t="shared" si="93"/>
        <v>-15</v>
      </c>
      <c r="L861" s="313"/>
      <c r="M861" s="228">
        <f t="shared" si="94"/>
        <v>35</v>
      </c>
      <c r="N861" s="228">
        <f t="shared" si="97"/>
        <v>0</v>
      </c>
      <c r="O861" s="228">
        <f t="shared" si="98"/>
        <v>0</v>
      </c>
      <c r="P861" s="228">
        <f t="shared" si="98"/>
        <v>0</v>
      </c>
      <c r="Q861" s="228">
        <f t="shared" si="95"/>
        <v>35</v>
      </c>
      <c r="R861" s="343">
        <f t="shared" si="96"/>
        <v>-15</v>
      </c>
      <c r="S861" s="240"/>
      <c r="T861" s="201"/>
      <c r="U861" s="201"/>
      <c r="V861" s="201"/>
    </row>
    <row r="862" spans="1:22" ht="20.100000000000001" customHeight="1" x14ac:dyDescent="0.25">
      <c r="A862" s="234" t="s">
        <v>1290</v>
      </c>
      <c r="B862" s="235" t="s">
        <v>1198</v>
      </c>
      <c r="C862" s="234" t="s">
        <v>6</v>
      </c>
      <c r="D862" s="312">
        <v>10</v>
      </c>
      <c r="E862" s="312"/>
      <c r="F862" s="248">
        <f>D862*$U$770</f>
        <v>7</v>
      </c>
      <c r="G862" s="312"/>
      <c r="H862" s="312"/>
      <c r="I862" s="312"/>
      <c r="J862" s="248">
        <f t="shared" si="92"/>
        <v>7</v>
      </c>
      <c r="K862" s="330">
        <f t="shared" si="93"/>
        <v>-3</v>
      </c>
      <c r="L862" s="313"/>
      <c r="M862" s="228">
        <f t="shared" si="94"/>
        <v>7</v>
      </c>
      <c r="N862" s="228">
        <f t="shared" si="97"/>
        <v>0</v>
      </c>
      <c r="O862" s="228">
        <f t="shared" si="98"/>
        <v>0</v>
      </c>
      <c r="P862" s="228">
        <f t="shared" si="98"/>
        <v>0</v>
      </c>
      <c r="Q862" s="228">
        <f t="shared" si="95"/>
        <v>7</v>
      </c>
      <c r="R862" s="343">
        <f t="shared" si="96"/>
        <v>-3</v>
      </c>
      <c r="S862" s="240"/>
      <c r="T862" s="201"/>
      <c r="U862" s="201"/>
      <c r="V862" s="201"/>
    </row>
    <row r="863" spans="1:22" ht="20.100000000000001" customHeight="1" x14ac:dyDescent="0.25">
      <c r="A863" s="230" t="s">
        <v>1291</v>
      </c>
      <c r="B863" s="231" t="s">
        <v>1292</v>
      </c>
      <c r="C863" s="230"/>
      <c r="D863" s="316"/>
      <c r="E863" s="316"/>
      <c r="F863" s="317"/>
      <c r="G863" s="316"/>
      <c r="H863" s="316"/>
      <c r="I863" s="316"/>
      <c r="J863" s="248">
        <f t="shared" si="92"/>
        <v>0</v>
      </c>
      <c r="K863" s="330">
        <f t="shared" si="93"/>
        <v>0</v>
      </c>
      <c r="L863" s="318"/>
      <c r="M863" s="228">
        <f t="shared" si="94"/>
        <v>0</v>
      </c>
      <c r="N863" s="228">
        <f t="shared" si="97"/>
        <v>0</v>
      </c>
      <c r="O863" s="228">
        <f t="shared" si="98"/>
        <v>0</v>
      </c>
      <c r="P863" s="228">
        <f t="shared" si="98"/>
        <v>0</v>
      </c>
      <c r="Q863" s="228">
        <f t="shared" si="95"/>
        <v>0</v>
      </c>
      <c r="R863" s="343">
        <f t="shared" si="96"/>
        <v>0</v>
      </c>
      <c r="S863" s="240"/>
      <c r="T863" s="201"/>
      <c r="U863" s="201"/>
      <c r="V863" s="201"/>
    </row>
    <row r="864" spans="1:22" ht="20.100000000000001" customHeight="1" x14ac:dyDescent="0.25">
      <c r="A864" s="234" t="s">
        <v>1293</v>
      </c>
      <c r="B864" s="235" t="s">
        <v>1137</v>
      </c>
      <c r="C864" s="234" t="s">
        <v>6</v>
      </c>
      <c r="D864" s="312">
        <v>30</v>
      </c>
      <c r="E864" s="312"/>
      <c r="F864" s="248">
        <f>D864*$U$770</f>
        <v>21</v>
      </c>
      <c r="G864" s="312"/>
      <c r="H864" s="312"/>
      <c r="I864" s="312"/>
      <c r="J864" s="248">
        <f t="shared" si="92"/>
        <v>21</v>
      </c>
      <c r="K864" s="330">
        <f t="shared" si="93"/>
        <v>-9</v>
      </c>
      <c r="L864" s="313"/>
      <c r="M864" s="228">
        <f t="shared" si="94"/>
        <v>21</v>
      </c>
      <c r="N864" s="228">
        <f t="shared" si="97"/>
        <v>0</v>
      </c>
      <c r="O864" s="228">
        <f t="shared" si="98"/>
        <v>0</v>
      </c>
      <c r="P864" s="228">
        <f t="shared" si="98"/>
        <v>0</v>
      </c>
      <c r="Q864" s="228">
        <f t="shared" si="95"/>
        <v>21</v>
      </c>
      <c r="R864" s="343">
        <f t="shared" si="96"/>
        <v>-9</v>
      </c>
      <c r="S864" s="240"/>
      <c r="T864" s="201"/>
      <c r="U864" s="201"/>
      <c r="V864" s="201"/>
    </row>
    <row r="865" spans="1:22" ht="20.100000000000001" customHeight="1" x14ac:dyDescent="0.25">
      <c r="A865" s="234" t="s">
        <v>1294</v>
      </c>
      <c r="B865" s="235" t="s">
        <v>1186</v>
      </c>
      <c r="C865" s="234" t="s">
        <v>6</v>
      </c>
      <c r="D865" s="312">
        <v>10</v>
      </c>
      <c r="E865" s="312"/>
      <c r="F865" s="248">
        <f>D865*$U$770</f>
        <v>7</v>
      </c>
      <c r="G865" s="312"/>
      <c r="H865" s="312"/>
      <c r="I865" s="312"/>
      <c r="J865" s="248">
        <f t="shared" si="92"/>
        <v>7</v>
      </c>
      <c r="K865" s="330">
        <f t="shared" si="93"/>
        <v>-3</v>
      </c>
      <c r="L865" s="313"/>
      <c r="M865" s="228">
        <f t="shared" si="94"/>
        <v>7</v>
      </c>
      <c r="N865" s="228">
        <f t="shared" si="97"/>
        <v>0</v>
      </c>
      <c r="O865" s="228">
        <f t="shared" si="98"/>
        <v>0</v>
      </c>
      <c r="P865" s="228">
        <f t="shared" si="98"/>
        <v>0</v>
      </c>
      <c r="Q865" s="228">
        <f t="shared" si="95"/>
        <v>7</v>
      </c>
      <c r="R865" s="343">
        <f t="shared" si="96"/>
        <v>-3</v>
      </c>
      <c r="S865" s="240"/>
      <c r="T865" s="201"/>
      <c r="U865" s="201"/>
      <c r="V865" s="201"/>
    </row>
    <row r="866" spans="1:22" ht="20.100000000000001" customHeight="1" x14ac:dyDescent="0.25">
      <c r="A866" s="230" t="s">
        <v>1295</v>
      </c>
      <c r="B866" s="231" t="s">
        <v>1296</v>
      </c>
      <c r="C866" s="230"/>
      <c r="D866" s="316"/>
      <c r="E866" s="316"/>
      <c r="F866" s="317"/>
      <c r="G866" s="316"/>
      <c r="H866" s="316"/>
      <c r="I866" s="316"/>
      <c r="J866" s="248">
        <f t="shared" si="92"/>
        <v>0</v>
      </c>
      <c r="K866" s="330">
        <f t="shared" si="93"/>
        <v>0</v>
      </c>
      <c r="L866" s="318"/>
      <c r="M866" s="228">
        <f t="shared" si="94"/>
        <v>0</v>
      </c>
      <c r="N866" s="228">
        <f t="shared" si="97"/>
        <v>0</v>
      </c>
      <c r="O866" s="228">
        <f t="shared" si="98"/>
        <v>0</v>
      </c>
      <c r="P866" s="228">
        <f t="shared" si="98"/>
        <v>0</v>
      </c>
      <c r="Q866" s="228">
        <f t="shared" si="95"/>
        <v>0</v>
      </c>
      <c r="R866" s="343">
        <f t="shared" si="96"/>
        <v>0</v>
      </c>
      <c r="S866" s="240"/>
      <c r="T866" s="201"/>
      <c r="U866" s="201"/>
      <c r="V866" s="201"/>
    </row>
    <row r="867" spans="1:22" ht="20.100000000000001" customHeight="1" x14ac:dyDescent="0.25">
      <c r="A867" s="234" t="s">
        <v>1297</v>
      </c>
      <c r="B867" s="235" t="s">
        <v>1196</v>
      </c>
      <c r="C867" s="234" t="s">
        <v>6</v>
      </c>
      <c r="D867" s="312">
        <v>25</v>
      </c>
      <c r="E867" s="312"/>
      <c r="F867" s="248">
        <f>D867*$U$770</f>
        <v>17.5</v>
      </c>
      <c r="G867" s="312"/>
      <c r="H867" s="312"/>
      <c r="I867" s="312"/>
      <c r="J867" s="248">
        <f t="shared" si="92"/>
        <v>17.5</v>
      </c>
      <c r="K867" s="330">
        <f t="shared" si="93"/>
        <v>-7.5</v>
      </c>
      <c r="L867" s="313"/>
      <c r="M867" s="228">
        <f t="shared" si="94"/>
        <v>17.5</v>
      </c>
      <c r="N867" s="228">
        <f t="shared" si="97"/>
        <v>0</v>
      </c>
      <c r="O867" s="228">
        <f t="shared" si="98"/>
        <v>0</v>
      </c>
      <c r="P867" s="228">
        <f t="shared" si="98"/>
        <v>0</v>
      </c>
      <c r="Q867" s="228">
        <f t="shared" si="95"/>
        <v>17.5</v>
      </c>
      <c r="R867" s="343">
        <f t="shared" si="96"/>
        <v>-7.5</v>
      </c>
      <c r="S867" s="240"/>
      <c r="T867" s="201"/>
      <c r="U867" s="201"/>
      <c r="V867" s="201"/>
    </row>
    <row r="868" spans="1:22" ht="20.100000000000001" customHeight="1" x14ac:dyDescent="0.25">
      <c r="A868" s="234" t="s">
        <v>1298</v>
      </c>
      <c r="B868" s="235" t="s">
        <v>1198</v>
      </c>
      <c r="C868" s="234" t="s">
        <v>6</v>
      </c>
      <c r="D868" s="312">
        <v>10</v>
      </c>
      <c r="E868" s="312"/>
      <c r="F868" s="248">
        <f>D868*$U$770</f>
        <v>7</v>
      </c>
      <c r="G868" s="312"/>
      <c r="H868" s="312"/>
      <c r="I868" s="312"/>
      <c r="J868" s="248">
        <f t="shared" si="92"/>
        <v>7</v>
      </c>
      <c r="K868" s="330">
        <f t="shared" si="93"/>
        <v>-3</v>
      </c>
      <c r="L868" s="313"/>
      <c r="M868" s="228">
        <f t="shared" si="94"/>
        <v>7</v>
      </c>
      <c r="N868" s="228">
        <f t="shared" si="97"/>
        <v>0</v>
      </c>
      <c r="O868" s="228">
        <f t="shared" si="98"/>
        <v>0</v>
      </c>
      <c r="P868" s="228">
        <f t="shared" si="98"/>
        <v>0</v>
      </c>
      <c r="Q868" s="228">
        <f t="shared" si="95"/>
        <v>7</v>
      </c>
      <c r="R868" s="343">
        <f t="shared" si="96"/>
        <v>-3</v>
      </c>
      <c r="S868" s="240"/>
      <c r="T868" s="201"/>
      <c r="U868" s="201"/>
      <c r="V868" s="201"/>
    </row>
    <row r="869" spans="1:22" ht="20.100000000000001" customHeight="1" x14ac:dyDescent="0.25">
      <c r="A869" s="230" t="s">
        <v>1299</v>
      </c>
      <c r="B869" s="231" t="s">
        <v>1300</v>
      </c>
      <c r="C869" s="230"/>
      <c r="D869" s="316"/>
      <c r="E869" s="316"/>
      <c r="F869" s="317"/>
      <c r="G869" s="316"/>
      <c r="H869" s="316"/>
      <c r="I869" s="316"/>
      <c r="J869" s="248">
        <f t="shared" si="92"/>
        <v>0</v>
      </c>
      <c r="K869" s="330">
        <f t="shared" si="93"/>
        <v>0</v>
      </c>
      <c r="L869" s="318"/>
      <c r="M869" s="228">
        <f t="shared" si="94"/>
        <v>0</v>
      </c>
      <c r="N869" s="228">
        <f t="shared" si="97"/>
        <v>0</v>
      </c>
      <c r="O869" s="228">
        <f t="shared" si="98"/>
        <v>0</v>
      </c>
      <c r="P869" s="228">
        <f t="shared" si="98"/>
        <v>0</v>
      </c>
      <c r="Q869" s="228">
        <f t="shared" si="95"/>
        <v>0</v>
      </c>
      <c r="R869" s="343">
        <f t="shared" si="96"/>
        <v>0</v>
      </c>
      <c r="S869" s="240"/>
      <c r="T869" s="201"/>
      <c r="U869" s="201"/>
      <c r="V869" s="201"/>
    </row>
    <row r="870" spans="1:22" ht="20.100000000000001" customHeight="1" x14ac:dyDescent="0.25">
      <c r="A870" s="234" t="s">
        <v>1301</v>
      </c>
      <c r="B870" s="235" t="s">
        <v>1196</v>
      </c>
      <c r="C870" s="234" t="s">
        <v>6</v>
      </c>
      <c r="D870" s="312">
        <v>20</v>
      </c>
      <c r="E870" s="312"/>
      <c r="F870" s="248">
        <f>D870*$U$770</f>
        <v>14</v>
      </c>
      <c r="G870" s="312"/>
      <c r="H870" s="312"/>
      <c r="I870" s="312"/>
      <c r="J870" s="248">
        <f t="shared" si="92"/>
        <v>14</v>
      </c>
      <c r="K870" s="330">
        <f t="shared" si="93"/>
        <v>-6</v>
      </c>
      <c r="L870" s="313"/>
      <c r="M870" s="228">
        <f t="shared" si="94"/>
        <v>14</v>
      </c>
      <c r="N870" s="228">
        <f t="shared" si="97"/>
        <v>0</v>
      </c>
      <c r="O870" s="228">
        <f t="shared" si="98"/>
        <v>0</v>
      </c>
      <c r="P870" s="228">
        <f t="shared" si="98"/>
        <v>0</v>
      </c>
      <c r="Q870" s="228">
        <f t="shared" si="95"/>
        <v>14</v>
      </c>
      <c r="R870" s="343">
        <f t="shared" si="96"/>
        <v>-6</v>
      </c>
      <c r="S870" s="240"/>
      <c r="T870" s="201"/>
      <c r="U870" s="201"/>
      <c r="V870" s="201"/>
    </row>
    <row r="871" spans="1:22" ht="20.100000000000001" customHeight="1" x14ac:dyDescent="0.25">
      <c r="A871" s="234" t="s">
        <v>1302</v>
      </c>
      <c r="B871" s="235" t="s">
        <v>1198</v>
      </c>
      <c r="C871" s="234" t="s">
        <v>6</v>
      </c>
      <c r="D871" s="312">
        <v>10</v>
      </c>
      <c r="E871" s="312"/>
      <c r="F871" s="248">
        <f>D871*$U$770</f>
        <v>7</v>
      </c>
      <c r="G871" s="312"/>
      <c r="H871" s="312"/>
      <c r="I871" s="312"/>
      <c r="J871" s="248">
        <f t="shared" si="92"/>
        <v>7</v>
      </c>
      <c r="K871" s="330">
        <f t="shared" si="93"/>
        <v>-3</v>
      </c>
      <c r="L871" s="313"/>
      <c r="M871" s="228">
        <f t="shared" si="94"/>
        <v>7</v>
      </c>
      <c r="N871" s="228">
        <f t="shared" si="97"/>
        <v>0</v>
      </c>
      <c r="O871" s="228">
        <f t="shared" si="98"/>
        <v>0</v>
      </c>
      <c r="P871" s="228">
        <f t="shared" si="98"/>
        <v>0</v>
      </c>
      <c r="Q871" s="228">
        <f t="shared" si="95"/>
        <v>7</v>
      </c>
      <c r="R871" s="343">
        <f t="shared" si="96"/>
        <v>-3</v>
      </c>
      <c r="S871" s="240"/>
      <c r="T871" s="201"/>
      <c r="U871" s="201"/>
      <c r="V871" s="201"/>
    </row>
    <row r="872" spans="1:22" ht="20.100000000000001" customHeight="1" x14ac:dyDescent="0.25">
      <c r="A872" s="230" t="s">
        <v>1303</v>
      </c>
      <c r="B872" s="231" t="s">
        <v>1304</v>
      </c>
      <c r="C872" s="230"/>
      <c r="D872" s="316"/>
      <c r="E872" s="316"/>
      <c r="F872" s="317"/>
      <c r="G872" s="316"/>
      <c r="H872" s="316"/>
      <c r="I872" s="316"/>
      <c r="J872" s="248">
        <f t="shared" si="92"/>
        <v>0</v>
      </c>
      <c r="K872" s="330">
        <f t="shared" si="93"/>
        <v>0</v>
      </c>
      <c r="L872" s="318"/>
      <c r="M872" s="228">
        <f t="shared" si="94"/>
        <v>0</v>
      </c>
      <c r="N872" s="228">
        <f t="shared" si="97"/>
        <v>0</v>
      </c>
      <c r="O872" s="228">
        <f t="shared" si="98"/>
        <v>0</v>
      </c>
      <c r="P872" s="228">
        <f t="shared" si="98"/>
        <v>0</v>
      </c>
      <c r="Q872" s="228">
        <f t="shared" si="95"/>
        <v>0</v>
      </c>
      <c r="R872" s="343">
        <f t="shared" si="96"/>
        <v>0</v>
      </c>
      <c r="S872" s="240"/>
      <c r="T872" s="201"/>
      <c r="U872" s="201"/>
      <c r="V872" s="201"/>
    </row>
    <row r="873" spans="1:22" ht="20.100000000000001" customHeight="1" x14ac:dyDescent="0.25">
      <c r="A873" s="234" t="s">
        <v>1305</v>
      </c>
      <c r="B873" s="235" t="s">
        <v>1306</v>
      </c>
      <c r="C873" s="234" t="s">
        <v>6</v>
      </c>
      <c r="D873" s="312">
        <v>115</v>
      </c>
      <c r="E873" s="312"/>
      <c r="F873" s="248">
        <f>D873*$U$770</f>
        <v>80.5</v>
      </c>
      <c r="G873" s="312"/>
      <c r="H873" s="312"/>
      <c r="I873" s="312"/>
      <c r="J873" s="248">
        <f t="shared" si="92"/>
        <v>80.5</v>
      </c>
      <c r="K873" s="330">
        <f t="shared" si="93"/>
        <v>-34.5</v>
      </c>
      <c r="L873" s="313"/>
      <c r="M873" s="228">
        <f t="shared" si="94"/>
        <v>80.5</v>
      </c>
      <c r="N873" s="228">
        <f t="shared" si="97"/>
        <v>0</v>
      </c>
      <c r="O873" s="228">
        <f t="shared" si="98"/>
        <v>0</v>
      </c>
      <c r="P873" s="228">
        <f t="shared" si="98"/>
        <v>0</v>
      </c>
      <c r="Q873" s="228">
        <f t="shared" si="95"/>
        <v>80.5</v>
      </c>
      <c r="R873" s="343">
        <f t="shared" si="96"/>
        <v>-34.5</v>
      </c>
      <c r="S873" s="240"/>
      <c r="T873" s="201"/>
      <c r="U873" s="201"/>
      <c r="V873" s="201"/>
    </row>
    <row r="874" spans="1:22" ht="20.100000000000001" customHeight="1" x14ac:dyDescent="0.25">
      <c r="A874" s="234" t="s">
        <v>1307</v>
      </c>
      <c r="B874" s="235" t="s">
        <v>1238</v>
      </c>
      <c r="C874" s="234" t="s">
        <v>6</v>
      </c>
      <c r="D874" s="312">
        <v>10</v>
      </c>
      <c r="E874" s="312"/>
      <c r="F874" s="248">
        <f>D874*$U$770</f>
        <v>7</v>
      </c>
      <c r="G874" s="312"/>
      <c r="H874" s="312"/>
      <c r="I874" s="312"/>
      <c r="J874" s="248">
        <f t="shared" si="92"/>
        <v>7</v>
      </c>
      <c r="K874" s="330">
        <f t="shared" si="93"/>
        <v>-3</v>
      </c>
      <c r="L874" s="313"/>
      <c r="M874" s="228">
        <f t="shared" si="94"/>
        <v>7</v>
      </c>
      <c r="N874" s="228">
        <f t="shared" si="97"/>
        <v>0</v>
      </c>
      <c r="O874" s="228">
        <f t="shared" si="98"/>
        <v>0</v>
      </c>
      <c r="P874" s="228">
        <f t="shared" si="98"/>
        <v>0</v>
      </c>
      <c r="Q874" s="228">
        <f t="shared" si="95"/>
        <v>7</v>
      </c>
      <c r="R874" s="343">
        <f t="shared" si="96"/>
        <v>-3</v>
      </c>
      <c r="S874" s="240"/>
      <c r="T874" s="201"/>
      <c r="U874" s="201"/>
      <c r="V874" s="201"/>
    </row>
    <row r="875" spans="1:22" ht="27.75" customHeight="1" x14ac:dyDescent="0.25">
      <c r="A875" s="230" t="s">
        <v>1308</v>
      </c>
      <c r="B875" s="231" t="s">
        <v>1309</v>
      </c>
      <c r="C875" s="230"/>
      <c r="D875" s="316"/>
      <c r="E875" s="316"/>
      <c r="F875" s="317"/>
      <c r="G875" s="316"/>
      <c r="H875" s="316"/>
      <c r="I875" s="316"/>
      <c r="J875" s="248">
        <f t="shared" si="92"/>
        <v>0</v>
      </c>
      <c r="K875" s="330">
        <f t="shared" si="93"/>
        <v>0</v>
      </c>
      <c r="L875" s="318"/>
      <c r="M875" s="228">
        <f t="shared" si="94"/>
        <v>0</v>
      </c>
      <c r="N875" s="228">
        <f t="shared" si="97"/>
        <v>0</v>
      </c>
      <c r="O875" s="228">
        <f t="shared" si="98"/>
        <v>0</v>
      </c>
      <c r="P875" s="228">
        <f t="shared" si="98"/>
        <v>0</v>
      </c>
      <c r="Q875" s="228">
        <f t="shared" si="95"/>
        <v>0</v>
      </c>
      <c r="R875" s="343">
        <f t="shared" si="96"/>
        <v>0</v>
      </c>
      <c r="S875" s="240"/>
      <c r="T875" s="201"/>
      <c r="U875" s="201"/>
      <c r="V875" s="201"/>
    </row>
    <row r="876" spans="1:22" ht="20.100000000000001" customHeight="1" x14ac:dyDescent="0.25">
      <c r="A876" s="234" t="s">
        <v>1310</v>
      </c>
      <c r="B876" s="235" t="s">
        <v>1137</v>
      </c>
      <c r="C876" s="234" t="s">
        <v>6</v>
      </c>
      <c r="D876" s="312">
        <v>30</v>
      </c>
      <c r="E876" s="312"/>
      <c r="F876" s="248">
        <f>D876*$U$770</f>
        <v>21</v>
      </c>
      <c r="G876" s="312"/>
      <c r="H876" s="312"/>
      <c r="I876" s="312"/>
      <c r="J876" s="248">
        <f t="shared" si="92"/>
        <v>21</v>
      </c>
      <c r="K876" s="330">
        <f t="shared" si="93"/>
        <v>-9</v>
      </c>
      <c r="L876" s="313"/>
      <c r="M876" s="228">
        <f t="shared" si="94"/>
        <v>21</v>
      </c>
      <c r="N876" s="228">
        <f t="shared" si="97"/>
        <v>0</v>
      </c>
      <c r="O876" s="228">
        <f t="shared" si="98"/>
        <v>0</v>
      </c>
      <c r="P876" s="228">
        <f t="shared" si="98"/>
        <v>0</v>
      </c>
      <c r="Q876" s="228">
        <f t="shared" si="95"/>
        <v>21</v>
      </c>
      <c r="R876" s="343">
        <f t="shared" si="96"/>
        <v>-9</v>
      </c>
      <c r="S876" s="240"/>
      <c r="T876" s="201"/>
      <c r="U876" s="201"/>
      <c r="V876" s="201"/>
    </row>
    <row r="877" spans="1:22" ht="20.100000000000001" customHeight="1" x14ac:dyDescent="0.25">
      <c r="A877" s="234" t="s">
        <v>1311</v>
      </c>
      <c r="B877" s="235" t="s">
        <v>1186</v>
      </c>
      <c r="C877" s="234" t="s">
        <v>6</v>
      </c>
      <c r="D877" s="312">
        <v>10</v>
      </c>
      <c r="E877" s="312"/>
      <c r="F877" s="248">
        <f>D877*$U$770</f>
        <v>7</v>
      </c>
      <c r="G877" s="312"/>
      <c r="H877" s="312"/>
      <c r="I877" s="312"/>
      <c r="J877" s="248">
        <f t="shared" si="92"/>
        <v>7</v>
      </c>
      <c r="K877" s="330">
        <f t="shared" si="93"/>
        <v>-3</v>
      </c>
      <c r="L877" s="313"/>
      <c r="M877" s="228">
        <f t="shared" si="94"/>
        <v>7</v>
      </c>
      <c r="N877" s="228">
        <f t="shared" si="97"/>
        <v>0</v>
      </c>
      <c r="O877" s="228">
        <f t="shared" si="98"/>
        <v>0</v>
      </c>
      <c r="P877" s="228">
        <f t="shared" si="98"/>
        <v>0</v>
      </c>
      <c r="Q877" s="228">
        <f t="shared" si="95"/>
        <v>7</v>
      </c>
      <c r="R877" s="343">
        <f t="shared" si="96"/>
        <v>-3</v>
      </c>
      <c r="S877" s="240"/>
      <c r="T877" s="201"/>
      <c r="U877" s="201"/>
      <c r="V877" s="201"/>
    </row>
    <row r="878" spans="1:22" ht="20.100000000000001" customHeight="1" x14ac:dyDescent="0.25">
      <c r="A878" s="230" t="s">
        <v>1312</v>
      </c>
      <c r="B878" s="231" t="s">
        <v>1313</v>
      </c>
      <c r="C878" s="230"/>
      <c r="D878" s="316"/>
      <c r="E878" s="316"/>
      <c r="F878" s="317"/>
      <c r="G878" s="316"/>
      <c r="H878" s="316"/>
      <c r="I878" s="316"/>
      <c r="J878" s="248">
        <f t="shared" si="92"/>
        <v>0</v>
      </c>
      <c r="K878" s="330">
        <f t="shared" si="93"/>
        <v>0</v>
      </c>
      <c r="L878" s="318"/>
      <c r="M878" s="228">
        <f t="shared" si="94"/>
        <v>0</v>
      </c>
      <c r="N878" s="228">
        <f t="shared" si="97"/>
        <v>0</v>
      </c>
      <c r="O878" s="228">
        <f t="shared" si="98"/>
        <v>0</v>
      </c>
      <c r="P878" s="228">
        <f t="shared" si="98"/>
        <v>0</v>
      </c>
      <c r="Q878" s="228">
        <f t="shared" si="95"/>
        <v>0</v>
      </c>
      <c r="R878" s="343">
        <f t="shared" si="96"/>
        <v>0</v>
      </c>
      <c r="S878" s="240"/>
      <c r="T878" s="201"/>
      <c r="U878" s="201"/>
      <c r="V878" s="201"/>
    </row>
    <row r="879" spans="1:22" ht="20.100000000000001" customHeight="1" x14ac:dyDescent="0.25">
      <c r="A879" s="234" t="s">
        <v>1314</v>
      </c>
      <c r="B879" s="235" t="s">
        <v>1135</v>
      </c>
      <c r="C879" s="234" t="s">
        <v>6</v>
      </c>
      <c r="D879" s="312">
        <v>55</v>
      </c>
      <c r="E879" s="312"/>
      <c r="F879" s="248">
        <f>D879*$U$770</f>
        <v>38.5</v>
      </c>
      <c r="G879" s="312"/>
      <c r="H879" s="312"/>
      <c r="I879" s="312"/>
      <c r="J879" s="248">
        <f t="shared" si="92"/>
        <v>38.5</v>
      </c>
      <c r="K879" s="330">
        <f t="shared" si="93"/>
        <v>-16.5</v>
      </c>
      <c r="L879" s="313"/>
      <c r="M879" s="228">
        <f t="shared" si="94"/>
        <v>38.5</v>
      </c>
      <c r="N879" s="228">
        <f t="shared" si="97"/>
        <v>0</v>
      </c>
      <c r="O879" s="228">
        <f t="shared" si="98"/>
        <v>0</v>
      </c>
      <c r="P879" s="228">
        <f t="shared" si="98"/>
        <v>0</v>
      </c>
      <c r="Q879" s="228">
        <f t="shared" si="95"/>
        <v>38.5</v>
      </c>
      <c r="R879" s="343">
        <f t="shared" si="96"/>
        <v>-16.5</v>
      </c>
      <c r="S879" s="240"/>
      <c r="T879" s="201"/>
      <c r="U879" s="201"/>
      <c r="V879" s="201"/>
    </row>
    <row r="880" spans="1:22" ht="20.100000000000001" customHeight="1" x14ac:dyDescent="0.25">
      <c r="A880" s="234" t="s">
        <v>1315</v>
      </c>
      <c r="B880" s="235" t="s">
        <v>1203</v>
      </c>
      <c r="C880" s="234" t="s">
        <v>6</v>
      </c>
      <c r="D880" s="312">
        <v>10</v>
      </c>
      <c r="E880" s="312"/>
      <c r="F880" s="248">
        <f>D880*$U$770</f>
        <v>7</v>
      </c>
      <c r="G880" s="312"/>
      <c r="H880" s="312"/>
      <c r="I880" s="312"/>
      <c r="J880" s="248">
        <f t="shared" si="92"/>
        <v>7</v>
      </c>
      <c r="K880" s="330">
        <f t="shared" si="93"/>
        <v>-3</v>
      </c>
      <c r="L880" s="313"/>
      <c r="M880" s="228">
        <f t="shared" si="94"/>
        <v>7</v>
      </c>
      <c r="N880" s="228">
        <f t="shared" si="97"/>
        <v>0</v>
      </c>
      <c r="O880" s="228">
        <f t="shared" si="98"/>
        <v>0</v>
      </c>
      <c r="P880" s="228">
        <f t="shared" si="98"/>
        <v>0</v>
      </c>
      <c r="Q880" s="228">
        <f t="shared" si="95"/>
        <v>7</v>
      </c>
      <c r="R880" s="343">
        <f t="shared" si="96"/>
        <v>-3</v>
      </c>
      <c r="S880" s="240"/>
      <c r="T880" s="201"/>
      <c r="U880" s="201"/>
      <c r="V880" s="201"/>
    </row>
    <row r="881" spans="1:22" ht="20.100000000000001" customHeight="1" x14ac:dyDescent="0.25">
      <c r="A881" s="230" t="s">
        <v>1316</v>
      </c>
      <c r="B881" s="231" t="s">
        <v>1317</v>
      </c>
      <c r="C881" s="230"/>
      <c r="D881" s="316"/>
      <c r="E881" s="316"/>
      <c r="F881" s="317"/>
      <c r="G881" s="316"/>
      <c r="H881" s="316"/>
      <c r="I881" s="316"/>
      <c r="J881" s="248">
        <f t="shared" si="92"/>
        <v>0</v>
      </c>
      <c r="K881" s="330">
        <f t="shared" si="93"/>
        <v>0</v>
      </c>
      <c r="L881" s="318"/>
      <c r="M881" s="228">
        <f t="shared" si="94"/>
        <v>0</v>
      </c>
      <c r="N881" s="228">
        <f t="shared" si="97"/>
        <v>0</v>
      </c>
      <c r="O881" s="228">
        <f t="shared" si="98"/>
        <v>0</v>
      </c>
      <c r="P881" s="228">
        <f t="shared" si="98"/>
        <v>0</v>
      </c>
      <c r="Q881" s="228">
        <f t="shared" si="95"/>
        <v>0</v>
      </c>
      <c r="R881" s="343">
        <f t="shared" si="96"/>
        <v>0</v>
      </c>
      <c r="S881" s="240"/>
      <c r="T881" s="201"/>
      <c r="U881" s="201"/>
      <c r="V881" s="201"/>
    </row>
    <row r="882" spans="1:22" ht="20.100000000000001" customHeight="1" x14ac:dyDescent="0.25">
      <c r="A882" s="234" t="s">
        <v>1318</v>
      </c>
      <c r="B882" s="235" t="s">
        <v>1135</v>
      </c>
      <c r="C882" s="234" t="s">
        <v>6</v>
      </c>
      <c r="D882" s="312">
        <v>60</v>
      </c>
      <c r="E882" s="312"/>
      <c r="F882" s="248">
        <f>D882*$U$770</f>
        <v>42</v>
      </c>
      <c r="G882" s="312"/>
      <c r="H882" s="312"/>
      <c r="I882" s="312"/>
      <c r="J882" s="248">
        <f t="shared" si="92"/>
        <v>42</v>
      </c>
      <c r="K882" s="330">
        <f t="shared" si="93"/>
        <v>-18</v>
      </c>
      <c r="L882" s="313"/>
      <c r="M882" s="228">
        <f t="shared" si="94"/>
        <v>42</v>
      </c>
      <c r="N882" s="228">
        <f t="shared" si="97"/>
        <v>0</v>
      </c>
      <c r="O882" s="228">
        <f t="shared" si="98"/>
        <v>0</v>
      </c>
      <c r="P882" s="228">
        <f t="shared" si="98"/>
        <v>0</v>
      </c>
      <c r="Q882" s="228">
        <f t="shared" si="95"/>
        <v>42</v>
      </c>
      <c r="R882" s="343">
        <f t="shared" si="96"/>
        <v>-18</v>
      </c>
      <c r="S882" s="240"/>
      <c r="T882" s="201"/>
      <c r="U882" s="201"/>
      <c r="V882" s="201"/>
    </row>
    <row r="883" spans="1:22" ht="20.100000000000001" customHeight="1" x14ac:dyDescent="0.25">
      <c r="A883" s="234" t="s">
        <v>1319</v>
      </c>
      <c r="B883" s="235" t="s">
        <v>1203</v>
      </c>
      <c r="C883" s="234" t="s">
        <v>6</v>
      </c>
      <c r="D883" s="312">
        <v>10</v>
      </c>
      <c r="E883" s="312"/>
      <c r="F883" s="248">
        <f>D883*$U$770</f>
        <v>7</v>
      </c>
      <c r="G883" s="312"/>
      <c r="H883" s="312"/>
      <c r="I883" s="312"/>
      <c r="J883" s="248">
        <f t="shared" si="92"/>
        <v>7</v>
      </c>
      <c r="K883" s="330">
        <f t="shared" si="93"/>
        <v>-3</v>
      </c>
      <c r="L883" s="313"/>
      <c r="M883" s="228">
        <f t="shared" si="94"/>
        <v>7</v>
      </c>
      <c r="N883" s="228">
        <f t="shared" si="97"/>
        <v>0</v>
      </c>
      <c r="O883" s="228">
        <f t="shared" si="98"/>
        <v>0</v>
      </c>
      <c r="P883" s="228">
        <f t="shared" si="98"/>
        <v>0</v>
      </c>
      <c r="Q883" s="228">
        <f t="shared" si="95"/>
        <v>7</v>
      </c>
      <c r="R883" s="343">
        <f t="shared" si="96"/>
        <v>-3</v>
      </c>
      <c r="S883" s="240"/>
      <c r="T883" s="201"/>
      <c r="U883" s="201"/>
      <c r="V883" s="201"/>
    </row>
    <row r="884" spans="1:22" ht="20.100000000000001" customHeight="1" x14ac:dyDescent="0.25">
      <c r="A884" s="230" t="s">
        <v>1320</v>
      </c>
      <c r="B884" s="231" t="s">
        <v>1321</v>
      </c>
      <c r="C884" s="230"/>
      <c r="D884" s="316"/>
      <c r="E884" s="316"/>
      <c r="F884" s="317"/>
      <c r="G884" s="316"/>
      <c r="H884" s="316"/>
      <c r="I884" s="316"/>
      <c r="J884" s="248">
        <f t="shared" si="92"/>
        <v>0</v>
      </c>
      <c r="K884" s="330">
        <f t="shared" si="93"/>
        <v>0</v>
      </c>
      <c r="L884" s="318"/>
      <c r="M884" s="228">
        <f t="shared" si="94"/>
        <v>0</v>
      </c>
      <c r="N884" s="228">
        <f t="shared" si="97"/>
        <v>0</v>
      </c>
      <c r="O884" s="228">
        <f t="shared" si="98"/>
        <v>0</v>
      </c>
      <c r="P884" s="228">
        <f t="shared" si="98"/>
        <v>0</v>
      </c>
      <c r="Q884" s="228">
        <f t="shared" si="95"/>
        <v>0</v>
      </c>
      <c r="R884" s="343">
        <f t="shared" si="96"/>
        <v>0</v>
      </c>
      <c r="S884" s="240"/>
      <c r="T884" s="201"/>
      <c r="U884" s="201"/>
      <c r="V884" s="201"/>
    </row>
    <row r="885" spans="1:22" ht="20.100000000000001" customHeight="1" x14ac:dyDescent="0.25">
      <c r="A885" s="234" t="s">
        <v>1322</v>
      </c>
      <c r="B885" s="235" t="s">
        <v>1135</v>
      </c>
      <c r="C885" s="234" t="s">
        <v>6</v>
      </c>
      <c r="D885" s="312">
        <v>65</v>
      </c>
      <c r="E885" s="312"/>
      <c r="F885" s="248">
        <f>D885*$U$770</f>
        <v>45.5</v>
      </c>
      <c r="G885" s="312"/>
      <c r="H885" s="312"/>
      <c r="I885" s="312"/>
      <c r="J885" s="248">
        <f t="shared" si="92"/>
        <v>45.5</v>
      </c>
      <c r="K885" s="330">
        <f t="shared" si="93"/>
        <v>-19.5</v>
      </c>
      <c r="L885" s="313"/>
      <c r="M885" s="228">
        <f t="shared" si="94"/>
        <v>45.5</v>
      </c>
      <c r="N885" s="228">
        <f t="shared" si="97"/>
        <v>0</v>
      </c>
      <c r="O885" s="228">
        <f t="shared" si="98"/>
        <v>0</v>
      </c>
      <c r="P885" s="228">
        <f t="shared" si="98"/>
        <v>0</v>
      </c>
      <c r="Q885" s="228">
        <f t="shared" si="95"/>
        <v>45.5</v>
      </c>
      <c r="R885" s="343">
        <f t="shared" si="96"/>
        <v>-19.5</v>
      </c>
      <c r="S885" s="240"/>
      <c r="T885" s="201"/>
      <c r="U885" s="201"/>
      <c r="V885" s="201"/>
    </row>
    <row r="886" spans="1:22" ht="20.100000000000001" customHeight="1" x14ac:dyDescent="0.25">
      <c r="A886" s="234" t="s">
        <v>1323</v>
      </c>
      <c r="B886" s="235" t="s">
        <v>1203</v>
      </c>
      <c r="C886" s="234" t="s">
        <v>6</v>
      </c>
      <c r="D886" s="312">
        <v>10</v>
      </c>
      <c r="E886" s="312"/>
      <c r="F886" s="248">
        <f>D886*$U$770</f>
        <v>7</v>
      </c>
      <c r="G886" s="312"/>
      <c r="H886" s="312"/>
      <c r="I886" s="312"/>
      <c r="J886" s="248">
        <f t="shared" si="92"/>
        <v>7</v>
      </c>
      <c r="K886" s="330">
        <f t="shared" si="93"/>
        <v>-3</v>
      </c>
      <c r="L886" s="313"/>
      <c r="M886" s="228">
        <f t="shared" si="94"/>
        <v>7</v>
      </c>
      <c r="N886" s="228">
        <f t="shared" si="97"/>
        <v>0</v>
      </c>
      <c r="O886" s="228">
        <f t="shared" si="98"/>
        <v>0</v>
      </c>
      <c r="P886" s="228">
        <f t="shared" si="98"/>
        <v>0</v>
      </c>
      <c r="Q886" s="228">
        <f t="shared" si="95"/>
        <v>7</v>
      </c>
      <c r="R886" s="343">
        <f t="shared" si="96"/>
        <v>-3</v>
      </c>
      <c r="S886" s="240"/>
      <c r="T886" s="201"/>
      <c r="U886" s="201"/>
      <c r="V886" s="201"/>
    </row>
    <row r="887" spans="1:22" ht="20.100000000000001" customHeight="1" x14ac:dyDescent="0.25">
      <c r="A887" s="230" t="s">
        <v>1324</v>
      </c>
      <c r="B887" s="231" t="s">
        <v>1325</v>
      </c>
      <c r="C887" s="230"/>
      <c r="D887" s="316"/>
      <c r="E887" s="316"/>
      <c r="F887" s="317"/>
      <c r="G887" s="316"/>
      <c r="H887" s="316"/>
      <c r="I887" s="316"/>
      <c r="J887" s="248">
        <f t="shared" si="92"/>
        <v>0</v>
      </c>
      <c r="K887" s="330">
        <f t="shared" si="93"/>
        <v>0</v>
      </c>
      <c r="L887" s="318"/>
      <c r="M887" s="228">
        <f t="shared" si="94"/>
        <v>0</v>
      </c>
      <c r="N887" s="228">
        <f t="shared" si="97"/>
        <v>0</v>
      </c>
      <c r="O887" s="228">
        <f t="shared" si="98"/>
        <v>0</v>
      </c>
      <c r="P887" s="228">
        <f t="shared" si="98"/>
        <v>0</v>
      </c>
      <c r="Q887" s="228">
        <f t="shared" si="95"/>
        <v>0</v>
      </c>
      <c r="R887" s="343">
        <f t="shared" si="96"/>
        <v>0</v>
      </c>
      <c r="S887" s="240"/>
      <c r="T887" s="201"/>
      <c r="U887" s="201"/>
      <c r="V887" s="201"/>
    </row>
    <row r="888" spans="1:22" ht="20.100000000000001" customHeight="1" x14ac:dyDescent="0.25">
      <c r="A888" s="234" t="s">
        <v>1326</v>
      </c>
      <c r="B888" s="235" t="s">
        <v>1135</v>
      </c>
      <c r="C888" s="234" t="s">
        <v>6</v>
      </c>
      <c r="D888" s="312">
        <v>70</v>
      </c>
      <c r="E888" s="312"/>
      <c r="F888" s="248">
        <f>D888*$U$770</f>
        <v>49</v>
      </c>
      <c r="G888" s="312"/>
      <c r="H888" s="312"/>
      <c r="I888" s="312"/>
      <c r="J888" s="248">
        <f t="shared" si="92"/>
        <v>49</v>
      </c>
      <c r="K888" s="330">
        <f t="shared" si="93"/>
        <v>-21</v>
      </c>
      <c r="L888" s="313"/>
      <c r="M888" s="228">
        <f t="shared" si="94"/>
        <v>49</v>
      </c>
      <c r="N888" s="228">
        <f t="shared" si="97"/>
        <v>0</v>
      </c>
      <c r="O888" s="228">
        <f t="shared" si="98"/>
        <v>0</v>
      </c>
      <c r="P888" s="228">
        <f t="shared" si="98"/>
        <v>0</v>
      </c>
      <c r="Q888" s="228">
        <f t="shared" si="95"/>
        <v>49</v>
      </c>
      <c r="R888" s="343">
        <f t="shared" si="96"/>
        <v>-21</v>
      </c>
      <c r="S888" s="240"/>
      <c r="T888" s="201"/>
      <c r="U888" s="201"/>
      <c r="V888" s="201"/>
    </row>
    <row r="889" spans="1:22" ht="20.100000000000001" customHeight="1" x14ac:dyDescent="0.25">
      <c r="A889" s="234" t="s">
        <v>1327</v>
      </c>
      <c r="B889" s="235" t="s">
        <v>1203</v>
      </c>
      <c r="C889" s="234" t="s">
        <v>6</v>
      </c>
      <c r="D889" s="312">
        <v>10</v>
      </c>
      <c r="E889" s="312"/>
      <c r="F889" s="248">
        <f>D889*$U$770</f>
        <v>7</v>
      </c>
      <c r="G889" s="312"/>
      <c r="H889" s="312"/>
      <c r="I889" s="312"/>
      <c r="J889" s="248">
        <f t="shared" si="92"/>
        <v>7</v>
      </c>
      <c r="K889" s="330">
        <f t="shared" si="93"/>
        <v>-3</v>
      </c>
      <c r="L889" s="313"/>
      <c r="M889" s="228">
        <f t="shared" si="94"/>
        <v>7</v>
      </c>
      <c r="N889" s="228">
        <f t="shared" si="97"/>
        <v>0</v>
      </c>
      <c r="O889" s="228">
        <f t="shared" si="98"/>
        <v>0</v>
      </c>
      <c r="P889" s="228">
        <f t="shared" si="98"/>
        <v>0</v>
      </c>
      <c r="Q889" s="228">
        <f t="shared" si="95"/>
        <v>7</v>
      </c>
      <c r="R889" s="343">
        <f t="shared" si="96"/>
        <v>-3</v>
      </c>
      <c r="S889" s="240"/>
      <c r="T889" s="201"/>
      <c r="U889" s="201"/>
      <c r="V889" s="201"/>
    </row>
    <row r="890" spans="1:22" ht="20.100000000000001" customHeight="1" x14ac:dyDescent="0.25">
      <c r="A890" s="230" t="s">
        <v>1328</v>
      </c>
      <c r="B890" s="231" t="s">
        <v>1329</v>
      </c>
      <c r="C890" s="230"/>
      <c r="D890" s="316"/>
      <c r="E890" s="316"/>
      <c r="F890" s="317"/>
      <c r="G890" s="316"/>
      <c r="H890" s="316"/>
      <c r="I890" s="316"/>
      <c r="J890" s="248">
        <f t="shared" ref="J890:J953" si="99">F890+G890+H890+I890</f>
        <v>0</v>
      </c>
      <c r="K890" s="330">
        <f t="shared" ref="K890:K953" si="100">J890-D890</f>
        <v>0</v>
      </c>
      <c r="L890" s="318"/>
      <c r="M890" s="228">
        <f t="shared" ref="M890:M953" si="101">F890</f>
        <v>0</v>
      </c>
      <c r="N890" s="228">
        <f t="shared" si="97"/>
        <v>0</v>
      </c>
      <c r="O890" s="228">
        <f t="shared" si="98"/>
        <v>0</v>
      </c>
      <c r="P890" s="228">
        <f t="shared" si="98"/>
        <v>0</v>
      </c>
      <c r="Q890" s="228">
        <f t="shared" ref="Q890:Q953" si="102">M890+N890+O890+P890</f>
        <v>0</v>
      </c>
      <c r="R890" s="343">
        <f t="shared" ref="R890:R953" si="103">Q890-D890</f>
        <v>0</v>
      </c>
      <c r="S890" s="240"/>
      <c r="T890" s="201"/>
      <c r="U890" s="201"/>
      <c r="V890" s="201"/>
    </row>
    <row r="891" spans="1:22" ht="20.100000000000001" customHeight="1" x14ac:dyDescent="0.25">
      <c r="A891" s="234" t="s">
        <v>1330</v>
      </c>
      <c r="B891" s="235" t="s">
        <v>1135</v>
      </c>
      <c r="C891" s="234" t="s">
        <v>6</v>
      </c>
      <c r="D891" s="312">
        <v>75</v>
      </c>
      <c r="E891" s="312"/>
      <c r="F891" s="248">
        <f>D891*$U$770</f>
        <v>52.5</v>
      </c>
      <c r="G891" s="312"/>
      <c r="H891" s="312"/>
      <c r="I891" s="312"/>
      <c r="J891" s="248">
        <f t="shared" si="99"/>
        <v>52.5</v>
      </c>
      <c r="K891" s="330">
        <f t="shared" si="100"/>
        <v>-22.5</v>
      </c>
      <c r="L891" s="313"/>
      <c r="M891" s="228">
        <f t="shared" si="101"/>
        <v>52.5</v>
      </c>
      <c r="N891" s="228">
        <f t="shared" si="97"/>
        <v>0</v>
      </c>
      <c r="O891" s="228">
        <f t="shared" si="98"/>
        <v>0</v>
      </c>
      <c r="P891" s="228">
        <f t="shared" si="98"/>
        <v>0</v>
      </c>
      <c r="Q891" s="228">
        <f t="shared" si="102"/>
        <v>52.5</v>
      </c>
      <c r="R891" s="343">
        <f t="shared" si="103"/>
        <v>-22.5</v>
      </c>
      <c r="S891" s="240"/>
      <c r="T891" s="201"/>
      <c r="U891" s="201"/>
      <c r="V891" s="201"/>
    </row>
    <row r="892" spans="1:22" ht="20.100000000000001" customHeight="1" x14ac:dyDescent="0.25">
      <c r="A892" s="234" t="s">
        <v>1331</v>
      </c>
      <c r="B892" s="235" t="s">
        <v>1203</v>
      </c>
      <c r="C892" s="234" t="s">
        <v>6</v>
      </c>
      <c r="D892" s="312">
        <v>10</v>
      </c>
      <c r="E892" s="312"/>
      <c r="F892" s="248">
        <f>D892*$U$770</f>
        <v>7</v>
      </c>
      <c r="G892" s="312"/>
      <c r="H892" s="312"/>
      <c r="I892" s="312"/>
      <c r="J892" s="248">
        <f t="shared" si="99"/>
        <v>7</v>
      </c>
      <c r="K892" s="330">
        <f t="shared" si="100"/>
        <v>-3</v>
      </c>
      <c r="L892" s="313"/>
      <c r="M892" s="228">
        <f t="shared" si="101"/>
        <v>7</v>
      </c>
      <c r="N892" s="228">
        <f t="shared" si="97"/>
        <v>0</v>
      </c>
      <c r="O892" s="228">
        <f t="shared" si="98"/>
        <v>0</v>
      </c>
      <c r="P892" s="228">
        <f t="shared" si="98"/>
        <v>0</v>
      </c>
      <c r="Q892" s="228">
        <f t="shared" si="102"/>
        <v>7</v>
      </c>
      <c r="R892" s="343">
        <f t="shared" si="103"/>
        <v>-3</v>
      </c>
      <c r="S892" s="240"/>
      <c r="T892" s="201"/>
      <c r="U892" s="201"/>
      <c r="V892" s="201"/>
    </row>
    <row r="893" spans="1:22" ht="20.100000000000001" customHeight="1" x14ac:dyDescent="0.25">
      <c r="A893" s="230" t="s">
        <v>1332</v>
      </c>
      <c r="B893" s="231" t="s">
        <v>1333</v>
      </c>
      <c r="C893" s="230"/>
      <c r="D893" s="316"/>
      <c r="E893" s="316"/>
      <c r="F893" s="317"/>
      <c r="G893" s="316"/>
      <c r="H893" s="316"/>
      <c r="I893" s="316"/>
      <c r="J893" s="248">
        <f t="shared" si="99"/>
        <v>0</v>
      </c>
      <c r="K893" s="330">
        <f t="shared" si="100"/>
        <v>0</v>
      </c>
      <c r="L893" s="318"/>
      <c r="M893" s="228">
        <f t="shared" si="101"/>
        <v>0</v>
      </c>
      <c r="N893" s="228">
        <f t="shared" si="97"/>
        <v>0</v>
      </c>
      <c r="O893" s="228">
        <f t="shared" si="98"/>
        <v>0</v>
      </c>
      <c r="P893" s="228">
        <f t="shared" si="98"/>
        <v>0</v>
      </c>
      <c r="Q893" s="228">
        <f t="shared" si="102"/>
        <v>0</v>
      </c>
      <c r="R893" s="343">
        <f t="shared" si="103"/>
        <v>0</v>
      </c>
      <c r="S893" s="240"/>
      <c r="T893" s="201"/>
      <c r="U893" s="201"/>
      <c r="V893" s="201"/>
    </row>
    <row r="894" spans="1:22" ht="20.100000000000001" customHeight="1" x14ac:dyDescent="0.25">
      <c r="A894" s="234" t="s">
        <v>1334</v>
      </c>
      <c r="B894" s="235" t="s">
        <v>1135</v>
      </c>
      <c r="C894" s="234" t="s">
        <v>6</v>
      </c>
      <c r="D894" s="312">
        <v>80</v>
      </c>
      <c r="E894" s="312"/>
      <c r="F894" s="248">
        <f>D894*$U$770</f>
        <v>56</v>
      </c>
      <c r="G894" s="312"/>
      <c r="H894" s="312"/>
      <c r="I894" s="312"/>
      <c r="J894" s="248">
        <f t="shared" si="99"/>
        <v>56</v>
      </c>
      <c r="K894" s="330">
        <f t="shared" si="100"/>
        <v>-24</v>
      </c>
      <c r="L894" s="313"/>
      <c r="M894" s="228">
        <f t="shared" si="101"/>
        <v>56</v>
      </c>
      <c r="N894" s="228">
        <f t="shared" si="97"/>
        <v>0</v>
      </c>
      <c r="O894" s="228">
        <f t="shared" si="98"/>
        <v>0</v>
      </c>
      <c r="P894" s="228">
        <f t="shared" si="98"/>
        <v>0</v>
      </c>
      <c r="Q894" s="228">
        <f t="shared" si="102"/>
        <v>56</v>
      </c>
      <c r="R894" s="343">
        <f t="shared" si="103"/>
        <v>-24</v>
      </c>
      <c r="S894" s="240"/>
      <c r="T894" s="201"/>
      <c r="U894" s="201"/>
      <c r="V894" s="201"/>
    </row>
    <row r="895" spans="1:22" ht="20.100000000000001" customHeight="1" x14ac:dyDescent="0.25">
      <c r="A895" s="234" t="s">
        <v>1335</v>
      </c>
      <c r="B895" s="235" t="s">
        <v>1203</v>
      </c>
      <c r="C895" s="234" t="s">
        <v>6</v>
      </c>
      <c r="D895" s="312">
        <v>10</v>
      </c>
      <c r="E895" s="312"/>
      <c r="F895" s="248">
        <f>D895*$U$770</f>
        <v>7</v>
      </c>
      <c r="G895" s="312"/>
      <c r="H895" s="312"/>
      <c r="I895" s="312"/>
      <c r="J895" s="248">
        <f t="shared" si="99"/>
        <v>7</v>
      </c>
      <c r="K895" s="330">
        <f t="shared" si="100"/>
        <v>-3</v>
      </c>
      <c r="L895" s="313"/>
      <c r="M895" s="228">
        <f t="shared" si="101"/>
        <v>7</v>
      </c>
      <c r="N895" s="228">
        <f t="shared" si="97"/>
        <v>0</v>
      </c>
      <c r="O895" s="228">
        <f t="shared" si="98"/>
        <v>0</v>
      </c>
      <c r="P895" s="228">
        <f t="shared" si="98"/>
        <v>0</v>
      </c>
      <c r="Q895" s="228">
        <f t="shared" si="102"/>
        <v>7</v>
      </c>
      <c r="R895" s="343">
        <f t="shared" si="103"/>
        <v>-3</v>
      </c>
      <c r="S895" s="240"/>
      <c r="T895" s="201"/>
      <c r="U895" s="201"/>
      <c r="V895" s="201"/>
    </row>
    <row r="896" spans="1:22" ht="20.100000000000001" customHeight="1" x14ac:dyDescent="0.25">
      <c r="A896" s="230" t="s">
        <v>1336</v>
      </c>
      <c r="B896" s="231" t="s">
        <v>1337</v>
      </c>
      <c r="C896" s="230"/>
      <c r="D896" s="316"/>
      <c r="E896" s="316"/>
      <c r="F896" s="317"/>
      <c r="G896" s="316"/>
      <c r="H896" s="316"/>
      <c r="I896" s="316"/>
      <c r="J896" s="248">
        <f t="shared" si="99"/>
        <v>0</v>
      </c>
      <c r="K896" s="330">
        <f t="shared" si="100"/>
        <v>0</v>
      </c>
      <c r="L896" s="318"/>
      <c r="M896" s="228">
        <f t="shared" si="101"/>
        <v>0</v>
      </c>
      <c r="N896" s="228">
        <f t="shared" si="97"/>
        <v>0</v>
      </c>
      <c r="O896" s="228">
        <f t="shared" si="98"/>
        <v>0</v>
      </c>
      <c r="P896" s="228">
        <f t="shared" si="98"/>
        <v>0</v>
      </c>
      <c r="Q896" s="228">
        <f t="shared" si="102"/>
        <v>0</v>
      </c>
      <c r="R896" s="343">
        <f t="shared" si="103"/>
        <v>0</v>
      </c>
      <c r="S896" s="240"/>
      <c r="T896" s="201"/>
      <c r="U896" s="201"/>
      <c r="V896" s="201"/>
    </row>
    <row r="897" spans="1:22" ht="20.100000000000001" customHeight="1" x14ac:dyDescent="0.25">
      <c r="A897" s="234" t="s">
        <v>1338</v>
      </c>
      <c r="B897" s="235" t="s">
        <v>1135</v>
      </c>
      <c r="C897" s="234" t="s">
        <v>6</v>
      </c>
      <c r="D897" s="312">
        <v>85</v>
      </c>
      <c r="E897" s="312"/>
      <c r="F897" s="248">
        <f>D897*$U$770</f>
        <v>59.499999999999993</v>
      </c>
      <c r="G897" s="312"/>
      <c r="H897" s="312"/>
      <c r="I897" s="312"/>
      <c r="J897" s="248">
        <f t="shared" si="99"/>
        <v>59.499999999999993</v>
      </c>
      <c r="K897" s="330">
        <f t="shared" si="100"/>
        <v>-25.500000000000007</v>
      </c>
      <c r="L897" s="313"/>
      <c r="M897" s="228">
        <f t="shared" si="101"/>
        <v>59.499999999999993</v>
      </c>
      <c r="N897" s="228">
        <f t="shared" si="97"/>
        <v>0</v>
      </c>
      <c r="O897" s="228">
        <f t="shared" si="98"/>
        <v>0</v>
      </c>
      <c r="P897" s="228">
        <f t="shared" si="98"/>
        <v>0</v>
      </c>
      <c r="Q897" s="228">
        <f t="shared" si="102"/>
        <v>59.499999999999993</v>
      </c>
      <c r="R897" s="343">
        <f t="shared" si="103"/>
        <v>-25.500000000000007</v>
      </c>
      <c r="S897" s="240"/>
      <c r="T897" s="201"/>
      <c r="U897" s="201"/>
      <c r="V897" s="201"/>
    </row>
    <row r="898" spans="1:22" ht="20.100000000000001" customHeight="1" x14ac:dyDescent="0.25">
      <c r="A898" s="234" t="s">
        <v>1339</v>
      </c>
      <c r="B898" s="235" t="s">
        <v>1203</v>
      </c>
      <c r="C898" s="234" t="s">
        <v>6</v>
      </c>
      <c r="D898" s="312">
        <v>10</v>
      </c>
      <c r="E898" s="312"/>
      <c r="F898" s="248">
        <f>D898*$U$770</f>
        <v>7</v>
      </c>
      <c r="G898" s="312"/>
      <c r="H898" s="312"/>
      <c r="I898" s="312"/>
      <c r="J898" s="248">
        <f t="shared" si="99"/>
        <v>7</v>
      </c>
      <c r="K898" s="330">
        <f t="shared" si="100"/>
        <v>-3</v>
      </c>
      <c r="L898" s="313"/>
      <c r="M898" s="228">
        <f t="shared" si="101"/>
        <v>7</v>
      </c>
      <c r="N898" s="228">
        <f t="shared" si="97"/>
        <v>0</v>
      </c>
      <c r="O898" s="228">
        <f t="shared" si="98"/>
        <v>0</v>
      </c>
      <c r="P898" s="228">
        <f t="shared" si="98"/>
        <v>0</v>
      </c>
      <c r="Q898" s="228">
        <f t="shared" si="102"/>
        <v>7</v>
      </c>
      <c r="R898" s="343">
        <f t="shared" si="103"/>
        <v>-3</v>
      </c>
      <c r="S898" s="240"/>
      <c r="T898" s="201"/>
      <c r="U898" s="201"/>
      <c r="V898" s="201"/>
    </row>
    <row r="899" spans="1:22" ht="20.100000000000001" customHeight="1" x14ac:dyDescent="0.25">
      <c r="A899" s="230" t="s">
        <v>1340</v>
      </c>
      <c r="B899" s="231" t="s">
        <v>1341</v>
      </c>
      <c r="C899" s="230"/>
      <c r="D899" s="316"/>
      <c r="E899" s="316"/>
      <c r="F899" s="317"/>
      <c r="G899" s="316"/>
      <c r="H899" s="316"/>
      <c r="I899" s="316"/>
      <c r="J899" s="248">
        <f t="shared" si="99"/>
        <v>0</v>
      </c>
      <c r="K899" s="330">
        <f t="shared" si="100"/>
        <v>0</v>
      </c>
      <c r="L899" s="318"/>
      <c r="M899" s="228">
        <f t="shared" si="101"/>
        <v>0</v>
      </c>
      <c r="N899" s="228">
        <f t="shared" si="97"/>
        <v>0</v>
      </c>
      <c r="O899" s="228">
        <f t="shared" si="98"/>
        <v>0</v>
      </c>
      <c r="P899" s="228">
        <f t="shared" si="98"/>
        <v>0</v>
      </c>
      <c r="Q899" s="228">
        <f t="shared" si="102"/>
        <v>0</v>
      </c>
      <c r="R899" s="343">
        <f t="shared" si="103"/>
        <v>0</v>
      </c>
      <c r="S899" s="240"/>
      <c r="T899" s="201"/>
      <c r="U899" s="201"/>
      <c r="V899" s="201"/>
    </row>
    <row r="900" spans="1:22" ht="20.100000000000001" customHeight="1" x14ac:dyDescent="0.25">
      <c r="A900" s="234" t="s">
        <v>1342</v>
      </c>
      <c r="B900" s="235" t="s">
        <v>1135</v>
      </c>
      <c r="C900" s="234" t="s">
        <v>6</v>
      </c>
      <c r="D900" s="312">
        <v>90</v>
      </c>
      <c r="E900" s="312"/>
      <c r="F900" s="248">
        <f>D900*$U$770</f>
        <v>62.999999999999993</v>
      </c>
      <c r="G900" s="312"/>
      <c r="H900" s="312"/>
      <c r="I900" s="312"/>
      <c r="J900" s="248">
        <f t="shared" si="99"/>
        <v>62.999999999999993</v>
      </c>
      <c r="K900" s="330">
        <f t="shared" si="100"/>
        <v>-27.000000000000007</v>
      </c>
      <c r="L900" s="313"/>
      <c r="M900" s="228">
        <f t="shared" si="101"/>
        <v>62.999999999999993</v>
      </c>
      <c r="N900" s="228">
        <f t="shared" si="97"/>
        <v>0</v>
      </c>
      <c r="O900" s="228">
        <f t="shared" si="98"/>
        <v>0</v>
      </c>
      <c r="P900" s="228">
        <f t="shared" si="98"/>
        <v>0</v>
      </c>
      <c r="Q900" s="228">
        <f t="shared" si="102"/>
        <v>62.999999999999993</v>
      </c>
      <c r="R900" s="343">
        <f t="shared" si="103"/>
        <v>-27.000000000000007</v>
      </c>
      <c r="S900" s="240"/>
      <c r="T900" s="201"/>
      <c r="U900" s="201"/>
      <c r="V900" s="201"/>
    </row>
    <row r="901" spans="1:22" ht="20.100000000000001" customHeight="1" x14ac:dyDescent="0.25">
      <c r="A901" s="234" t="s">
        <v>1343</v>
      </c>
      <c r="B901" s="235" t="s">
        <v>1203</v>
      </c>
      <c r="C901" s="234" t="s">
        <v>6</v>
      </c>
      <c r="D901" s="312">
        <v>10</v>
      </c>
      <c r="E901" s="312"/>
      <c r="F901" s="248">
        <f>D901*$U$770</f>
        <v>7</v>
      </c>
      <c r="G901" s="312"/>
      <c r="H901" s="312"/>
      <c r="I901" s="312"/>
      <c r="J901" s="248">
        <f t="shared" si="99"/>
        <v>7</v>
      </c>
      <c r="K901" s="330">
        <f t="shared" si="100"/>
        <v>-3</v>
      </c>
      <c r="L901" s="313"/>
      <c r="M901" s="228">
        <f t="shared" si="101"/>
        <v>7</v>
      </c>
      <c r="N901" s="228">
        <f t="shared" si="97"/>
        <v>0</v>
      </c>
      <c r="O901" s="228">
        <f t="shared" si="98"/>
        <v>0</v>
      </c>
      <c r="P901" s="228">
        <f t="shared" si="98"/>
        <v>0</v>
      </c>
      <c r="Q901" s="228">
        <f t="shared" si="102"/>
        <v>7</v>
      </c>
      <c r="R901" s="343">
        <f t="shared" si="103"/>
        <v>-3</v>
      </c>
      <c r="S901" s="240"/>
      <c r="T901" s="201"/>
      <c r="U901" s="201"/>
      <c r="V901" s="201"/>
    </row>
    <row r="902" spans="1:22" ht="20.100000000000001" customHeight="1" x14ac:dyDescent="0.25">
      <c r="A902" s="230" t="s">
        <v>1344</v>
      </c>
      <c r="B902" s="231" t="s">
        <v>1345</v>
      </c>
      <c r="C902" s="230"/>
      <c r="D902" s="316"/>
      <c r="E902" s="316"/>
      <c r="F902" s="317"/>
      <c r="G902" s="316"/>
      <c r="H902" s="316"/>
      <c r="I902" s="316"/>
      <c r="J902" s="248">
        <f t="shared" si="99"/>
        <v>0</v>
      </c>
      <c r="K902" s="330">
        <f t="shared" si="100"/>
        <v>0</v>
      </c>
      <c r="L902" s="318"/>
      <c r="M902" s="228">
        <f t="shared" si="101"/>
        <v>0</v>
      </c>
      <c r="N902" s="228">
        <f t="shared" si="97"/>
        <v>0</v>
      </c>
      <c r="O902" s="228">
        <f t="shared" si="98"/>
        <v>0</v>
      </c>
      <c r="P902" s="228">
        <f t="shared" si="98"/>
        <v>0</v>
      </c>
      <c r="Q902" s="228">
        <f t="shared" si="102"/>
        <v>0</v>
      </c>
      <c r="R902" s="343">
        <f t="shared" si="103"/>
        <v>0</v>
      </c>
      <c r="S902" s="240"/>
      <c r="T902" s="201"/>
      <c r="U902" s="201"/>
      <c r="V902" s="201"/>
    </row>
    <row r="903" spans="1:22" ht="20.100000000000001" customHeight="1" x14ac:dyDescent="0.25">
      <c r="A903" s="234" t="s">
        <v>1346</v>
      </c>
      <c r="B903" s="235" t="s">
        <v>1135</v>
      </c>
      <c r="C903" s="234" t="s">
        <v>6</v>
      </c>
      <c r="D903" s="312">
        <v>95</v>
      </c>
      <c r="E903" s="312"/>
      <c r="F903" s="248">
        <f>D903*$U$770</f>
        <v>66.5</v>
      </c>
      <c r="G903" s="312"/>
      <c r="H903" s="312"/>
      <c r="I903" s="312"/>
      <c r="J903" s="248">
        <f t="shared" si="99"/>
        <v>66.5</v>
      </c>
      <c r="K903" s="330">
        <f t="shared" si="100"/>
        <v>-28.5</v>
      </c>
      <c r="L903" s="313"/>
      <c r="M903" s="228">
        <f t="shared" si="101"/>
        <v>66.5</v>
      </c>
      <c r="N903" s="228">
        <f t="shared" si="97"/>
        <v>0</v>
      </c>
      <c r="O903" s="228">
        <f t="shared" si="98"/>
        <v>0</v>
      </c>
      <c r="P903" s="228">
        <f t="shared" si="98"/>
        <v>0</v>
      </c>
      <c r="Q903" s="228">
        <f t="shared" si="102"/>
        <v>66.5</v>
      </c>
      <c r="R903" s="343">
        <f t="shared" si="103"/>
        <v>-28.5</v>
      </c>
      <c r="S903" s="240"/>
      <c r="T903" s="201"/>
      <c r="U903" s="201"/>
      <c r="V903" s="201"/>
    </row>
    <row r="904" spans="1:22" ht="20.100000000000001" customHeight="1" x14ac:dyDescent="0.25">
      <c r="A904" s="234" t="s">
        <v>1347</v>
      </c>
      <c r="B904" s="235" t="s">
        <v>1203</v>
      </c>
      <c r="C904" s="234" t="s">
        <v>6</v>
      </c>
      <c r="D904" s="312">
        <v>10</v>
      </c>
      <c r="E904" s="312"/>
      <c r="F904" s="248">
        <f>D904*$U$770</f>
        <v>7</v>
      </c>
      <c r="G904" s="312"/>
      <c r="H904" s="312"/>
      <c r="I904" s="312"/>
      <c r="J904" s="248">
        <f t="shared" si="99"/>
        <v>7</v>
      </c>
      <c r="K904" s="330">
        <f t="shared" si="100"/>
        <v>-3</v>
      </c>
      <c r="L904" s="313"/>
      <c r="M904" s="228">
        <f t="shared" si="101"/>
        <v>7</v>
      </c>
      <c r="N904" s="228">
        <f t="shared" si="97"/>
        <v>0</v>
      </c>
      <c r="O904" s="228">
        <f t="shared" si="98"/>
        <v>0</v>
      </c>
      <c r="P904" s="228">
        <f t="shared" si="98"/>
        <v>0</v>
      </c>
      <c r="Q904" s="228">
        <f t="shared" si="102"/>
        <v>7</v>
      </c>
      <c r="R904" s="343">
        <f t="shared" si="103"/>
        <v>-3</v>
      </c>
      <c r="S904" s="240"/>
      <c r="T904" s="201"/>
      <c r="U904" s="201"/>
      <c r="V904" s="201"/>
    </row>
    <row r="905" spans="1:22" ht="20.100000000000001" customHeight="1" x14ac:dyDescent="0.25">
      <c r="A905" s="230" t="s">
        <v>1348</v>
      </c>
      <c r="B905" s="231" t="s">
        <v>1349</v>
      </c>
      <c r="C905" s="230"/>
      <c r="D905" s="316"/>
      <c r="E905" s="316"/>
      <c r="F905" s="317"/>
      <c r="G905" s="316"/>
      <c r="H905" s="316"/>
      <c r="I905" s="316"/>
      <c r="J905" s="248">
        <f t="shared" si="99"/>
        <v>0</v>
      </c>
      <c r="K905" s="330">
        <f t="shared" si="100"/>
        <v>0</v>
      </c>
      <c r="L905" s="318"/>
      <c r="M905" s="228">
        <f t="shared" si="101"/>
        <v>0</v>
      </c>
      <c r="N905" s="228">
        <f t="shared" ref="N905:N968" si="104">G905</f>
        <v>0</v>
      </c>
      <c r="O905" s="228">
        <f t="shared" ref="O905:P968" si="105">H905</f>
        <v>0</v>
      </c>
      <c r="P905" s="228">
        <f t="shared" si="105"/>
        <v>0</v>
      </c>
      <c r="Q905" s="228">
        <f t="shared" si="102"/>
        <v>0</v>
      </c>
      <c r="R905" s="343">
        <f t="shared" si="103"/>
        <v>0</v>
      </c>
      <c r="S905" s="240"/>
      <c r="T905" s="201"/>
      <c r="U905" s="201"/>
      <c r="V905" s="201"/>
    </row>
    <row r="906" spans="1:22" ht="20.100000000000001" customHeight="1" x14ac:dyDescent="0.25">
      <c r="A906" s="234" t="s">
        <v>1350</v>
      </c>
      <c r="B906" s="235" t="s">
        <v>1135</v>
      </c>
      <c r="C906" s="234" t="s">
        <v>6</v>
      </c>
      <c r="D906" s="312">
        <v>100</v>
      </c>
      <c r="E906" s="312"/>
      <c r="F906" s="248">
        <f>D906*$U$770</f>
        <v>70</v>
      </c>
      <c r="G906" s="312"/>
      <c r="H906" s="312"/>
      <c r="I906" s="312"/>
      <c r="J906" s="248">
        <f t="shared" si="99"/>
        <v>70</v>
      </c>
      <c r="K906" s="330">
        <f t="shared" si="100"/>
        <v>-30</v>
      </c>
      <c r="L906" s="313"/>
      <c r="M906" s="228">
        <f t="shared" si="101"/>
        <v>70</v>
      </c>
      <c r="N906" s="228">
        <f t="shared" si="104"/>
        <v>0</v>
      </c>
      <c r="O906" s="228">
        <f t="shared" si="105"/>
        <v>0</v>
      </c>
      <c r="P906" s="228">
        <f t="shared" si="105"/>
        <v>0</v>
      </c>
      <c r="Q906" s="228">
        <f t="shared" si="102"/>
        <v>70</v>
      </c>
      <c r="R906" s="343">
        <f t="shared" si="103"/>
        <v>-30</v>
      </c>
      <c r="S906" s="240"/>
      <c r="T906" s="201"/>
      <c r="U906" s="201"/>
      <c r="V906" s="201"/>
    </row>
    <row r="907" spans="1:22" ht="20.100000000000001" customHeight="1" x14ac:dyDescent="0.25">
      <c r="A907" s="234" t="s">
        <v>1351</v>
      </c>
      <c r="B907" s="235" t="s">
        <v>1203</v>
      </c>
      <c r="C907" s="234" t="s">
        <v>6</v>
      </c>
      <c r="D907" s="312">
        <v>10</v>
      </c>
      <c r="E907" s="312"/>
      <c r="F907" s="248">
        <f>D907*$U$770</f>
        <v>7</v>
      </c>
      <c r="G907" s="312"/>
      <c r="H907" s="312"/>
      <c r="I907" s="312"/>
      <c r="J907" s="248">
        <f t="shared" si="99"/>
        <v>7</v>
      </c>
      <c r="K907" s="330">
        <f t="shared" si="100"/>
        <v>-3</v>
      </c>
      <c r="L907" s="313"/>
      <c r="M907" s="228">
        <f t="shared" si="101"/>
        <v>7</v>
      </c>
      <c r="N907" s="228">
        <f t="shared" si="104"/>
        <v>0</v>
      </c>
      <c r="O907" s="228">
        <f t="shared" si="105"/>
        <v>0</v>
      </c>
      <c r="P907" s="228">
        <f t="shared" si="105"/>
        <v>0</v>
      </c>
      <c r="Q907" s="228">
        <f t="shared" si="102"/>
        <v>7</v>
      </c>
      <c r="R907" s="343">
        <f t="shared" si="103"/>
        <v>-3</v>
      </c>
      <c r="S907" s="240"/>
      <c r="T907" s="201"/>
      <c r="U907" s="201"/>
      <c r="V907" s="201"/>
    </row>
    <row r="908" spans="1:22" ht="20.100000000000001" customHeight="1" x14ac:dyDescent="0.25">
      <c r="A908" s="230" t="s">
        <v>1352</v>
      </c>
      <c r="B908" s="231" t="s">
        <v>1353</v>
      </c>
      <c r="C908" s="230"/>
      <c r="D908" s="316"/>
      <c r="E908" s="316"/>
      <c r="F908" s="317"/>
      <c r="G908" s="316"/>
      <c r="H908" s="316"/>
      <c r="I908" s="316"/>
      <c r="J908" s="248">
        <f t="shared" si="99"/>
        <v>0</v>
      </c>
      <c r="K908" s="330">
        <f t="shared" si="100"/>
        <v>0</v>
      </c>
      <c r="L908" s="318"/>
      <c r="M908" s="228">
        <f t="shared" si="101"/>
        <v>0</v>
      </c>
      <c r="N908" s="228">
        <f t="shared" si="104"/>
        <v>0</v>
      </c>
      <c r="O908" s="228">
        <f t="shared" si="105"/>
        <v>0</v>
      </c>
      <c r="P908" s="228">
        <f t="shared" si="105"/>
        <v>0</v>
      </c>
      <c r="Q908" s="228">
        <f t="shared" si="102"/>
        <v>0</v>
      </c>
      <c r="R908" s="343">
        <f t="shared" si="103"/>
        <v>0</v>
      </c>
      <c r="S908" s="240"/>
      <c r="T908" s="201"/>
      <c r="U908" s="201"/>
      <c r="V908" s="201"/>
    </row>
    <row r="909" spans="1:22" ht="20.100000000000001" customHeight="1" x14ac:dyDescent="0.25">
      <c r="A909" s="234" t="s">
        <v>1354</v>
      </c>
      <c r="B909" s="235" t="s">
        <v>1355</v>
      </c>
      <c r="C909" s="234" t="s">
        <v>6</v>
      </c>
      <c r="D909" s="312">
        <v>105</v>
      </c>
      <c r="E909" s="312"/>
      <c r="F909" s="248">
        <f>D909*$U$770</f>
        <v>73.5</v>
      </c>
      <c r="G909" s="312"/>
      <c r="H909" s="312"/>
      <c r="I909" s="312"/>
      <c r="J909" s="248">
        <f t="shared" si="99"/>
        <v>73.5</v>
      </c>
      <c r="K909" s="330">
        <f t="shared" si="100"/>
        <v>-31.5</v>
      </c>
      <c r="L909" s="313"/>
      <c r="M909" s="228">
        <f t="shared" si="101"/>
        <v>73.5</v>
      </c>
      <c r="N909" s="228">
        <f t="shared" si="104"/>
        <v>0</v>
      </c>
      <c r="O909" s="228">
        <f t="shared" si="105"/>
        <v>0</v>
      </c>
      <c r="P909" s="228">
        <f t="shared" si="105"/>
        <v>0</v>
      </c>
      <c r="Q909" s="228">
        <f t="shared" si="102"/>
        <v>73.5</v>
      </c>
      <c r="R909" s="343">
        <f t="shared" si="103"/>
        <v>-31.5</v>
      </c>
      <c r="S909" s="240"/>
      <c r="T909" s="201"/>
      <c r="U909" s="201"/>
      <c r="V909" s="201"/>
    </row>
    <row r="910" spans="1:22" ht="20.100000000000001" customHeight="1" x14ac:dyDescent="0.25">
      <c r="A910" s="234" t="s">
        <v>1356</v>
      </c>
      <c r="B910" s="235" t="s">
        <v>1238</v>
      </c>
      <c r="C910" s="234" t="s">
        <v>6</v>
      </c>
      <c r="D910" s="312">
        <v>10</v>
      </c>
      <c r="E910" s="312"/>
      <c r="F910" s="248">
        <f>D910*$U$770</f>
        <v>7</v>
      </c>
      <c r="G910" s="312"/>
      <c r="H910" s="312"/>
      <c r="I910" s="312"/>
      <c r="J910" s="248">
        <f t="shared" si="99"/>
        <v>7</v>
      </c>
      <c r="K910" s="330">
        <f t="shared" si="100"/>
        <v>-3</v>
      </c>
      <c r="L910" s="313"/>
      <c r="M910" s="228">
        <f t="shared" si="101"/>
        <v>7</v>
      </c>
      <c r="N910" s="228">
        <f t="shared" si="104"/>
        <v>0</v>
      </c>
      <c r="O910" s="228">
        <f t="shared" si="105"/>
        <v>0</v>
      </c>
      <c r="P910" s="228">
        <f t="shared" si="105"/>
        <v>0</v>
      </c>
      <c r="Q910" s="228">
        <f t="shared" si="102"/>
        <v>7</v>
      </c>
      <c r="R910" s="343">
        <f t="shared" si="103"/>
        <v>-3</v>
      </c>
      <c r="S910" s="240"/>
      <c r="T910" s="201"/>
      <c r="U910" s="201"/>
      <c r="V910" s="201"/>
    </row>
    <row r="911" spans="1:22" ht="20.100000000000001" customHeight="1" x14ac:dyDescent="0.25">
      <c r="A911" s="230" t="s">
        <v>1357</v>
      </c>
      <c r="B911" s="231" t="s">
        <v>1358</v>
      </c>
      <c r="C911" s="230"/>
      <c r="D911" s="316"/>
      <c r="E911" s="316"/>
      <c r="F911" s="317"/>
      <c r="G911" s="316"/>
      <c r="H911" s="316"/>
      <c r="I911" s="316"/>
      <c r="J911" s="248">
        <f t="shared" si="99"/>
        <v>0</v>
      </c>
      <c r="K911" s="330">
        <f t="shared" si="100"/>
        <v>0</v>
      </c>
      <c r="L911" s="318"/>
      <c r="M911" s="228">
        <f t="shared" si="101"/>
        <v>0</v>
      </c>
      <c r="N911" s="228">
        <f t="shared" si="104"/>
        <v>0</v>
      </c>
      <c r="O911" s="228">
        <f t="shared" si="105"/>
        <v>0</v>
      </c>
      <c r="P911" s="228">
        <f t="shared" si="105"/>
        <v>0</v>
      </c>
      <c r="Q911" s="228">
        <f t="shared" si="102"/>
        <v>0</v>
      </c>
      <c r="R911" s="343">
        <f t="shared" si="103"/>
        <v>0</v>
      </c>
      <c r="S911" s="240"/>
      <c r="T911" s="201"/>
      <c r="U911" s="201"/>
      <c r="V911" s="201"/>
    </row>
    <row r="912" spans="1:22" ht="20.100000000000001" customHeight="1" x14ac:dyDescent="0.25">
      <c r="A912" s="234" t="s">
        <v>1359</v>
      </c>
      <c r="B912" s="235" t="s">
        <v>1355</v>
      </c>
      <c r="C912" s="234" t="s">
        <v>6</v>
      </c>
      <c r="D912" s="312">
        <v>110</v>
      </c>
      <c r="E912" s="312"/>
      <c r="F912" s="248">
        <f>D912*$U$770</f>
        <v>77</v>
      </c>
      <c r="G912" s="312"/>
      <c r="H912" s="312"/>
      <c r="I912" s="312"/>
      <c r="J912" s="248">
        <f t="shared" si="99"/>
        <v>77</v>
      </c>
      <c r="K912" s="330">
        <f t="shared" si="100"/>
        <v>-33</v>
      </c>
      <c r="L912" s="313"/>
      <c r="M912" s="228">
        <f t="shared" si="101"/>
        <v>77</v>
      </c>
      <c r="N912" s="228">
        <f t="shared" si="104"/>
        <v>0</v>
      </c>
      <c r="O912" s="228">
        <f t="shared" si="105"/>
        <v>0</v>
      </c>
      <c r="P912" s="228">
        <f t="shared" si="105"/>
        <v>0</v>
      </c>
      <c r="Q912" s="228">
        <f t="shared" si="102"/>
        <v>77</v>
      </c>
      <c r="R912" s="343">
        <f t="shared" si="103"/>
        <v>-33</v>
      </c>
      <c r="S912" s="240"/>
      <c r="T912" s="201"/>
      <c r="U912" s="201"/>
      <c r="V912" s="201"/>
    </row>
    <row r="913" spans="1:22" ht="20.100000000000001" customHeight="1" x14ac:dyDescent="0.25">
      <c r="A913" s="234" t="s">
        <v>1360</v>
      </c>
      <c r="B913" s="235" t="s">
        <v>1238</v>
      </c>
      <c r="C913" s="234" t="s">
        <v>6</v>
      </c>
      <c r="D913" s="312">
        <v>10</v>
      </c>
      <c r="E913" s="312"/>
      <c r="F913" s="248">
        <f>D913*$U$770</f>
        <v>7</v>
      </c>
      <c r="G913" s="312"/>
      <c r="H913" s="312"/>
      <c r="I913" s="312"/>
      <c r="J913" s="248">
        <f t="shared" si="99"/>
        <v>7</v>
      </c>
      <c r="K913" s="330">
        <f t="shared" si="100"/>
        <v>-3</v>
      </c>
      <c r="L913" s="313"/>
      <c r="M913" s="228">
        <f t="shared" si="101"/>
        <v>7</v>
      </c>
      <c r="N913" s="228">
        <f t="shared" si="104"/>
        <v>0</v>
      </c>
      <c r="O913" s="228">
        <f t="shared" si="105"/>
        <v>0</v>
      </c>
      <c r="P913" s="228">
        <f t="shared" si="105"/>
        <v>0</v>
      </c>
      <c r="Q913" s="228">
        <f t="shared" si="102"/>
        <v>7</v>
      </c>
      <c r="R913" s="343">
        <f t="shared" si="103"/>
        <v>-3</v>
      </c>
      <c r="S913" s="240"/>
      <c r="T913" s="201"/>
      <c r="U913" s="201"/>
      <c r="V913" s="201"/>
    </row>
    <row r="914" spans="1:22" ht="20.100000000000001" customHeight="1" x14ac:dyDescent="0.25">
      <c r="A914" s="230" t="s">
        <v>1361</v>
      </c>
      <c r="B914" s="231" t="s">
        <v>1362</v>
      </c>
      <c r="C914" s="230"/>
      <c r="D914" s="316"/>
      <c r="E914" s="316"/>
      <c r="F914" s="317"/>
      <c r="G914" s="316"/>
      <c r="H914" s="316"/>
      <c r="I914" s="316"/>
      <c r="J914" s="248">
        <f t="shared" si="99"/>
        <v>0</v>
      </c>
      <c r="K914" s="330">
        <f t="shared" si="100"/>
        <v>0</v>
      </c>
      <c r="L914" s="318"/>
      <c r="M914" s="228">
        <f t="shared" si="101"/>
        <v>0</v>
      </c>
      <c r="N914" s="228">
        <f t="shared" si="104"/>
        <v>0</v>
      </c>
      <c r="O914" s="228">
        <f t="shared" si="105"/>
        <v>0</v>
      </c>
      <c r="P914" s="228">
        <f t="shared" si="105"/>
        <v>0</v>
      </c>
      <c r="Q914" s="228">
        <f t="shared" si="102"/>
        <v>0</v>
      </c>
      <c r="R914" s="343">
        <f t="shared" si="103"/>
        <v>0</v>
      </c>
      <c r="S914" s="240"/>
      <c r="T914" s="201"/>
      <c r="U914" s="201"/>
      <c r="V914" s="201"/>
    </row>
    <row r="915" spans="1:22" ht="20.100000000000001" customHeight="1" x14ac:dyDescent="0.25">
      <c r="A915" s="234" t="s">
        <v>1363</v>
      </c>
      <c r="B915" s="235" t="s">
        <v>1255</v>
      </c>
      <c r="C915" s="234" t="s">
        <v>6</v>
      </c>
      <c r="D915" s="312">
        <v>115</v>
      </c>
      <c r="E915" s="312"/>
      <c r="F915" s="248">
        <f>D915*$U$770</f>
        <v>80.5</v>
      </c>
      <c r="G915" s="312"/>
      <c r="H915" s="312"/>
      <c r="I915" s="312"/>
      <c r="J915" s="248">
        <f t="shared" si="99"/>
        <v>80.5</v>
      </c>
      <c r="K915" s="330">
        <f t="shared" si="100"/>
        <v>-34.5</v>
      </c>
      <c r="L915" s="313"/>
      <c r="M915" s="228">
        <f t="shared" si="101"/>
        <v>80.5</v>
      </c>
      <c r="N915" s="228">
        <f t="shared" si="104"/>
        <v>0</v>
      </c>
      <c r="O915" s="228">
        <f t="shared" si="105"/>
        <v>0</v>
      </c>
      <c r="P915" s="228">
        <f t="shared" si="105"/>
        <v>0</v>
      </c>
      <c r="Q915" s="228">
        <f t="shared" si="102"/>
        <v>80.5</v>
      </c>
      <c r="R915" s="343">
        <f t="shared" si="103"/>
        <v>-34.5</v>
      </c>
      <c r="S915" s="240"/>
      <c r="T915" s="201"/>
      <c r="U915" s="201"/>
      <c r="V915" s="201"/>
    </row>
    <row r="916" spans="1:22" ht="20.100000000000001" customHeight="1" x14ac:dyDescent="0.25">
      <c r="A916" s="234" t="s">
        <v>1364</v>
      </c>
      <c r="B916" s="235" t="s">
        <v>1238</v>
      </c>
      <c r="C916" s="234" t="s">
        <v>6</v>
      </c>
      <c r="D916" s="312">
        <v>10</v>
      </c>
      <c r="E916" s="312"/>
      <c r="F916" s="248">
        <f>D916*$U$770</f>
        <v>7</v>
      </c>
      <c r="G916" s="312"/>
      <c r="H916" s="312"/>
      <c r="I916" s="312"/>
      <c r="J916" s="248">
        <f t="shared" si="99"/>
        <v>7</v>
      </c>
      <c r="K916" s="330">
        <f t="shared" si="100"/>
        <v>-3</v>
      </c>
      <c r="L916" s="313"/>
      <c r="M916" s="228">
        <f t="shared" si="101"/>
        <v>7</v>
      </c>
      <c r="N916" s="228">
        <f t="shared" si="104"/>
        <v>0</v>
      </c>
      <c r="O916" s="228">
        <f t="shared" si="105"/>
        <v>0</v>
      </c>
      <c r="P916" s="228">
        <f t="shared" si="105"/>
        <v>0</v>
      </c>
      <c r="Q916" s="228">
        <f t="shared" si="102"/>
        <v>7</v>
      </c>
      <c r="R916" s="343">
        <f t="shared" si="103"/>
        <v>-3</v>
      </c>
      <c r="S916" s="240"/>
      <c r="T916" s="201"/>
      <c r="U916" s="201"/>
      <c r="V916" s="201"/>
    </row>
    <row r="917" spans="1:22" ht="20.100000000000001" customHeight="1" x14ac:dyDescent="0.25">
      <c r="A917" s="230" t="s">
        <v>1365</v>
      </c>
      <c r="B917" s="231" t="s">
        <v>1366</v>
      </c>
      <c r="C917" s="230"/>
      <c r="D917" s="316"/>
      <c r="E917" s="316"/>
      <c r="F917" s="317"/>
      <c r="G917" s="316"/>
      <c r="H917" s="316"/>
      <c r="I917" s="316"/>
      <c r="J917" s="248">
        <f t="shared" si="99"/>
        <v>0</v>
      </c>
      <c r="K917" s="330">
        <f t="shared" si="100"/>
        <v>0</v>
      </c>
      <c r="L917" s="318"/>
      <c r="M917" s="228">
        <f t="shared" si="101"/>
        <v>0</v>
      </c>
      <c r="N917" s="228">
        <f t="shared" si="104"/>
        <v>0</v>
      </c>
      <c r="O917" s="228">
        <f t="shared" si="105"/>
        <v>0</v>
      </c>
      <c r="P917" s="228">
        <f t="shared" si="105"/>
        <v>0</v>
      </c>
      <c r="Q917" s="228">
        <f t="shared" si="102"/>
        <v>0</v>
      </c>
      <c r="R917" s="343">
        <f t="shared" si="103"/>
        <v>0</v>
      </c>
      <c r="S917" s="240"/>
      <c r="T917" s="201"/>
      <c r="U917" s="201"/>
      <c r="V917" s="201"/>
    </row>
    <row r="918" spans="1:22" ht="20.100000000000001" customHeight="1" x14ac:dyDescent="0.25">
      <c r="A918" s="234" t="s">
        <v>1367</v>
      </c>
      <c r="B918" s="235" t="s">
        <v>1355</v>
      </c>
      <c r="C918" s="234" t="s">
        <v>6</v>
      </c>
      <c r="D918" s="312">
        <v>115</v>
      </c>
      <c r="E918" s="312"/>
      <c r="F918" s="248">
        <f>D918*$U$770</f>
        <v>80.5</v>
      </c>
      <c r="G918" s="312"/>
      <c r="H918" s="312"/>
      <c r="I918" s="312"/>
      <c r="J918" s="248">
        <f t="shared" si="99"/>
        <v>80.5</v>
      </c>
      <c r="K918" s="330">
        <f t="shared" si="100"/>
        <v>-34.5</v>
      </c>
      <c r="L918" s="313"/>
      <c r="M918" s="228">
        <f t="shared" si="101"/>
        <v>80.5</v>
      </c>
      <c r="N918" s="228">
        <f t="shared" si="104"/>
        <v>0</v>
      </c>
      <c r="O918" s="228">
        <f t="shared" si="105"/>
        <v>0</v>
      </c>
      <c r="P918" s="228">
        <f t="shared" si="105"/>
        <v>0</v>
      </c>
      <c r="Q918" s="228">
        <f t="shared" si="102"/>
        <v>80.5</v>
      </c>
      <c r="R918" s="343">
        <f t="shared" si="103"/>
        <v>-34.5</v>
      </c>
      <c r="S918" s="240"/>
      <c r="T918" s="201"/>
      <c r="U918" s="201"/>
      <c r="V918" s="201"/>
    </row>
    <row r="919" spans="1:22" ht="20.100000000000001" customHeight="1" x14ac:dyDescent="0.25">
      <c r="A919" s="234" t="s">
        <v>1368</v>
      </c>
      <c r="B919" s="235" t="s">
        <v>1238</v>
      </c>
      <c r="C919" s="234" t="s">
        <v>6</v>
      </c>
      <c r="D919" s="312">
        <v>10</v>
      </c>
      <c r="E919" s="312"/>
      <c r="F919" s="248">
        <f>D919*$U$770</f>
        <v>7</v>
      </c>
      <c r="G919" s="312"/>
      <c r="H919" s="312"/>
      <c r="I919" s="312"/>
      <c r="J919" s="248">
        <f t="shared" si="99"/>
        <v>7</v>
      </c>
      <c r="K919" s="330">
        <f t="shared" si="100"/>
        <v>-3</v>
      </c>
      <c r="L919" s="313"/>
      <c r="M919" s="228">
        <f t="shared" si="101"/>
        <v>7</v>
      </c>
      <c r="N919" s="228">
        <f t="shared" si="104"/>
        <v>0</v>
      </c>
      <c r="O919" s="228">
        <f t="shared" si="105"/>
        <v>0</v>
      </c>
      <c r="P919" s="228">
        <f t="shared" si="105"/>
        <v>0</v>
      </c>
      <c r="Q919" s="228">
        <f t="shared" si="102"/>
        <v>7</v>
      </c>
      <c r="R919" s="343">
        <f t="shared" si="103"/>
        <v>-3</v>
      </c>
      <c r="S919" s="240"/>
      <c r="T919" s="201"/>
      <c r="U919" s="201"/>
      <c r="V919" s="201"/>
    </row>
    <row r="920" spans="1:22" ht="20.100000000000001" customHeight="1" x14ac:dyDescent="0.25">
      <c r="A920" s="230" t="s">
        <v>1369</v>
      </c>
      <c r="B920" s="231" t="s">
        <v>1370</v>
      </c>
      <c r="C920" s="230"/>
      <c r="D920" s="316"/>
      <c r="E920" s="316"/>
      <c r="F920" s="317"/>
      <c r="G920" s="316"/>
      <c r="H920" s="316"/>
      <c r="I920" s="316"/>
      <c r="J920" s="248">
        <f t="shared" si="99"/>
        <v>0</v>
      </c>
      <c r="K920" s="330">
        <f t="shared" si="100"/>
        <v>0</v>
      </c>
      <c r="L920" s="318"/>
      <c r="M920" s="228">
        <f t="shared" si="101"/>
        <v>0</v>
      </c>
      <c r="N920" s="228">
        <f t="shared" si="104"/>
        <v>0</v>
      </c>
      <c r="O920" s="228">
        <f t="shared" si="105"/>
        <v>0</v>
      </c>
      <c r="P920" s="228">
        <f t="shared" si="105"/>
        <v>0</v>
      </c>
      <c r="Q920" s="228">
        <f t="shared" si="102"/>
        <v>0</v>
      </c>
      <c r="R920" s="343">
        <f t="shared" si="103"/>
        <v>0</v>
      </c>
      <c r="S920" s="240"/>
      <c r="T920" s="201"/>
      <c r="U920" s="201"/>
      <c r="V920" s="201"/>
    </row>
    <row r="921" spans="1:22" ht="20.100000000000001" customHeight="1" x14ac:dyDescent="0.25">
      <c r="A921" s="234" t="s">
        <v>1371</v>
      </c>
      <c r="B921" s="235" t="s">
        <v>1137</v>
      </c>
      <c r="C921" s="234" t="s">
        <v>6</v>
      </c>
      <c r="D921" s="312">
        <v>115</v>
      </c>
      <c r="E921" s="312"/>
      <c r="F921" s="248">
        <f>D921*$U$770</f>
        <v>80.5</v>
      </c>
      <c r="G921" s="312"/>
      <c r="H921" s="312"/>
      <c r="I921" s="312"/>
      <c r="J921" s="248">
        <f t="shared" si="99"/>
        <v>80.5</v>
      </c>
      <c r="K921" s="330">
        <f t="shared" si="100"/>
        <v>-34.5</v>
      </c>
      <c r="L921" s="313"/>
      <c r="M921" s="228">
        <f t="shared" si="101"/>
        <v>80.5</v>
      </c>
      <c r="N921" s="228">
        <f t="shared" si="104"/>
        <v>0</v>
      </c>
      <c r="O921" s="228">
        <f t="shared" si="105"/>
        <v>0</v>
      </c>
      <c r="P921" s="228">
        <f t="shared" si="105"/>
        <v>0</v>
      </c>
      <c r="Q921" s="228">
        <f t="shared" si="102"/>
        <v>80.5</v>
      </c>
      <c r="R921" s="343">
        <f t="shared" si="103"/>
        <v>-34.5</v>
      </c>
      <c r="S921" s="240"/>
      <c r="T921" s="201"/>
      <c r="U921" s="201"/>
      <c r="V921" s="201"/>
    </row>
    <row r="922" spans="1:22" ht="20.100000000000001" customHeight="1" x14ac:dyDescent="0.25">
      <c r="A922" s="234" t="s">
        <v>1372</v>
      </c>
      <c r="B922" s="235" t="s">
        <v>1186</v>
      </c>
      <c r="C922" s="234" t="s">
        <v>6</v>
      </c>
      <c r="D922" s="312">
        <v>10</v>
      </c>
      <c r="E922" s="312"/>
      <c r="F922" s="248">
        <f>D922*$U$770</f>
        <v>7</v>
      </c>
      <c r="G922" s="312"/>
      <c r="H922" s="312"/>
      <c r="I922" s="312"/>
      <c r="J922" s="248">
        <f t="shared" si="99"/>
        <v>7</v>
      </c>
      <c r="K922" s="330">
        <f t="shared" si="100"/>
        <v>-3</v>
      </c>
      <c r="L922" s="313"/>
      <c r="M922" s="228">
        <f t="shared" si="101"/>
        <v>7</v>
      </c>
      <c r="N922" s="228">
        <f t="shared" si="104"/>
        <v>0</v>
      </c>
      <c r="O922" s="228">
        <f t="shared" si="105"/>
        <v>0</v>
      </c>
      <c r="P922" s="228">
        <f t="shared" si="105"/>
        <v>0</v>
      </c>
      <c r="Q922" s="228">
        <f t="shared" si="102"/>
        <v>7</v>
      </c>
      <c r="R922" s="343">
        <f t="shared" si="103"/>
        <v>-3</v>
      </c>
      <c r="S922" s="240"/>
      <c r="T922" s="201"/>
      <c r="U922" s="201"/>
      <c r="V922" s="201"/>
    </row>
    <row r="923" spans="1:22" ht="20.100000000000001" customHeight="1" x14ac:dyDescent="0.25">
      <c r="A923" s="230" t="s">
        <v>1373</v>
      </c>
      <c r="B923" s="231" t="s">
        <v>1374</v>
      </c>
      <c r="C923" s="230"/>
      <c r="D923" s="316"/>
      <c r="E923" s="316"/>
      <c r="F923" s="317"/>
      <c r="G923" s="316"/>
      <c r="H923" s="316"/>
      <c r="I923" s="316"/>
      <c r="J923" s="248">
        <f t="shared" si="99"/>
        <v>0</v>
      </c>
      <c r="K923" s="330">
        <f t="shared" si="100"/>
        <v>0</v>
      </c>
      <c r="L923" s="318"/>
      <c r="M923" s="228">
        <f t="shared" si="101"/>
        <v>0</v>
      </c>
      <c r="N923" s="228">
        <f t="shared" si="104"/>
        <v>0</v>
      </c>
      <c r="O923" s="228">
        <f t="shared" si="105"/>
        <v>0</v>
      </c>
      <c r="P923" s="228">
        <f t="shared" si="105"/>
        <v>0</v>
      </c>
      <c r="Q923" s="228">
        <f t="shared" si="102"/>
        <v>0</v>
      </c>
      <c r="R923" s="343">
        <f t="shared" si="103"/>
        <v>0</v>
      </c>
      <c r="S923" s="240"/>
      <c r="T923" s="201"/>
      <c r="U923" s="201"/>
      <c r="V923" s="201"/>
    </row>
    <row r="924" spans="1:22" ht="20.100000000000001" customHeight="1" x14ac:dyDescent="0.25">
      <c r="A924" s="234" t="s">
        <v>1375</v>
      </c>
      <c r="B924" s="235" t="s">
        <v>1306</v>
      </c>
      <c r="C924" s="234" t="s">
        <v>6</v>
      </c>
      <c r="D924" s="312">
        <v>70</v>
      </c>
      <c r="E924" s="312"/>
      <c r="F924" s="248">
        <f>D924*$U$770</f>
        <v>49</v>
      </c>
      <c r="G924" s="312"/>
      <c r="H924" s="312"/>
      <c r="I924" s="312"/>
      <c r="J924" s="248">
        <f t="shared" si="99"/>
        <v>49</v>
      </c>
      <c r="K924" s="330">
        <f t="shared" si="100"/>
        <v>-21</v>
      </c>
      <c r="L924" s="313"/>
      <c r="M924" s="228">
        <f t="shared" si="101"/>
        <v>49</v>
      </c>
      <c r="N924" s="228">
        <f t="shared" si="104"/>
        <v>0</v>
      </c>
      <c r="O924" s="228">
        <f t="shared" si="105"/>
        <v>0</v>
      </c>
      <c r="P924" s="228">
        <f t="shared" si="105"/>
        <v>0</v>
      </c>
      <c r="Q924" s="228">
        <f t="shared" si="102"/>
        <v>49</v>
      </c>
      <c r="R924" s="343">
        <f t="shared" si="103"/>
        <v>-21</v>
      </c>
      <c r="S924" s="240"/>
      <c r="T924" s="201"/>
      <c r="U924" s="201"/>
      <c r="V924" s="201"/>
    </row>
    <row r="925" spans="1:22" ht="20.100000000000001" customHeight="1" x14ac:dyDescent="0.25">
      <c r="A925" s="234" t="s">
        <v>1376</v>
      </c>
      <c r="B925" s="235" t="s">
        <v>1238</v>
      </c>
      <c r="C925" s="234" t="s">
        <v>6</v>
      </c>
      <c r="D925" s="312">
        <v>10</v>
      </c>
      <c r="E925" s="312"/>
      <c r="F925" s="248">
        <f>D925*$U$770</f>
        <v>7</v>
      </c>
      <c r="G925" s="312"/>
      <c r="H925" s="312"/>
      <c r="I925" s="312"/>
      <c r="J925" s="248">
        <f t="shared" si="99"/>
        <v>7</v>
      </c>
      <c r="K925" s="330">
        <f t="shared" si="100"/>
        <v>-3</v>
      </c>
      <c r="L925" s="313"/>
      <c r="M925" s="228">
        <f t="shared" si="101"/>
        <v>7</v>
      </c>
      <c r="N925" s="228">
        <f t="shared" si="104"/>
        <v>0</v>
      </c>
      <c r="O925" s="228">
        <f t="shared" si="105"/>
        <v>0</v>
      </c>
      <c r="P925" s="228">
        <f t="shared" si="105"/>
        <v>0</v>
      </c>
      <c r="Q925" s="228">
        <f t="shared" si="102"/>
        <v>7</v>
      </c>
      <c r="R925" s="343">
        <f t="shared" si="103"/>
        <v>-3</v>
      </c>
      <c r="S925" s="240"/>
      <c r="T925" s="201"/>
      <c r="U925" s="201"/>
      <c r="V925" s="201"/>
    </row>
    <row r="926" spans="1:22" ht="20.100000000000001" customHeight="1" x14ac:dyDescent="0.25">
      <c r="A926" s="230" t="s">
        <v>1377</v>
      </c>
      <c r="B926" s="231" t="s">
        <v>1378</v>
      </c>
      <c r="C926" s="230"/>
      <c r="D926" s="316"/>
      <c r="E926" s="316"/>
      <c r="F926" s="317"/>
      <c r="G926" s="316"/>
      <c r="H926" s="316"/>
      <c r="I926" s="316"/>
      <c r="J926" s="248">
        <f t="shared" si="99"/>
        <v>0</v>
      </c>
      <c r="K926" s="330">
        <f t="shared" si="100"/>
        <v>0</v>
      </c>
      <c r="L926" s="318"/>
      <c r="M926" s="228">
        <f t="shared" si="101"/>
        <v>0</v>
      </c>
      <c r="N926" s="228">
        <f t="shared" si="104"/>
        <v>0</v>
      </c>
      <c r="O926" s="228">
        <f t="shared" si="105"/>
        <v>0</v>
      </c>
      <c r="P926" s="228">
        <f t="shared" si="105"/>
        <v>0</v>
      </c>
      <c r="Q926" s="228">
        <f t="shared" si="102"/>
        <v>0</v>
      </c>
      <c r="R926" s="343">
        <f t="shared" si="103"/>
        <v>0</v>
      </c>
      <c r="S926" s="240"/>
      <c r="T926" s="201"/>
      <c r="U926" s="201"/>
      <c r="V926" s="201"/>
    </row>
    <row r="927" spans="1:22" ht="20.100000000000001" customHeight="1" x14ac:dyDescent="0.25">
      <c r="A927" s="234" t="s">
        <v>1379</v>
      </c>
      <c r="B927" s="235" t="s">
        <v>1355</v>
      </c>
      <c r="C927" s="234" t="s">
        <v>6</v>
      </c>
      <c r="D927" s="312">
        <v>115</v>
      </c>
      <c r="E927" s="312"/>
      <c r="F927" s="248">
        <f>D927*$U$770</f>
        <v>80.5</v>
      </c>
      <c r="G927" s="312"/>
      <c r="H927" s="312"/>
      <c r="I927" s="312"/>
      <c r="J927" s="248">
        <f t="shared" si="99"/>
        <v>80.5</v>
      </c>
      <c r="K927" s="330">
        <f t="shared" si="100"/>
        <v>-34.5</v>
      </c>
      <c r="L927" s="313"/>
      <c r="M927" s="228">
        <f t="shared" si="101"/>
        <v>80.5</v>
      </c>
      <c r="N927" s="228">
        <f t="shared" si="104"/>
        <v>0</v>
      </c>
      <c r="O927" s="228">
        <f t="shared" si="105"/>
        <v>0</v>
      </c>
      <c r="P927" s="228">
        <f t="shared" si="105"/>
        <v>0</v>
      </c>
      <c r="Q927" s="228">
        <f t="shared" si="102"/>
        <v>80.5</v>
      </c>
      <c r="R927" s="343">
        <f t="shared" si="103"/>
        <v>-34.5</v>
      </c>
      <c r="S927" s="240"/>
      <c r="T927" s="201"/>
      <c r="U927" s="201"/>
      <c r="V927" s="201"/>
    </row>
    <row r="928" spans="1:22" ht="20.100000000000001" customHeight="1" x14ac:dyDescent="0.25">
      <c r="A928" s="234" t="s">
        <v>1380</v>
      </c>
      <c r="B928" s="235" t="s">
        <v>1238</v>
      </c>
      <c r="C928" s="234" t="s">
        <v>6</v>
      </c>
      <c r="D928" s="312">
        <v>10</v>
      </c>
      <c r="E928" s="312"/>
      <c r="F928" s="248">
        <f>D928*$U$770</f>
        <v>7</v>
      </c>
      <c r="G928" s="312"/>
      <c r="H928" s="312"/>
      <c r="I928" s="312"/>
      <c r="J928" s="248">
        <f t="shared" si="99"/>
        <v>7</v>
      </c>
      <c r="K928" s="330">
        <f t="shared" si="100"/>
        <v>-3</v>
      </c>
      <c r="L928" s="313"/>
      <c r="M928" s="228">
        <f t="shared" si="101"/>
        <v>7</v>
      </c>
      <c r="N928" s="228">
        <f t="shared" si="104"/>
        <v>0</v>
      </c>
      <c r="O928" s="228">
        <f t="shared" si="105"/>
        <v>0</v>
      </c>
      <c r="P928" s="228">
        <f t="shared" si="105"/>
        <v>0</v>
      </c>
      <c r="Q928" s="228">
        <f t="shared" si="102"/>
        <v>7</v>
      </c>
      <c r="R928" s="343">
        <f t="shared" si="103"/>
        <v>-3</v>
      </c>
      <c r="S928" s="240"/>
      <c r="T928" s="201"/>
      <c r="U928" s="201"/>
      <c r="V928" s="201"/>
    </row>
    <row r="929" spans="1:22" ht="23.25" customHeight="1" x14ac:dyDescent="0.25">
      <c r="A929" s="230" t="s">
        <v>1381</v>
      </c>
      <c r="B929" s="231" t="s">
        <v>1382</v>
      </c>
      <c r="C929" s="230"/>
      <c r="D929" s="316"/>
      <c r="E929" s="316"/>
      <c r="F929" s="317"/>
      <c r="G929" s="316"/>
      <c r="H929" s="316"/>
      <c r="I929" s="316"/>
      <c r="J929" s="248">
        <f t="shared" si="99"/>
        <v>0</v>
      </c>
      <c r="K929" s="330">
        <f t="shared" si="100"/>
        <v>0</v>
      </c>
      <c r="L929" s="318"/>
      <c r="M929" s="228">
        <f t="shared" si="101"/>
        <v>0</v>
      </c>
      <c r="N929" s="228">
        <f t="shared" si="104"/>
        <v>0</v>
      </c>
      <c r="O929" s="228">
        <f t="shared" si="105"/>
        <v>0</v>
      </c>
      <c r="P929" s="228">
        <f t="shared" si="105"/>
        <v>0</v>
      </c>
      <c r="Q929" s="228">
        <f t="shared" si="102"/>
        <v>0</v>
      </c>
      <c r="R929" s="343">
        <f t="shared" si="103"/>
        <v>0</v>
      </c>
      <c r="S929" s="240"/>
      <c r="T929" s="201"/>
      <c r="U929" s="201"/>
      <c r="V929" s="201"/>
    </row>
    <row r="930" spans="1:22" ht="20.100000000000001" customHeight="1" x14ac:dyDescent="0.25">
      <c r="A930" s="234" t="s">
        <v>1383</v>
      </c>
      <c r="B930" s="235" t="s">
        <v>1137</v>
      </c>
      <c r="C930" s="234" t="s">
        <v>6</v>
      </c>
      <c r="D930" s="312">
        <v>115</v>
      </c>
      <c r="E930" s="312"/>
      <c r="F930" s="248">
        <f>D930*$U$770</f>
        <v>80.5</v>
      </c>
      <c r="G930" s="312"/>
      <c r="H930" s="312"/>
      <c r="I930" s="312"/>
      <c r="J930" s="248">
        <f t="shared" si="99"/>
        <v>80.5</v>
      </c>
      <c r="K930" s="330">
        <f t="shared" si="100"/>
        <v>-34.5</v>
      </c>
      <c r="L930" s="313"/>
      <c r="M930" s="228">
        <f t="shared" si="101"/>
        <v>80.5</v>
      </c>
      <c r="N930" s="228">
        <f t="shared" si="104"/>
        <v>0</v>
      </c>
      <c r="O930" s="228">
        <f t="shared" si="105"/>
        <v>0</v>
      </c>
      <c r="P930" s="228">
        <f t="shared" si="105"/>
        <v>0</v>
      </c>
      <c r="Q930" s="228">
        <f t="shared" si="102"/>
        <v>80.5</v>
      </c>
      <c r="R930" s="343">
        <f t="shared" si="103"/>
        <v>-34.5</v>
      </c>
      <c r="S930" s="240"/>
      <c r="T930" s="201"/>
      <c r="U930" s="201"/>
      <c r="V930" s="201"/>
    </row>
    <row r="931" spans="1:22" ht="20.100000000000001" customHeight="1" x14ac:dyDescent="0.25">
      <c r="A931" s="234" t="s">
        <v>1384</v>
      </c>
      <c r="B931" s="235" t="s">
        <v>1186</v>
      </c>
      <c r="C931" s="234" t="s">
        <v>6</v>
      </c>
      <c r="D931" s="312">
        <v>10</v>
      </c>
      <c r="E931" s="312"/>
      <c r="F931" s="248">
        <f>D931*$U$770</f>
        <v>7</v>
      </c>
      <c r="G931" s="312"/>
      <c r="H931" s="312"/>
      <c r="I931" s="312"/>
      <c r="J931" s="248">
        <f t="shared" si="99"/>
        <v>7</v>
      </c>
      <c r="K931" s="330">
        <f t="shared" si="100"/>
        <v>-3</v>
      </c>
      <c r="L931" s="313"/>
      <c r="M931" s="228">
        <f t="shared" si="101"/>
        <v>7</v>
      </c>
      <c r="N931" s="228">
        <f t="shared" si="104"/>
        <v>0</v>
      </c>
      <c r="O931" s="228">
        <f t="shared" si="105"/>
        <v>0</v>
      </c>
      <c r="P931" s="228">
        <f t="shared" si="105"/>
        <v>0</v>
      </c>
      <c r="Q931" s="228">
        <f t="shared" si="102"/>
        <v>7</v>
      </c>
      <c r="R931" s="343">
        <f t="shared" si="103"/>
        <v>-3</v>
      </c>
      <c r="S931" s="240"/>
      <c r="T931" s="201"/>
      <c r="U931" s="201"/>
      <c r="V931" s="201"/>
    </row>
    <row r="932" spans="1:22" ht="20.100000000000001" customHeight="1" x14ac:dyDescent="0.25">
      <c r="A932" s="234" t="s">
        <v>1385</v>
      </c>
      <c r="B932" s="235" t="s">
        <v>1386</v>
      </c>
      <c r="C932" s="234" t="s">
        <v>6</v>
      </c>
      <c r="D932" s="312">
        <v>140</v>
      </c>
      <c r="E932" s="312"/>
      <c r="F932" s="248">
        <f>D932*$U$770</f>
        <v>98</v>
      </c>
      <c r="G932" s="312"/>
      <c r="H932" s="312"/>
      <c r="I932" s="312"/>
      <c r="J932" s="248">
        <f t="shared" si="99"/>
        <v>98</v>
      </c>
      <c r="K932" s="330">
        <f t="shared" si="100"/>
        <v>-42</v>
      </c>
      <c r="L932" s="313"/>
      <c r="M932" s="228">
        <f t="shared" si="101"/>
        <v>98</v>
      </c>
      <c r="N932" s="228">
        <f t="shared" si="104"/>
        <v>0</v>
      </c>
      <c r="O932" s="228">
        <f t="shared" si="105"/>
        <v>0</v>
      </c>
      <c r="P932" s="228">
        <f t="shared" si="105"/>
        <v>0</v>
      </c>
      <c r="Q932" s="228">
        <f t="shared" si="102"/>
        <v>98</v>
      </c>
      <c r="R932" s="343">
        <f t="shared" si="103"/>
        <v>-42</v>
      </c>
      <c r="S932" s="240"/>
      <c r="T932" s="201"/>
      <c r="U932" s="201"/>
      <c r="V932" s="201"/>
    </row>
    <row r="933" spans="1:22" ht="20.100000000000001" customHeight="1" x14ac:dyDescent="0.25">
      <c r="A933" s="234" t="s">
        <v>1387</v>
      </c>
      <c r="B933" s="235" t="s">
        <v>1388</v>
      </c>
      <c r="C933" s="234" t="s">
        <v>6</v>
      </c>
      <c r="D933" s="312">
        <v>100</v>
      </c>
      <c r="E933" s="312"/>
      <c r="F933" s="248">
        <f>D933*$U$770</f>
        <v>70</v>
      </c>
      <c r="G933" s="312"/>
      <c r="H933" s="312"/>
      <c r="I933" s="312"/>
      <c r="J933" s="248">
        <f t="shared" si="99"/>
        <v>70</v>
      </c>
      <c r="K933" s="330">
        <f t="shared" si="100"/>
        <v>-30</v>
      </c>
      <c r="L933" s="313"/>
      <c r="M933" s="228">
        <f t="shared" si="101"/>
        <v>70</v>
      </c>
      <c r="N933" s="228">
        <f t="shared" si="104"/>
        <v>0</v>
      </c>
      <c r="O933" s="228">
        <f t="shared" si="105"/>
        <v>0</v>
      </c>
      <c r="P933" s="228">
        <f t="shared" si="105"/>
        <v>0</v>
      </c>
      <c r="Q933" s="228">
        <f t="shared" si="102"/>
        <v>70</v>
      </c>
      <c r="R933" s="343">
        <f t="shared" si="103"/>
        <v>-30</v>
      </c>
      <c r="S933" s="240"/>
      <c r="T933" s="201"/>
      <c r="U933" s="201"/>
      <c r="V933" s="201"/>
    </row>
    <row r="934" spans="1:22" ht="20.100000000000001" customHeight="1" x14ac:dyDescent="0.25">
      <c r="A934" s="234" t="s">
        <v>1389</v>
      </c>
      <c r="B934" s="235" t="s">
        <v>1390</v>
      </c>
      <c r="C934" s="234" t="s">
        <v>248</v>
      </c>
      <c r="D934" s="312">
        <v>25</v>
      </c>
      <c r="E934" s="312"/>
      <c r="F934" s="248"/>
      <c r="G934" s="312"/>
      <c r="H934" s="312"/>
      <c r="I934" s="312"/>
      <c r="J934" s="248">
        <f t="shared" si="99"/>
        <v>0</v>
      </c>
      <c r="K934" s="330">
        <f t="shared" si="100"/>
        <v>-25</v>
      </c>
      <c r="L934" s="313"/>
      <c r="M934" s="228">
        <f t="shared" si="101"/>
        <v>0</v>
      </c>
      <c r="N934" s="228">
        <f t="shared" si="104"/>
        <v>0</v>
      </c>
      <c r="O934" s="228">
        <f t="shared" si="105"/>
        <v>0</v>
      </c>
      <c r="P934" s="228">
        <f t="shared" si="105"/>
        <v>0</v>
      </c>
      <c r="Q934" s="228">
        <f t="shared" si="102"/>
        <v>0</v>
      </c>
      <c r="R934" s="343">
        <f t="shared" si="103"/>
        <v>-25</v>
      </c>
      <c r="S934" s="240"/>
      <c r="T934" s="201"/>
      <c r="U934" s="201"/>
      <c r="V934" s="201"/>
    </row>
    <row r="935" spans="1:22" ht="20.100000000000001" customHeight="1" x14ac:dyDescent="0.25">
      <c r="A935" s="230" t="s">
        <v>1391</v>
      </c>
      <c r="B935" s="231" t="s">
        <v>1392</v>
      </c>
      <c r="C935" s="230"/>
      <c r="D935" s="316"/>
      <c r="E935" s="316"/>
      <c r="F935" s="248"/>
      <c r="G935" s="312"/>
      <c r="H935" s="312"/>
      <c r="I935" s="312"/>
      <c r="J935" s="248">
        <f t="shared" si="99"/>
        <v>0</v>
      </c>
      <c r="K935" s="330">
        <f t="shared" si="100"/>
        <v>0</v>
      </c>
      <c r="L935" s="318"/>
      <c r="M935" s="228">
        <f t="shared" si="101"/>
        <v>0</v>
      </c>
      <c r="N935" s="228">
        <f t="shared" si="104"/>
        <v>0</v>
      </c>
      <c r="O935" s="228">
        <f t="shared" si="105"/>
        <v>0</v>
      </c>
      <c r="P935" s="228">
        <f t="shared" si="105"/>
        <v>0</v>
      </c>
      <c r="Q935" s="228">
        <f t="shared" si="102"/>
        <v>0</v>
      </c>
      <c r="R935" s="343">
        <f t="shared" si="103"/>
        <v>0</v>
      </c>
      <c r="S935" s="240"/>
      <c r="T935" s="201"/>
      <c r="U935" s="201"/>
      <c r="V935" s="201"/>
    </row>
    <row r="936" spans="1:22" ht="20.100000000000001" customHeight="1" x14ac:dyDescent="0.25">
      <c r="A936" s="234" t="s">
        <v>1393</v>
      </c>
      <c r="B936" s="235" t="s">
        <v>1394</v>
      </c>
      <c r="C936" s="234" t="s">
        <v>248</v>
      </c>
      <c r="D936" s="312">
        <v>2</v>
      </c>
      <c r="E936" s="312"/>
      <c r="F936" s="248"/>
      <c r="G936" s="312"/>
      <c r="H936" s="312"/>
      <c r="I936" s="312"/>
      <c r="J936" s="248">
        <f t="shared" si="99"/>
        <v>0</v>
      </c>
      <c r="K936" s="330">
        <f t="shared" si="100"/>
        <v>-2</v>
      </c>
      <c r="L936" s="313"/>
      <c r="M936" s="228">
        <f t="shared" si="101"/>
        <v>0</v>
      </c>
      <c r="N936" s="228">
        <f t="shared" si="104"/>
        <v>0</v>
      </c>
      <c r="O936" s="228">
        <f t="shared" si="105"/>
        <v>0</v>
      </c>
      <c r="P936" s="228">
        <f t="shared" si="105"/>
        <v>0</v>
      </c>
      <c r="Q936" s="228">
        <f t="shared" si="102"/>
        <v>0</v>
      </c>
      <c r="R936" s="343">
        <f t="shared" si="103"/>
        <v>-2</v>
      </c>
      <c r="S936" s="240"/>
      <c r="T936" s="201"/>
      <c r="U936" s="201"/>
      <c r="V936" s="201"/>
    </row>
    <row r="937" spans="1:22" ht="20.100000000000001" customHeight="1" x14ac:dyDescent="0.25">
      <c r="A937" s="234" t="s">
        <v>1395</v>
      </c>
      <c r="B937" s="235" t="s">
        <v>1396</v>
      </c>
      <c r="C937" s="234" t="s">
        <v>6</v>
      </c>
      <c r="D937" s="312">
        <v>88</v>
      </c>
      <c r="E937" s="312"/>
      <c r="F937" s="248"/>
      <c r="G937" s="312"/>
      <c r="H937" s="312"/>
      <c r="I937" s="312"/>
      <c r="J937" s="248">
        <f t="shared" si="99"/>
        <v>0</v>
      </c>
      <c r="K937" s="330">
        <f t="shared" si="100"/>
        <v>-88</v>
      </c>
      <c r="L937" s="313"/>
      <c r="M937" s="228">
        <f t="shared" si="101"/>
        <v>0</v>
      </c>
      <c r="N937" s="228">
        <f t="shared" si="104"/>
        <v>0</v>
      </c>
      <c r="O937" s="228">
        <f t="shared" si="105"/>
        <v>0</v>
      </c>
      <c r="P937" s="228">
        <f t="shared" si="105"/>
        <v>0</v>
      </c>
      <c r="Q937" s="228">
        <f t="shared" si="102"/>
        <v>0</v>
      </c>
      <c r="R937" s="343">
        <f t="shared" si="103"/>
        <v>-88</v>
      </c>
      <c r="S937" s="240"/>
      <c r="T937" s="201"/>
      <c r="U937" s="201"/>
      <c r="V937" s="201"/>
    </row>
    <row r="938" spans="1:22" ht="20.100000000000001" customHeight="1" x14ac:dyDescent="0.25">
      <c r="A938" s="234" t="s">
        <v>1397</v>
      </c>
      <c r="B938" s="235" t="s">
        <v>1398</v>
      </c>
      <c r="C938" s="234" t="s">
        <v>1399</v>
      </c>
      <c r="D938" s="312">
        <v>22</v>
      </c>
      <c r="E938" s="312"/>
      <c r="F938" s="248"/>
      <c r="G938" s="312"/>
      <c r="H938" s="312"/>
      <c r="I938" s="312"/>
      <c r="J938" s="248">
        <f t="shared" si="99"/>
        <v>0</v>
      </c>
      <c r="K938" s="330">
        <f t="shared" si="100"/>
        <v>-22</v>
      </c>
      <c r="L938" s="313"/>
      <c r="M938" s="228">
        <f t="shared" si="101"/>
        <v>0</v>
      </c>
      <c r="N938" s="228">
        <f t="shared" si="104"/>
        <v>0</v>
      </c>
      <c r="O938" s="228">
        <f t="shared" si="105"/>
        <v>0</v>
      </c>
      <c r="P938" s="228">
        <f t="shared" si="105"/>
        <v>0</v>
      </c>
      <c r="Q938" s="228">
        <f t="shared" si="102"/>
        <v>0</v>
      </c>
      <c r="R938" s="343">
        <f t="shared" si="103"/>
        <v>-22</v>
      </c>
      <c r="S938" s="240"/>
      <c r="T938" s="201"/>
      <c r="U938" s="201"/>
      <c r="V938" s="201"/>
    </row>
    <row r="939" spans="1:22" ht="20.100000000000001" customHeight="1" x14ac:dyDescent="0.25">
      <c r="A939" s="234" t="s">
        <v>1400</v>
      </c>
      <c r="B939" s="235" t="s">
        <v>1401</v>
      </c>
      <c r="C939" s="234" t="s">
        <v>6</v>
      </c>
      <c r="D939" s="312">
        <v>10</v>
      </c>
      <c r="E939" s="312"/>
      <c r="F939" s="248"/>
      <c r="G939" s="312"/>
      <c r="H939" s="312"/>
      <c r="I939" s="312"/>
      <c r="J939" s="248">
        <f t="shared" si="99"/>
        <v>0</v>
      </c>
      <c r="K939" s="330">
        <f t="shared" si="100"/>
        <v>-10</v>
      </c>
      <c r="L939" s="313"/>
      <c r="M939" s="228">
        <f t="shared" si="101"/>
        <v>0</v>
      </c>
      <c r="N939" s="228">
        <f t="shared" si="104"/>
        <v>0</v>
      </c>
      <c r="O939" s="228">
        <f t="shared" si="105"/>
        <v>0</v>
      </c>
      <c r="P939" s="228">
        <f t="shared" si="105"/>
        <v>0</v>
      </c>
      <c r="Q939" s="228">
        <f t="shared" si="102"/>
        <v>0</v>
      </c>
      <c r="R939" s="343">
        <f t="shared" si="103"/>
        <v>-10</v>
      </c>
      <c r="S939" s="240"/>
      <c r="T939" s="201"/>
      <c r="U939" s="201"/>
      <c r="V939" s="201"/>
    </row>
    <row r="940" spans="1:22" ht="20.100000000000001" customHeight="1" x14ac:dyDescent="0.25">
      <c r="A940" s="230" t="s">
        <v>1402</v>
      </c>
      <c r="B940" s="231" t="s">
        <v>1403</v>
      </c>
      <c r="C940" s="230"/>
      <c r="D940" s="316"/>
      <c r="E940" s="316"/>
      <c r="F940" s="248"/>
      <c r="G940" s="312"/>
      <c r="H940" s="312"/>
      <c r="I940" s="312"/>
      <c r="J940" s="248">
        <f t="shared" si="99"/>
        <v>0</v>
      </c>
      <c r="K940" s="330">
        <f t="shared" si="100"/>
        <v>0</v>
      </c>
      <c r="L940" s="318"/>
      <c r="M940" s="228">
        <f t="shared" si="101"/>
        <v>0</v>
      </c>
      <c r="N940" s="228">
        <f t="shared" si="104"/>
        <v>0</v>
      </c>
      <c r="O940" s="228">
        <f t="shared" si="105"/>
        <v>0</v>
      </c>
      <c r="P940" s="228">
        <f t="shared" si="105"/>
        <v>0</v>
      </c>
      <c r="Q940" s="228">
        <f t="shared" si="102"/>
        <v>0</v>
      </c>
      <c r="R940" s="343">
        <f t="shared" si="103"/>
        <v>0</v>
      </c>
      <c r="S940" s="240"/>
      <c r="T940" s="201"/>
      <c r="U940" s="201"/>
      <c r="V940" s="201"/>
    </row>
    <row r="941" spans="1:22" ht="20.100000000000001" customHeight="1" x14ac:dyDescent="0.25">
      <c r="A941" s="234" t="s">
        <v>1404</v>
      </c>
      <c r="B941" s="235" t="s">
        <v>1405</v>
      </c>
      <c r="C941" s="234" t="s">
        <v>248</v>
      </c>
      <c r="D941" s="312">
        <v>7</v>
      </c>
      <c r="E941" s="312"/>
      <c r="F941" s="248"/>
      <c r="G941" s="312"/>
      <c r="H941" s="312"/>
      <c r="I941" s="312"/>
      <c r="J941" s="248">
        <f t="shared" si="99"/>
        <v>0</v>
      </c>
      <c r="K941" s="330">
        <f t="shared" si="100"/>
        <v>-7</v>
      </c>
      <c r="L941" s="313"/>
      <c r="M941" s="228">
        <f t="shared" si="101"/>
        <v>0</v>
      </c>
      <c r="N941" s="228">
        <f t="shared" si="104"/>
        <v>0</v>
      </c>
      <c r="O941" s="228">
        <f t="shared" si="105"/>
        <v>0</v>
      </c>
      <c r="P941" s="228">
        <f t="shared" si="105"/>
        <v>0</v>
      </c>
      <c r="Q941" s="228">
        <f t="shared" si="102"/>
        <v>0</v>
      </c>
      <c r="R941" s="343">
        <f t="shared" si="103"/>
        <v>-7</v>
      </c>
      <c r="S941" s="240"/>
      <c r="T941" s="201"/>
      <c r="U941" s="201"/>
      <c r="V941" s="201"/>
    </row>
    <row r="942" spans="1:22" ht="20.100000000000001" customHeight="1" x14ac:dyDescent="0.25">
      <c r="A942" s="234" t="s">
        <v>1406</v>
      </c>
      <c r="B942" s="235" t="s">
        <v>1407</v>
      </c>
      <c r="C942" s="234" t="s">
        <v>248</v>
      </c>
      <c r="D942" s="312">
        <v>1</v>
      </c>
      <c r="E942" s="312"/>
      <c r="F942" s="248"/>
      <c r="G942" s="312"/>
      <c r="H942" s="312"/>
      <c r="I942" s="312"/>
      <c r="J942" s="248">
        <f t="shared" si="99"/>
        <v>0</v>
      </c>
      <c r="K942" s="330">
        <f t="shared" si="100"/>
        <v>-1</v>
      </c>
      <c r="L942" s="313"/>
      <c r="M942" s="228">
        <f t="shared" si="101"/>
        <v>0</v>
      </c>
      <c r="N942" s="228">
        <f t="shared" si="104"/>
        <v>0</v>
      </c>
      <c r="O942" s="228">
        <f t="shared" si="105"/>
        <v>0</v>
      </c>
      <c r="P942" s="228">
        <f t="shared" si="105"/>
        <v>0</v>
      </c>
      <c r="Q942" s="228">
        <f t="shared" si="102"/>
        <v>0</v>
      </c>
      <c r="R942" s="343">
        <f t="shared" si="103"/>
        <v>-1</v>
      </c>
      <c r="S942" s="240"/>
      <c r="T942" s="201"/>
      <c r="U942" s="201"/>
      <c r="V942" s="201"/>
    </row>
    <row r="943" spans="1:22" ht="20.100000000000001" customHeight="1" x14ac:dyDescent="0.25">
      <c r="A943" s="234" t="s">
        <v>1408</v>
      </c>
      <c r="B943" s="235" t="s">
        <v>1409</v>
      </c>
      <c r="C943" s="234" t="s">
        <v>248</v>
      </c>
      <c r="D943" s="312">
        <v>1</v>
      </c>
      <c r="E943" s="312"/>
      <c r="F943" s="248"/>
      <c r="G943" s="312"/>
      <c r="H943" s="312"/>
      <c r="I943" s="312"/>
      <c r="J943" s="248">
        <f t="shared" si="99"/>
        <v>0</v>
      </c>
      <c r="K943" s="330">
        <f t="shared" si="100"/>
        <v>-1</v>
      </c>
      <c r="L943" s="313"/>
      <c r="M943" s="228">
        <f t="shared" si="101"/>
        <v>0</v>
      </c>
      <c r="N943" s="228">
        <f t="shared" si="104"/>
        <v>0</v>
      </c>
      <c r="O943" s="228">
        <f t="shared" si="105"/>
        <v>0</v>
      </c>
      <c r="P943" s="228">
        <f t="shared" si="105"/>
        <v>0</v>
      </c>
      <c r="Q943" s="228">
        <f t="shared" si="102"/>
        <v>0</v>
      </c>
      <c r="R943" s="343">
        <f t="shared" si="103"/>
        <v>-1</v>
      </c>
      <c r="S943" s="240"/>
      <c r="T943" s="201"/>
      <c r="U943" s="201"/>
      <c r="V943" s="201"/>
    </row>
    <row r="944" spans="1:22" s="49" customFormat="1" ht="20.100000000000001" customHeight="1" x14ac:dyDescent="0.25">
      <c r="A944" s="241" t="s">
        <v>1410</v>
      </c>
      <c r="B944" s="242" t="s">
        <v>1411</v>
      </c>
      <c r="C944" s="241" t="s">
        <v>6</v>
      </c>
      <c r="D944" s="319">
        <v>260</v>
      </c>
      <c r="E944" s="319"/>
      <c r="F944" s="321">
        <f>D944*$U$770</f>
        <v>182</v>
      </c>
      <c r="G944" s="319"/>
      <c r="H944" s="319"/>
      <c r="I944" s="319"/>
      <c r="J944" s="248">
        <f t="shared" si="99"/>
        <v>182</v>
      </c>
      <c r="K944" s="330">
        <f t="shared" si="100"/>
        <v>-78</v>
      </c>
      <c r="L944" s="320"/>
      <c r="M944" s="228">
        <f t="shared" si="101"/>
        <v>182</v>
      </c>
      <c r="N944" s="228">
        <f t="shared" si="104"/>
        <v>0</v>
      </c>
      <c r="O944" s="228">
        <f t="shared" si="105"/>
        <v>0</v>
      </c>
      <c r="P944" s="228">
        <f t="shared" si="105"/>
        <v>0</v>
      </c>
      <c r="Q944" s="228">
        <f t="shared" si="102"/>
        <v>182</v>
      </c>
      <c r="R944" s="343">
        <f t="shared" si="103"/>
        <v>-78</v>
      </c>
      <c r="S944" s="243"/>
      <c r="T944" s="207"/>
      <c r="U944" s="207"/>
      <c r="V944" s="207" t="s">
        <v>3461</v>
      </c>
    </row>
    <row r="945" spans="1:22" ht="20.100000000000001" customHeight="1" x14ac:dyDescent="0.25">
      <c r="A945" s="234" t="s">
        <v>1412</v>
      </c>
      <c r="B945" s="235" t="s">
        <v>1413</v>
      </c>
      <c r="C945" s="234" t="s">
        <v>6</v>
      </c>
      <c r="D945" s="312">
        <v>260</v>
      </c>
      <c r="E945" s="312"/>
      <c r="F945" s="248"/>
      <c r="G945" s="312"/>
      <c r="H945" s="312"/>
      <c r="I945" s="312"/>
      <c r="J945" s="248">
        <f t="shared" si="99"/>
        <v>0</v>
      </c>
      <c r="K945" s="330">
        <f t="shared" si="100"/>
        <v>-260</v>
      </c>
      <c r="L945" s="313"/>
      <c r="M945" s="228">
        <f t="shared" si="101"/>
        <v>0</v>
      </c>
      <c r="N945" s="228">
        <f t="shared" si="104"/>
        <v>0</v>
      </c>
      <c r="O945" s="228">
        <f t="shared" si="105"/>
        <v>0</v>
      </c>
      <c r="P945" s="228">
        <f t="shared" si="105"/>
        <v>0</v>
      </c>
      <c r="Q945" s="228">
        <f t="shared" si="102"/>
        <v>0</v>
      </c>
      <c r="R945" s="343">
        <f t="shared" si="103"/>
        <v>-260</v>
      </c>
      <c r="S945" s="240"/>
      <c r="T945" s="201"/>
      <c r="U945" s="201"/>
      <c r="V945" s="201"/>
    </row>
    <row r="946" spans="1:22" ht="20.100000000000001" customHeight="1" x14ac:dyDescent="0.25">
      <c r="A946" s="234" t="s">
        <v>1414</v>
      </c>
      <c r="B946" s="235" t="s">
        <v>1396</v>
      </c>
      <c r="C946" s="234" t="s">
        <v>6</v>
      </c>
      <c r="D946" s="312">
        <v>15</v>
      </c>
      <c r="E946" s="312"/>
      <c r="F946" s="248"/>
      <c r="G946" s="312"/>
      <c r="H946" s="312"/>
      <c r="I946" s="312"/>
      <c r="J946" s="248">
        <f t="shared" si="99"/>
        <v>0</v>
      </c>
      <c r="K946" s="330">
        <f t="shared" si="100"/>
        <v>-15</v>
      </c>
      <c r="L946" s="313"/>
      <c r="M946" s="228">
        <f t="shared" si="101"/>
        <v>0</v>
      </c>
      <c r="N946" s="228">
        <f t="shared" si="104"/>
        <v>0</v>
      </c>
      <c r="O946" s="228">
        <f t="shared" si="105"/>
        <v>0</v>
      </c>
      <c r="P946" s="228">
        <f t="shared" si="105"/>
        <v>0</v>
      </c>
      <c r="Q946" s="228">
        <f t="shared" si="102"/>
        <v>0</v>
      </c>
      <c r="R946" s="343">
        <f t="shared" si="103"/>
        <v>-15</v>
      </c>
      <c r="S946" s="240"/>
      <c r="T946" s="201"/>
      <c r="U946" s="201"/>
      <c r="V946" s="201"/>
    </row>
    <row r="947" spans="1:22" ht="20.100000000000001" customHeight="1" x14ac:dyDescent="0.25">
      <c r="A947" s="234" t="s">
        <v>1415</v>
      </c>
      <c r="B947" s="235" t="s">
        <v>1416</v>
      </c>
      <c r="C947" s="234" t="s">
        <v>9</v>
      </c>
      <c r="D947" s="312">
        <v>1</v>
      </c>
      <c r="E947" s="312"/>
      <c r="F947" s="248"/>
      <c r="G947" s="312"/>
      <c r="H947" s="312"/>
      <c r="I947" s="312"/>
      <c r="J947" s="248">
        <f t="shared" si="99"/>
        <v>0</v>
      </c>
      <c r="K947" s="330">
        <f t="shared" si="100"/>
        <v>-1</v>
      </c>
      <c r="L947" s="313"/>
      <c r="M947" s="228">
        <f t="shared" si="101"/>
        <v>0</v>
      </c>
      <c r="N947" s="228">
        <f t="shared" si="104"/>
        <v>0</v>
      </c>
      <c r="O947" s="228">
        <f t="shared" si="105"/>
        <v>0</v>
      </c>
      <c r="P947" s="228">
        <f t="shared" si="105"/>
        <v>0</v>
      </c>
      <c r="Q947" s="228">
        <f t="shared" si="102"/>
        <v>0</v>
      </c>
      <c r="R947" s="343">
        <f t="shared" si="103"/>
        <v>-1</v>
      </c>
      <c r="S947" s="240"/>
      <c r="T947" s="201"/>
      <c r="U947" s="201"/>
      <c r="V947" s="201"/>
    </row>
    <row r="948" spans="1:22" ht="20.100000000000001" customHeight="1" x14ac:dyDescent="0.25">
      <c r="A948" s="234" t="s">
        <v>1417</v>
      </c>
      <c r="B948" s="235" t="s">
        <v>1418</v>
      </c>
      <c r="C948" s="234" t="s">
        <v>9</v>
      </c>
      <c r="D948" s="312">
        <v>1</v>
      </c>
      <c r="E948" s="312"/>
      <c r="F948" s="248"/>
      <c r="G948" s="312"/>
      <c r="H948" s="312"/>
      <c r="I948" s="312"/>
      <c r="J948" s="248">
        <f t="shared" si="99"/>
        <v>0</v>
      </c>
      <c r="K948" s="330">
        <f t="shared" si="100"/>
        <v>-1</v>
      </c>
      <c r="L948" s="313"/>
      <c r="M948" s="228">
        <f t="shared" si="101"/>
        <v>0</v>
      </c>
      <c r="N948" s="228">
        <f t="shared" si="104"/>
        <v>0</v>
      </c>
      <c r="O948" s="228">
        <f t="shared" si="105"/>
        <v>0</v>
      </c>
      <c r="P948" s="228">
        <f t="shared" si="105"/>
        <v>0</v>
      </c>
      <c r="Q948" s="228">
        <f t="shared" si="102"/>
        <v>0</v>
      </c>
      <c r="R948" s="343">
        <f t="shared" si="103"/>
        <v>-1</v>
      </c>
      <c r="S948" s="240"/>
      <c r="T948" s="201"/>
      <c r="U948" s="201"/>
      <c r="V948" s="201"/>
    </row>
    <row r="949" spans="1:22" ht="20.100000000000001" customHeight="1" x14ac:dyDescent="0.25">
      <c r="A949" s="234" t="s">
        <v>1419</v>
      </c>
      <c r="B949" s="235" t="s">
        <v>1420</v>
      </c>
      <c r="C949" s="234" t="s">
        <v>9</v>
      </c>
      <c r="D949" s="312">
        <v>50</v>
      </c>
      <c r="E949" s="312"/>
      <c r="F949" s="248"/>
      <c r="G949" s="312"/>
      <c r="H949" s="312"/>
      <c r="I949" s="312"/>
      <c r="J949" s="248">
        <f t="shared" si="99"/>
        <v>0</v>
      </c>
      <c r="K949" s="330">
        <f t="shared" si="100"/>
        <v>-50</v>
      </c>
      <c r="L949" s="313"/>
      <c r="M949" s="228">
        <f t="shared" si="101"/>
        <v>0</v>
      </c>
      <c r="N949" s="228">
        <f t="shared" si="104"/>
        <v>0</v>
      </c>
      <c r="O949" s="228">
        <f t="shared" si="105"/>
        <v>0</v>
      </c>
      <c r="P949" s="228">
        <f t="shared" si="105"/>
        <v>0</v>
      </c>
      <c r="Q949" s="228">
        <f t="shared" si="102"/>
        <v>0</v>
      </c>
      <c r="R949" s="343">
        <f t="shared" si="103"/>
        <v>-50</v>
      </c>
      <c r="S949" s="240"/>
      <c r="T949" s="201"/>
      <c r="U949" s="201"/>
      <c r="V949" s="201"/>
    </row>
    <row r="950" spans="1:22" ht="20.100000000000001" customHeight="1" x14ac:dyDescent="0.25">
      <c r="A950" s="234" t="s">
        <v>1421</v>
      </c>
      <c r="B950" s="235" t="s">
        <v>1422</v>
      </c>
      <c r="C950" s="234" t="s">
        <v>248</v>
      </c>
      <c r="D950" s="312">
        <v>130</v>
      </c>
      <c r="E950" s="312"/>
      <c r="F950" s="248"/>
      <c r="G950" s="312"/>
      <c r="H950" s="312"/>
      <c r="I950" s="312"/>
      <c r="J950" s="248">
        <f t="shared" si="99"/>
        <v>0</v>
      </c>
      <c r="K950" s="330">
        <f t="shared" si="100"/>
        <v>-130</v>
      </c>
      <c r="L950" s="313"/>
      <c r="M950" s="228">
        <f t="shared" si="101"/>
        <v>0</v>
      </c>
      <c r="N950" s="228">
        <f t="shared" si="104"/>
        <v>0</v>
      </c>
      <c r="O950" s="228">
        <f t="shared" si="105"/>
        <v>0</v>
      </c>
      <c r="P950" s="228">
        <f t="shared" si="105"/>
        <v>0</v>
      </c>
      <c r="Q950" s="228">
        <f t="shared" si="102"/>
        <v>0</v>
      </c>
      <c r="R950" s="343">
        <f t="shared" si="103"/>
        <v>-130</v>
      </c>
      <c r="S950" s="240"/>
      <c r="T950" s="201"/>
      <c r="U950" s="201"/>
      <c r="V950" s="201"/>
    </row>
    <row r="951" spans="1:22" ht="20.100000000000001" customHeight="1" x14ac:dyDescent="0.25">
      <c r="A951" s="234" t="s">
        <v>1423</v>
      </c>
      <c r="B951" s="235" t="s">
        <v>1424</v>
      </c>
      <c r="C951" s="234" t="s">
        <v>9</v>
      </c>
      <c r="D951" s="312">
        <v>4</v>
      </c>
      <c r="E951" s="312"/>
      <c r="F951" s="248"/>
      <c r="G951" s="312"/>
      <c r="H951" s="312"/>
      <c r="I951" s="312"/>
      <c r="J951" s="248">
        <f t="shared" si="99"/>
        <v>0</v>
      </c>
      <c r="K951" s="330">
        <f t="shared" si="100"/>
        <v>-4</v>
      </c>
      <c r="L951" s="313"/>
      <c r="M951" s="228">
        <f t="shared" si="101"/>
        <v>0</v>
      </c>
      <c r="N951" s="228">
        <f t="shared" si="104"/>
        <v>0</v>
      </c>
      <c r="O951" s="228">
        <f t="shared" si="105"/>
        <v>0</v>
      </c>
      <c r="P951" s="228">
        <f t="shared" si="105"/>
        <v>0</v>
      </c>
      <c r="Q951" s="228">
        <f t="shared" si="102"/>
        <v>0</v>
      </c>
      <c r="R951" s="343">
        <f t="shared" si="103"/>
        <v>-4</v>
      </c>
      <c r="S951" s="240"/>
      <c r="T951" s="201"/>
      <c r="U951" s="201"/>
      <c r="V951" s="201"/>
    </row>
    <row r="952" spans="1:22" ht="20.100000000000001" customHeight="1" x14ac:dyDescent="0.25">
      <c r="A952" s="234" t="s">
        <v>1425</v>
      </c>
      <c r="B952" s="235" t="s">
        <v>1426</v>
      </c>
      <c r="C952" s="234" t="s">
        <v>248</v>
      </c>
      <c r="D952" s="312">
        <v>4</v>
      </c>
      <c r="E952" s="312"/>
      <c r="F952" s="248"/>
      <c r="G952" s="312"/>
      <c r="H952" s="312"/>
      <c r="I952" s="312"/>
      <c r="J952" s="248">
        <f t="shared" si="99"/>
        <v>0</v>
      </c>
      <c r="K952" s="330">
        <f t="shared" si="100"/>
        <v>-4</v>
      </c>
      <c r="L952" s="313"/>
      <c r="M952" s="228">
        <f t="shared" si="101"/>
        <v>0</v>
      </c>
      <c r="N952" s="228">
        <f t="shared" si="104"/>
        <v>0</v>
      </c>
      <c r="O952" s="228">
        <f t="shared" si="105"/>
        <v>0</v>
      </c>
      <c r="P952" s="228">
        <f t="shared" si="105"/>
        <v>0</v>
      </c>
      <c r="Q952" s="228">
        <f t="shared" si="102"/>
        <v>0</v>
      </c>
      <c r="R952" s="343">
        <f t="shared" si="103"/>
        <v>-4</v>
      </c>
      <c r="S952" s="240"/>
      <c r="T952" s="201"/>
      <c r="U952" s="201"/>
      <c r="V952" s="201"/>
    </row>
    <row r="953" spans="1:22" ht="20.100000000000001" customHeight="1" x14ac:dyDescent="0.25">
      <c r="A953" s="234" t="s">
        <v>1427</v>
      </c>
      <c r="B953" s="235" t="s">
        <v>1428</v>
      </c>
      <c r="C953" s="234" t="s">
        <v>1429</v>
      </c>
      <c r="D953" s="312">
        <v>2</v>
      </c>
      <c r="E953" s="312"/>
      <c r="F953" s="248"/>
      <c r="G953" s="312"/>
      <c r="H953" s="312"/>
      <c r="I953" s="312"/>
      <c r="J953" s="248">
        <f t="shared" si="99"/>
        <v>0</v>
      </c>
      <c r="K953" s="330">
        <f t="shared" si="100"/>
        <v>-2</v>
      </c>
      <c r="L953" s="313"/>
      <c r="M953" s="228">
        <f t="shared" si="101"/>
        <v>0</v>
      </c>
      <c r="N953" s="228">
        <f t="shared" si="104"/>
        <v>0</v>
      </c>
      <c r="O953" s="228">
        <f t="shared" si="105"/>
        <v>0</v>
      </c>
      <c r="P953" s="228">
        <f t="shared" si="105"/>
        <v>0</v>
      </c>
      <c r="Q953" s="228">
        <f t="shared" si="102"/>
        <v>0</v>
      </c>
      <c r="R953" s="343">
        <f t="shared" si="103"/>
        <v>-2</v>
      </c>
      <c r="S953" s="240"/>
      <c r="T953" s="201"/>
      <c r="U953" s="201"/>
      <c r="V953" s="201"/>
    </row>
    <row r="954" spans="1:22" ht="20.100000000000001" customHeight="1" x14ac:dyDescent="0.25">
      <c r="A954" s="234" t="s">
        <v>1430</v>
      </c>
      <c r="B954" s="235" t="s">
        <v>1398</v>
      </c>
      <c r="C954" s="234" t="s">
        <v>1399</v>
      </c>
      <c r="D954" s="312">
        <v>6</v>
      </c>
      <c r="E954" s="312"/>
      <c r="F954" s="248"/>
      <c r="G954" s="312"/>
      <c r="H954" s="312"/>
      <c r="I954" s="312"/>
      <c r="J954" s="248">
        <f t="shared" ref="J954:J1017" si="106">F954+G954+H954+I954</f>
        <v>0</v>
      </c>
      <c r="K954" s="330">
        <f t="shared" ref="K954:K1017" si="107">J954-D954</f>
        <v>-6</v>
      </c>
      <c r="L954" s="313"/>
      <c r="M954" s="228">
        <f t="shared" ref="M954:M1017" si="108">F954</f>
        <v>0</v>
      </c>
      <c r="N954" s="228">
        <f t="shared" si="104"/>
        <v>0</v>
      </c>
      <c r="O954" s="228">
        <f t="shared" si="105"/>
        <v>0</v>
      </c>
      <c r="P954" s="228">
        <f t="shared" si="105"/>
        <v>0</v>
      </c>
      <c r="Q954" s="228">
        <f t="shared" ref="Q954:Q1017" si="109">M954+N954+O954+P954</f>
        <v>0</v>
      </c>
      <c r="R954" s="343">
        <f t="shared" ref="R954:R1017" si="110">Q954-D954</f>
        <v>-6</v>
      </c>
      <c r="S954" s="240"/>
      <c r="T954" s="201"/>
      <c r="U954" s="201"/>
      <c r="V954" s="201"/>
    </row>
    <row r="955" spans="1:22" ht="20.100000000000001" customHeight="1" x14ac:dyDescent="0.25">
      <c r="A955" s="234" t="s">
        <v>1431</v>
      </c>
      <c r="B955" s="235" t="s">
        <v>1432</v>
      </c>
      <c r="C955" s="234" t="s">
        <v>248</v>
      </c>
      <c r="D955" s="312">
        <v>4</v>
      </c>
      <c r="E955" s="312"/>
      <c r="F955" s="248"/>
      <c r="G955" s="312"/>
      <c r="H955" s="312"/>
      <c r="I955" s="312"/>
      <c r="J955" s="248">
        <f t="shared" si="106"/>
        <v>0</v>
      </c>
      <c r="K955" s="330">
        <f t="shared" si="107"/>
        <v>-4</v>
      </c>
      <c r="L955" s="313"/>
      <c r="M955" s="228">
        <f t="shared" si="108"/>
        <v>0</v>
      </c>
      <c r="N955" s="228">
        <f t="shared" si="104"/>
        <v>0</v>
      </c>
      <c r="O955" s="228">
        <f t="shared" si="105"/>
        <v>0</v>
      </c>
      <c r="P955" s="228">
        <f t="shared" si="105"/>
        <v>0</v>
      </c>
      <c r="Q955" s="228">
        <f t="shared" si="109"/>
        <v>0</v>
      </c>
      <c r="R955" s="343">
        <f t="shared" si="110"/>
        <v>-4</v>
      </c>
      <c r="S955" s="240"/>
      <c r="T955" s="201"/>
      <c r="U955" s="201"/>
      <c r="V955" s="201"/>
    </row>
    <row r="956" spans="1:22" ht="20.100000000000001" customHeight="1" x14ac:dyDescent="0.25">
      <c r="A956" s="234" t="s">
        <v>1433</v>
      </c>
      <c r="B956" s="235" t="s">
        <v>1434</v>
      </c>
      <c r="C956" s="234" t="s">
        <v>248</v>
      </c>
      <c r="D956" s="312">
        <v>1</v>
      </c>
      <c r="E956" s="312"/>
      <c r="F956" s="248"/>
      <c r="G956" s="312"/>
      <c r="H956" s="312"/>
      <c r="I956" s="312"/>
      <c r="J956" s="248">
        <f t="shared" si="106"/>
        <v>0</v>
      </c>
      <c r="K956" s="330">
        <f t="shared" si="107"/>
        <v>-1</v>
      </c>
      <c r="L956" s="313"/>
      <c r="M956" s="228">
        <f t="shared" si="108"/>
        <v>0</v>
      </c>
      <c r="N956" s="228">
        <f t="shared" si="104"/>
        <v>0</v>
      </c>
      <c r="O956" s="228">
        <f t="shared" si="105"/>
        <v>0</v>
      </c>
      <c r="P956" s="228">
        <f t="shared" si="105"/>
        <v>0</v>
      </c>
      <c r="Q956" s="228">
        <f t="shared" si="109"/>
        <v>0</v>
      </c>
      <c r="R956" s="343">
        <f t="shared" si="110"/>
        <v>-1</v>
      </c>
      <c r="S956" s="240"/>
      <c r="T956" s="201"/>
      <c r="U956" s="201"/>
      <c r="V956" s="201"/>
    </row>
    <row r="957" spans="1:22" ht="15.75" x14ac:dyDescent="0.25">
      <c r="A957" s="230" t="s">
        <v>1435</v>
      </c>
      <c r="B957" s="231" t="s">
        <v>1436</v>
      </c>
      <c r="C957" s="230"/>
      <c r="D957" s="316"/>
      <c r="E957" s="316"/>
      <c r="F957" s="317"/>
      <c r="G957" s="316"/>
      <c r="H957" s="316"/>
      <c r="I957" s="316"/>
      <c r="J957" s="248">
        <f t="shared" si="106"/>
        <v>0</v>
      </c>
      <c r="K957" s="330">
        <f t="shared" si="107"/>
        <v>0</v>
      </c>
      <c r="L957" s="318"/>
      <c r="M957" s="228">
        <f t="shared" si="108"/>
        <v>0</v>
      </c>
      <c r="N957" s="228">
        <f t="shared" si="104"/>
        <v>0</v>
      </c>
      <c r="O957" s="228">
        <f t="shared" si="105"/>
        <v>0</v>
      </c>
      <c r="P957" s="228">
        <f t="shared" si="105"/>
        <v>0</v>
      </c>
      <c r="Q957" s="228">
        <f t="shared" si="109"/>
        <v>0</v>
      </c>
      <c r="R957" s="343">
        <f t="shared" si="110"/>
        <v>0</v>
      </c>
      <c r="S957" s="240"/>
      <c r="T957" s="201"/>
      <c r="U957" s="201"/>
      <c r="V957" s="201"/>
    </row>
    <row r="958" spans="1:22" ht="31.5" x14ac:dyDescent="0.25">
      <c r="A958" s="234" t="s">
        <v>1437</v>
      </c>
      <c r="B958" s="235" t="s">
        <v>1438</v>
      </c>
      <c r="C958" s="234" t="s">
        <v>248</v>
      </c>
      <c r="D958" s="312">
        <v>275</v>
      </c>
      <c r="E958" s="312"/>
      <c r="F958" s="248">
        <f>INT(D958*$U$958)</f>
        <v>0</v>
      </c>
      <c r="G958" s="312"/>
      <c r="H958" s="312"/>
      <c r="I958" s="312"/>
      <c r="J958" s="248">
        <f t="shared" si="106"/>
        <v>0</v>
      </c>
      <c r="K958" s="330">
        <f t="shared" si="107"/>
        <v>-275</v>
      </c>
      <c r="L958" s="313"/>
      <c r="M958" s="228">
        <f t="shared" si="108"/>
        <v>0</v>
      </c>
      <c r="N958" s="228">
        <f t="shared" si="104"/>
        <v>0</v>
      </c>
      <c r="O958" s="228">
        <f t="shared" si="105"/>
        <v>0</v>
      </c>
      <c r="P958" s="228">
        <f t="shared" si="105"/>
        <v>0</v>
      </c>
      <c r="Q958" s="228">
        <f t="shared" si="109"/>
        <v>0</v>
      </c>
      <c r="R958" s="343">
        <f t="shared" si="110"/>
        <v>-275</v>
      </c>
      <c r="S958" s="240"/>
      <c r="T958" s="201"/>
      <c r="U958" s="213"/>
      <c r="V958" s="214" t="s">
        <v>3459</v>
      </c>
    </row>
    <row r="959" spans="1:22" ht="15.75" x14ac:dyDescent="0.25">
      <c r="A959" s="234" t="s">
        <v>1439</v>
      </c>
      <c r="B959" s="235" t="s">
        <v>1440</v>
      </c>
      <c r="C959" s="234" t="s">
        <v>9</v>
      </c>
      <c r="D959" s="312">
        <v>275</v>
      </c>
      <c r="E959" s="312"/>
      <c r="F959" s="248">
        <f>INT(D959*$U$958)</f>
        <v>0</v>
      </c>
      <c r="G959" s="312"/>
      <c r="H959" s="312"/>
      <c r="I959" s="312"/>
      <c r="J959" s="248">
        <f t="shared" si="106"/>
        <v>0</v>
      </c>
      <c r="K959" s="330">
        <f t="shared" si="107"/>
        <v>-275</v>
      </c>
      <c r="L959" s="313"/>
      <c r="M959" s="228">
        <f t="shared" si="108"/>
        <v>0</v>
      </c>
      <c r="N959" s="228">
        <f t="shared" si="104"/>
        <v>0</v>
      </c>
      <c r="O959" s="228">
        <f t="shared" si="105"/>
        <v>0</v>
      </c>
      <c r="P959" s="228">
        <f t="shared" si="105"/>
        <v>0</v>
      </c>
      <c r="Q959" s="228">
        <f t="shared" si="109"/>
        <v>0</v>
      </c>
      <c r="R959" s="343">
        <f t="shared" si="110"/>
        <v>-275</v>
      </c>
      <c r="S959" s="240"/>
      <c r="T959" s="201"/>
      <c r="U959" s="213"/>
      <c r="V959" s="201"/>
    </row>
    <row r="960" spans="1:22" s="167" customFormat="1" ht="15.75" x14ac:dyDescent="0.25">
      <c r="A960" s="234" t="s">
        <v>1441</v>
      </c>
      <c r="B960" s="235" t="s">
        <v>1442</v>
      </c>
      <c r="C960" s="234" t="s">
        <v>248</v>
      </c>
      <c r="D960" s="312">
        <v>274</v>
      </c>
      <c r="E960" s="312"/>
      <c r="F960" s="248">
        <f>INT(D960*$U$958)</f>
        <v>0</v>
      </c>
      <c r="G960" s="312"/>
      <c r="H960" s="312"/>
      <c r="I960" s="312"/>
      <c r="J960" s="248">
        <f t="shared" si="106"/>
        <v>0</v>
      </c>
      <c r="K960" s="330">
        <f t="shared" si="107"/>
        <v>-274</v>
      </c>
      <c r="L960" s="313"/>
      <c r="M960" s="228">
        <f t="shared" si="108"/>
        <v>0</v>
      </c>
      <c r="N960" s="228">
        <f t="shared" si="104"/>
        <v>0</v>
      </c>
      <c r="O960" s="228">
        <f t="shared" si="105"/>
        <v>0</v>
      </c>
      <c r="P960" s="228">
        <f t="shared" si="105"/>
        <v>0</v>
      </c>
      <c r="Q960" s="228">
        <f t="shared" si="109"/>
        <v>0</v>
      </c>
      <c r="R960" s="343">
        <f t="shared" si="110"/>
        <v>-274</v>
      </c>
      <c r="S960" s="245"/>
      <c r="T960" s="215"/>
      <c r="U960" s="213"/>
      <c r="V960" s="216"/>
    </row>
    <row r="961" spans="1:22" ht="15.75" x14ac:dyDescent="0.25">
      <c r="A961" s="234" t="s">
        <v>1443</v>
      </c>
      <c r="B961" s="235" t="s">
        <v>1444</v>
      </c>
      <c r="C961" s="234" t="s">
        <v>248</v>
      </c>
      <c r="D961" s="312">
        <v>274</v>
      </c>
      <c r="E961" s="312"/>
      <c r="F961" s="248">
        <f>INT(D961*$U$958)</f>
        <v>0</v>
      </c>
      <c r="G961" s="312"/>
      <c r="H961" s="312"/>
      <c r="I961" s="312"/>
      <c r="J961" s="248">
        <f t="shared" si="106"/>
        <v>0</v>
      </c>
      <c r="K961" s="330">
        <f t="shared" si="107"/>
        <v>-274</v>
      </c>
      <c r="L961" s="313"/>
      <c r="M961" s="228">
        <f t="shared" si="108"/>
        <v>0</v>
      </c>
      <c r="N961" s="228">
        <f t="shared" si="104"/>
        <v>0</v>
      </c>
      <c r="O961" s="228">
        <f t="shared" si="105"/>
        <v>0</v>
      </c>
      <c r="P961" s="228">
        <f t="shared" si="105"/>
        <v>0</v>
      </c>
      <c r="Q961" s="228">
        <f t="shared" si="109"/>
        <v>0</v>
      </c>
      <c r="R961" s="343">
        <f t="shared" si="110"/>
        <v>-274</v>
      </c>
      <c r="S961" s="240"/>
      <c r="T961" s="201"/>
      <c r="U961" s="213"/>
      <c r="V961" s="201"/>
    </row>
    <row r="962" spans="1:22" ht="15.75" x14ac:dyDescent="0.25">
      <c r="A962" s="234" t="s">
        <v>1445</v>
      </c>
      <c r="B962" s="235" t="s">
        <v>1446</v>
      </c>
      <c r="C962" s="234" t="s">
        <v>9</v>
      </c>
      <c r="D962" s="312">
        <v>274</v>
      </c>
      <c r="E962" s="312"/>
      <c r="F962" s="248"/>
      <c r="G962" s="312"/>
      <c r="H962" s="312"/>
      <c r="I962" s="312"/>
      <c r="J962" s="248">
        <f t="shared" si="106"/>
        <v>0</v>
      </c>
      <c r="K962" s="330">
        <f t="shared" si="107"/>
        <v>-274</v>
      </c>
      <c r="L962" s="313"/>
      <c r="M962" s="228">
        <f t="shared" si="108"/>
        <v>0</v>
      </c>
      <c r="N962" s="228">
        <f t="shared" si="104"/>
        <v>0</v>
      </c>
      <c r="O962" s="228">
        <f t="shared" si="105"/>
        <v>0</v>
      </c>
      <c r="P962" s="228">
        <f t="shared" si="105"/>
        <v>0</v>
      </c>
      <c r="Q962" s="228">
        <f t="shared" si="109"/>
        <v>0</v>
      </c>
      <c r="R962" s="343">
        <f t="shared" si="110"/>
        <v>-274</v>
      </c>
      <c r="S962" s="240"/>
      <c r="T962" s="201"/>
      <c r="U962" s="213"/>
      <c r="V962" s="201"/>
    </row>
    <row r="963" spans="1:22" ht="15.75" x14ac:dyDescent="0.25">
      <c r="A963" s="234" t="s">
        <v>1447</v>
      </c>
      <c r="B963" s="235" t="s">
        <v>1448</v>
      </c>
      <c r="C963" s="234" t="s">
        <v>248</v>
      </c>
      <c r="D963" s="312">
        <v>14</v>
      </c>
      <c r="E963" s="312"/>
      <c r="F963" s="248">
        <f>INT(D963*$U$958)</f>
        <v>0</v>
      </c>
      <c r="G963" s="312"/>
      <c r="H963" s="312"/>
      <c r="I963" s="312"/>
      <c r="J963" s="248">
        <f t="shared" si="106"/>
        <v>0</v>
      </c>
      <c r="K963" s="330">
        <f t="shared" si="107"/>
        <v>-14</v>
      </c>
      <c r="L963" s="313"/>
      <c r="M963" s="228">
        <f t="shared" si="108"/>
        <v>0</v>
      </c>
      <c r="N963" s="228">
        <f t="shared" si="104"/>
        <v>0</v>
      </c>
      <c r="O963" s="228">
        <f t="shared" si="105"/>
        <v>0</v>
      </c>
      <c r="P963" s="228">
        <f t="shared" si="105"/>
        <v>0</v>
      </c>
      <c r="Q963" s="228">
        <f t="shared" si="109"/>
        <v>0</v>
      </c>
      <c r="R963" s="343">
        <f t="shared" si="110"/>
        <v>-14</v>
      </c>
      <c r="S963" s="240"/>
      <c r="T963" s="201"/>
      <c r="U963" s="213"/>
      <c r="V963" s="201"/>
    </row>
    <row r="964" spans="1:22" ht="15.75" x14ac:dyDescent="0.25">
      <c r="A964" s="234" t="s">
        <v>1449</v>
      </c>
      <c r="B964" s="235" t="s">
        <v>1450</v>
      </c>
      <c r="C964" s="234" t="s">
        <v>248</v>
      </c>
      <c r="D964" s="312">
        <v>241</v>
      </c>
      <c r="E964" s="312"/>
      <c r="F964" s="248">
        <f>INT(D964*$U$958)</f>
        <v>0</v>
      </c>
      <c r="G964" s="312"/>
      <c r="H964" s="312"/>
      <c r="I964" s="312"/>
      <c r="J964" s="248">
        <f t="shared" si="106"/>
        <v>0</v>
      </c>
      <c r="K964" s="330">
        <f t="shared" si="107"/>
        <v>-241</v>
      </c>
      <c r="L964" s="313"/>
      <c r="M964" s="228">
        <f t="shared" si="108"/>
        <v>0</v>
      </c>
      <c r="N964" s="228">
        <f t="shared" si="104"/>
        <v>0</v>
      </c>
      <c r="O964" s="228">
        <f t="shared" si="105"/>
        <v>0</v>
      </c>
      <c r="P964" s="228">
        <f t="shared" si="105"/>
        <v>0</v>
      </c>
      <c r="Q964" s="228">
        <f t="shared" si="109"/>
        <v>0</v>
      </c>
      <c r="R964" s="343">
        <f t="shared" si="110"/>
        <v>-241</v>
      </c>
      <c r="S964" s="240"/>
      <c r="T964" s="201"/>
      <c r="U964" s="213"/>
      <c r="V964" s="201"/>
    </row>
    <row r="965" spans="1:22" ht="15.75" x14ac:dyDescent="0.25">
      <c r="A965" s="234" t="s">
        <v>1451</v>
      </c>
      <c r="B965" s="235" t="s">
        <v>1452</v>
      </c>
      <c r="C965" s="234" t="s">
        <v>248</v>
      </c>
      <c r="D965" s="312">
        <v>13</v>
      </c>
      <c r="E965" s="312"/>
      <c r="F965" s="248"/>
      <c r="G965" s="312"/>
      <c r="H965" s="312"/>
      <c r="I965" s="312"/>
      <c r="J965" s="248">
        <f t="shared" si="106"/>
        <v>0</v>
      </c>
      <c r="K965" s="330">
        <f t="shared" si="107"/>
        <v>-13</v>
      </c>
      <c r="L965" s="313"/>
      <c r="M965" s="228">
        <f t="shared" si="108"/>
        <v>0</v>
      </c>
      <c r="N965" s="228">
        <f t="shared" si="104"/>
        <v>0</v>
      </c>
      <c r="O965" s="228">
        <f t="shared" si="105"/>
        <v>0</v>
      </c>
      <c r="P965" s="228">
        <f t="shared" si="105"/>
        <v>0</v>
      </c>
      <c r="Q965" s="228">
        <f t="shared" si="109"/>
        <v>0</v>
      </c>
      <c r="R965" s="343">
        <f t="shared" si="110"/>
        <v>-13</v>
      </c>
      <c r="S965" s="240"/>
      <c r="T965" s="201"/>
      <c r="U965" s="213"/>
      <c r="V965" s="201"/>
    </row>
    <row r="966" spans="1:22" s="49" customFormat="1" ht="15.75" x14ac:dyDescent="0.25">
      <c r="A966" s="241" t="s">
        <v>1453</v>
      </c>
      <c r="B966" s="242" t="s">
        <v>1454</v>
      </c>
      <c r="C966" s="241" t="s">
        <v>248</v>
      </c>
      <c r="D966" s="319">
        <v>9</v>
      </c>
      <c r="E966" s="319"/>
      <c r="F966" s="321">
        <f>INT(D966*$U$958)</f>
        <v>0</v>
      </c>
      <c r="G966" s="319"/>
      <c r="H966" s="319"/>
      <c r="I966" s="319"/>
      <c r="J966" s="248">
        <f t="shared" si="106"/>
        <v>0</v>
      </c>
      <c r="K966" s="330">
        <f t="shared" si="107"/>
        <v>-9</v>
      </c>
      <c r="L966" s="320"/>
      <c r="M966" s="228">
        <f t="shared" si="108"/>
        <v>0</v>
      </c>
      <c r="N966" s="228">
        <f t="shared" si="104"/>
        <v>0</v>
      </c>
      <c r="O966" s="228">
        <f t="shared" si="105"/>
        <v>0</v>
      </c>
      <c r="P966" s="228">
        <f t="shared" si="105"/>
        <v>0</v>
      </c>
      <c r="Q966" s="228">
        <f t="shared" si="109"/>
        <v>0</v>
      </c>
      <c r="R966" s="343">
        <f t="shared" si="110"/>
        <v>-9</v>
      </c>
      <c r="S966" s="243"/>
      <c r="T966" s="207"/>
      <c r="U966" s="213"/>
      <c r="V966" s="207" t="s">
        <v>3461</v>
      </c>
    </row>
    <row r="967" spans="1:22" ht="15.75" x14ac:dyDescent="0.25">
      <c r="A967" s="234" t="s">
        <v>1455</v>
      </c>
      <c r="B967" s="235" t="s">
        <v>1456</v>
      </c>
      <c r="C967" s="234" t="s">
        <v>14</v>
      </c>
      <c r="D967" s="312">
        <v>0.14499999999999999</v>
      </c>
      <c r="E967" s="312"/>
      <c r="F967" s="248">
        <f>(D967*$U$967)</f>
        <v>0.10149999999999999</v>
      </c>
      <c r="G967" s="312"/>
      <c r="H967" s="312"/>
      <c r="I967" s="312"/>
      <c r="J967" s="248">
        <f t="shared" si="106"/>
        <v>0.10149999999999999</v>
      </c>
      <c r="K967" s="330">
        <f t="shared" si="107"/>
        <v>-4.3499999999999997E-2</v>
      </c>
      <c r="L967" s="313"/>
      <c r="M967" s="228">
        <f t="shared" si="108"/>
        <v>0.10149999999999999</v>
      </c>
      <c r="N967" s="228">
        <f t="shared" si="104"/>
        <v>0</v>
      </c>
      <c r="O967" s="228">
        <f t="shared" si="105"/>
        <v>0</v>
      </c>
      <c r="P967" s="228">
        <f t="shared" si="105"/>
        <v>0</v>
      </c>
      <c r="Q967" s="228">
        <f t="shared" si="109"/>
        <v>0.10149999999999999</v>
      </c>
      <c r="R967" s="343">
        <f t="shared" si="110"/>
        <v>-4.3499999999999997E-2</v>
      </c>
      <c r="S967" s="240"/>
      <c r="T967" s="201"/>
      <c r="U967" s="217">
        <v>0.7</v>
      </c>
      <c r="V967" s="201"/>
    </row>
    <row r="968" spans="1:22" ht="15.75" x14ac:dyDescent="0.25">
      <c r="A968" s="234" t="s">
        <v>1457</v>
      </c>
      <c r="B968" s="235" t="s">
        <v>1458</v>
      </c>
      <c r="C968" s="234" t="s">
        <v>14</v>
      </c>
      <c r="D968" s="312">
        <v>8.2550000000000008</v>
      </c>
      <c r="E968" s="312"/>
      <c r="F968" s="248">
        <f>(D968*$U$967)</f>
        <v>5.7785000000000002</v>
      </c>
      <c r="G968" s="312"/>
      <c r="H968" s="312"/>
      <c r="I968" s="312"/>
      <c r="J968" s="248">
        <f t="shared" si="106"/>
        <v>5.7785000000000002</v>
      </c>
      <c r="K968" s="330">
        <f t="shared" si="107"/>
        <v>-2.4765000000000006</v>
      </c>
      <c r="L968" s="313"/>
      <c r="M968" s="228">
        <f t="shared" si="108"/>
        <v>5.7785000000000002</v>
      </c>
      <c r="N968" s="228">
        <f t="shared" si="104"/>
        <v>0</v>
      </c>
      <c r="O968" s="228">
        <f t="shared" si="105"/>
        <v>0</v>
      </c>
      <c r="P968" s="228">
        <f t="shared" si="105"/>
        <v>0</v>
      </c>
      <c r="Q968" s="228">
        <f t="shared" si="109"/>
        <v>5.7785000000000002</v>
      </c>
      <c r="R968" s="343">
        <f t="shared" si="110"/>
        <v>-2.4765000000000006</v>
      </c>
      <c r="S968" s="240"/>
      <c r="T968" s="201"/>
      <c r="U968" s="201"/>
      <c r="V968" s="201"/>
    </row>
    <row r="969" spans="1:22" ht="15.75" x14ac:dyDescent="0.25">
      <c r="A969" s="234" t="s">
        <v>1459</v>
      </c>
      <c r="B969" s="235" t="s">
        <v>1460</v>
      </c>
      <c r="C969" s="234" t="s">
        <v>14</v>
      </c>
      <c r="D969" s="312">
        <v>37.409999999999997</v>
      </c>
      <c r="E969" s="312"/>
      <c r="F969" s="248">
        <f>(D969*$U$967)</f>
        <v>26.186999999999998</v>
      </c>
      <c r="G969" s="312"/>
      <c r="H969" s="312"/>
      <c r="I969" s="312"/>
      <c r="J969" s="248">
        <f t="shared" si="106"/>
        <v>26.186999999999998</v>
      </c>
      <c r="K969" s="330">
        <f t="shared" si="107"/>
        <v>-11.222999999999999</v>
      </c>
      <c r="L969" s="313"/>
      <c r="M969" s="228">
        <f t="shared" si="108"/>
        <v>26.186999999999998</v>
      </c>
      <c r="N969" s="228">
        <f t="shared" ref="N969:N1032" si="111">G969</f>
        <v>0</v>
      </c>
      <c r="O969" s="228">
        <f t="shared" ref="O969:P1032" si="112">H969</f>
        <v>0</v>
      </c>
      <c r="P969" s="228">
        <f t="shared" si="112"/>
        <v>0</v>
      </c>
      <c r="Q969" s="228">
        <f t="shared" si="109"/>
        <v>26.186999999999998</v>
      </c>
      <c r="R969" s="343">
        <f t="shared" si="110"/>
        <v>-11.222999999999999</v>
      </c>
      <c r="S969" s="240"/>
      <c r="T969" s="201"/>
      <c r="U969" s="201"/>
      <c r="V969" s="201"/>
    </row>
    <row r="970" spans="1:22" ht="15.75" x14ac:dyDescent="0.25">
      <c r="A970" s="234" t="s">
        <v>1461</v>
      </c>
      <c r="B970" s="235" t="s">
        <v>1462</v>
      </c>
      <c r="C970" s="234" t="s">
        <v>14</v>
      </c>
      <c r="D970" s="312">
        <v>21.51</v>
      </c>
      <c r="E970" s="312"/>
      <c r="F970" s="248">
        <f>(D970*$U$967)</f>
        <v>15.057</v>
      </c>
      <c r="G970" s="312"/>
      <c r="H970" s="312"/>
      <c r="I970" s="312"/>
      <c r="J970" s="248">
        <f t="shared" si="106"/>
        <v>15.057</v>
      </c>
      <c r="K970" s="330">
        <f t="shared" si="107"/>
        <v>-6.4530000000000012</v>
      </c>
      <c r="L970" s="313"/>
      <c r="M970" s="228">
        <f t="shared" si="108"/>
        <v>15.057</v>
      </c>
      <c r="N970" s="228">
        <f t="shared" si="111"/>
        <v>0</v>
      </c>
      <c r="O970" s="228">
        <f t="shared" si="112"/>
        <v>0</v>
      </c>
      <c r="P970" s="228">
        <f t="shared" si="112"/>
        <v>0</v>
      </c>
      <c r="Q970" s="228">
        <f t="shared" si="109"/>
        <v>15.057</v>
      </c>
      <c r="R970" s="343">
        <f t="shared" si="110"/>
        <v>-6.4530000000000012</v>
      </c>
      <c r="S970" s="240"/>
      <c r="T970" s="201"/>
      <c r="U970" s="212">
        <v>0.7</v>
      </c>
      <c r="V970" s="201"/>
    </row>
    <row r="971" spans="1:22" ht="15.75" x14ac:dyDescent="0.25">
      <c r="A971" s="234" t="s">
        <v>1463</v>
      </c>
      <c r="B971" s="235" t="s">
        <v>1464</v>
      </c>
      <c r="C971" s="234" t="s">
        <v>9</v>
      </c>
      <c r="D971" s="312">
        <v>1.45</v>
      </c>
      <c r="E971" s="312"/>
      <c r="F971" s="248">
        <f>INT(D971*U970)</f>
        <v>1</v>
      </c>
      <c r="G971" s="312"/>
      <c r="H971" s="312"/>
      <c r="I971" s="312"/>
      <c r="J971" s="248">
        <f t="shared" si="106"/>
        <v>1</v>
      </c>
      <c r="K971" s="330">
        <f t="shared" si="107"/>
        <v>-0.44999999999999996</v>
      </c>
      <c r="L971" s="313"/>
      <c r="M971" s="228">
        <f t="shared" si="108"/>
        <v>1</v>
      </c>
      <c r="N971" s="228">
        <f t="shared" si="111"/>
        <v>0</v>
      </c>
      <c r="O971" s="228">
        <f t="shared" si="112"/>
        <v>0</v>
      </c>
      <c r="P971" s="228">
        <f t="shared" si="112"/>
        <v>0</v>
      </c>
      <c r="Q971" s="228">
        <f t="shared" si="109"/>
        <v>1</v>
      </c>
      <c r="R971" s="343">
        <f t="shared" si="110"/>
        <v>-0.44999999999999996</v>
      </c>
      <c r="S971" s="240"/>
      <c r="T971" s="201"/>
      <c r="U971" s="201"/>
      <c r="V971" s="201"/>
    </row>
    <row r="972" spans="1:22" ht="15.75" x14ac:dyDescent="0.25">
      <c r="A972" s="234" t="s">
        <v>1465</v>
      </c>
      <c r="B972" s="235" t="s">
        <v>1466</v>
      </c>
      <c r="C972" s="234" t="s">
        <v>9</v>
      </c>
      <c r="D972" s="312">
        <v>82.55</v>
      </c>
      <c r="E972" s="312"/>
      <c r="F972" s="248">
        <f>INT(D972*U970)</f>
        <v>57</v>
      </c>
      <c r="G972" s="312"/>
      <c r="H972" s="312"/>
      <c r="I972" s="312"/>
      <c r="J972" s="248">
        <f t="shared" si="106"/>
        <v>57</v>
      </c>
      <c r="K972" s="330">
        <f t="shared" si="107"/>
        <v>-25.549999999999997</v>
      </c>
      <c r="L972" s="313"/>
      <c r="M972" s="228">
        <f t="shared" si="108"/>
        <v>57</v>
      </c>
      <c r="N972" s="228">
        <f t="shared" si="111"/>
        <v>0</v>
      </c>
      <c r="O972" s="228">
        <f t="shared" si="112"/>
        <v>0</v>
      </c>
      <c r="P972" s="228">
        <f t="shared" si="112"/>
        <v>0</v>
      </c>
      <c r="Q972" s="228">
        <f t="shared" si="109"/>
        <v>57</v>
      </c>
      <c r="R972" s="343">
        <f t="shared" si="110"/>
        <v>-25.549999999999997</v>
      </c>
      <c r="S972" s="240"/>
      <c r="T972" s="201"/>
      <c r="U972" s="201"/>
      <c r="V972" s="201"/>
    </row>
    <row r="973" spans="1:22" ht="15.75" x14ac:dyDescent="0.25">
      <c r="A973" s="234" t="s">
        <v>1467</v>
      </c>
      <c r="B973" s="235" t="s">
        <v>1468</v>
      </c>
      <c r="C973" s="234" t="s">
        <v>9</v>
      </c>
      <c r="D973" s="312">
        <v>589.20000000000005</v>
      </c>
      <c r="E973" s="312"/>
      <c r="F973" s="248">
        <f>INT(D973*U970)</f>
        <v>412</v>
      </c>
      <c r="G973" s="312"/>
      <c r="H973" s="312"/>
      <c r="I973" s="312"/>
      <c r="J973" s="248">
        <f t="shared" si="106"/>
        <v>412</v>
      </c>
      <c r="K973" s="330">
        <f t="shared" si="107"/>
        <v>-177.20000000000005</v>
      </c>
      <c r="L973" s="313"/>
      <c r="M973" s="228">
        <f t="shared" si="108"/>
        <v>412</v>
      </c>
      <c r="N973" s="228">
        <f t="shared" si="111"/>
        <v>0</v>
      </c>
      <c r="O973" s="228">
        <f t="shared" si="112"/>
        <v>0</v>
      </c>
      <c r="P973" s="228">
        <f t="shared" si="112"/>
        <v>0</v>
      </c>
      <c r="Q973" s="228">
        <f t="shared" si="109"/>
        <v>412</v>
      </c>
      <c r="R973" s="343">
        <f t="shared" si="110"/>
        <v>-177.20000000000005</v>
      </c>
      <c r="S973" s="240"/>
      <c r="T973" s="201"/>
      <c r="U973" s="201"/>
      <c r="V973" s="201"/>
    </row>
    <row r="974" spans="1:22" ht="15.75" x14ac:dyDescent="0.25">
      <c r="A974" s="234" t="s">
        <v>1469</v>
      </c>
      <c r="B974" s="235" t="s">
        <v>1470</v>
      </c>
      <c r="C974" s="234" t="s">
        <v>9</v>
      </c>
      <c r="D974" s="312">
        <v>1812</v>
      </c>
      <c r="E974" s="312"/>
      <c r="F974" s="248">
        <f t="shared" ref="F974:F989" si="113">INT(D974*$U$970)</f>
        <v>1268</v>
      </c>
      <c r="G974" s="312"/>
      <c r="H974" s="312"/>
      <c r="I974" s="312"/>
      <c r="J974" s="248">
        <f t="shared" si="106"/>
        <v>1268</v>
      </c>
      <c r="K974" s="330">
        <f t="shared" si="107"/>
        <v>-544</v>
      </c>
      <c r="L974" s="313"/>
      <c r="M974" s="228">
        <f t="shared" si="108"/>
        <v>1268</v>
      </c>
      <c r="N974" s="228">
        <f t="shared" si="111"/>
        <v>0</v>
      </c>
      <c r="O974" s="228">
        <f t="shared" si="112"/>
        <v>0</v>
      </c>
      <c r="P974" s="228">
        <f t="shared" si="112"/>
        <v>0</v>
      </c>
      <c r="Q974" s="228">
        <f t="shared" si="109"/>
        <v>1268</v>
      </c>
      <c r="R974" s="343">
        <f t="shared" si="110"/>
        <v>-544</v>
      </c>
      <c r="S974" s="240"/>
      <c r="T974" s="201"/>
      <c r="U974" s="201"/>
      <c r="V974" s="201"/>
    </row>
    <row r="975" spans="1:22" ht="15.75" x14ac:dyDescent="0.25">
      <c r="A975" s="234" t="s">
        <v>1471</v>
      </c>
      <c r="B975" s="235" t="s">
        <v>1472</v>
      </c>
      <c r="C975" s="234" t="s">
        <v>9</v>
      </c>
      <c r="D975" s="312">
        <v>1812</v>
      </c>
      <c r="E975" s="312"/>
      <c r="F975" s="248">
        <f t="shared" si="113"/>
        <v>1268</v>
      </c>
      <c r="G975" s="312"/>
      <c r="H975" s="312"/>
      <c r="I975" s="312"/>
      <c r="J975" s="248">
        <f t="shared" si="106"/>
        <v>1268</v>
      </c>
      <c r="K975" s="330">
        <f t="shared" si="107"/>
        <v>-544</v>
      </c>
      <c r="L975" s="313"/>
      <c r="M975" s="228">
        <f t="shared" si="108"/>
        <v>1268</v>
      </c>
      <c r="N975" s="228">
        <f t="shared" si="111"/>
        <v>0</v>
      </c>
      <c r="O975" s="228">
        <f t="shared" si="112"/>
        <v>0</v>
      </c>
      <c r="P975" s="228">
        <f t="shared" si="112"/>
        <v>0</v>
      </c>
      <c r="Q975" s="228">
        <f t="shared" si="109"/>
        <v>1268</v>
      </c>
      <c r="R975" s="343">
        <f t="shared" si="110"/>
        <v>-544</v>
      </c>
      <c r="S975" s="240"/>
      <c r="T975" s="201"/>
      <c r="U975" s="201"/>
      <c r="V975" s="201"/>
    </row>
    <row r="976" spans="1:22" ht="15.75" x14ac:dyDescent="0.25">
      <c r="A976" s="234" t="s">
        <v>1473</v>
      </c>
      <c r="B976" s="235" t="s">
        <v>1474</v>
      </c>
      <c r="C976" s="234" t="s">
        <v>9</v>
      </c>
      <c r="D976" s="312">
        <v>1812</v>
      </c>
      <c r="E976" s="312"/>
      <c r="F976" s="248">
        <f t="shared" si="113"/>
        <v>1268</v>
      </c>
      <c r="G976" s="312"/>
      <c r="H976" s="312"/>
      <c r="I976" s="312"/>
      <c r="J976" s="248">
        <f t="shared" si="106"/>
        <v>1268</v>
      </c>
      <c r="K976" s="330">
        <f t="shared" si="107"/>
        <v>-544</v>
      </c>
      <c r="L976" s="313"/>
      <c r="M976" s="228">
        <f t="shared" si="108"/>
        <v>1268</v>
      </c>
      <c r="N976" s="228">
        <f t="shared" si="111"/>
        <v>0</v>
      </c>
      <c r="O976" s="228">
        <f t="shared" si="112"/>
        <v>0</v>
      </c>
      <c r="P976" s="228">
        <f t="shared" si="112"/>
        <v>0</v>
      </c>
      <c r="Q976" s="228">
        <f t="shared" si="109"/>
        <v>1268</v>
      </c>
      <c r="R976" s="343">
        <f t="shared" si="110"/>
        <v>-544</v>
      </c>
      <c r="S976" s="240"/>
      <c r="T976" s="201"/>
      <c r="U976" s="201"/>
      <c r="V976" s="201"/>
    </row>
    <row r="977" spans="1:22" ht="15.75" x14ac:dyDescent="0.25">
      <c r="A977" s="234" t="s">
        <v>1475</v>
      </c>
      <c r="B977" s="235" t="s">
        <v>1476</v>
      </c>
      <c r="C977" s="234" t="s">
        <v>9</v>
      </c>
      <c r="D977" s="312">
        <v>3</v>
      </c>
      <c r="E977" s="312"/>
      <c r="F977" s="248">
        <f t="shared" si="113"/>
        <v>2</v>
      </c>
      <c r="G977" s="312"/>
      <c r="H977" s="312"/>
      <c r="I977" s="312"/>
      <c r="J977" s="248">
        <f t="shared" si="106"/>
        <v>2</v>
      </c>
      <c r="K977" s="330">
        <f t="shared" si="107"/>
        <v>-1</v>
      </c>
      <c r="L977" s="313"/>
      <c r="M977" s="228">
        <f t="shared" si="108"/>
        <v>2</v>
      </c>
      <c r="N977" s="228">
        <f t="shared" si="111"/>
        <v>0</v>
      </c>
      <c r="O977" s="228">
        <f t="shared" si="112"/>
        <v>0</v>
      </c>
      <c r="P977" s="228">
        <f t="shared" si="112"/>
        <v>0</v>
      </c>
      <c r="Q977" s="228">
        <f t="shared" si="109"/>
        <v>2</v>
      </c>
      <c r="R977" s="343">
        <f t="shared" si="110"/>
        <v>-1</v>
      </c>
      <c r="S977" s="240"/>
      <c r="T977" s="201"/>
      <c r="U977" s="201"/>
      <c r="V977" s="201"/>
    </row>
    <row r="978" spans="1:22" ht="15.75" x14ac:dyDescent="0.25">
      <c r="A978" s="234" t="s">
        <v>1477</v>
      </c>
      <c r="B978" s="235" t="s">
        <v>1478</v>
      </c>
      <c r="C978" s="234" t="s">
        <v>9</v>
      </c>
      <c r="D978" s="312">
        <v>488</v>
      </c>
      <c r="E978" s="312"/>
      <c r="F978" s="248">
        <f t="shared" si="113"/>
        <v>341</v>
      </c>
      <c r="G978" s="312"/>
      <c r="H978" s="312"/>
      <c r="I978" s="312"/>
      <c r="J978" s="248">
        <f t="shared" si="106"/>
        <v>341</v>
      </c>
      <c r="K978" s="330">
        <f t="shared" si="107"/>
        <v>-147</v>
      </c>
      <c r="L978" s="313"/>
      <c r="M978" s="228">
        <f t="shared" si="108"/>
        <v>341</v>
      </c>
      <c r="N978" s="228">
        <f t="shared" si="111"/>
        <v>0</v>
      </c>
      <c r="O978" s="228">
        <f t="shared" si="112"/>
        <v>0</v>
      </c>
      <c r="P978" s="228">
        <f t="shared" si="112"/>
        <v>0</v>
      </c>
      <c r="Q978" s="228">
        <f t="shared" si="109"/>
        <v>341</v>
      </c>
      <c r="R978" s="343">
        <f t="shared" si="110"/>
        <v>-147</v>
      </c>
      <c r="S978" s="240"/>
      <c r="T978" s="201"/>
      <c r="U978" s="201"/>
      <c r="V978" s="201"/>
    </row>
    <row r="979" spans="1:22" ht="15.75" x14ac:dyDescent="0.25">
      <c r="A979" s="234" t="s">
        <v>1479</v>
      </c>
      <c r="B979" s="235" t="s">
        <v>1480</v>
      </c>
      <c r="C979" s="234" t="s">
        <v>9</v>
      </c>
      <c r="D979" s="312">
        <v>2573</v>
      </c>
      <c r="E979" s="312"/>
      <c r="F979" s="248">
        <f t="shared" si="113"/>
        <v>1801</v>
      </c>
      <c r="G979" s="312"/>
      <c r="H979" s="312"/>
      <c r="I979" s="312"/>
      <c r="J979" s="248">
        <f t="shared" si="106"/>
        <v>1801</v>
      </c>
      <c r="K979" s="330">
        <f t="shared" si="107"/>
        <v>-772</v>
      </c>
      <c r="L979" s="313"/>
      <c r="M979" s="228">
        <f t="shared" si="108"/>
        <v>1801</v>
      </c>
      <c r="N979" s="228">
        <f t="shared" si="111"/>
        <v>0</v>
      </c>
      <c r="O979" s="228">
        <f t="shared" si="112"/>
        <v>0</v>
      </c>
      <c r="P979" s="228">
        <f t="shared" si="112"/>
        <v>0</v>
      </c>
      <c r="Q979" s="228">
        <f t="shared" si="109"/>
        <v>1801</v>
      </c>
      <c r="R979" s="343">
        <f t="shared" si="110"/>
        <v>-772</v>
      </c>
      <c r="S979" s="240"/>
      <c r="T979" s="201"/>
      <c r="U979" s="201"/>
      <c r="V979" s="201"/>
    </row>
    <row r="980" spans="1:22" ht="15.75" x14ac:dyDescent="0.25">
      <c r="A980" s="234" t="s">
        <v>1481</v>
      </c>
      <c r="B980" s="235" t="s">
        <v>1482</v>
      </c>
      <c r="C980" s="234" t="s">
        <v>9</v>
      </c>
      <c r="D980" s="312">
        <v>1</v>
      </c>
      <c r="E980" s="312"/>
      <c r="F980" s="248">
        <f t="shared" si="113"/>
        <v>0</v>
      </c>
      <c r="G980" s="312"/>
      <c r="H980" s="312"/>
      <c r="I980" s="312"/>
      <c r="J980" s="248">
        <f t="shared" si="106"/>
        <v>0</v>
      </c>
      <c r="K980" s="330">
        <f t="shared" si="107"/>
        <v>-1</v>
      </c>
      <c r="L980" s="313"/>
      <c r="M980" s="228">
        <f t="shared" si="108"/>
        <v>0</v>
      </c>
      <c r="N980" s="228">
        <f t="shared" si="111"/>
        <v>0</v>
      </c>
      <c r="O980" s="228">
        <f t="shared" si="112"/>
        <v>0</v>
      </c>
      <c r="P980" s="228">
        <f t="shared" si="112"/>
        <v>0</v>
      </c>
      <c r="Q980" s="228">
        <f t="shared" si="109"/>
        <v>0</v>
      </c>
      <c r="R980" s="343">
        <f t="shared" si="110"/>
        <v>-1</v>
      </c>
      <c r="S980" s="240"/>
      <c r="T980" s="201"/>
      <c r="U980" s="201"/>
      <c r="V980" s="201"/>
    </row>
    <row r="981" spans="1:22" ht="15.75" x14ac:dyDescent="0.25">
      <c r="A981" s="234" t="s">
        <v>1483</v>
      </c>
      <c r="B981" s="235" t="s">
        <v>1484</v>
      </c>
      <c r="C981" s="234" t="s">
        <v>9</v>
      </c>
      <c r="D981" s="312">
        <v>2</v>
      </c>
      <c r="E981" s="312"/>
      <c r="F981" s="248">
        <f t="shared" si="113"/>
        <v>1</v>
      </c>
      <c r="G981" s="312"/>
      <c r="H981" s="312"/>
      <c r="I981" s="312"/>
      <c r="J981" s="248">
        <f t="shared" si="106"/>
        <v>1</v>
      </c>
      <c r="K981" s="330">
        <f t="shared" si="107"/>
        <v>-1</v>
      </c>
      <c r="L981" s="313"/>
      <c r="M981" s="228">
        <f t="shared" si="108"/>
        <v>1</v>
      </c>
      <c r="N981" s="228">
        <f t="shared" si="111"/>
        <v>0</v>
      </c>
      <c r="O981" s="228">
        <f t="shared" si="112"/>
        <v>0</v>
      </c>
      <c r="P981" s="228">
        <f t="shared" si="112"/>
        <v>0</v>
      </c>
      <c r="Q981" s="228">
        <f t="shared" si="109"/>
        <v>1</v>
      </c>
      <c r="R981" s="343">
        <f t="shared" si="110"/>
        <v>-1</v>
      </c>
      <c r="S981" s="240"/>
      <c r="T981" s="201"/>
      <c r="U981" s="201"/>
      <c r="V981" s="201"/>
    </row>
    <row r="982" spans="1:22" ht="15.75" x14ac:dyDescent="0.25">
      <c r="A982" s="234" t="s">
        <v>1485</v>
      </c>
      <c r="B982" s="235" t="s">
        <v>1486</v>
      </c>
      <c r="C982" s="234" t="s">
        <v>9</v>
      </c>
      <c r="D982" s="312">
        <v>20</v>
      </c>
      <c r="E982" s="312"/>
      <c r="F982" s="248">
        <f t="shared" si="113"/>
        <v>14</v>
      </c>
      <c r="G982" s="312"/>
      <c r="H982" s="312"/>
      <c r="I982" s="312"/>
      <c r="J982" s="248">
        <f t="shared" si="106"/>
        <v>14</v>
      </c>
      <c r="K982" s="330">
        <f t="shared" si="107"/>
        <v>-6</v>
      </c>
      <c r="L982" s="313"/>
      <c r="M982" s="228">
        <f t="shared" si="108"/>
        <v>14</v>
      </c>
      <c r="N982" s="228">
        <f t="shared" si="111"/>
        <v>0</v>
      </c>
      <c r="O982" s="228">
        <f t="shared" si="112"/>
        <v>0</v>
      </c>
      <c r="P982" s="228">
        <f t="shared" si="112"/>
        <v>0</v>
      </c>
      <c r="Q982" s="228">
        <f t="shared" si="109"/>
        <v>14</v>
      </c>
      <c r="R982" s="343">
        <f t="shared" si="110"/>
        <v>-6</v>
      </c>
      <c r="S982" s="240"/>
      <c r="T982" s="201"/>
      <c r="U982" s="201"/>
      <c r="V982" s="201"/>
    </row>
    <row r="983" spans="1:22" ht="15.75" x14ac:dyDescent="0.25">
      <c r="A983" s="234" t="s">
        <v>1487</v>
      </c>
      <c r="B983" s="235" t="s">
        <v>1488</v>
      </c>
      <c r="C983" s="234" t="s">
        <v>9</v>
      </c>
      <c r="D983" s="312">
        <v>780</v>
      </c>
      <c r="E983" s="312"/>
      <c r="F983" s="248">
        <f t="shared" si="113"/>
        <v>546</v>
      </c>
      <c r="G983" s="312"/>
      <c r="H983" s="312"/>
      <c r="I983" s="312"/>
      <c r="J983" s="248">
        <f t="shared" si="106"/>
        <v>546</v>
      </c>
      <c r="K983" s="330">
        <f t="shared" si="107"/>
        <v>-234</v>
      </c>
      <c r="L983" s="313"/>
      <c r="M983" s="228">
        <f t="shared" si="108"/>
        <v>546</v>
      </c>
      <c r="N983" s="228">
        <f t="shared" si="111"/>
        <v>0</v>
      </c>
      <c r="O983" s="228">
        <f t="shared" si="112"/>
        <v>0</v>
      </c>
      <c r="P983" s="228">
        <f t="shared" si="112"/>
        <v>0</v>
      </c>
      <c r="Q983" s="228">
        <f t="shared" si="109"/>
        <v>546</v>
      </c>
      <c r="R983" s="343">
        <f t="shared" si="110"/>
        <v>-234</v>
      </c>
      <c r="S983" s="240"/>
      <c r="T983" s="201"/>
      <c r="U983" s="201"/>
      <c r="V983" s="201"/>
    </row>
    <row r="984" spans="1:22" ht="15.75" x14ac:dyDescent="0.25">
      <c r="A984" s="234" t="s">
        <v>1489</v>
      </c>
      <c r="B984" s="235" t="s">
        <v>1490</v>
      </c>
      <c r="C984" s="234" t="s">
        <v>9</v>
      </c>
      <c r="D984" s="312">
        <v>249</v>
      </c>
      <c r="E984" s="312"/>
      <c r="F984" s="248">
        <f t="shared" si="113"/>
        <v>174</v>
      </c>
      <c r="G984" s="312"/>
      <c r="H984" s="312"/>
      <c r="I984" s="312"/>
      <c r="J984" s="248">
        <f t="shared" si="106"/>
        <v>174</v>
      </c>
      <c r="K984" s="330">
        <f t="shared" si="107"/>
        <v>-75</v>
      </c>
      <c r="L984" s="313"/>
      <c r="M984" s="228">
        <f t="shared" si="108"/>
        <v>174</v>
      </c>
      <c r="N984" s="228">
        <f t="shared" si="111"/>
        <v>0</v>
      </c>
      <c r="O984" s="228">
        <f t="shared" si="112"/>
        <v>0</v>
      </c>
      <c r="P984" s="228">
        <f t="shared" si="112"/>
        <v>0</v>
      </c>
      <c r="Q984" s="228">
        <f t="shared" si="109"/>
        <v>174</v>
      </c>
      <c r="R984" s="343">
        <f t="shared" si="110"/>
        <v>-75</v>
      </c>
      <c r="S984" s="240"/>
      <c r="T984" s="201"/>
      <c r="U984" s="201"/>
      <c r="V984" s="201"/>
    </row>
    <row r="985" spans="1:22" ht="15.75" x14ac:dyDescent="0.25">
      <c r="A985" s="234" t="s">
        <v>1491</v>
      </c>
      <c r="B985" s="235" t="s">
        <v>1492</v>
      </c>
      <c r="C985" s="234" t="s">
        <v>9</v>
      </c>
      <c r="D985" s="312">
        <v>2</v>
      </c>
      <c r="E985" s="312"/>
      <c r="F985" s="248">
        <f t="shared" si="113"/>
        <v>1</v>
      </c>
      <c r="G985" s="312"/>
      <c r="H985" s="312"/>
      <c r="I985" s="312"/>
      <c r="J985" s="248">
        <f t="shared" si="106"/>
        <v>1</v>
      </c>
      <c r="K985" s="330">
        <f t="shared" si="107"/>
        <v>-1</v>
      </c>
      <c r="L985" s="313"/>
      <c r="M985" s="228">
        <f t="shared" si="108"/>
        <v>1</v>
      </c>
      <c r="N985" s="228">
        <f t="shared" si="111"/>
        <v>0</v>
      </c>
      <c r="O985" s="228">
        <f t="shared" si="112"/>
        <v>0</v>
      </c>
      <c r="P985" s="228">
        <f t="shared" si="112"/>
        <v>0</v>
      </c>
      <c r="Q985" s="228">
        <f t="shared" si="109"/>
        <v>1</v>
      </c>
      <c r="R985" s="343">
        <f t="shared" si="110"/>
        <v>-1</v>
      </c>
      <c r="S985" s="240"/>
      <c r="T985" s="201"/>
      <c r="U985" s="201"/>
      <c r="V985" s="201"/>
    </row>
    <row r="986" spans="1:22" ht="15.75" x14ac:dyDescent="0.25">
      <c r="A986" s="234" t="s">
        <v>1493</v>
      </c>
      <c r="B986" s="235" t="s">
        <v>1494</v>
      </c>
      <c r="C986" s="234" t="s">
        <v>9</v>
      </c>
      <c r="D986" s="312">
        <v>268</v>
      </c>
      <c r="E986" s="312"/>
      <c r="F986" s="248">
        <f t="shared" si="113"/>
        <v>187</v>
      </c>
      <c r="G986" s="312"/>
      <c r="H986" s="312"/>
      <c r="I986" s="312"/>
      <c r="J986" s="248">
        <f t="shared" si="106"/>
        <v>187</v>
      </c>
      <c r="K986" s="330">
        <f t="shared" si="107"/>
        <v>-81</v>
      </c>
      <c r="L986" s="313"/>
      <c r="M986" s="228">
        <f t="shared" si="108"/>
        <v>187</v>
      </c>
      <c r="N986" s="228">
        <f t="shared" si="111"/>
        <v>0</v>
      </c>
      <c r="O986" s="228">
        <f t="shared" si="112"/>
        <v>0</v>
      </c>
      <c r="P986" s="228">
        <f t="shared" si="112"/>
        <v>0</v>
      </c>
      <c r="Q986" s="228">
        <f t="shared" si="109"/>
        <v>187</v>
      </c>
      <c r="R986" s="343">
        <f t="shared" si="110"/>
        <v>-81</v>
      </c>
      <c r="S986" s="240"/>
      <c r="T986" s="201"/>
      <c r="U986" s="201"/>
      <c r="V986" s="201"/>
    </row>
    <row r="987" spans="1:22" ht="15.75" x14ac:dyDescent="0.25">
      <c r="A987" s="234" t="s">
        <v>1495</v>
      </c>
      <c r="B987" s="235" t="s">
        <v>1496</v>
      </c>
      <c r="C987" s="234" t="s">
        <v>9</v>
      </c>
      <c r="D987" s="312">
        <v>1</v>
      </c>
      <c r="E987" s="312"/>
      <c r="F987" s="248">
        <f t="shared" si="113"/>
        <v>0</v>
      </c>
      <c r="G987" s="312"/>
      <c r="H987" s="312"/>
      <c r="I987" s="312"/>
      <c r="J987" s="248">
        <f t="shared" si="106"/>
        <v>0</v>
      </c>
      <c r="K987" s="330">
        <f t="shared" si="107"/>
        <v>-1</v>
      </c>
      <c r="L987" s="313"/>
      <c r="M987" s="228">
        <f t="shared" si="108"/>
        <v>0</v>
      </c>
      <c r="N987" s="228">
        <f t="shared" si="111"/>
        <v>0</v>
      </c>
      <c r="O987" s="228">
        <f t="shared" si="112"/>
        <v>0</v>
      </c>
      <c r="P987" s="228">
        <f t="shared" si="112"/>
        <v>0</v>
      </c>
      <c r="Q987" s="228">
        <f t="shared" si="109"/>
        <v>0</v>
      </c>
      <c r="R987" s="343">
        <f t="shared" si="110"/>
        <v>-1</v>
      </c>
      <c r="S987" s="240"/>
      <c r="T987" s="201"/>
      <c r="U987" s="201"/>
      <c r="V987" s="201"/>
    </row>
    <row r="988" spans="1:22" ht="15.75" x14ac:dyDescent="0.25">
      <c r="A988" s="234" t="s">
        <v>1497</v>
      </c>
      <c r="B988" s="235" t="s">
        <v>1498</v>
      </c>
      <c r="C988" s="234" t="s">
        <v>9</v>
      </c>
      <c r="D988" s="312">
        <v>248</v>
      </c>
      <c r="E988" s="312"/>
      <c r="F988" s="248">
        <f t="shared" si="113"/>
        <v>173</v>
      </c>
      <c r="G988" s="312"/>
      <c r="H988" s="312"/>
      <c r="I988" s="312"/>
      <c r="J988" s="248">
        <f t="shared" si="106"/>
        <v>173</v>
      </c>
      <c r="K988" s="330">
        <f t="shared" si="107"/>
        <v>-75</v>
      </c>
      <c r="L988" s="313"/>
      <c r="M988" s="228">
        <f t="shared" si="108"/>
        <v>173</v>
      </c>
      <c r="N988" s="228">
        <f t="shared" si="111"/>
        <v>0</v>
      </c>
      <c r="O988" s="228">
        <f t="shared" si="112"/>
        <v>0</v>
      </c>
      <c r="P988" s="228">
        <f t="shared" si="112"/>
        <v>0</v>
      </c>
      <c r="Q988" s="228">
        <f t="shared" si="109"/>
        <v>173</v>
      </c>
      <c r="R988" s="343">
        <f t="shared" si="110"/>
        <v>-75</v>
      </c>
      <c r="S988" s="240"/>
      <c r="T988" s="201"/>
      <c r="U988" s="201"/>
      <c r="V988" s="201"/>
    </row>
    <row r="989" spans="1:22" ht="15.75" x14ac:dyDescent="0.25">
      <c r="A989" s="234" t="s">
        <v>1499</v>
      </c>
      <c r="B989" s="235" t="s">
        <v>1500</v>
      </c>
      <c r="C989" s="234" t="s">
        <v>9</v>
      </c>
      <c r="D989" s="312">
        <v>253</v>
      </c>
      <c r="E989" s="312"/>
      <c r="F989" s="248">
        <f t="shared" si="113"/>
        <v>177</v>
      </c>
      <c r="G989" s="312"/>
      <c r="H989" s="312"/>
      <c r="I989" s="312"/>
      <c r="J989" s="248">
        <f t="shared" si="106"/>
        <v>177</v>
      </c>
      <c r="K989" s="330">
        <f t="shared" si="107"/>
        <v>-76</v>
      </c>
      <c r="L989" s="313"/>
      <c r="M989" s="228">
        <f t="shared" si="108"/>
        <v>177</v>
      </c>
      <c r="N989" s="228">
        <f t="shared" si="111"/>
        <v>0</v>
      </c>
      <c r="O989" s="228">
        <f t="shared" si="112"/>
        <v>0</v>
      </c>
      <c r="P989" s="228">
        <f t="shared" si="112"/>
        <v>0</v>
      </c>
      <c r="Q989" s="228">
        <f t="shared" si="109"/>
        <v>177</v>
      </c>
      <c r="R989" s="343">
        <f t="shared" si="110"/>
        <v>-76</v>
      </c>
      <c r="S989" s="240"/>
      <c r="T989" s="201"/>
      <c r="U989" s="201"/>
      <c r="V989" s="201"/>
    </row>
    <row r="990" spans="1:22" ht="15.75" x14ac:dyDescent="0.25">
      <c r="A990" s="234" t="s">
        <v>1501</v>
      </c>
      <c r="B990" s="235" t="s">
        <v>1502</v>
      </c>
      <c r="C990" s="234" t="s">
        <v>14</v>
      </c>
      <c r="D990" s="312">
        <v>6.06</v>
      </c>
      <c r="E990" s="312"/>
      <c r="F990" s="248">
        <f>(D990*$U$967)</f>
        <v>4.2419999999999991</v>
      </c>
      <c r="G990" s="312"/>
      <c r="H990" s="312"/>
      <c r="I990" s="312"/>
      <c r="J990" s="248">
        <f t="shared" si="106"/>
        <v>4.2419999999999991</v>
      </c>
      <c r="K990" s="330">
        <f t="shared" si="107"/>
        <v>-1.8180000000000005</v>
      </c>
      <c r="L990" s="313"/>
      <c r="M990" s="228">
        <f t="shared" si="108"/>
        <v>4.2419999999999991</v>
      </c>
      <c r="N990" s="228">
        <f t="shared" si="111"/>
        <v>0</v>
      </c>
      <c r="O990" s="228">
        <f t="shared" si="112"/>
        <v>0</v>
      </c>
      <c r="P990" s="228">
        <f t="shared" si="112"/>
        <v>0</v>
      </c>
      <c r="Q990" s="228">
        <f t="shared" si="109"/>
        <v>4.2419999999999991</v>
      </c>
      <c r="R990" s="343">
        <f t="shared" si="110"/>
        <v>-1.8180000000000005</v>
      </c>
      <c r="S990" s="240"/>
      <c r="T990" s="201"/>
      <c r="U990" s="201"/>
      <c r="V990" s="201"/>
    </row>
    <row r="991" spans="1:22" ht="15.75" x14ac:dyDescent="0.25">
      <c r="A991" s="234" t="s">
        <v>1503</v>
      </c>
      <c r="B991" s="235" t="s">
        <v>1504</v>
      </c>
      <c r="C991" s="234" t="s">
        <v>14</v>
      </c>
      <c r="D991" s="312">
        <v>10.8</v>
      </c>
      <c r="E991" s="312"/>
      <c r="F991" s="248">
        <f>(D991*$U$967)</f>
        <v>7.56</v>
      </c>
      <c r="G991" s="312"/>
      <c r="H991" s="312"/>
      <c r="I991" s="312"/>
      <c r="J991" s="248">
        <f t="shared" si="106"/>
        <v>7.56</v>
      </c>
      <c r="K991" s="330">
        <f t="shared" si="107"/>
        <v>-3.2400000000000011</v>
      </c>
      <c r="L991" s="313"/>
      <c r="M991" s="228">
        <f t="shared" si="108"/>
        <v>7.56</v>
      </c>
      <c r="N991" s="228">
        <f t="shared" si="111"/>
        <v>0</v>
      </c>
      <c r="O991" s="228">
        <f t="shared" si="112"/>
        <v>0</v>
      </c>
      <c r="P991" s="228">
        <f t="shared" si="112"/>
        <v>0</v>
      </c>
      <c r="Q991" s="228">
        <f t="shared" si="109"/>
        <v>7.56</v>
      </c>
      <c r="R991" s="343">
        <f t="shared" si="110"/>
        <v>-3.2400000000000011</v>
      </c>
      <c r="S991" s="240"/>
      <c r="T991" s="201"/>
      <c r="U991" s="201"/>
      <c r="V991" s="201"/>
    </row>
    <row r="992" spans="1:22" ht="15.75" x14ac:dyDescent="0.25">
      <c r="A992" s="234" t="s">
        <v>1505</v>
      </c>
      <c r="B992" s="235" t="s">
        <v>1506</v>
      </c>
      <c r="C992" s="234" t="s">
        <v>14</v>
      </c>
      <c r="D992" s="312">
        <v>10.89</v>
      </c>
      <c r="E992" s="312"/>
      <c r="F992" s="248">
        <f>(D992*$U$967)</f>
        <v>7.6230000000000002</v>
      </c>
      <c r="G992" s="312"/>
      <c r="H992" s="312"/>
      <c r="I992" s="312"/>
      <c r="J992" s="248">
        <f t="shared" si="106"/>
        <v>7.6230000000000002</v>
      </c>
      <c r="K992" s="330">
        <f t="shared" si="107"/>
        <v>-3.2670000000000003</v>
      </c>
      <c r="L992" s="313"/>
      <c r="M992" s="228">
        <f t="shared" si="108"/>
        <v>7.6230000000000002</v>
      </c>
      <c r="N992" s="228">
        <f t="shared" si="111"/>
        <v>0</v>
      </c>
      <c r="O992" s="228">
        <f t="shared" si="112"/>
        <v>0</v>
      </c>
      <c r="P992" s="228">
        <f t="shared" si="112"/>
        <v>0</v>
      </c>
      <c r="Q992" s="228">
        <f t="shared" si="109"/>
        <v>7.6230000000000002</v>
      </c>
      <c r="R992" s="343">
        <f t="shared" si="110"/>
        <v>-3.2670000000000003</v>
      </c>
      <c r="S992" s="240"/>
      <c r="T992" s="201"/>
      <c r="U992" s="201"/>
      <c r="V992" s="201"/>
    </row>
    <row r="993" spans="1:22" ht="15.75" x14ac:dyDescent="0.25">
      <c r="A993" s="234" t="s">
        <v>1507</v>
      </c>
      <c r="B993" s="235" t="s">
        <v>1508</v>
      </c>
      <c r="C993" s="234" t="s">
        <v>14</v>
      </c>
      <c r="D993" s="312">
        <v>2.54</v>
      </c>
      <c r="E993" s="312"/>
      <c r="F993" s="248">
        <f>(D993*$U$967)</f>
        <v>1.7779999999999998</v>
      </c>
      <c r="G993" s="312"/>
      <c r="H993" s="312"/>
      <c r="I993" s="312"/>
      <c r="J993" s="248">
        <f t="shared" si="106"/>
        <v>1.7779999999999998</v>
      </c>
      <c r="K993" s="330">
        <f t="shared" si="107"/>
        <v>-0.76200000000000023</v>
      </c>
      <c r="L993" s="313"/>
      <c r="M993" s="228">
        <f t="shared" si="108"/>
        <v>1.7779999999999998</v>
      </c>
      <c r="N993" s="228">
        <f t="shared" si="111"/>
        <v>0</v>
      </c>
      <c r="O993" s="228">
        <f t="shared" si="112"/>
        <v>0</v>
      </c>
      <c r="P993" s="228">
        <f t="shared" si="112"/>
        <v>0</v>
      </c>
      <c r="Q993" s="228">
        <f t="shared" si="109"/>
        <v>1.7779999999999998</v>
      </c>
      <c r="R993" s="343">
        <f t="shared" si="110"/>
        <v>-0.76200000000000023</v>
      </c>
      <c r="S993" s="240"/>
      <c r="T993" s="201"/>
      <c r="U993" s="201"/>
      <c r="V993" s="201"/>
    </row>
    <row r="994" spans="1:22" ht="15.75" x14ac:dyDescent="0.25">
      <c r="A994" s="234" t="s">
        <v>1509</v>
      </c>
      <c r="B994" s="235" t="s">
        <v>1510</v>
      </c>
      <c r="C994" s="234" t="s">
        <v>9</v>
      </c>
      <c r="D994" s="312">
        <v>245.4</v>
      </c>
      <c r="E994" s="312"/>
      <c r="F994" s="248">
        <f t="shared" ref="F994:F1019" si="114">INT(D994*$U$970)</f>
        <v>171</v>
      </c>
      <c r="G994" s="312"/>
      <c r="H994" s="312"/>
      <c r="I994" s="312"/>
      <c r="J994" s="248">
        <f t="shared" si="106"/>
        <v>171</v>
      </c>
      <c r="K994" s="330">
        <f t="shared" si="107"/>
        <v>-74.400000000000006</v>
      </c>
      <c r="L994" s="313"/>
      <c r="M994" s="228">
        <f t="shared" si="108"/>
        <v>171</v>
      </c>
      <c r="N994" s="228">
        <f t="shared" si="111"/>
        <v>0</v>
      </c>
      <c r="O994" s="228">
        <f t="shared" si="112"/>
        <v>0</v>
      </c>
      <c r="P994" s="228">
        <f t="shared" si="112"/>
        <v>0</v>
      </c>
      <c r="Q994" s="228">
        <f t="shared" si="109"/>
        <v>171</v>
      </c>
      <c r="R994" s="343">
        <f t="shared" si="110"/>
        <v>-74.400000000000006</v>
      </c>
      <c r="S994" s="240"/>
      <c r="T994" s="201"/>
      <c r="U994" s="201"/>
      <c r="V994" s="201"/>
    </row>
    <row r="995" spans="1:22" ht="15.75" x14ac:dyDescent="0.25">
      <c r="A995" s="234" t="s">
        <v>1511</v>
      </c>
      <c r="B995" s="235" t="s">
        <v>1512</v>
      </c>
      <c r="C995" s="234" t="s">
        <v>9</v>
      </c>
      <c r="D995" s="312">
        <v>246.6</v>
      </c>
      <c r="E995" s="312"/>
      <c r="F995" s="248">
        <f t="shared" si="114"/>
        <v>172</v>
      </c>
      <c r="G995" s="312"/>
      <c r="H995" s="312"/>
      <c r="I995" s="312"/>
      <c r="J995" s="248">
        <f t="shared" si="106"/>
        <v>172</v>
      </c>
      <c r="K995" s="330">
        <f t="shared" si="107"/>
        <v>-74.599999999999994</v>
      </c>
      <c r="L995" s="313"/>
      <c r="M995" s="228">
        <f t="shared" si="108"/>
        <v>172</v>
      </c>
      <c r="N995" s="228">
        <f t="shared" si="111"/>
        <v>0</v>
      </c>
      <c r="O995" s="228">
        <f t="shared" si="112"/>
        <v>0</v>
      </c>
      <c r="P995" s="228">
        <f t="shared" si="112"/>
        <v>0</v>
      </c>
      <c r="Q995" s="228">
        <f t="shared" si="109"/>
        <v>172</v>
      </c>
      <c r="R995" s="343">
        <f t="shared" si="110"/>
        <v>-74.599999999999994</v>
      </c>
      <c r="S995" s="240"/>
      <c r="T995" s="201"/>
      <c r="U995" s="201"/>
      <c r="V995" s="201"/>
    </row>
    <row r="996" spans="1:22" ht="15.75" x14ac:dyDescent="0.25">
      <c r="A996" s="234" t="s">
        <v>1513</v>
      </c>
      <c r="B996" s="235" t="s">
        <v>1514</v>
      </c>
      <c r="C996" s="234" t="s">
        <v>9</v>
      </c>
      <c r="D996" s="312">
        <v>247.5</v>
      </c>
      <c r="E996" s="312"/>
      <c r="F996" s="248">
        <f t="shared" si="114"/>
        <v>173</v>
      </c>
      <c r="G996" s="312"/>
      <c r="H996" s="312"/>
      <c r="I996" s="312"/>
      <c r="J996" s="248">
        <f t="shared" si="106"/>
        <v>173</v>
      </c>
      <c r="K996" s="330">
        <f t="shared" si="107"/>
        <v>-74.5</v>
      </c>
      <c r="L996" s="313"/>
      <c r="M996" s="228">
        <f t="shared" si="108"/>
        <v>173</v>
      </c>
      <c r="N996" s="228">
        <f t="shared" si="111"/>
        <v>0</v>
      </c>
      <c r="O996" s="228">
        <f t="shared" si="112"/>
        <v>0</v>
      </c>
      <c r="P996" s="228">
        <f t="shared" si="112"/>
        <v>0</v>
      </c>
      <c r="Q996" s="228">
        <f t="shared" si="109"/>
        <v>173</v>
      </c>
      <c r="R996" s="343">
        <f t="shared" si="110"/>
        <v>-74.5</v>
      </c>
      <c r="S996" s="240"/>
      <c r="T996" s="201"/>
      <c r="U996" s="201"/>
      <c r="V996" s="201"/>
    </row>
    <row r="997" spans="1:22" ht="15.75" x14ac:dyDescent="0.25">
      <c r="A997" s="234" t="s">
        <v>1515</v>
      </c>
      <c r="B997" s="235" t="s">
        <v>1516</v>
      </c>
      <c r="C997" s="234" t="s">
        <v>9</v>
      </c>
      <c r="D997" s="312">
        <v>25.4</v>
      </c>
      <c r="E997" s="312"/>
      <c r="F997" s="248">
        <f t="shared" si="114"/>
        <v>17</v>
      </c>
      <c r="G997" s="312"/>
      <c r="H997" s="312"/>
      <c r="I997" s="312"/>
      <c r="J997" s="248">
        <f t="shared" si="106"/>
        <v>17</v>
      </c>
      <c r="K997" s="330">
        <f t="shared" si="107"/>
        <v>-8.3999999999999986</v>
      </c>
      <c r="L997" s="313"/>
      <c r="M997" s="228">
        <f t="shared" si="108"/>
        <v>17</v>
      </c>
      <c r="N997" s="228">
        <f t="shared" si="111"/>
        <v>0</v>
      </c>
      <c r="O997" s="228">
        <f t="shared" si="112"/>
        <v>0</v>
      </c>
      <c r="P997" s="228">
        <f t="shared" si="112"/>
        <v>0</v>
      </c>
      <c r="Q997" s="228">
        <f t="shared" si="109"/>
        <v>17</v>
      </c>
      <c r="R997" s="343">
        <f t="shared" si="110"/>
        <v>-8.3999999999999986</v>
      </c>
      <c r="S997" s="240"/>
      <c r="T997" s="201"/>
      <c r="U997" s="201"/>
      <c r="V997" s="201"/>
    </row>
    <row r="998" spans="1:22" ht="15.75" x14ac:dyDescent="0.25">
      <c r="A998" s="234" t="s">
        <v>1517</v>
      </c>
      <c r="B998" s="235" t="s">
        <v>1518</v>
      </c>
      <c r="C998" s="234" t="s">
        <v>9</v>
      </c>
      <c r="D998" s="312">
        <v>843</v>
      </c>
      <c r="E998" s="312"/>
      <c r="F998" s="248">
        <f t="shared" si="114"/>
        <v>590</v>
      </c>
      <c r="G998" s="312"/>
      <c r="H998" s="312"/>
      <c r="I998" s="312"/>
      <c r="J998" s="248">
        <f t="shared" si="106"/>
        <v>590</v>
      </c>
      <c r="K998" s="330">
        <f t="shared" si="107"/>
        <v>-253</v>
      </c>
      <c r="L998" s="313"/>
      <c r="M998" s="228">
        <f t="shared" si="108"/>
        <v>590</v>
      </c>
      <c r="N998" s="228">
        <f t="shared" si="111"/>
        <v>0</v>
      </c>
      <c r="O998" s="228">
        <f t="shared" si="112"/>
        <v>0</v>
      </c>
      <c r="P998" s="228">
        <f t="shared" si="112"/>
        <v>0</v>
      </c>
      <c r="Q998" s="228">
        <f t="shared" si="109"/>
        <v>590</v>
      </c>
      <c r="R998" s="343">
        <f t="shared" si="110"/>
        <v>-253</v>
      </c>
      <c r="S998" s="240"/>
      <c r="T998" s="201"/>
      <c r="U998" s="201"/>
      <c r="V998" s="201"/>
    </row>
    <row r="999" spans="1:22" ht="15.75" x14ac:dyDescent="0.25">
      <c r="A999" s="234" t="s">
        <v>1519</v>
      </c>
      <c r="B999" s="235" t="s">
        <v>1520</v>
      </c>
      <c r="C999" s="234" t="s">
        <v>9</v>
      </c>
      <c r="D999" s="312">
        <v>766</v>
      </c>
      <c r="E999" s="312"/>
      <c r="F999" s="248">
        <f t="shared" si="114"/>
        <v>536</v>
      </c>
      <c r="G999" s="312"/>
      <c r="H999" s="312"/>
      <c r="I999" s="312"/>
      <c r="J999" s="248">
        <f t="shared" si="106"/>
        <v>536</v>
      </c>
      <c r="K999" s="330">
        <f t="shared" si="107"/>
        <v>-230</v>
      </c>
      <c r="L999" s="313"/>
      <c r="M999" s="228">
        <f t="shared" si="108"/>
        <v>536</v>
      </c>
      <c r="N999" s="228">
        <f t="shared" si="111"/>
        <v>0</v>
      </c>
      <c r="O999" s="228">
        <f t="shared" si="112"/>
        <v>0</v>
      </c>
      <c r="P999" s="228">
        <f t="shared" si="112"/>
        <v>0</v>
      </c>
      <c r="Q999" s="228">
        <f t="shared" si="109"/>
        <v>536</v>
      </c>
      <c r="R999" s="343">
        <f t="shared" si="110"/>
        <v>-230</v>
      </c>
      <c r="S999" s="240"/>
      <c r="T999" s="201"/>
      <c r="U999" s="201"/>
      <c r="V999" s="201"/>
    </row>
    <row r="1000" spans="1:22" ht="15.75" x14ac:dyDescent="0.25">
      <c r="A1000" s="234" t="s">
        <v>1521</v>
      </c>
      <c r="B1000" s="235" t="s">
        <v>1522</v>
      </c>
      <c r="C1000" s="234" t="s">
        <v>9</v>
      </c>
      <c r="D1000" s="312">
        <v>2109</v>
      </c>
      <c r="E1000" s="312"/>
      <c r="F1000" s="248">
        <f t="shared" si="114"/>
        <v>1476</v>
      </c>
      <c r="G1000" s="312"/>
      <c r="H1000" s="312"/>
      <c r="I1000" s="312"/>
      <c r="J1000" s="248">
        <f t="shared" si="106"/>
        <v>1476</v>
      </c>
      <c r="K1000" s="330">
        <f t="shared" si="107"/>
        <v>-633</v>
      </c>
      <c r="L1000" s="313"/>
      <c r="M1000" s="228">
        <f t="shared" si="108"/>
        <v>1476</v>
      </c>
      <c r="N1000" s="228">
        <f t="shared" si="111"/>
        <v>0</v>
      </c>
      <c r="O1000" s="228">
        <f t="shared" si="112"/>
        <v>0</v>
      </c>
      <c r="P1000" s="228">
        <f t="shared" si="112"/>
        <v>0</v>
      </c>
      <c r="Q1000" s="228">
        <f t="shared" si="109"/>
        <v>1476</v>
      </c>
      <c r="R1000" s="343">
        <f t="shared" si="110"/>
        <v>-633</v>
      </c>
      <c r="S1000" s="240"/>
      <c r="T1000" s="201"/>
      <c r="U1000" s="201"/>
      <c r="V1000" s="201"/>
    </row>
    <row r="1001" spans="1:22" ht="15.75" x14ac:dyDescent="0.25">
      <c r="A1001" s="234" t="s">
        <v>1523</v>
      </c>
      <c r="B1001" s="235" t="s">
        <v>1524</v>
      </c>
      <c r="C1001" s="234" t="s">
        <v>9</v>
      </c>
      <c r="D1001" s="312">
        <v>544</v>
      </c>
      <c r="E1001" s="312"/>
      <c r="F1001" s="248">
        <f t="shared" si="114"/>
        <v>380</v>
      </c>
      <c r="G1001" s="312"/>
      <c r="H1001" s="312"/>
      <c r="I1001" s="312"/>
      <c r="J1001" s="248">
        <f t="shared" si="106"/>
        <v>380</v>
      </c>
      <c r="K1001" s="330">
        <f t="shared" si="107"/>
        <v>-164</v>
      </c>
      <c r="L1001" s="313"/>
      <c r="M1001" s="228">
        <f t="shared" si="108"/>
        <v>380</v>
      </c>
      <c r="N1001" s="228">
        <f t="shared" si="111"/>
        <v>0</v>
      </c>
      <c r="O1001" s="228">
        <f t="shared" si="112"/>
        <v>0</v>
      </c>
      <c r="P1001" s="228">
        <f t="shared" si="112"/>
        <v>0</v>
      </c>
      <c r="Q1001" s="228">
        <f t="shared" si="109"/>
        <v>380</v>
      </c>
      <c r="R1001" s="343">
        <f t="shared" si="110"/>
        <v>-164</v>
      </c>
      <c r="S1001" s="240"/>
      <c r="T1001" s="201"/>
      <c r="U1001" s="201"/>
      <c r="V1001" s="201"/>
    </row>
    <row r="1002" spans="1:22" ht="15.75" x14ac:dyDescent="0.25">
      <c r="A1002" s="234" t="s">
        <v>1525</v>
      </c>
      <c r="B1002" s="235" t="s">
        <v>1526</v>
      </c>
      <c r="C1002" s="234" t="s">
        <v>9</v>
      </c>
      <c r="D1002" s="312">
        <v>272</v>
      </c>
      <c r="E1002" s="312"/>
      <c r="F1002" s="248">
        <f t="shared" si="114"/>
        <v>190</v>
      </c>
      <c r="G1002" s="312"/>
      <c r="H1002" s="312"/>
      <c r="I1002" s="312"/>
      <c r="J1002" s="248">
        <f t="shared" si="106"/>
        <v>190</v>
      </c>
      <c r="K1002" s="330">
        <f t="shared" si="107"/>
        <v>-82</v>
      </c>
      <c r="L1002" s="313"/>
      <c r="M1002" s="228">
        <f t="shared" si="108"/>
        <v>190</v>
      </c>
      <c r="N1002" s="228">
        <f t="shared" si="111"/>
        <v>0</v>
      </c>
      <c r="O1002" s="228">
        <f t="shared" si="112"/>
        <v>0</v>
      </c>
      <c r="P1002" s="228">
        <f t="shared" si="112"/>
        <v>0</v>
      </c>
      <c r="Q1002" s="228">
        <f t="shared" si="109"/>
        <v>190</v>
      </c>
      <c r="R1002" s="343">
        <f t="shared" si="110"/>
        <v>-82</v>
      </c>
      <c r="S1002" s="240"/>
      <c r="T1002" s="201"/>
      <c r="U1002" s="201"/>
      <c r="V1002" s="201"/>
    </row>
    <row r="1003" spans="1:22" ht="15.75" x14ac:dyDescent="0.25">
      <c r="A1003" s="234" t="s">
        <v>1527</v>
      </c>
      <c r="B1003" s="235" t="s">
        <v>1528</v>
      </c>
      <c r="C1003" s="234" t="s">
        <v>9</v>
      </c>
      <c r="D1003" s="312">
        <v>245</v>
      </c>
      <c r="E1003" s="312"/>
      <c r="F1003" s="248">
        <f t="shared" si="114"/>
        <v>171</v>
      </c>
      <c r="G1003" s="312"/>
      <c r="H1003" s="312"/>
      <c r="I1003" s="312"/>
      <c r="J1003" s="248">
        <f t="shared" si="106"/>
        <v>171</v>
      </c>
      <c r="K1003" s="330">
        <f t="shared" si="107"/>
        <v>-74</v>
      </c>
      <c r="L1003" s="313"/>
      <c r="M1003" s="228">
        <f t="shared" si="108"/>
        <v>171</v>
      </c>
      <c r="N1003" s="228">
        <f t="shared" si="111"/>
        <v>0</v>
      </c>
      <c r="O1003" s="228">
        <f t="shared" si="112"/>
        <v>0</v>
      </c>
      <c r="P1003" s="228">
        <f t="shared" si="112"/>
        <v>0</v>
      </c>
      <c r="Q1003" s="228">
        <f t="shared" si="109"/>
        <v>171</v>
      </c>
      <c r="R1003" s="343">
        <f t="shared" si="110"/>
        <v>-74</v>
      </c>
      <c r="S1003" s="240"/>
      <c r="T1003" s="201"/>
      <c r="U1003" s="201"/>
      <c r="V1003" s="201"/>
    </row>
    <row r="1004" spans="1:22" ht="15.75" x14ac:dyDescent="0.25">
      <c r="A1004" s="234" t="s">
        <v>1529</v>
      </c>
      <c r="B1004" s="235" t="s">
        <v>1530</v>
      </c>
      <c r="C1004" s="234" t="s">
        <v>9</v>
      </c>
      <c r="D1004" s="312">
        <v>285</v>
      </c>
      <c r="E1004" s="312"/>
      <c r="F1004" s="248">
        <f t="shared" si="114"/>
        <v>199</v>
      </c>
      <c r="G1004" s="312"/>
      <c r="H1004" s="312"/>
      <c r="I1004" s="312"/>
      <c r="J1004" s="248">
        <f t="shared" si="106"/>
        <v>199</v>
      </c>
      <c r="K1004" s="330">
        <f t="shared" si="107"/>
        <v>-86</v>
      </c>
      <c r="L1004" s="313"/>
      <c r="M1004" s="228">
        <f t="shared" si="108"/>
        <v>199</v>
      </c>
      <c r="N1004" s="228">
        <f t="shared" si="111"/>
        <v>0</v>
      </c>
      <c r="O1004" s="228">
        <f t="shared" si="112"/>
        <v>0</v>
      </c>
      <c r="P1004" s="228">
        <f t="shared" si="112"/>
        <v>0</v>
      </c>
      <c r="Q1004" s="228">
        <f t="shared" si="109"/>
        <v>199</v>
      </c>
      <c r="R1004" s="343">
        <f t="shared" si="110"/>
        <v>-86</v>
      </c>
      <c r="S1004" s="240"/>
      <c r="T1004" s="201"/>
      <c r="U1004" s="201"/>
      <c r="V1004" s="201"/>
    </row>
    <row r="1005" spans="1:22" ht="15.75" x14ac:dyDescent="0.25">
      <c r="A1005" s="234" t="s">
        <v>1531</v>
      </c>
      <c r="B1005" s="235" t="s">
        <v>1532</v>
      </c>
      <c r="C1005" s="234" t="s">
        <v>9</v>
      </c>
      <c r="D1005" s="312">
        <v>27</v>
      </c>
      <c r="E1005" s="312"/>
      <c r="F1005" s="248">
        <f t="shared" si="114"/>
        <v>18</v>
      </c>
      <c r="G1005" s="312"/>
      <c r="H1005" s="312"/>
      <c r="I1005" s="312"/>
      <c r="J1005" s="248">
        <f t="shared" si="106"/>
        <v>18</v>
      </c>
      <c r="K1005" s="330">
        <f t="shared" si="107"/>
        <v>-9</v>
      </c>
      <c r="L1005" s="313"/>
      <c r="M1005" s="228">
        <f t="shared" si="108"/>
        <v>18</v>
      </c>
      <c r="N1005" s="228">
        <f t="shared" si="111"/>
        <v>0</v>
      </c>
      <c r="O1005" s="228">
        <f t="shared" si="112"/>
        <v>0</v>
      </c>
      <c r="P1005" s="228">
        <f t="shared" si="112"/>
        <v>0</v>
      </c>
      <c r="Q1005" s="228">
        <f t="shared" si="109"/>
        <v>18</v>
      </c>
      <c r="R1005" s="343">
        <f t="shared" si="110"/>
        <v>-9</v>
      </c>
      <c r="S1005" s="240"/>
      <c r="T1005" s="201"/>
      <c r="U1005" s="201"/>
      <c r="V1005" s="201"/>
    </row>
    <row r="1006" spans="1:22" ht="15.75" x14ac:dyDescent="0.25">
      <c r="A1006" s="234" t="s">
        <v>1533</v>
      </c>
      <c r="B1006" s="235" t="s">
        <v>1534</v>
      </c>
      <c r="C1006" s="234" t="s">
        <v>9</v>
      </c>
      <c r="D1006" s="312">
        <v>257</v>
      </c>
      <c r="E1006" s="312"/>
      <c r="F1006" s="248">
        <f t="shared" si="114"/>
        <v>179</v>
      </c>
      <c r="G1006" s="312"/>
      <c r="H1006" s="312"/>
      <c r="I1006" s="312"/>
      <c r="J1006" s="248">
        <f t="shared" si="106"/>
        <v>179</v>
      </c>
      <c r="K1006" s="330">
        <f t="shared" si="107"/>
        <v>-78</v>
      </c>
      <c r="L1006" s="313"/>
      <c r="M1006" s="228">
        <f t="shared" si="108"/>
        <v>179</v>
      </c>
      <c r="N1006" s="228">
        <f t="shared" si="111"/>
        <v>0</v>
      </c>
      <c r="O1006" s="228">
        <f t="shared" si="112"/>
        <v>0</v>
      </c>
      <c r="P1006" s="228">
        <f t="shared" si="112"/>
        <v>0</v>
      </c>
      <c r="Q1006" s="228">
        <f t="shared" si="109"/>
        <v>179</v>
      </c>
      <c r="R1006" s="343">
        <f t="shared" si="110"/>
        <v>-78</v>
      </c>
      <c r="S1006" s="240"/>
      <c r="T1006" s="201"/>
      <c r="U1006" s="201"/>
      <c r="V1006" s="201"/>
    </row>
    <row r="1007" spans="1:22" ht="15.75" x14ac:dyDescent="0.25">
      <c r="A1007" s="234" t="s">
        <v>1535</v>
      </c>
      <c r="B1007" s="235" t="s">
        <v>1536</v>
      </c>
      <c r="C1007" s="234" t="s">
        <v>9</v>
      </c>
      <c r="D1007" s="312">
        <v>526</v>
      </c>
      <c r="E1007" s="312"/>
      <c r="F1007" s="248">
        <f t="shared" si="114"/>
        <v>368</v>
      </c>
      <c r="G1007" s="312"/>
      <c r="H1007" s="312"/>
      <c r="I1007" s="312"/>
      <c r="J1007" s="248">
        <f t="shared" si="106"/>
        <v>368</v>
      </c>
      <c r="K1007" s="330">
        <f t="shared" si="107"/>
        <v>-158</v>
      </c>
      <c r="L1007" s="313"/>
      <c r="M1007" s="228">
        <f t="shared" si="108"/>
        <v>368</v>
      </c>
      <c r="N1007" s="228">
        <f t="shared" si="111"/>
        <v>0</v>
      </c>
      <c r="O1007" s="228">
        <f t="shared" si="112"/>
        <v>0</v>
      </c>
      <c r="P1007" s="228">
        <f t="shared" si="112"/>
        <v>0</v>
      </c>
      <c r="Q1007" s="228">
        <f t="shared" si="109"/>
        <v>368</v>
      </c>
      <c r="R1007" s="343">
        <f t="shared" si="110"/>
        <v>-158</v>
      </c>
      <c r="S1007" s="240"/>
      <c r="T1007" s="201"/>
      <c r="U1007" s="201"/>
      <c r="V1007" s="201"/>
    </row>
    <row r="1008" spans="1:22" ht="15.75" x14ac:dyDescent="0.25">
      <c r="A1008" s="234" t="s">
        <v>1537</v>
      </c>
      <c r="B1008" s="235" t="s">
        <v>1538</v>
      </c>
      <c r="C1008" s="234" t="s">
        <v>9</v>
      </c>
      <c r="D1008" s="312">
        <v>248</v>
      </c>
      <c r="E1008" s="312"/>
      <c r="F1008" s="248">
        <f t="shared" si="114"/>
        <v>173</v>
      </c>
      <c r="G1008" s="312"/>
      <c r="H1008" s="312"/>
      <c r="I1008" s="312"/>
      <c r="J1008" s="248">
        <f t="shared" si="106"/>
        <v>173</v>
      </c>
      <c r="K1008" s="330">
        <f t="shared" si="107"/>
        <v>-75</v>
      </c>
      <c r="L1008" s="313"/>
      <c r="M1008" s="228">
        <f t="shared" si="108"/>
        <v>173</v>
      </c>
      <c r="N1008" s="228">
        <f t="shared" si="111"/>
        <v>0</v>
      </c>
      <c r="O1008" s="228">
        <f t="shared" si="112"/>
        <v>0</v>
      </c>
      <c r="P1008" s="228">
        <f t="shared" si="112"/>
        <v>0</v>
      </c>
      <c r="Q1008" s="228">
        <f t="shared" si="109"/>
        <v>173</v>
      </c>
      <c r="R1008" s="343">
        <f t="shared" si="110"/>
        <v>-75</v>
      </c>
      <c r="S1008" s="240"/>
      <c r="T1008" s="201"/>
      <c r="U1008" s="201"/>
      <c r="V1008" s="201"/>
    </row>
    <row r="1009" spans="1:22" ht="15.75" x14ac:dyDescent="0.25">
      <c r="A1009" s="234" t="s">
        <v>1539</v>
      </c>
      <c r="B1009" s="235" t="s">
        <v>1540</v>
      </c>
      <c r="C1009" s="234" t="s">
        <v>9</v>
      </c>
      <c r="D1009" s="312">
        <v>21</v>
      </c>
      <c r="E1009" s="312"/>
      <c r="F1009" s="248">
        <f t="shared" si="114"/>
        <v>14</v>
      </c>
      <c r="G1009" s="312"/>
      <c r="H1009" s="312"/>
      <c r="I1009" s="312"/>
      <c r="J1009" s="248">
        <f t="shared" si="106"/>
        <v>14</v>
      </c>
      <c r="K1009" s="330">
        <f t="shared" si="107"/>
        <v>-7</v>
      </c>
      <c r="L1009" s="313"/>
      <c r="M1009" s="228">
        <f t="shared" si="108"/>
        <v>14</v>
      </c>
      <c r="N1009" s="228">
        <f t="shared" si="111"/>
        <v>0</v>
      </c>
      <c r="O1009" s="228">
        <f t="shared" si="112"/>
        <v>0</v>
      </c>
      <c r="P1009" s="228">
        <f t="shared" si="112"/>
        <v>0</v>
      </c>
      <c r="Q1009" s="228">
        <f t="shared" si="109"/>
        <v>14</v>
      </c>
      <c r="R1009" s="343">
        <f t="shared" si="110"/>
        <v>-7</v>
      </c>
      <c r="S1009" s="240"/>
      <c r="T1009" s="201"/>
      <c r="U1009" s="201"/>
      <c r="V1009" s="201"/>
    </row>
    <row r="1010" spans="1:22" ht="15.75" x14ac:dyDescent="0.25">
      <c r="A1010" s="234" t="s">
        <v>1541</v>
      </c>
      <c r="B1010" s="235" t="s">
        <v>1542</v>
      </c>
      <c r="C1010" s="234" t="s">
        <v>9</v>
      </c>
      <c r="D1010" s="312">
        <v>257</v>
      </c>
      <c r="E1010" s="312"/>
      <c r="F1010" s="248">
        <f t="shared" si="114"/>
        <v>179</v>
      </c>
      <c r="G1010" s="312"/>
      <c r="H1010" s="312"/>
      <c r="I1010" s="312"/>
      <c r="J1010" s="248">
        <f t="shared" si="106"/>
        <v>179</v>
      </c>
      <c r="K1010" s="330">
        <f t="shared" si="107"/>
        <v>-78</v>
      </c>
      <c r="L1010" s="313"/>
      <c r="M1010" s="228">
        <f t="shared" si="108"/>
        <v>179</v>
      </c>
      <c r="N1010" s="228">
        <f t="shared" si="111"/>
        <v>0</v>
      </c>
      <c r="O1010" s="228">
        <f t="shared" si="112"/>
        <v>0</v>
      </c>
      <c r="P1010" s="228">
        <f t="shared" si="112"/>
        <v>0</v>
      </c>
      <c r="Q1010" s="228">
        <f t="shared" si="109"/>
        <v>179</v>
      </c>
      <c r="R1010" s="343">
        <f t="shared" si="110"/>
        <v>-78</v>
      </c>
      <c r="S1010" s="240"/>
      <c r="T1010" s="201"/>
      <c r="U1010" s="201"/>
      <c r="V1010" s="201"/>
    </row>
    <row r="1011" spans="1:22" ht="15.75" x14ac:dyDescent="0.25">
      <c r="A1011" s="234" t="s">
        <v>1543</v>
      </c>
      <c r="B1011" s="235" t="s">
        <v>1544</v>
      </c>
      <c r="C1011" s="234" t="s">
        <v>9</v>
      </c>
      <c r="D1011" s="312">
        <v>271</v>
      </c>
      <c r="E1011" s="312"/>
      <c r="F1011" s="248">
        <f t="shared" si="114"/>
        <v>189</v>
      </c>
      <c r="G1011" s="312"/>
      <c r="H1011" s="312"/>
      <c r="I1011" s="312"/>
      <c r="J1011" s="248">
        <f t="shared" si="106"/>
        <v>189</v>
      </c>
      <c r="K1011" s="330">
        <f t="shared" si="107"/>
        <v>-82</v>
      </c>
      <c r="L1011" s="313"/>
      <c r="M1011" s="228">
        <f t="shared" si="108"/>
        <v>189</v>
      </c>
      <c r="N1011" s="228">
        <f t="shared" si="111"/>
        <v>0</v>
      </c>
      <c r="O1011" s="228">
        <f t="shared" si="112"/>
        <v>0</v>
      </c>
      <c r="P1011" s="228">
        <f t="shared" si="112"/>
        <v>0</v>
      </c>
      <c r="Q1011" s="228">
        <f t="shared" si="109"/>
        <v>189</v>
      </c>
      <c r="R1011" s="343">
        <f t="shared" si="110"/>
        <v>-82</v>
      </c>
      <c r="S1011" s="240"/>
      <c r="T1011" s="201"/>
      <c r="U1011" s="201"/>
      <c r="V1011" s="201"/>
    </row>
    <row r="1012" spans="1:22" ht="15.75" x14ac:dyDescent="0.25">
      <c r="A1012" s="234" t="s">
        <v>1545</v>
      </c>
      <c r="B1012" s="235" t="s">
        <v>1546</v>
      </c>
      <c r="C1012" s="234" t="s">
        <v>9</v>
      </c>
      <c r="D1012" s="312">
        <v>532</v>
      </c>
      <c r="E1012" s="312"/>
      <c r="F1012" s="248">
        <f t="shared" si="114"/>
        <v>372</v>
      </c>
      <c r="G1012" s="312"/>
      <c r="H1012" s="312"/>
      <c r="I1012" s="312"/>
      <c r="J1012" s="248">
        <f t="shared" si="106"/>
        <v>372</v>
      </c>
      <c r="K1012" s="330">
        <f t="shared" si="107"/>
        <v>-160</v>
      </c>
      <c r="L1012" s="313"/>
      <c r="M1012" s="228">
        <f t="shared" si="108"/>
        <v>372</v>
      </c>
      <c r="N1012" s="228">
        <f t="shared" si="111"/>
        <v>0</v>
      </c>
      <c r="O1012" s="228">
        <f t="shared" si="112"/>
        <v>0</v>
      </c>
      <c r="P1012" s="228">
        <f t="shared" si="112"/>
        <v>0</v>
      </c>
      <c r="Q1012" s="228">
        <f t="shared" si="109"/>
        <v>372</v>
      </c>
      <c r="R1012" s="343">
        <f t="shared" si="110"/>
        <v>-160</v>
      </c>
      <c r="S1012" s="240"/>
      <c r="T1012" s="201"/>
      <c r="U1012" s="201"/>
      <c r="V1012" s="201"/>
    </row>
    <row r="1013" spans="1:22" ht="15.75" x14ac:dyDescent="0.25">
      <c r="A1013" s="234" t="s">
        <v>1547</v>
      </c>
      <c r="B1013" s="235" t="s">
        <v>1548</v>
      </c>
      <c r="C1013" s="234" t="s">
        <v>14</v>
      </c>
      <c r="D1013" s="312">
        <v>5.29</v>
      </c>
      <c r="E1013" s="312"/>
      <c r="F1013" s="248">
        <f t="shared" si="114"/>
        <v>3</v>
      </c>
      <c r="G1013" s="312"/>
      <c r="H1013" s="312"/>
      <c r="I1013" s="312"/>
      <c r="J1013" s="248">
        <f t="shared" si="106"/>
        <v>3</v>
      </c>
      <c r="K1013" s="330">
        <f t="shared" si="107"/>
        <v>-2.29</v>
      </c>
      <c r="L1013" s="313"/>
      <c r="M1013" s="228">
        <f t="shared" si="108"/>
        <v>3</v>
      </c>
      <c r="N1013" s="228">
        <f t="shared" si="111"/>
        <v>0</v>
      </c>
      <c r="O1013" s="228">
        <f t="shared" si="112"/>
        <v>0</v>
      </c>
      <c r="P1013" s="228">
        <f t="shared" si="112"/>
        <v>0</v>
      </c>
      <c r="Q1013" s="228">
        <f t="shared" si="109"/>
        <v>3</v>
      </c>
      <c r="R1013" s="343">
        <f t="shared" si="110"/>
        <v>-2.29</v>
      </c>
      <c r="S1013" s="240"/>
      <c r="T1013" s="201"/>
      <c r="U1013" s="201"/>
      <c r="V1013" s="201"/>
    </row>
    <row r="1014" spans="1:22" ht="15.75" x14ac:dyDescent="0.25">
      <c r="A1014" s="234" t="s">
        <v>1549</v>
      </c>
      <c r="B1014" s="235" t="s">
        <v>1550</v>
      </c>
      <c r="C1014" s="234" t="s">
        <v>9</v>
      </c>
      <c r="D1014" s="312">
        <v>52.9</v>
      </c>
      <c r="E1014" s="312"/>
      <c r="F1014" s="248">
        <f t="shared" si="114"/>
        <v>37</v>
      </c>
      <c r="G1014" s="312"/>
      <c r="H1014" s="312"/>
      <c r="I1014" s="312"/>
      <c r="J1014" s="248">
        <f t="shared" si="106"/>
        <v>37</v>
      </c>
      <c r="K1014" s="330">
        <f t="shared" si="107"/>
        <v>-15.899999999999999</v>
      </c>
      <c r="L1014" s="313"/>
      <c r="M1014" s="228">
        <f t="shared" si="108"/>
        <v>37</v>
      </c>
      <c r="N1014" s="228">
        <f t="shared" si="111"/>
        <v>0</v>
      </c>
      <c r="O1014" s="228">
        <f t="shared" si="112"/>
        <v>0</v>
      </c>
      <c r="P1014" s="228">
        <f t="shared" si="112"/>
        <v>0</v>
      </c>
      <c r="Q1014" s="228">
        <f t="shared" si="109"/>
        <v>37</v>
      </c>
      <c r="R1014" s="343">
        <f t="shared" si="110"/>
        <v>-15.899999999999999</v>
      </c>
      <c r="S1014" s="240"/>
      <c r="T1014" s="201"/>
      <c r="U1014" s="201"/>
      <c r="V1014" s="201"/>
    </row>
    <row r="1015" spans="1:22" ht="15.75" x14ac:dyDescent="0.25">
      <c r="A1015" s="234" t="s">
        <v>1551</v>
      </c>
      <c r="B1015" s="235" t="s">
        <v>1552</v>
      </c>
      <c r="C1015" s="234" t="s">
        <v>9</v>
      </c>
      <c r="D1015" s="312">
        <v>247</v>
      </c>
      <c r="E1015" s="312"/>
      <c r="F1015" s="248">
        <f t="shared" si="114"/>
        <v>172</v>
      </c>
      <c r="G1015" s="312"/>
      <c r="H1015" s="312"/>
      <c r="I1015" s="312"/>
      <c r="J1015" s="248">
        <f t="shared" si="106"/>
        <v>172</v>
      </c>
      <c r="K1015" s="330">
        <f t="shared" si="107"/>
        <v>-75</v>
      </c>
      <c r="L1015" s="313"/>
      <c r="M1015" s="228">
        <f t="shared" si="108"/>
        <v>172</v>
      </c>
      <c r="N1015" s="228">
        <f t="shared" si="111"/>
        <v>0</v>
      </c>
      <c r="O1015" s="228">
        <f t="shared" si="112"/>
        <v>0</v>
      </c>
      <c r="P1015" s="228">
        <f t="shared" si="112"/>
        <v>0</v>
      </c>
      <c r="Q1015" s="228">
        <f t="shared" si="109"/>
        <v>172</v>
      </c>
      <c r="R1015" s="343">
        <f t="shared" si="110"/>
        <v>-75</v>
      </c>
      <c r="S1015" s="240"/>
      <c r="T1015" s="201"/>
      <c r="U1015" s="201"/>
      <c r="V1015" s="201"/>
    </row>
    <row r="1016" spans="1:22" ht="15.75" x14ac:dyDescent="0.25">
      <c r="A1016" s="234" t="s">
        <v>1553</v>
      </c>
      <c r="B1016" s="235" t="s">
        <v>1554</v>
      </c>
      <c r="C1016" s="234" t="s">
        <v>9</v>
      </c>
      <c r="D1016" s="312">
        <v>249</v>
      </c>
      <c r="E1016" s="312"/>
      <c r="F1016" s="248">
        <f t="shared" si="114"/>
        <v>174</v>
      </c>
      <c r="G1016" s="312"/>
      <c r="H1016" s="312"/>
      <c r="I1016" s="312"/>
      <c r="J1016" s="248">
        <f t="shared" si="106"/>
        <v>174</v>
      </c>
      <c r="K1016" s="330">
        <f t="shared" si="107"/>
        <v>-75</v>
      </c>
      <c r="L1016" s="313"/>
      <c r="M1016" s="228">
        <f t="shared" si="108"/>
        <v>174</v>
      </c>
      <c r="N1016" s="228">
        <f t="shared" si="111"/>
        <v>0</v>
      </c>
      <c r="O1016" s="228">
        <f t="shared" si="112"/>
        <v>0</v>
      </c>
      <c r="P1016" s="228">
        <f t="shared" si="112"/>
        <v>0</v>
      </c>
      <c r="Q1016" s="228">
        <f t="shared" si="109"/>
        <v>174</v>
      </c>
      <c r="R1016" s="343">
        <f t="shared" si="110"/>
        <v>-75</v>
      </c>
      <c r="S1016" s="240"/>
      <c r="T1016" s="201"/>
      <c r="U1016" s="201"/>
      <c r="V1016" s="201"/>
    </row>
    <row r="1017" spans="1:22" ht="15.75" x14ac:dyDescent="0.25">
      <c r="A1017" s="234" t="s">
        <v>1555</v>
      </c>
      <c r="B1017" s="235" t="s">
        <v>1556</v>
      </c>
      <c r="C1017" s="234" t="s">
        <v>9</v>
      </c>
      <c r="D1017" s="312">
        <v>247</v>
      </c>
      <c r="E1017" s="312"/>
      <c r="F1017" s="248">
        <f t="shared" si="114"/>
        <v>172</v>
      </c>
      <c r="G1017" s="312"/>
      <c r="H1017" s="312"/>
      <c r="I1017" s="312"/>
      <c r="J1017" s="248">
        <f t="shared" si="106"/>
        <v>172</v>
      </c>
      <c r="K1017" s="330">
        <f t="shared" si="107"/>
        <v>-75</v>
      </c>
      <c r="L1017" s="313"/>
      <c r="M1017" s="228">
        <f t="shared" si="108"/>
        <v>172</v>
      </c>
      <c r="N1017" s="228">
        <f t="shared" si="111"/>
        <v>0</v>
      </c>
      <c r="O1017" s="228">
        <f t="shared" si="112"/>
        <v>0</v>
      </c>
      <c r="P1017" s="228">
        <f t="shared" si="112"/>
        <v>0</v>
      </c>
      <c r="Q1017" s="228">
        <f t="shared" si="109"/>
        <v>172</v>
      </c>
      <c r="R1017" s="343">
        <f t="shared" si="110"/>
        <v>-75</v>
      </c>
      <c r="S1017" s="240"/>
      <c r="T1017" s="201"/>
      <c r="U1017" s="201"/>
      <c r="V1017" s="201"/>
    </row>
    <row r="1018" spans="1:22" ht="15.75" x14ac:dyDescent="0.25">
      <c r="A1018" s="234" t="s">
        <v>1557</v>
      </c>
      <c r="B1018" s="235" t="s">
        <v>1558</v>
      </c>
      <c r="C1018" s="234" t="s">
        <v>9</v>
      </c>
      <c r="D1018" s="312">
        <v>736</v>
      </c>
      <c r="E1018" s="312"/>
      <c r="F1018" s="248">
        <f t="shared" si="114"/>
        <v>515</v>
      </c>
      <c r="G1018" s="312"/>
      <c r="H1018" s="312"/>
      <c r="I1018" s="312"/>
      <c r="J1018" s="248">
        <f t="shared" ref="J1018:J1081" si="115">F1018+G1018+H1018+I1018</f>
        <v>515</v>
      </c>
      <c r="K1018" s="330">
        <f t="shared" ref="K1018:K1081" si="116">J1018-D1018</f>
        <v>-221</v>
      </c>
      <c r="L1018" s="313"/>
      <c r="M1018" s="228">
        <f t="shared" ref="M1018:M1081" si="117">F1018</f>
        <v>515</v>
      </c>
      <c r="N1018" s="228">
        <f t="shared" si="111"/>
        <v>0</v>
      </c>
      <c r="O1018" s="228">
        <f t="shared" si="112"/>
        <v>0</v>
      </c>
      <c r="P1018" s="228">
        <f t="shared" si="112"/>
        <v>0</v>
      </c>
      <c r="Q1018" s="228">
        <f t="shared" ref="Q1018:Q1081" si="118">M1018+N1018+O1018+P1018</f>
        <v>515</v>
      </c>
      <c r="R1018" s="343">
        <f t="shared" ref="R1018:R1081" si="119">Q1018-D1018</f>
        <v>-221</v>
      </c>
      <c r="S1018" s="240"/>
      <c r="T1018" s="201"/>
      <c r="U1018" s="201"/>
      <c r="V1018" s="201"/>
    </row>
    <row r="1019" spans="1:22" ht="15.75" x14ac:dyDescent="0.25">
      <c r="A1019" s="234" t="s">
        <v>1559</v>
      </c>
      <c r="B1019" s="235" t="s">
        <v>1560</v>
      </c>
      <c r="C1019" s="234" t="s">
        <v>1561</v>
      </c>
      <c r="D1019" s="312">
        <v>2</v>
      </c>
      <c r="E1019" s="312"/>
      <c r="F1019" s="248">
        <f t="shared" si="114"/>
        <v>1</v>
      </c>
      <c r="G1019" s="312"/>
      <c r="H1019" s="312"/>
      <c r="I1019" s="312"/>
      <c r="J1019" s="248">
        <f t="shared" si="115"/>
        <v>1</v>
      </c>
      <c r="K1019" s="330">
        <f t="shared" si="116"/>
        <v>-1</v>
      </c>
      <c r="L1019" s="313"/>
      <c r="M1019" s="228">
        <f t="shared" si="117"/>
        <v>1</v>
      </c>
      <c r="N1019" s="228">
        <f t="shared" si="111"/>
        <v>0</v>
      </c>
      <c r="O1019" s="228">
        <f t="shared" si="112"/>
        <v>0</v>
      </c>
      <c r="P1019" s="228">
        <f t="shared" si="112"/>
        <v>0</v>
      </c>
      <c r="Q1019" s="228">
        <f t="shared" si="118"/>
        <v>1</v>
      </c>
      <c r="R1019" s="343">
        <f t="shared" si="119"/>
        <v>-1</v>
      </c>
      <c r="S1019" s="240"/>
      <c r="T1019" s="201"/>
      <c r="U1019" s="201"/>
      <c r="V1019" s="201"/>
    </row>
    <row r="1020" spans="1:22" ht="15.75" x14ac:dyDescent="0.25">
      <c r="A1020" s="234" t="s">
        <v>1562</v>
      </c>
      <c r="B1020" s="235" t="s">
        <v>1563</v>
      </c>
      <c r="C1020" s="234" t="s">
        <v>9</v>
      </c>
      <c r="D1020" s="312">
        <v>1</v>
      </c>
      <c r="E1020" s="312"/>
      <c r="F1020" s="248"/>
      <c r="G1020" s="312"/>
      <c r="H1020" s="312"/>
      <c r="I1020" s="312"/>
      <c r="J1020" s="248">
        <f t="shared" si="115"/>
        <v>0</v>
      </c>
      <c r="K1020" s="330">
        <f t="shared" si="116"/>
        <v>-1</v>
      </c>
      <c r="L1020" s="313"/>
      <c r="M1020" s="228">
        <f t="shared" si="117"/>
        <v>0</v>
      </c>
      <c r="N1020" s="228">
        <f t="shared" si="111"/>
        <v>0</v>
      </c>
      <c r="O1020" s="228">
        <f t="shared" si="112"/>
        <v>0</v>
      </c>
      <c r="P1020" s="228">
        <f t="shared" si="112"/>
        <v>0</v>
      </c>
      <c r="Q1020" s="228">
        <f t="shared" si="118"/>
        <v>0</v>
      </c>
      <c r="R1020" s="343">
        <f t="shared" si="119"/>
        <v>-1</v>
      </c>
      <c r="S1020" s="240"/>
      <c r="T1020" s="201"/>
      <c r="U1020" s="201"/>
      <c r="V1020" s="201"/>
    </row>
    <row r="1021" spans="1:22" ht="15.75" x14ac:dyDescent="0.25">
      <c r="A1021" s="234" t="s">
        <v>1564</v>
      </c>
      <c r="B1021" s="235" t="s">
        <v>1565</v>
      </c>
      <c r="C1021" s="234" t="s">
        <v>9</v>
      </c>
      <c r="D1021" s="312">
        <v>1</v>
      </c>
      <c r="E1021" s="312"/>
      <c r="F1021" s="248"/>
      <c r="G1021" s="312"/>
      <c r="H1021" s="312"/>
      <c r="I1021" s="312"/>
      <c r="J1021" s="248">
        <f t="shared" si="115"/>
        <v>0</v>
      </c>
      <c r="K1021" s="330">
        <f t="shared" si="116"/>
        <v>-1</v>
      </c>
      <c r="L1021" s="313"/>
      <c r="M1021" s="228">
        <f t="shared" si="117"/>
        <v>0</v>
      </c>
      <c r="N1021" s="228">
        <f t="shared" si="111"/>
        <v>0</v>
      </c>
      <c r="O1021" s="228">
        <f t="shared" si="112"/>
        <v>0</v>
      </c>
      <c r="P1021" s="228">
        <f t="shared" si="112"/>
        <v>0</v>
      </c>
      <c r="Q1021" s="228">
        <f t="shared" si="118"/>
        <v>0</v>
      </c>
      <c r="R1021" s="343">
        <f t="shared" si="119"/>
        <v>-1</v>
      </c>
      <c r="S1021" s="240"/>
      <c r="T1021" s="201"/>
      <c r="U1021" s="201"/>
      <c r="V1021" s="201"/>
    </row>
    <row r="1022" spans="1:22" ht="15.75" x14ac:dyDescent="0.25">
      <c r="A1022" s="234" t="s">
        <v>1566</v>
      </c>
      <c r="B1022" s="235" t="s">
        <v>1567</v>
      </c>
      <c r="C1022" s="234" t="s">
        <v>9</v>
      </c>
      <c r="D1022" s="312">
        <v>2</v>
      </c>
      <c r="E1022" s="312"/>
      <c r="F1022" s="248"/>
      <c r="G1022" s="312"/>
      <c r="H1022" s="312"/>
      <c r="I1022" s="312"/>
      <c r="J1022" s="248">
        <f t="shared" si="115"/>
        <v>0</v>
      </c>
      <c r="K1022" s="330">
        <f t="shared" si="116"/>
        <v>-2</v>
      </c>
      <c r="L1022" s="313"/>
      <c r="M1022" s="228">
        <f t="shared" si="117"/>
        <v>0</v>
      </c>
      <c r="N1022" s="228">
        <f t="shared" si="111"/>
        <v>0</v>
      </c>
      <c r="O1022" s="228">
        <f t="shared" si="112"/>
        <v>0</v>
      </c>
      <c r="P1022" s="228">
        <f t="shared" si="112"/>
        <v>0</v>
      </c>
      <c r="Q1022" s="228">
        <f t="shared" si="118"/>
        <v>0</v>
      </c>
      <c r="R1022" s="343">
        <f t="shared" si="119"/>
        <v>-2</v>
      </c>
      <c r="S1022" s="240"/>
      <c r="T1022" s="201"/>
      <c r="U1022" s="201"/>
      <c r="V1022" s="201"/>
    </row>
    <row r="1023" spans="1:22" ht="15.75" x14ac:dyDescent="0.25">
      <c r="A1023" s="234" t="s">
        <v>1568</v>
      </c>
      <c r="B1023" s="235" t="s">
        <v>1569</v>
      </c>
      <c r="C1023" s="234" t="s">
        <v>9</v>
      </c>
      <c r="D1023" s="312">
        <v>2</v>
      </c>
      <c r="E1023" s="312"/>
      <c r="F1023" s="248"/>
      <c r="G1023" s="312"/>
      <c r="H1023" s="312"/>
      <c r="I1023" s="312"/>
      <c r="J1023" s="248">
        <f t="shared" si="115"/>
        <v>0</v>
      </c>
      <c r="K1023" s="330">
        <f t="shared" si="116"/>
        <v>-2</v>
      </c>
      <c r="L1023" s="313"/>
      <c r="M1023" s="228">
        <f t="shared" si="117"/>
        <v>0</v>
      </c>
      <c r="N1023" s="228">
        <f t="shared" si="111"/>
        <v>0</v>
      </c>
      <c r="O1023" s="228">
        <f t="shared" si="112"/>
        <v>0</v>
      </c>
      <c r="P1023" s="228">
        <f t="shared" si="112"/>
        <v>0</v>
      </c>
      <c r="Q1023" s="228">
        <f t="shared" si="118"/>
        <v>0</v>
      </c>
      <c r="R1023" s="343">
        <f t="shared" si="119"/>
        <v>-2</v>
      </c>
      <c r="S1023" s="240"/>
      <c r="T1023" s="201"/>
      <c r="U1023" s="201"/>
      <c r="V1023" s="201"/>
    </row>
    <row r="1024" spans="1:22" ht="15.75" x14ac:dyDescent="0.25">
      <c r="A1024" s="234" t="s">
        <v>1570</v>
      </c>
      <c r="B1024" s="235" t="s">
        <v>1571</v>
      </c>
      <c r="C1024" s="234" t="s">
        <v>9</v>
      </c>
      <c r="D1024" s="312">
        <v>1</v>
      </c>
      <c r="E1024" s="312"/>
      <c r="F1024" s="248"/>
      <c r="G1024" s="312"/>
      <c r="H1024" s="312"/>
      <c r="I1024" s="312"/>
      <c r="J1024" s="248">
        <f t="shared" si="115"/>
        <v>0</v>
      </c>
      <c r="K1024" s="330">
        <f t="shared" si="116"/>
        <v>-1</v>
      </c>
      <c r="L1024" s="313"/>
      <c r="M1024" s="228">
        <f t="shared" si="117"/>
        <v>0</v>
      </c>
      <c r="N1024" s="228">
        <f t="shared" si="111"/>
        <v>0</v>
      </c>
      <c r="O1024" s="228">
        <f t="shared" si="112"/>
        <v>0</v>
      </c>
      <c r="P1024" s="228">
        <f t="shared" si="112"/>
        <v>0</v>
      </c>
      <c r="Q1024" s="228">
        <f t="shared" si="118"/>
        <v>0</v>
      </c>
      <c r="R1024" s="343">
        <f t="shared" si="119"/>
        <v>-1</v>
      </c>
      <c r="S1024" s="240"/>
      <c r="T1024" s="201"/>
      <c r="U1024" s="201"/>
      <c r="V1024" s="201"/>
    </row>
    <row r="1025" spans="1:22" ht="15.75" x14ac:dyDescent="0.25">
      <c r="A1025" s="234" t="s">
        <v>1572</v>
      </c>
      <c r="B1025" s="235" t="s">
        <v>1573</v>
      </c>
      <c r="C1025" s="234" t="s">
        <v>9</v>
      </c>
      <c r="D1025" s="312">
        <v>2</v>
      </c>
      <c r="E1025" s="312"/>
      <c r="F1025" s="248"/>
      <c r="G1025" s="312"/>
      <c r="H1025" s="312"/>
      <c r="I1025" s="312"/>
      <c r="J1025" s="248">
        <f t="shared" si="115"/>
        <v>0</v>
      </c>
      <c r="K1025" s="330">
        <f t="shared" si="116"/>
        <v>-2</v>
      </c>
      <c r="L1025" s="313"/>
      <c r="M1025" s="228">
        <f t="shared" si="117"/>
        <v>0</v>
      </c>
      <c r="N1025" s="228">
        <f t="shared" si="111"/>
        <v>0</v>
      </c>
      <c r="O1025" s="228">
        <f t="shared" si="112"/>
        <v>0</v>
      </c>
      <c r="P1025" s="228">
        <f t="shared" si="112"/>
        <v>0</v>
      </c>
      <c r="Q1025" s="228">
        <f t="shared" si="118"/>
        <v>0</v>
      </c>
      <c r="R1025" s="343">
        <f t="shared" si="119"/>
        <v>-2</v>
      </c>
      <c r="S1025" s="240"/>
      <c r="T1025" s="201"/>
      <c r="U1025" s="201"/>
      <c r="V1025" s="201"/>
    </row>
    <row r="1026" spans="1:22" ht="15.75" x14ac:dyDescent="0.25">
      <c r="A1026" s="234" t="s">
        <v>1574</v>
      </c>
      <c r="B1026" s="235" t="s">
        <v>1452</v>
      </c>
      <c r="C1026" s="234" t="s">
        <v>9</v>
      </c>
      <c r="D1026" s="312">
        <v>10</v>
      </c>
      <c r="E1026" s="312"/>
      <c r="F1026" s="248"/>
      <c r="G1026" s="312"/>
      <c r="H1026" s="312"/>
      <c r="I1026" s="312"/>
      <c r="J1026" s="248">
        <f t="shared" si="115"/>
        <v>0</v>
      </c>
      <c r="K1026" s="330">
        <f t="shared" si="116"/>
        <v>-10</v>
      </c>
      <c r="L1026" s="313"/>
      <c r="M1026" s="228">
        <f t="shared" si="117"/>
        <v>0</v>
      </c>
      <c r="N1026" s="228">
        <f t="shared" si="111"/>
        <v>0</v>
      </c>
      <c r="O1026" s="228">
        <f t="shared" si="112"/>
        <v>0</v>
      </c>
      <c r="P1026" s="228">
        <f t="shared" si="112"/>
        <v>0</v>
      </c>
      <c r="Q1026" s="228">
        <f t="shared" si="118"/>
        <v>0</v>
      </c>
      <c r="R1026" s="343">
        <f t="shared" si="119"/>
        <v>-10</v>
      </c>
      <c r="S1026" s="240"/>
      <c r="T1026" s="201"/>
      <c r="U1026" s="201"/>
      <c r="V1026" s="201"/>
    </row>
    <row r="1027" spans="1:22" ht="15.75" x14ac:dyDescent="0.25">
      <c r="A1027" s="234" t="s">
        <v>1575</v>
      </c>
      <c r="B1027" s="235" t="s">
        <v>1576</v>
      </c>
      <c r="C1027" s="234" t="s">
        <v>14</v>
      </c>
      <c r="D1027" s="312">
        <v>0.68</v>
      </c>
      <c r="E1027" s="312"/>
      <c r="F1027" s="248">
        <f t="shared" ref="F1027:F1036" si="120">(D1027*$U$967)</f>
        <v>0.47599999999999998</v>
      </c>
      <c r="G1027" s="312"/>
      <c r="H1027" s="312"/>
      <c r="I1027" s="312"/>
      <c r="J1027" s="248">
        <f t="shared" si="115"/>
        <v>0.47599999999999998</v>
      </c>
      <c r="K1027" s="330">
        <f t="shared" si="116"/>
        <v>-0.20400000000000007</v>
      </c>
      <c r="L1027" s="313"/>
      <c r="M1027" s="228">
        <f t="shared" si="117"/>
        <v>0.47599999999999998</v>
      </c>
      <c r="N1027" s="228">
        <f t="shared" si="111"/>
        <v>0</v>
      </c>
      <c r="O1027" s="228">
        <f t="shared" si="112"/>
        <v>0</v>
      </c>
      <c r="P1027" s="228">
        <f t="shared" si="112"/>
        <v>0</v>
      </c>
      <c r="Q1027" s="228">
        <f t="shared" si="118"/>
        <v>0.47599999999999998</v>
      </c>
      <c r="R1027" s="343">
        <f t="shared" si="119"/>
        <v>-0.20400000000000007</v>
      </c>
      <c r="S1027" s="240"/>
      <c r="T1027" s="201"/>
      <c r="U1027" s="201"/>
      <c r="V1027" s="201"/>
    </row>
    <row r="1028" spans="1:22" ht="15.75" x14ac:dyDescent="0.25">
      <c r="A1028" s="234" t="s">
        <v>1577</v>
      </c>
      <c r="B1028" s="235" t="s">
        <v>1578</v>
      </c>
      <c r="C1028" s="234" t="s">
        <v>14</v>
      </c>
      <c r="D1028" s="312">
        <v>1.59</v>
      </c>
      <c r="E1028" s="312"/>
      <c r="F1028" s="248">
        <f t="shared" si="120"/>
        <v>1.113</v>
      </c>
      <c r="G1028" s="312"/>
      <c r="H1028" s="312"/>
      <c r="I1028" s="312"/>
      <c r="J1028" s="248">
        <f t="shared" si="115"/>
        <v>1.113</v>
      </c>
      <c r="K1028" s="330">
        <f t="shared" si="116"/>
        <v>-0.47700000000000009</v>
      </c>
      <c r="L1028" s="313"/>
      <c r="M1028" s="228">
        <f t="shared" si="117"/>
        <v>1.113</v>
      </c>
      <c r="N1028" s="228">
        <f t="shared" si="111"/>
        <v>0</v>
      </c>
      <c r="O1028" s="228">
        <f t="shared" si="112"/>
        <v>0</v>
      </c>
      <c r="P1028" s="228">
        <f t="shared" si="112"/>
        <v>0</v>
      </c>
      <c r="Q1028" s="228">
        <f t="shared" si="118"/>
        <v>1.113</v>
      </c>
      <c r="R1028" s="343">
        <f t="shared" si="119"/>
        <v>-0.47700000000000009</v>
      </c>
      <c r="S1028" s="240"/>
      <c r="T1028" s="201"/>
      <c r="U1028" s="201"/>
      <c r="V1028" s="201"/>
    </row>
    <row r="1029" spans="1:22" ht="15.75" x14ac:dyDescent="0.25">
      <c r="A1029" s="234" t="s">
        <v>1579</v>
      </c>
      <c r="B1029" s="235" t="s">
        <v>1580</v>
      </c>
      <c r="C1029" s="234" t="s">
        <v>14</v>
      </c>
      <c r="D1029" s="312">
        <v>0.22</v>
      </c>
      <c r="E1029" s="312"/>
      <c r="F1029" s="248">
        <f t="shared" si="120"/>
        <v>0.154</v>
      </c>
      <c r="G1029" s="312"/>
      <c r="H1029" s="312"/>
      <c r="I1029" s="312"/>
      <c r="J1029" s="248">
        <f t="shared" si="115"/>
        <v>0.154</v>
      </c>
      <c r="K1029" s="330">
        <f t="shared" si="116"/>
        <v>-6.6000000000000003E-2</v>
      </c>
      <c r="L1029" s="313"/>
      <c r="M1029" s="228">
        <f t="shared" si="117"/>
        <v>0.154</v>
      </c>
      <c r="N1029" s="228">
        <f t="shared" si="111"/>
        <v>0</v>
      </c>
      <c r="O1029" s="228">
        <f t="shared" si="112"/>
        <v>0</v>
      </c>
      <c r="P1029" s="228">
        <f t="shared" si="112"/>
        <v>0</v>
      </c>
      <c r="Q1029" s="228">
        <f t="shared" si="118"/>
        <v>0.154</v>
      </c>
      <c r="R1029" s="343">
        <f t="shared" si="119"/>
        <v>-6.6000000000000003E-2</v>
      </c>
      <c r="S1029" s="240"/>
      <c r="T1029" s="201"/>
      <c r="U1029" s="201"/>
      <c r="V1029" s="201"/>
    </row>
    <row r="1030" spans="1:22" ht="15.75" x14ac:dyDescent="0.25">
      <c r="A1030" s="234" t="s">
        <v>1581</v>
      </c>
      <c r="B1030" s="235" t="s">
        <v>1582</v>
      </c>
      <c r="C1030" s="234" t="s">
        <v>14</v>
      </c>
      <c r="D1030" s="312">
        <v>0.4</v>
      </c>
      <c r="E1030" s="312"/>
      <c r="F1030" s="248">
        <f t="shared" si="120"/>
        <v>0.27999999999999997</v>
      </c>
      <c r="G1030" s="312"/>
      <c r="H1030" s="312"/>
      <c r="I1030" s="312"/>
      <c r="J1030" s="248">
        <f t="shared" si="115"/>
        <v>0.27999999999999997</v>
      </c>
      <c r="K1030" s="330">
        <f t="shared" si="116"/>
        <v>-0.12000000000000005</v>
      </c>
      <c r="L1030" s="313"/>
      <c r="M1030" s="228">
        <f t="shared" si="117"/>
        <v>0.27999999999999997</v>
      </c>
      <c r="N1030" s="228">
        <f t="shared" si="111"/>
        <v>0</v>
      </c>
      <c r="O1030" s="228">
        <f t="shared" si="112"/>
        <v>0</v>
      </c>
      <c r="P1030" s="228">
        <f t="shared" si="112"/>
        <v>0</v>
      </c>
      <c r="Q1030" s="228">
        <f t="shared" si="118"/>
        <v>0.27999999999999997</v>
      </c>
      <c r="R1030" s="343">
        <f t="shared" si="119"/>
        <v>-0.12000000000000005</v>
      </c>
      <c r="S1030" s="240"/>
      <c r="T1030" s="201"/>
      <c r="U1030" s="201"/>
      <c r="V1030" s="201"/>
    </row>
    <row r="1031" spans="1:22" ht="15.75" x14ac:dyDescent="0.25">
      <c r="A1031" s="234" t="s">
        <v>1583</v>
      </c>
      <c r="B1031" s="235" t="s">
        <v>1584</v>
      </c>
      <c r="C1031" s="234" t="s">
        <v>14</v>
      </c>
      <c r="D1031" s="312">
        <v>8.4700000000000006</v>
      </c>
      <c r="E1031" s="312"/>
      <c r="F1031" s="248">
        <f t="shared" si="120"/>
        <v>5.9290000000000003</v>
      </c>
      <c r="G1031" s="312"/>
      <c r="H1031" s="312"/>
      <c r="I1031" s="312"/>
      <c r="J1031" s="248">
        <f t="shared" si="115"/>
        <v>5.9290000000000003</v>
      </c>
      <c r="K1031" s="330">
        <f t="shared" si="116"/>
        <v>-2.5410000000000004</v>
      </c>
      <c r="L1031" s="313"/>
      <c r="M1031" s="228">
        <f t="shared" si="117"/>
        <v>5.9290000000000003</v>
      </c>
      <c r="N1031" s="228">
        <f t="shared" si="111"/>
        <v>0</v>
      </c>
      <c r="O1031" s="228">
        <f t="shared" si="112"/>
        <v>0</v>
      </c>
      <c r="P1031" s="228">
        <f t="shared" si="112"/>
        <v>0</v>
      </c>
      <c r="Q1031" s="228">
        <f t="shared" si="118"/>
        <v>5.9290000000000003</v>
      </c>
      <c r="R1031" s="343">
        <f t="shared" si="119"/>
        <v>-2.5410000000000004</v>
      </c>
      <c r="S1031" s="240"/>
      <c r="T1031" s="201"/>
      <c r="U1031" s="201"/>
      <c r="V1031" s="201"/>
    </row>
    <row r="1032" spans="1:22" ht="15.75" x14ac:dyDescent="0.25">
      <c r="A1032" s="234" t="s">
        <v>1585</v>
      </c>
      <c r="B1032" s="235" t="s">
        <v>1586</v>
      </c>
      <c r="C1032" s="234" t="s">
        <v>14</v>
      </c>
      <c r="D1032" s="312">
        <v>0.4</v>
      </c>
      <c r="E1032" s="312"/>
      <c r="F1032" s="248">
        <f t="shared" si="120"/>
        <v>0.27999999999999997</v>
      </c>
      <c r="G1032" s="312"/>
      <c r="H1032" s="312"/>
      <c r="I1032" s="312"/>
      <c r="J1032" s="248">
        <f t="shared" si="115"/>
        <v>0.27999999999999997</v>
      </c>
      <c r="K1032" s="330">
        <f t="shared" si="116"/>
        <v>-0.12000000000000005</v>
      </c>
      <c r="L1032" s="313"/>
      <c r="M1032" s="228">
        <f t="shared" si="117"/>
        <v>0.27999999999999997</v>
      </c>
      <c r="N1032" s="228">
        <f t="shared" si="111"/>
        <v>0</v>
      </c>
      <c r="O1032" s="228">
        <f t="shared" si="112"/>
        <v>0</v>
      </c>
      <c r="P1032" s="228">
        <f t="shared" si="112"/>
        <v>0</v>
      </c>
      <c r="Q1032" s="228">
        <f t="shared" si="118"/>
        <v>0.27999999999999997</v>
      </c>
      <c r="R1032" s="343">
        <f t="shared" si="119"/>
        <v>-0.12000000000000005</v>
      </c>
      <c r="S1032" s="240"/>
      <c r="T1032" s="201"/>
      <c r="U1032" s="201"/>
      <c r="V1032" s="201"/>
    </row>
    <row r="1033" spans="1:22" ht="15.75" x14ac:dyDescent="0.25">
      <c r="A1033" s="234" t="s">
        <v>1587</v>
      </c>
      <c r="B1033" s="235" t="s">
        <v>1588</v>
      </c>
      <c r="C1033" s="234" t="s">
        <v>14</v>
      </c>
      <c r="D1033" s="312">
        <v>0.32</v>
      </c>
      <c r="E1033" s="312"/>
      <c r="F1033" s="248">
        <f t="shared" si="120"/>
        <v>0.22399999999999998</v>
      </c>
      <c r="G1033" s="312"/>
      <c r="H1033" s="312"/>
      <c r="I1033" s="312"/>
      <c r="J1033" s="248">
        <f t="shared" si="115"/>
        <v>0.22399999999999998</v>
      </c>
      <c r="K1033" s="330">
        <f t="shared" si="116"/>
        <v>-9.600000000000003E-2</v>
      </c>
      <c r="L1033" s="313"/>
      <c r="M1033" s="228">
        <f t="shared" si="117"/>
        <v>0.22399999999999998</v>
      </c>
      <c r="N1033" s="228">
        <f t="shared" ref="N1033:N1096" si="121">G1033</f>
        <v>0</v>
      </c>
      <c r="O1033" s="228">
        <f t="shared" ref="O1033:P1096" si="122">H1033</f>
        <v>0</v>
      </c>
      <c r="P1033" s="228">
        <f t="shared" si="122"/>
        <v>0</v>
      </c>
      <c r="Q1033" s="228">
        <f t="shared" si="118"/>
        <v>0.22399999999999998</v>
      </c>
      <c r="R1033" s="343">
        <f t="shared" si="119"/>
        <v>-9.600000000000003E-2</v>
      </c>
      <c r="S1033" s="240"/>
      <c r="T1033" s="201"/>
      <c r="U1033" s="201"/>
      <c r="V1033" s="201"/>
    </row>
    <row r="1034" spans="1:22" ht="15.75" x14ac:dyDescent="0.25">
      <c r="A1034" s="234" t="s">
        <v>1589</v>
      </c>
      <c r="B1034" s="235" t="s">
        <v>1456</v>
      </c>
      <c r="C1034" s="234" t="s">
        <v>14</v>
      </c>
      <c r="D1034" s="312">
        <v>1.48</v>
      </c>
      <c r="E1034" s="312"/>
      <c r="F1034" s="248">
        <f t="shared" si="120"/>
        <v>1.036</v>
      </c>
      <c r="G1034" s="312"/>
      <c r="H1034" s="312"/>
      <c r="I1034" s="312"/>
      <c r="J1034" s="248">
        <f t="shared" si="115"/>
        <v>1.036</v>
      </c>
      <c r="K1034" s="330">
        <f t="shared" si="116"/>
        <v>-0.44399999999999995</v>
      </c>
      <c r="L1034" s="313"/>
      <c r="M1034" s="228">
        <f t="shared" si="117"/>
        <v>1.036</v>
      </c>
      <c r="N1034" s="228">
        <f t="shared" si="121"/>
        <v>0</v>
      </c>
      <c r="O1034" s="228">
        <f t="shared" si="122"/>
        <v>0</v>
      </c>
      <c r="P1034" s="228">
        <f t="shared" si="122"/>
        <v>0</v>
      </c>
      <c r="Q1034" s="228">
        <f t="shared" si="118"/>
        <v>1.036</v>
      </c>
      <c r="R1034" s="343">
        <f t="shared" si="119"/>
        <v>-0.44399999999999995</v>
      </c>
      <c r="S1034" s="240"/>
      <c r="T1034" s="201"/>
      <c r="U1034" s="201"/>
      <c r="V1034" s="201"/>
    </row>
    <row r="1035" spans="1:22" ht="15.75" x14ac:dyDescent="0.25">
      <c r="A1035" s="234" t="s">
        <v>1590</v>
      </c>
      <c r="B1035" s="235" t="s">
        <v>1458</v>
      </c>
      <c r="C1035" s="234" t="s">
        <v>14</v>
      </c>
      <c r="D1035" s="312">
        <v>6.78</v>
      </c>
      <c r="E1035" s="312"/>
      <c r="F1035" s="248">
        <f t="shared" si="120"/>
        <v>4.7459999999999996</v>
      </c>
      <c r="G1035" s="312"/>
      <c r="H1035" s="312"/>
      <c r="I1035" s="312"/>
      <c r="J1035" s="248">
        <f t="shared" si="115"/>
        <v>4.7459999999999996</v>
      </c>
      <c r="K1035" s="330">
        <f t="shared" si="116"/>
        <v>-2.0340000000000007</v>
      </c>
      <c r="L1035" s="313"/>
      <c r="M1035" s="228">
        <f t="shared" si="117"/>
        <v>4.7459999999999996</v>
      </c>
      <c r="N1035" s="228">
        <f t="shared" si="121"/>
        <v>0</v>
      </c>
      <c r="O1035" s="228">
        <f t="shared" si="122"/>
        <v>0</v>
      </c>
      <c r="P1035" s="228">
        <f t="shared" si="122"/>
        <v>0</v>
      </c>
      <c r="Q1035" s="228">
        <f t="shared" si="118"/>
        <v>4.7459999999999996</v>
      </c>
      <c r="R1035" s="343">
        <f t="shared" si="119"/>
        <v>-2.0340000000000007</v>
      </c>
      <c r="S1035" s="240"/>
      <c r="T1035" s="201"/>
      <c r="U1035" s="201"/>
      <c r="V1035" s="201"/>
    </row>
    <row r="1036" spans="1:22" ht="15.75" x14ac:dyDescent="0.25">
      <c r="A1036" s="234" t="s">
        <v>1591</v>
      </c>
      <c r="B1036" s="235" t="s">
        <v>1460</v>
      </c>
      <c r="C1036" s="234" t="s">
        <v>14</v>
      </c>
      <c r="D1036" s="312">
        <v>0.15</v>
      </c>
      <c r="E1036" s="312"/>
      <c r="F1036" s="248">
        <f t="shared" si="120"/>
        <v>0.105</v>
      </c>
      <c r="G1036" s="312"/>
      <c r="H1036" s="312"/>
      <c r="I1036" s="312"/>
      <c r="J1036" s="248">
        <f t="shared" si="115"/>
        <v>0.105</v>
      </c>
      <c r="K1036" s="330">
        <f t="shared" si="116"/>
        <v>-4.4999999999999998E-2</v>
      </c>
      <c r="L1036" s="313"/>
      <c r="M1036" s="228">
        <f t="shared" si="117"/>
        <v>0.105</v>
      </c>
      <c r="N1036" s="228">
        <f t="shared" si="121"/>
        <v>0</v>
      </c>
      <c r="O1036" s="228">
        <f t="shared" si="122"/>
        <v>0</v>
      </c>
      <c r="P1036" s="228">
        <f t="shared" si="122"/>
        <v>0</v>
      </c>
      <c r="Q1036" s="228">
        <f t="shared" si="118"/>
        <v>0.105</v>
      </c>
      <c r="R1036" s="343">
        <f t="shared" si="119"/>
        <v>-4.4999999999999998E-2</v>
      </c>
      <c r="S1036" s="240"/>
      <c r="T1036" s="201"/>
      <c r="U1036" s="201"/>
      <c r="V1036" s="201"/>
    </row>
    <row r="1037" spans="1:22" ht="15.75" x14ac:dyDescent="0.25">
      <c r="A1037" s="234" t="s">
        <v>1592</v>
      </c>
      <c r="B1037" s="235" t="s">
        <v>1593</v>
      </c>
      <c r="C1037" s="234" t="s">
        <v>9</v>
      </c>
      <c r="D1037" s="312">
        <v>16</v>
      </c>
      <c r="E1037" s="312"/>
      <c r="F1037" s="248">
        <f t="shared" ref="F1037:F1082" si="123">INT(D1037*$U$970)</f>
        <v>11</v>
      </c>
      <c r="G1037" s="312"/>
      <c r="H1037" s="312"/>
      <c r="I1037" s="312"/>
      <c r="J1037" s="248">
        <f t="shared" si="115"/>
        <v>11</v>
      </c>
      <c r="K1037" s="330">
        <f t="shared" si="116"/>
        <v>-5</v>
      </c>
      <c r="L1037" s="313"/>
      <c r="M1037" s="228">
        <f t="shared" si="117"/>
        <v>11</v>
      </c>
      <c r="N1037" s="228">
        <f t="shared" si="121"/>
        <v>0</v>
      </c>
      <c r="O1037" s="228">
        <f t="shared" si="122"/>
        <v>0</v>
      </c>
      <c r="P1037" s="228">
        <f t="shared" si="122"/>
        <v>0</v>
      </c>
      <c r="Q1037" s="228">
        <f t="shared" si="118"/>
        <v>11</v>
      </c>
      <c r="R1037" s="343">
        <f t="shared" si="119"/>
        <v>-5</v>
      </c>
      <c r="S1037" s="240"/>
      <c r="T1037" s="201"/>
      <c r="U1037" s="201"/>
      <c r="V1037" s="201"/>
    </row>
    <row r="1038" spans="1:22" ht="15.75" x14ac:dyDescent="0.25">
      <c r="A1038" s="234" t="s">
        <v>1594</v>
      </c>
      <c r="B1038" s="235" t="s">
        <v>1595</v>
      </c>
      <c r="C1038" s="234" t="s">
        <v>9</v>
      </c>
      <c r="D1038" s="312">
        <v>2.2000000000000002</v>
      </c>
      <c r="E1038" s="312"/>
      <c r="F1038" s="248">
        <f t="shared" si="123"/>
        <v>1</v>
      </c>
      <c r="G1038" s="312"/>
      <c r="H1038" s="312"/>
      <c r="I1038" s="312"/>
      <c r="J1038" s="248">
        <f t="shared" si="115"/>
        <v>1</v>
      </c>
      <c r="K1038" s="330">
        <f t="shared" si="116"/>
        <v>-1.2000000000000002</v>
      </c>
      <c r="L1038" s="313"/>
      <c r="M1038" s="228">
        <f t="shared" si="117"/>
        <v>1</v>
      </c>
      <c r="N1038" s="228">
        <f t="shared" si="121"/>
        <v>0</v>
      </c>
      <c r="O1038" s="228">
        <f t="shared" si="122"/>
        <v>0</v>
      </c>
      <c r="P1038" s="228">
        <f t="shared" si="122"/>
        <v>0</v>
      </c>
      <c r="Q1038" s="228">
        <f t="shared" si="118"/>
        <v>1</v>
      </c>
      <c r="R1038" s="343">
        <f t="shared" si="119"/>
        <v>-1.2000000000000002</v>
      </c>
      <c r="S1038" s="240"/>
      <c r="T1038" s="201"/>
      <c r="U1038" s="201"/>
      <c r="V1038" s="201"/>
    </row>
    <row r="1039" spans="1:22" ht="15.75" x14ac:dyDescent="0.25">
      <c r="A1039" s="234" t="s">
        <v>1596</v>
      </c>
      <c r="B1039" s="235" t="s">
        <v>1597</v>
      </c>
      <c r="C1039" s="234" t="s">
        <v>9</v>
      </c>
      <c r="D1039" s="312">
        <v>4</v>
      </c>
      <c r="E1039" s="312"/>
      <c r="F1039" s="248">
        <f t="shared" si="123"/>
        <v>2</v>
      </c>
      <c r="G1039" s="312"/>
      <c r="H1039" s="312"/>
      <c r="I1039" s="312"/>
      <c r="J1039" s="248">
        <f t="shared" si="115"/>
        <v>2</v>
      </c>
      <c r="K1039" s="330">
        <f t="shared" si="116"/>
        <v>-2</v>
      </c>
      <c r="L1039" s="313"/>
      <c r="M1039" s="228">
        <f t="shared" si="117"/>
        <v>2</v>
      </c>
      <c r="N1039" s="228">
        <f t="shared" si="121"/>
        <v>0</v>
      </c>
      <c r="O1039" s="228">
        <f t="shared" si="122"/>
        <v>0</v>
      </c>
      <c r="P1039" s="228">
        <f t="shared" si="122"/>
        <v>0</v>
      </c>
      <c r="Q1039" s="228">
        <f t="shared" si="118"/>
        <v>2</v>
      </c>
      <c r="R1039" s="343">
        <f t="shared" si="119"/>
        <v>-2</v>
      </c>
      <c r="S1039" s="240"/>
      <c r="T1039" s="201"/>
      <c r="U1039" s="201"/>
      <c r="V1039" s="201"/>
    </row>
    <row r="1040" spans="1:22" ht="15.75" x14ac:dyDescent="0.25">
      <c r="A1040" s="234" t="s">
        <v>1598</v>
      </c>
      <c r="B1040" s="235" t="s">
        <v>1599</v>
      </c>
      <c r="C1040" s="234" t="s">
        <v>9</v>
      </c>
      <c r="D1040" s="312">
        <v>84.7</v>
      </c>
      <c r="E1040" s="312"/>
      <c r="F1040" s="248">
        <f t="shared" si="123"/>
        <v>59</v>
      </c>
      <c r="G1040" s="312"/>
      <c r="H1040" s="312"/>
      <c r="I1040" s="312"/>
      <c r="J1040" s="248">
        <f t="shared" si="115"/>
        <v>59</v>
      </c>
      <c r="K1040" s="330">
        <f t="shared" si="116"/>
        <v>-25.700000000000003</v>
      </c>
      <c r="L1040" s="313"/>
      <c r="M1040" s="228">
        <f t="shared" si="117"/>
        <v>59</v>
      </c>
      <c r="N1040" s="228">
        <f t="shared" si="121"/>
        <v>0</v>
      </c>
      <c r="O1040" s="228">
        <f t="shared" si="122"/>
        <v>0</v>
      </c>
      <c r="P1040" s="228">
        <f t="shared" si="122"/>
        <v>0</v>
      </c>
      <c r="Q1040" s="228">
        <f t="shared" si="118"/>
        <v>59</v>
      </c>
      <c r="R1040" s="343">
        <f t="shared" si="119"/>
        <v>-25.700000000000003</v>
      </c>
      <c r="S1040" s="240"/>
      <c r="T1040" s="201"/>
      <c r="U1040" s="201"/>
      <c r="V1040" s="201"/>
    </row>
    <row r="1041" spans="1:22" ht="15.75" x14ac:dyDescent="0.25">
      <c r="A1041" s="234" t="s">
        <v>1600</v>
      </c>
      <c r="B1041" s="235" t="s">
        <v>1601</v>
      </c>
      <c r="C1041" s="234" t="s">
        <v>9</v>
      </c>
      <c r="D1041" s="312">
        <v>4</v>
      </c>
      <c r="E1041" s="312"/>
      <c r="F1041" s="248">
        <f t="shared" si="123"/>
        <v>2</v>
      </c>
      <c r="G1041" s="312"/>
      <c r="H1041" s="312"/>
      <c r="I1041" s="312"/>
      <c r="J1041" s="248">
        <f t="shared" si="115"/>
        <v>2</v>
      </c>
      <c r="K1041" s="330">
        <f t="shared" si="116"/>
        <v>-2</v>
      </c>
      <c r="L1041" s="313"/>
      <c r="M1041" s="228">
        <f t="shared" si="117"/>
        <v>2</v>
      </c>
      <c r="N1041" s="228">
        <f t="shared" si="121"/>
        <v>0</v>
      </c>
      <c r="O1041" s="228">
        <f t="shared" si="122"/>
        <v>0</v>
      </c>
      <c r="P1041" s="228">
        <f t="shared" si="122"/>
        <v>0</v>
      </c>
      <c r="Q1041" s="228">
        <f t="shared" si="118"/>
        <v>2</v>
      </c>
      <c r="R1041" s="343">
        <f t="shared" si="119"/>
        <v>-2</v>
      </c>
      <c r="S1041" s="240"/>
      <c r="T1041" s="201"/>
      <c r="U1041" s="201"/>
      <c r="V1041" s="201"/>
    </row>
    <row r="1042" spans="1:22" ht="15.75" x14ac:dyDescent="0.25">
      <c r="A1042" s="234" t="s">
        <v>1602</v>
      </c>
      <c r="B1042" s="235" t="s">
        <v>1603</v>
      </c>
      <c r="C1042" s="234" t="s">
        <v>9</v>
      </c>
      <c r="D1042" s="312">
        <v>3.2</v>
      </c>
      <c r="E1042" s="312"/>
      <c r="F1042" s="248">
        <f t="shared" si="123"/>
        <v>2</v>
      </c>
      <c r="G1042" s="312"/>
      <c r="H1042" s="312"/>
      <c r="I1042" s="312"/>
      <c r="J1042" s="248">
        <f t="shared" si="115"/>
        <v>2</v>
      </c>
      <c r="K1042" s="330">
        <f t="shared" si="116"/>
        <v>-1.2000000000000002</v>
      </c>
      <c r="L1042" s="313"/>
      <c r="M1042" s="228">
        <f t="shared" si="117"/>
        <v>2</v>
      </c>
      <c r="N1042" s="228">
        <f t="shared" si="121"/>
        <v>0</v>
      </c>
      <c r="O1042" s="228">
        <f t="shared" si="122"/>
        <v>0</v>
      </c>
      <c r="P1042" s="228">
        <f t="shared" si="122"/>
        <v>0</v>
      </c>
      <c r="Q1042" s="228">
        <f t="shared" si="118"/>
        <v>2</v>
      </c>
      <c r="R1042" s="343">
        <f t="shared" si="119"/>
        <v>-1.2000000000000002</v>
      </c>
      <c r="S1042" s="240"/>
      <c r="T1042" s="201"/>
      <c r="U1042" s="201"/>
      <c r="V1042" s="201"/>
    </row>
    <row r="1043" spans="1:22" ht="15.75" x14ac:dyDescent="0.25">
      <c r="A1043" s="234" t="s">
        <v>1604</v>
      </c>
      <c r="B1043" s="235" t="s">
        <v>1605</v>
      </c>
      <c r="C1043" s="234" t="s">
        <v>9</v>
      </c>
      <c r="D1043" s="312">
        <v>14.8</v>
      </c>
      <c r="E1043" s="312"/>
      <c r="F1043" s="248">
        <f t="shared" si="123"/>
        <v>10</v>
      </c>
      <c r="G1043" s="312"/>
      <c r="H1043" s="312"/>
      <c r="I1043" s="312"/>
      <c r="J1043" s="248">
        <f t="shared" si="115"/>
        <v>10</v>
      </c>
      <c r="K1043" s="330">
        <f t="shared" si="116"/>
        <v>-4.8000000000000007</v>
      </c>
      <c r="L1043" s="313"/>
      <c r="M1043" s="228">
        <f t="shared" si="117"/>
        <v>10</v>
      </c>
      <c r="N1043" s="228">
        <f t="shared" si="121"/>
        <v>0</v>
      </c>
      <c r="O1043" s="228">
        <f t="shared" si="122"/>
        <v>0</v>
      </c>
      <c r="P1043" s="228">
        <f t="shared" si="122"/>
        <v>0</v>
      </c>
      <c r="Q1043" s="228">
        <f t="shared" si="118"/>
        <v>10</v>
      </c>
      <c r="R1043" s="343">
        <f t="shared" si="119"/>
        <v>-4.8000000000000007</v>
      </c>
      <c r="S1043" s="240"/>
      <c r="T1043" s="201"/>
      <c r="U1043" s="201"/>
      <c r="V1043" s="201"/>
    </row>
    <row r="1044" spans="1:22" ht="15.75" x14ac:dyDescent="0.25">
      <c r="A1044" s="234" t="s">
        <v>1606</v>
      </c>
      <c r="B1044" s="235" t="s">
        <v>1607</v>
      </c>
      <c r="C1044" s="234" t="s">
        <v>9</v>
      </c>
      <c r="D1044" s="312">
        <v>67.8</v>
      </c>
      <c r="E1044" s="312"/>
      <c r="F1044" s="248">
        <f t="shared" si="123"/>
        <v>47</v>
      </c>
      <c r="G1044" s="312"/>
      <c r="H1044" s="312"/>
      <c r="I1044" s="312"/>
      <c r="J1044" s="248">
        <f t="shared" si="115"/>
        <v>47</v>
      </c>
      <c r="K1044" s="330">
        <f t="shared" si="116"/>
        <v>-20.799999999999997</v>
      </c>
      <c r="L1044" s="313"/>
      <c r="M1044" s="228">
        <f t="shared" si="117"/>
        <v>47</v>
      </c>
      <c r="N1044" s="228">
        <f t="shared" si="121"/>
        <v>0</v>
      </c>
      <c r="O1044" s="228">
        <f t="shared" si="122"/>
        <v>0</v>
      </c>
      <c r="P1044" s="228">
        <f t="shared" si="122"/>
        <v>0</v>
      </c>
      <c r="Q1044" s="228">
        <f t="shared" si="118"/>
        <v>47</v>
      </c>
      <c r="R1044" s="343">
        <f t="shared" si="119"/>
        <v>-20.799999999999997</v>
      </c>
      <c r="S1044" s="240"/>
      <c r="T1044" s="201"/>
      <c r="U1044" s="201"/>
      <c r="V1044" s="201"/>
    </row>
    <row r="1045" spans="1:22" ht="15.75" x14ac:dyDescent="0.25">
      <c r="A1045" s="234" t="s">
        <v>1608</v>
      </c>
      <c r="B1045" s="235" t="s">
        <v>1609</v>
      </c>
      <c r="C1045" s="234" t="s">
        <v>9</v>
      </c>
      <c r="D1045" s="312">
        <v>2</v>
      </c>
      <c r="E1045" s="312"/>
      <c r="F1045" s="248">
        <f t="shared" si="123"/>
        <v>1</v>
      </c>
      <c r="G1045" s="312"/>
      <c r="H1045" s="312"/>
      <c r="I1045" s="312"/>
      <c r="J1045" s="248">
        <f t="shared" si="115"/>
        <v>1</v>
      </c>
      <c r="K1045" s="330">
        <f t="shared" si="116"/>
        <v>-1</v>
      </c>
      <c r="L1045" s="313"/>
      <c r="M1045" s="228">
        <f t="shared" si="117"/>
        <v>1</v>
      </c>
      <c r="N1045" s="228">
        <f t="shared" si="121"/>
        <v>0</v>
      </c>
      <c r="O1045" s="228">
        <f t="shared" si="122"/>
        <v>0</v>
      </c>
      <c r="P1045" s="228">
        <f t="shared" si="122"/>
        <v>0</v>
      </c>
      <c r="Q1045" s="228">
        <f t="shared" si="118"/>
        <v>1</v>
      </c>
      <c r="R1045" s="343">
        <f t="shared" si="119"/>
        <v>-1</v>
      </c>
      <c r="S1045" s="240"/>
      <c r="T1045" s="201"/>
      <c r="U1045" s="201"/>
      <c r="V1045" s="201"/>
    </row>
    <row r="1046" spans="1:22" ht="15.75" x14ac:dyDescent="0.25">
      <c r="A1046" s="234" t="s">
        <v>1610</v>
      </c>
      <c r="B1046" s="235" t="s">
        <v>1611</v>
      </c>
      <c r="C1046" s="234" t="s">
        <v>9</v>
      </c>
      <c r="D1046" s="312">
        <v>6</v>
      </c>
      <c r="E1046" s="312"/>
      <c r="F1046" s="248">
        <f t="shared" si="123"/>
        <v>4</v>
      </c>
      <c r="G1046" s="312"/>
      <c r="H1046" s="312"/>
      <c r="I1046" s="312"/>
      <c r="J1046" s="248">
        <f t="shared" si="115"/>
        <v>4</v>
      </c>
      <c r="K1046" s="330">
        <f t="shared" si="116"/>
        <v>-2</v>
      </c>
      <c r="L1046" s="313"/>
      <c r="M1046" s="228">
        <f t="shared" si="117"/>
        <v>4</v>
      </c>
      <c r="N1046" s="228">
        <f t="shared" si="121"/>
        <v>0</v>
      </c>
      <c r="O1046" s="228">
        <f t="shared" si="122"/>
        <v>0</v>
      </c>
      <c r="P1046" s="228">
        <f t="shared" si="122"/>
        <v>0</v>
      </c>
      <c r="Q1046" s="228">
        <f t="shared" si="118"/>
        <v>4</v>
      </c>
      <c r="R1046" s="343">
        <f t="shared" si="119"/>
        <v>-2</v>
      </c>
      <c r="S1046" s="240"/>
      <c r="T1046" s="201"/>
      <c r="U1046" s="201"/>
      <c r="V1046" s="201"/>
    </row>
    <row r="1047" spans="1:22" ht="15.75" x14ac:dyDescent="0.25">
      <c r="A1047" s="234" t="s">
        <v>1612</v>
      </c>
      <c r="B1047" s="235" t="s">
        <v>1613</v>
      </c>
      <c r="C1047" s="234" t="s">
        <v>9</v>
      </c>
      <c r="D1047" s="312">
        <v>17</v>
      </c>
      <c r="E1047" s="312"/>
      <c r="F1047" s="248">
        <f t="shared" si="123"/>
        <v>11</v>
      </c>
      <c r="G1047" s="312"/>
      <c r="H1047" s="312"/>
      <c r="I1047" s="312"/>
      <c r="J1047" s="248">
        <f t="shared" si="115"/>
        <v>11</v>
      </c>
      <c r="K1047" s="330">
        <f t="shared" si="116"/>
        <v>-6</v>
      </c>
      <c r="L1047" s="313"/>
      <c r="M1047" s="228">
        <f t="shared" si="117"/>
        <v>11</v>
      </c>
      <c r="N1047" s="228">
        <f t="shared" si="121"/>
        <v>0</v>
      </c>
      <c r="O1047" s="228">
        <f t="shared" si="122"/>
        <v>0</v>
      </c>
      <c r="P1047" s="228">
        <f t="shared" si="122"/>
        <v>0</v>
      </c>
      <c r="Q1047" s="228">
        <f t="shared" si="118"/>
        <v>11</v>
      </c>
      <c r="R1047" s="343">
        <f t="shared" si="119"/>
        <v>-6</v>
      </c>
      <c r="S1047" s="240"/>
      <c r="T1047" s="201"/>
      <c r="U1047" s="201"/>
      <c r="V1047" s="201"/>
    </row>
    <row r="1048" spans="1:22" ht="15.75" x14ac:dyDescent="0.25">
      <c r="A1048" s="234" t="s">
        <v>1614</v>
      </c>
      <c r="B1048" s="235" t="s">
        <v>1615</v>
      </c>
      <c r="C1048" s="234" t="s">
        <v>9</v>
      </c>
      <c r="D1048" s="312">
        <v>4</v>
      </c>
      <c r="E1048" s="312"/>
      <c r="F1048" s="248">
        <f t="shared" si="123"/>
        <v>2</v>
      </c>
      <c r="G1048" s="312"/>
      <c r="H1048" s="312"/>
      <c r="I1048" s="312"/>
      <c r="J1048" s="248">
        <f t="shared" si="115"/>
        <v>2</v>
      </c>
      <c r="K1048" s="330">
        <f t="shared" si="116"/>
        <v>-2</v>
      </c>
      <c r="L1048" s="313"/>
      <c r="M1048" s="228">
        <f t="shared" si="117"/>
        <v>2</v>
      </c>
      <c r="N1048" s="228">
        <f t="shared" si="121"/>
        <v>0</v>
      </c>
      <c r="O1048" s="228">
        <f t="shared" si="122"/>
        <v>0</v>
      </c>
      <c r="P1048" s="228">
        <f t="shared" si="122"/>
        <v>0</v>
      </c>
      <c r="Q1048" s="228">
        <f t="shared" si="118"/>
        <v>2</v>
      </c>
      <c r="R1048" s="343">
        <f t="shared" si="119"/>
        <v>-2</v>
      </c>
      <c r="S1048" s="240"/>
      <c r="T1048" s="201"/>
      <c r="U1048" s="201"/>
      <c r="V1048" s="201"/>
    </row>
    <row r="1049" spans="1:22" ht="15.75" x14ac:dyDescent="0.25">
      <c r="A1049" s="234" t="s">
        <v>1616</v>
      </c>
      <c r="B1049" s="235" t="s">
        <v>1617</v>
      </c>
      <c r="C1049" s="234" t="s">
        <v>9</v>
      </c>
      <c r="D1049" s="312">
        <v>80</v>
      </c>
      <c r="E1049" s="312"/>
      <c r="F1049" s="248">
        <f t="shared" si="123"/>
        <v>56</v>
      </c>
      <c r="G1049" s="312"/>
      <c r="H1049" s="312"/>
      <c r="I1049" s="312"/>
      <c r="J1049" s="248">
        <f t="shared" si="115"/>
        <v>56</v>
      </c>
      <c r="K1049" s="330">
        <f t="shared" si="116"/>
        <v>-24</v>
      </c>
      <c r="L1049" s="313"/>
      <c r="M1049" s="228">
        <f t="shared" si="117"/>
        <v>56</v>
      </c>
      <c r="N1049" s="228">
        <f t="shared" si="121"/>
        <v>0</v>
      </c>
      <c r="O1049" s="228">
        <f t="shared" si="122"/>
        <v>0</v>
      </c>
      <c r="P1049" s="228">
        <f t="shared" si="122"/>
        <v>0</v>
      </c>
      <c r="Q1049" s="228">
        <f t="shared" si="118"/>
        <v>56</v>
      </c>
      <c r="R1049" s="343">
        <f t="shared" si="119"/>
        <v>-24</v>
      </c>
      <c r="S1049" s="240"/>
      <c r="T1049" s="201"/>
      <c r="U1049" s="201"/>
      <c r="V1049" s="201"/>
    </row>
    <row r="1050" spans="1:22" ht="15.75" x14ac:dyDescent="0.25">
      <c r="A1050" s="234" t="s">
        <v>1618</v>
      </c>
      <c r="B1050" s="235" t="s">
        <v>1619</v>
      </c>
      <c r="C1050" s="234" t="s">
        <v>9</v>
      </c>
      <c r="D1050" s="312">
        <v>8</v>
      </c>
      <c r="E1050" s="312"/>
      <c r="F1050" s="248">
        <f t="shared" si="123"/>
        <v>5</v>
      </c>
      <c r="G1050" s="312"/>
      <c r="H1050" s="312"/>
      <c r="I1050" s="312"/>
      <c r="J1050" s="248">
        <f t="shared" si="115"/>
        <v>5</v>
      </c>
      <c r="K1050" s="330">
        <f t="shared" si="116"/>
        <v>-3</v>
      </c>
      <c r="L1050" s="313"/>
      <c r="M1050" s="228">
        <f t="shared" si="117"/>
        <v>5</v>
      </c>
      <c r="N1050" s="228">
        <f t="shared" si="121"/>
        <v>0</v>
      </c>
      <c r="O1050" s="228">
        <f t="shared" si="122"/>
        <v>0</v>
      </c>
      <c r="P1050" s="228">
        <f t="shared" si="122"/>
        <v>0</v>
      </c>
      <c r="Q1050" s="228">
        <f t="shared" si="118"/>
        <v>5</v>
      </c>
      <c r="R1050" s="343">
        <f t="shared" si="119"/>
        <v>-3</v>
      </c>
      <c r="S1050" s="240"/>
      <c r="T1050" s="201"/>
      <c r="U1050" s="201"/>
      <c r="V1050" s="201"/>
    </row>
    <row r="1051" spans="1:22" ht="15.75" x14ac:dyDescent="0.25">
      <c r="A1051" s="234" t="s">
        <v>1620</v>
      </c>
      <c r="B1051" s="235" t="s">
        <v>1621</v>
      </c>
      <c r="C1051" s="234" t="s">
        <v>9</v>
      </c>
      <c r="D1051" s="312">
        <v>14</v>
      </c>
      <c r="E1051" s="312"/>
      <c r="F1051" s="248">
        <f t="shared" si="123"/>
        <v>9</v>
      </c>
      <c r="G1051" s="312"/>
      <c r="H1051" s="312"/>
      <c r="I1051" s="312"/>
      <c r="J1051" s="248">
        <f t="shared" si="115"/>
        <v>9</v>
      </c>
      <c r="K1051" s="330">
        <f t="shared" si="116"/>
        <v>-5</v>
      </c>
      <c r="L1051" s="313"/>
      <c r="M1051" s="228">
        <f t="shared" si="117"/>
        <v>9</v>
      </c>
      <c r="N1051" s="228">
        <f t="shared" si="121"/>
        <v>0</v>
      </c>
      <c r="O1051" s="228">
        <f t="shared" si="122"/>
        <v>0</v>
      </c>
      <c r="P1051" s="228">
        <f t="shared" si="122"/>
        <v>0</v>
      </c>
      <c r="Q1051" s="228">
        <f t="shared" si="118"/>
        <v>9</v>
      </c>
      <c r="R1051" s="343">
        <f t="shared" si="119"/>
        <v>-5</v>
      </c>
      <c r="S1051" s="240"/>
      <c r="T1051" s="201"/>
      <c r="U1051" s="201"/>
      <c r="V1051" s="201"/>
    </row>
    <row r="1052" spans="1:22" ht="15.75" x14ac:dyDescent="0.25">
      <c r="A1052" s="234" t="s">
        <v>1622</v>
      </c>
      <c r="B1052" s="235" t="s">
        <v>1623</v>
      </c>
      <c r="C1052" s="234" t="s">
        <v>9</v>
      </c>
      <c r="D1052" s="312">
        <v>28</v>
      </c>
      <c r="E1052" s="312"/>
      <c r="F1052" s="248">
        <f t="shared" si="123"/>
        <v>19</v>
      </c>
      <c r="G1052" s="312"/>
      <c r="H1052" s="312"/>
      <c r="I1052" s="312"/>
      <c r="J1052" s="248">
        <f t="shared" si="115"/>
        <v>19</v>
      </c>
      <c r="K1052" s="330">
        <f t="shared" si="116"/>
        <v>-9</v>
      </c>
      <c r="L1052" s="313"/>
      <c r="M1052" s="228">
        <f t="shared" si="117"/>
        <v>19</v>
      </c>
      <c r="N1052" s="228">
        <f t="shared" si="121"/>
        <v>0</v>
      </c>
      <c r="O1052" s="228">
        <f t="shared" si="122"/>
        <v>0</v>
      </c>
      <c r="P1052" s="228">
        <f t="shared" si="122"/>
        <v>0</v>
      </c>
      <c r="Q1052" s="228">
        <f t="shared" si="118"/>
        <v>19</v>
      </c>
      <c r="R1052" s="343">
        <f t="shared" si="119"/>
        <v>-9</v>
      </c>
      <c r="S1052" s="240"/>
      <c r="T1052" s="201"/>
      <c r="U1052" s="201"/>
      <c r="V1052" s="201"/>
    </row>
    <row r="1053" spans="1:22" ht="15.75" x14ac:dyDescent="0.25">
      <c r="A1053" s="234" t="s">
        <v>1624</v>
      </c>
      <c r="B1053" s="235" t="s">
        <v>1625</v>
      </c>
      <c r="C1053" s="234" t="s">
        <v>9</v>
      </c>
      <c r="D1053" s="312">
        <v>126</v>
      </c>
      <c r="E1053" s="312"/>
      <c r="F1053" s="248">
        <f t="shared" si="123"/>
        <v>88</v>
      </c>
      <c r="G1053" s="312"/>
      <c r="H1053" s="312"/>
      <c r="I1053" s="312"/>
      <c r="J1053" s="248">
        <f t="shared" si="115"/>
        <v>88</v>
      </c>
      <c r="K1053" s="330">
        <f t="shared" si="116"/>
        <v>-38</v>
      </c>
      <c r="L1053" s="313"/>
      <c r="M1053" s="228">
        <f t="shared" si="117"/>
        <v>88</v>
      </c>
      <c r="N1053" s="228">
        <f t="shared" si="121"/>
        <v>0</v>
      </c>
      <c r="O1053" s="228">
        <f t="shared" si="122"/>
        <v>0</v>
      </c>
      <c r="P1053" s="228">
        <f t="shared" si="122"/>
        <v>0</v>
      </c>
      <c r="Q1053" s="228">
        <f t="shared" si="118"/>
        <v>88</v>
      </c>
      <c r="R1053" s="343">
        <f t="shared" si="119"/>
        <v>-38</v>
      </c>
      <c r="S1053" s="240"/>
      <c r="T1053" s="201"/>
      <c r="U1053" s="201"/>
      <c r="V1053" s="201"/>
    </row>
    <row r="1054" spans="1:22" ht="15.75" x14ac:dyDescent="0.25">
      <c r="A1054" s="234" t="s">
        <v>1626</v>
      </c>
      <c r="B1054" s="235" t="s">
        <v>1627</v>
      </c>
      <c r="C1054" s="234" t="s">
        <v>9</v>
      </c>
      <c r="D1054" s="312">
        <v>6</v>
      </c>
      <c r="E1054" s="312"/>
      <c r="F1054" s="248">
        <f t="shared" si="123"/>
        <v>4</v>
      </c>
      <c r="G1054" s="312"/>
      <c r="H1054" s="312"/>
      <c r="I1054" s="312"/>
      <c r="J1054" s="248">
        <f t="shared" si="115"/>
        <v>4</v>
      </c>
      <c r="K1054" s="330">
        <f t="shared" si="116"/>
        <v>-2</v>
      </c>
      <c r="L1054" s="313"/>
      <c r="M1054" s="228">
        <f t="shared" si="117"/>
        <v>4</v>
      </c>
      <c r="N1054" s="228">
        <f t="shared" si="121"/>
        <v>0</v>
      </c>
      <c r="O1054" s="228">
        <f t="shared" si="122"/>
        <v>0</v>
      </c>
      <c r="P1054" s="228">
        <f t="shared" si="122"/>
        <v>0</v>
      </c>
      <c r="Q1054" s="228">
        <f t="shared" si="118"/>
        <v>4</v>
      </c>
      <c r="R1054" s="343">
        <f t="shared" si="119"/>
        <v>-2</v>
      </c>
      <c r="S1054" s="240"/>
      <c r="T1054" s="201"/>
      <c r="U1054" s="201"/>
      <c r="V1054" s="201"/>
    </row>
    <row r="1055" spans="1:22" ht="15.75" x14ac:dyDescent="0.25">
      <c r="A1055" s="234" t="s">
        <v>1628</v>
      </c>
      <c r="B1055" s="235" t="s">
        <v>1629</v>
      </c>
      <c r="C1055" s="234" t="s">
        <v>9</v>
      </c>
      <c r="D1055" s="312">
        <v>5</v>
      </c>
      <c r="E1055" s="312"/>
      <c r="F1055" s="248">
        <f t="shared" si="123"/>
        <v>3</v>
      </c>
      <c r="G1055" s="312"/>
      <c r="H1055" s="312"/>
      <c r="I1055" s="312"/>
      <c r="J1055" s="248">
        <f t="shared" si="115"/>
        <v>3</v>
      </c>
      <c r="K1055" s="330">
        <f t="shared" si="116"/>
        <v>-2</v>
      </c>
      <c r="L1055" s="313"/>
      <c r="M1055" s="228">
        <f t="shared" si="117"/>
        <v>3</v>
      </c>
      <c r="N1055" s="228">
        <f t="shared" si="121"/>
        <v>0</v>
      </c>
      <c r="O1055" s="228">
        <f t="shared" si="122"/>
        <v>0</v>
      </c>
      <c r="P1055" s="228">
        <f t="shared" si="122"/>
        <v>0</v>
      </c>
      <c r="Q1055" s="228">
        <f t="shared" si="118"/>
        <v>3</v>
      </c>
      <c r="R1055" s="343">
        <f t="shared" si="119"/>
        <v>-2</v>
      </c>
      <c r="S1055" s="240"/>
      <c r="T1055" s="201"/>
      <c r="U1055" s="201"/>
      <c r="V1055" s="201"/>
    </row>
    <row r="1056" spans="1:22" ht="15.75" x14ac:dyDescent="0.25">
      <c r="A1056" s="234" t="s">
        <v>1630</v>
      </c>
      <c r="B1056" s="235" t="s">
        <v>1631</v>
      </c>
      <c r="C1056" s="234" t="s">
        <v>9</v>
      </c>
      <c r="D1056" s="312">
        <v>4</v>
      </c>
      <c r="E1056" s="312"/>
      <c r="F1056" s="248">
        <f t="shared" si="123"/>
        <v>2</v>
      </c>
      <c r="G1056" s="312"/>
      <c r="H1056" s="312"/>
      <c r="I1056" s="312"/>
      <c r="J1056" s="248">
        <f t="shared" si="115"/>
        <v>2</v>
      </c>
      <c r="K1056" s="330">
        <f t="shared" si="116"/>
        <v>-2</v>
      </c>
      <c r="L1056" s="313"/>
      <c r="M1056" s="228">
        <f t="shared" si="117"/>
        <v>2</v>
      </c>
      <c r="N1056" s="228">
        <f t="shared" si="121"/>
        <v>0</v>
      </c>
      <c r="O1056" s="228">
        <f t="shared" si="122"/>
        <v>0</v>
      </c>
      <c r="P1056" s="228">
        <f t="shared" si="122"/>
        <v>0</v>
      </c>
      <c r="Q1056" s="228">
        <f t="shared" si="118"/>
        <v>2</v>
      </c>
      <c r="R1056" s="343">
        <f t="shared" si="119"/>
        <v>-2</v>
      </c>
      <c r="S1056" s="240"/>
      <c r="T1056" s="201"/>
      <c r="U1056" s="201"/>
      <c r="V1056" s="201"/>
    </row>
    <row r="1057" spans="1:22" ht="15.75" x14ac:dyDescent="0.25">
      <c r="A1057" s="234" t="s">
        <v>1632</v>
      </c>
      <c r="B1057" s="235" t="s">
        <v>1633</v>
      </c>
      <c r="C1057" s="234" t="s">
        <v>9</v>
      </c>
      <c r="D1057" s="312">
        <v>6</v>
      </c>
      <c r="E1057" s="312"/>
      <c r="F1057" s="248">
        <f t="shared" si="123"/>
        <v>4</v>
      </c>
      <c r="G1057" s="312"/>
      <c r="H1057" s="312"/>
      <c r="I1057" s="312"/>
      <c r="J1057" s="248">
        <f t="shared" si="115"/>
        <v>4</v>
      </c>
      <c r="K1057" s="330">
        <f t="shared" si="116"/>
        <v>-2</v>
      </c>
      <c r="L1057" s="313"/>
      <c r="M1057" s="228">
        <f t="shared" si="117"/>
        <v>4</v>
      </c>
      <c r="N1057" s="228">
        <f t="shared" si="121"/>
        <v>0</v>
      </c>
      <c r="O1057" s="228">
        <f t="shared" si="122"/>
        <v>0</v>
      </c>
      <c r="P1057" s="228">
        <f t="shared" si="122"/>
        <v>0</v>
      </c>
      <c r="Q1057" s="228">
        <f t="shared" si="118"/>
        <v>4</v>
      </c>
      <c r="R1057" s="343">
        <f t="shared" si="119"/>
        <v>-2</v>
      </c>
      <c r="S1057" s="240"/>
      <c r="T1057" s="201"/>
      <c r="U1057" s="201"/>
      <c r="V1057" s="201"/>
    </row>
    <row r="1058" spans="1:22" ht="15.75" x14ac:dyDescent="0.25">
      <c r="A1058" s="234" t="s">
        <v>1634</v>
      </c>
      <c r="B1058" s="235" t="s">
        <v>1635</v>
      </c>
      <c r="C1058" s="234" t="s">
        <v>9</v>
      </c>
      <c r="D1058" s="312">
        <v>12</v>
      </c>
      <c r="E1058" s="312"/>
      <c r="F1058" s="248">
        <f t="shared" si="123"/>
        <v>8</v>
      </c>
      <c r="G1058" s="312"/>
      <c r="H1058" s="312"/>
      <c r="I1058" s="312"/>
      <c r="J1058" s="248">
        <f t="shared" si="115"/>
        <v>8</v>
      </c>
      <c r="K1058" s="330">
        <f t="shared" si="116"/>
        <v>-4</v>
      </c>
      <c r="L1058" s="313"/>
      <c r="M1058" s="228">
        <f t="shared" si="117"/>
        <v>8</v>
      </c>
      <c r="N1058" s="228">
        <f t="shared" si="121"/>
        <v>0</v>
      </c>
      <c r="O1058" s="228">
        <f t="shared" si="122"/>
        <v>0</v>
      </c>
      <c r="P1058" s="228">
        <f t="shared" si="122"/>
        <v>0</v>
      </c>
      <c r="Q1058" s="228">
        <f t="shared" si="118"/>
        <v>8</v>
      </c>
      <c r="R1058" s="343">
        <f t="shared" si="119"/>
        <v>-4</v>
      </c>
      <c r="S1058" s="240"/>
      <c r="T1058" s="201"/>
      <c r="U1058" s="201"/>
      <c r="V1058" s="201"/>
    </row>
    <row r="1059" spans="1:22" ht="15.75" x14ac:dyDescent="0.25">
      <c r="A1059" s="234" t="s">
        <v>1636</v>
      </c>
      <c r="B1059" s="235" t="s">
        <v>1637</v>
      </c>
      <c r="C1059" s="234" t="s">
        <v>9</v>
      </c>
      <c r="D1059" s="312">
        <v>1</v>
      </c>
      <c r="E1059" s="312"/>
      <c r="F1059" s="248">
        <f t="shared" si="123"/>
        <v>0</v>
      </c>
      <c r="G1059" s="312"/>
      <c r="H1059" s="312"/>
      <c r="I1059" s="312"/>
      <c r="J1059" s="248">
        <f t="shared" si="115"/>
        <v>0</v>
      </c>
      <c r="K1059" s="330">
        <f t="shared" si="116"/>
        <v>-1</v>
      </c>
      <c r="L1059" s="313"/>
      <c r="M1059" s="228">
        <f t="shared" si="117"/>
        <v>0</v>
      </c>
      <c r="N1059" s="228">
        <f t="shared" si="121"/>
        <v>0</v>
      </c>
      <c r="O1059" s="228">
        <f t="shared" si="122"/>
        <v>0</v>
      </c>
      <c r="P1059" s="228">
        <f t="shared" si="122"/>
        <v>0</v>
      </c>
      <c r="Q1059" s="228">
        <f t="shared" si="118"/>
        <v>0</v>
      </c>
      <c r="R1059" s="343">
        <f t="shared" si="119"/>
        <v>-1</v>
      </c>
      <c r="S1059" s="240"/>
      <c r="T1059" s="201"/>
      <c r="U1059" s="201"/>
      <c r="V1059" s="201"/>
    </row>
    <row r="1060" spans="1:22" ht="15.75" x14ac:dyDescent="0.25">
      <c r="A1060" s="234" t="s">
        <v>1638</v>
      </c>
      <c r="B1060" s="235" t="s">
        <v>1639</v>
      </c>
      <c r="C1060" s="234" t="s">
        <v>9</v>
      </c>
      <c r="D1060" s="312">
        <v>145</v>
      </c>
      <c r="E1060" s="312"/>
      <c r="F1060" s="248">
        <f t="shared" si="123"/>
        <v>101</v>
      </c>
      <c r="G1060" s="312"/>
      <c r="H1060" s="312"/>
      <c r="I1060" s="312"/>
      <c r="J1060" s="248">
        <f t="shared" si="115"/>
        <v>101</v>
      </c>
      <c r="K1060" s="330">
        <f t="shared" si="116"/>
        <v>-44</v>
      </c>
      <c r="L1060" s="313"/>
      <c r="M1060" s="228">
        <f t="shared" si="117"/>
        <v>101</v>
      </c>
      <c r="N1060" s="228">
        <f t="shared" si="121"/>
        <v>0</v>
      </c>
      <c r="O1060" s="228">
        <f t="shared" si="122"/>
        <v>0</v>
      </c>
      <c r="P1060" s="228">
        <f t="shared" si="122"/>
        <v>0</v>
      </c>
      <c r="Q1060" s="228">
        <f t="shared" si="118"/>
        <v>101</v>
      </c>
      <c r="R1060" s="343">
        <f t="shared" si="119"/>
        <v>-44</v>
      </c>
      <c r="S1060" s="240"/>
      <c r="T1060" s="201"/>
      <c r="U1060" s="201"/>
      <c r="V1060" s="201"/>
    </row>
    <row r="1061" spans="1:22" ht="15.75" x14ac:dyDescent="0.25">
      <c r="A1061" s="234" t="s">
        <v>1640</v>
      </c>
      <c r="B1061" s="235" t="s">
        <v>1641</v>
      </c>
      <c r="C1061" s="234" t="s">
        <v>9</v>
      </c>
      <c r="D1061" s="312">
        <v>147</v>
      </c>
      <c r="E1061" s="312"/>
      <c r="F1061" s="248">
        <f t="shared" si="123"/>
        <v>102</v>
      </c>
      <c r="G1061" s="312"/>
      <c r="H1061" s="312"/>
      <c r="I1061" s="312"/>
      <c r="J1061" s="248">
        <f t="shared" si="115"/>
        <v>102</v>
      </c>
      <c r="K1061" s="330">
        <f t="shared" si="116"/>
        <v>-45</v>
      </c>
      <c r="L1061" s="313"/>
      <c r="M1061" s="228">
        <f t="shared" si="117"/>
        <v>102</v>
      </c>
      <c r="N1061" s="228">
        <f t="shared" si="121"/>
        <v>0</v>
      </c>
      <c r="O1061" s="228">
        <f t="shared" si="122"/>
        <v>0</v>
      </c>
      <c r="P1061" s="228">
        <f t="shared" si="122"/>
        <v>0</v>
      </c>
      <c r="Q1061" s="228">
        <f t="shared" si="118"/>
        <v>102</v>
      </c>
      <c r="R1061" s="343">
        <f t="shared" si="119"/>
        <v>-45</v>
      </c>
      <c r="S1061" s="240"/>
      <c r="T1061" s="201"/>
      <c r="U1061" s="201"/>
      <c r="V1061" s="201"/>
    </row>
    <row r="1062" spans="1:22" ht="15.75" x14ac:dyDescent="0.25">
      <c r="A1062" s="234" t="s">
        <v>1642</v>
      </c>
      <c r="B1062" s="235" t="s">
        <v>1643</v>
      </c>
      <c r="C1062" s="234" t="s">
        <v>9</v>
      </c>
      <c r="D1062" s="312">
        <v>4</v>
      </c>
      <c r="E1062" s="312"/>
      <c r="F1062" s="248">
        <f t="shared" si="123"/>
        <v>2</v>
      </c>
      <c r="G1062" s="312"/>
      <c r="H1062" s="312"/>
      <c r="I1062" s="312"/>
      <c r="J1062" s="248">
        <f t="shared" si="115"/>
        <v>2</v>
      </c>
      <c r="K1062" s="330">
        <f t="shared" si="116"/>
        <v>-2</v>
      </c>
      <c r="L1062" s="313"/>
      <c r="M1062" s="228">
        <f t="shared" si="117"/>
        <v>2</v>
      </c>
      <c r="N1062" s="228">
        <f t="shared" si="121"/>
        <v>0</v>
      </c>
      <c r="O1062" s="228">
        <f t="shared" si="122"/>
        <v>0</v>
      </c>
      <c r="P1062" s="228">
        <f t="shared" si="122"/>
        <v>0</v>
      </c>
      <c r="Q1062" s="228">
        <f t="shared" si="118"/>
        <v>2</v>
      </c>
      <c r="R1062" s="343">
        <f t="shared" si="119"/>
        <v>-2</v>
      </c>
      <c r="S1062" s="240"/>
      <c r="T1062" s="201"/>
      <c r="U1062" s="201"/>
      <c r="V1062" s="201"/>
    </row>
    <row r="1063" spans="1:22" ht="15.75" x14ac:dyDescent="0.25">
      <c r="A1063" s="234" t="s">
        <v>1644</v>
      </c>
      <c r="B1063" s="235" t="s">
        <v>1645</v>
      </c>
      <c r="C1063" s="234" t="s">
        <v>9</v>
      </c>
      <c r="D1063" s="312">
        <v>3</v>
      </c>
      <c r="E1063" s="312"/>
      <c r="F1063" s="248">
        <f t="shared" si="123"/>
        <v>2</v>
      </c>
      <c r="G1063" s="312"/>
      <c r="H1063" s="312"/>
      <c r="I1063" s="312"/>
      <c r="J1063" s="248">
        <f t="shared" si="115"/>
        <v>2</v>
      </c>
      <c r="K1063" s="330">
        <f t="shared" si="116"/>
        <v>-1</v>
      </c>
      <c r="L1063" s="313"/>
      <c r="M1063" s="228">
        <f t="shared" si="117"/>
        <v>2</v>
      </c>
      <c r="N1063" s="228">
        <f t="shared" si="121"/>
        <v>0</v>
      </c>
      <c r="O1063" s="228">
        <f t="shared" si="122"/>
        <v>0</v>
      </c>
      <c r="P1063" s="228">
        <f t="shared" si="122"/>
        <v>0</v>
      </c>
      <c r="Q1063" s="228">
        <f t="shared" si="118"/>
        <v>2</v>
      </c>
      <c r="R1063" s="343">
        <f t="shared" si="119"/>
        <v>-1</v>
      </c>
      <c r="S1063" s="240"/>
      <c r="T1063" s="201"/>
      <c r="U1063" s="201"/>
      <c r="V1063" s="201"/>
    </row>
    <row r="1064" spans="1:22" ht="15.75" x14ac:dyDescent="0.25">
      <c r="A1064" s="234" t="s">
        <v>1646</v>
      </c>
      <c r="B1064" s="235" t="s">
        <v>1647</v>
      </c>
      <c r="C1064" s="234" t="s">
        <v>9</v>
      </c>
      <c r="D1064" s="312">
        <v>2</v>
      </c>
      <c r="E1064" s="312"/>
      <c r="F1064" s="248">
        <f t="shared" si="123"/>
        <v>1</v>
      </c>
      <c r="G1064" s="312"/>
      <c r="H1064" s="312"/>
      <c r="I1064" s="312"/>
      <c r="J1064" s="248">
        <f t="shared" si="115"/>
        <v>1</v>
      </c>
      <c r="K1064" s="330">
        <f t="shared" si="116"/>
        <v>-1</v>
      </c>
      <c r="L1064" s="313"/>
      <c r="M1064" s="228">
        <f t="shared" si="117"/>
        <v>1</v>
      </c>
      <c r="N1064" s="228">
        <f t="shared" si="121"/>
        <v>0</v>
      </c>
      <c r="O1064" s="228">
        <f t="shared" si="122"/>
        <v>0</v>
      </c>
      <c r="P1064" s="228">
        <f t="shared" si="122"/>
        <v>0</v>
      </c>
      <c r="Q1064" s="228">
        <f t="shared" si="118"/>
        <v>1</v>
      </c>
      <c r="R1064" s="343">
        <f t="shared" si="119"/>
        <v>-1</v>
      </c>
      <c r="S1064" s="240"/>
      <c r="T1064" s="201"/>
      <c r="U1064" s="201"/>
      <c r="V1064" s="201"/>
    </row>
    <row r="1065" spans="1:22" ht="15.75" x14ac:dyDescent="0.25">
      <c r="A1065" s="234" t="s">
        <v>1648</v>
      </c>
      <c r="B1065" s="235" t="s">
        <v>1649</v>
      </c>
      <c r="C1065" s="234" t="s">
        <v>9</v>
      </c>
      <c r="D1065" s="312">
        <v>6</v>
      </c>
      <c r="E1065" s="312"/>
      <c r="F1065" s="248">
        <f t="shared" si="123"/>
        <v>4</v>
      </c>
      <c r="G1065" s="312"/>
      <c r="H1065" s="312"/>
      <c r="I1065" s="312"/>
      <c r="J1065" s="248">
        <f t="shared" si="115"/>
        <v>4</v>
      </c>
      <c r="K1065" s="330">
        <f t="shared" si="116"/>
        <v>-2</v>
      </c>
      <c r="L1065" s="313"/>
      <c r="M1065" s="228">
        <f t="shared" si="117"/>
        <v>4</v>
      </c>
      <c r="N1065" s="228">
        <f t="shared" si="121"/>
        <v>0</v>
      </c>
      <c r="O1065" s="228">
        <f t="shared" si="122"/>
        <v>0</v>
      </c>
      <c r="P1065" s="228">
        <f t="shared" si="122"/>
        <v>0</v>
      </c>
      <c r="Q1065" s="228">
        <f t="shared" si="118"/>
        <v>4</v>
      </c>
      <c r="R1065" s="343">
        <f t="shared" si="119"/>
        <v>-2</v>
      </c>
      <c r="S1065" s="240"/>
      <c r="T1065" s="201"/>
      <c r="U1065" s="201"/>
      <c r="V1065" s="201"/>
    </row>
    <row r="1066" spans="1:22" ht="15.75" x14ac:dyDescent="0.25">
      <c r="A1066" s="234" t="s">
        <v>1650</v>
      </c>
      <c r="B1066" s="235" t="s">
        <v>1651</v>
      </c>
      <c r="C1066" s="234" t="s">
        <v>9</v>
      </c>
      <c r="D1066" s="312">
        <v>5</v>
      </c>
      <c r="E1066" s="312"/>
      <c r="F1066" s="248">
        <f t="shared" si="123"/>
        <v>3</v>
      </c>
      <c r="G1066" s="312"/>
      <c r="H1066" s="312"/>
      <c r="I1066" s="312"/>
      <c r="J1066" s="248">
        <f t="shared" si="115"/>
        <v>3</v>
      </c>
      <c r="K1066" s="330">
        <f t="shared" si="116"/>
        <v>-2</v>
      </c>
      <c r="L1066" s="313"/>
      <c r="M1066" s="228">
        <f t="shared" si="117"/>
        <v>3</v>
      </c>
      <c r="N1066" s="228">
        <f t="shared" si="121"/>
        <v>0</v>
      </c>
      <c r="O1066" s="228">
        <f t="shared" si="122"/>
        <v>0</v>
      </c>
      <c r="P1066" s="228">
        <f t="shared" si="122"/>
        <v>0</v>
      </c>
      <c r="Q1066" s="228">
        <f t="shared" si="118"/>
        <v>3</v>
      </c>
      <c r="R1066" s="343">
        <f t="shared" si="119"/>
        <v>-2</v>
      </c>
      <c r="S1066" s="240"/>
      <c r="T1066" s="201"/>
      <c r="U1066" s="201"/>
      <c r="V1066" s="201"/>
    </row>
    <row r="1067" spans="1:22" ht="15.75" x14ac:dyDescent="0.25">
      <c r="A1067" s="234" t="s">
        <v>1652</v>
      </c>
      <c r="B1067" s="235" t="s">
        <v>1653</v>
      </c>
      <c r="C1067" s="234" t="s">
        <v>9</v>
      </c>
      <c r="D1067" s="312">
        <v>21</v>
      </c>
      <c r="E1067" s="312"/>
      <c r="F1067" s="248">
        <f t="shared" si="123"/>
        <v>14</v>
      </c>
      <c r="G1067" s="312"/>
      <c r="H1067" s="312"/>
      <c r="I1067" s="312"/>
      <c r="J1067" s="248">
        <f t="shared" si="115"/>
        <v>14</v>
      </c>
      <c r="K1067" s="330">
        <f t="shared" si="116"/>
        <v>-7</v>
      </c>
      <c r="L1067" s="313"/>
      <c r="M1067" s="228">
        <f t="shared" si="117"/>
        <v>14</v>
      </c>
      <c r="N1067" s="228">
        <f t="shared" si="121"/>
        <v>0</v>
      </c>
      <c r="O1067" s="228">
        <f t="shared" si="122"/>
        <v>0</v>
      </c>
      <c r="P1067" s="228">
        <f t="shared" si="122"/>
        <v>0</v>
      </c>
      <c r="Q1067" s="228">
        <f t="shared" si="118"/>
        <v>14</v>
      </c>
      <c r="R1067" s="343">
        <f t="shared" si="119"/>
        <v>-7</v>
      </c>
      <c r="S1067" s="240"/>
      <c r="T1067" s="201"/>
      <c r="U1067" s="201"/>
      <c r="V1067" s="201"/>
    </row>
    <row r="1068" spans="1:22" ht="15.75" x14ac:dyDescent="0.25">
      <c r="A1068" s="234" t="s">
        <v>1654</v>
      </c>
      <c r="B1068" s="235" t="s">
        <v>1655</v>
      </c>
      <c r="C1068" s="234" t="s">
        <v>9</v>
      </c>
      <c r="D1068" s="312">
        <v>26</v>
      </c>
      <c r="E1068" s="312"/>
      <c r="F1068" s="248">
        <f t="shared" si="123"/>
        <v>18</v>
      </c>
      <c r="G1068" s="312"/>
      <c r="H1068" s="312"/>
      <c r="I1068" s="312"/>
      <c r="J1068" s="248">
        <f t="shared" si="115"/>
        <v>18</v>
      </c>
      <c r="K1068" s="330">
        <f t="shared" si="116"/>
        <v>-8</v>
      </c>
      <c r="L1068" s="313"/>
      <c r="M1068" s="228">
        <f t="shared" si="117"/>
        <v>18</v>
      </c>
      <c r="N1068" s="228">
        <f t="shared" si="121"/>
        <v>0</v>
      </c>
      <c r="O1068" s="228">
        <f t="shared" si="122"/>
        <v>0</v>
      </c>
      <c r="P1068" s="228">
        <f t="shared" si="122"/>
        <v>0</v>
      </c>
      <c r="Q1068" s="228">
        <f t="shared" si="118"/>
        <v>18</v>
      </c>
      <c r="R1068" s="343">
        <f t="shared" si="119"/>
        <v>-8</v>
      </c>
      <c r="S1068" s="240"/>
      <c r="T1068" s="201"/>
      <c r="U1068" s="201"/>
      <c r="V1068" s="201"/>
    </row>
    <row r="1069" spans="1:22" ht="15.75" x14ac:dyDescent="0.25">
      <c r="A1069" s="234" t="s">
        <v>1656</v>
      </c>
      <c r="B1069" s="235" t="s">
        <v>1657</v>
      </c>
      <c r="C1069" s="234" t="s">
        <v>9</v>
      </c>
      <c r="D1069" s="312">
        <v>6</v>
      </c>
      <c r="E1069" s="312"/>
      <c r="F1069" s="248">
        <f t="shared" si="123"/>
        <v>4</v>
      </c>
      <c r="G1069" s="312"/>
      <c r="H1069" s="312"/>
      <c r="I1069" s="312"/>
      <c r="J1069" s="248">
        <f t="shared" si="115"/>
        <v>4</v>
      </c>
      <c r="K1069" s="330">
        <f t="shared" si="116"/>
        <v>-2</v>
      </c>
      <c r="L1069" s="313"/>
      <c r="M1069" s="228">
        <f t="shared" si="117"/>
        <v>4</v>
      </c>
      <c r="N1069" s="228">
        <f t="shared" si="121"/>
        <v>0</v>
      </c>
      <c r="O1069" s="228">
        <f t="shared" si="122"/>
        <v>0</v>
      </c>
      <c r="P1069" s="228">
        <f t="shared" si="122"/>
        <v>0</v>
      </c>
      <c r="Q1069" s="228">
        <f t="shared" si="118"/>
        <v>4</v>
      </c>
      <c r="R1069" s="343">
        <f t="shared" si="119"/>
        <v>-2</v>
      </c>
      <c r="S1069" s="240"/>
      <c r="T1069" s="201"/>
      <c r="U1069" s="201"/>
      <c r="V1069" s="201"/>
    </row>
    <row r="1070" spans="1:22" ht="15.75" x14ac:dyDescent="0.25">
      <c r="A1070" s="234" t="s">
        <v>1658</v>
      </c>
      <c r="B1070" s="235" t="s">
        <v>1659</v>
      </c>
      <c r="C1070" s="234" t="s">
        <v>9</v>
      </c>
      <c r="D1070" s="312">
        <v>4</v>
      </c>
      <c r="E1070" s="312"/>
      <c r="F1070" s="248">
        <f t="shared" si="123"/>
        <v>2</v>
      </c>
      <c r="G1070" s="312"/>
      <c r="H1070" s="312"/>
      <c r="I1070" s="312"/>
      <c r="J1070" s="248">
        <f t="shared" si="115"/>
        <v>2</v>
      </c>
      <c r="K1070" s="330">
        <f t="shared" si="116"/>
        <v>-2</v>
      </c>
      <c r="L1070" s="313"/>
      <c r="M1070" s="228">
        <f t="shared" si="117"/>
        <v>2</v>
      </c>
      <c r="N1070" s="228">
        <f t="shared" si="121"/>
        <v>0</v>
      </c>
      <c r="O1070" s="228">
        <f t="shared" si="122"/>
        <v>0</v>
      </c>
      <c r="P1070" s="228">
        <f t="shared" si="122"/>
        <v>0</v>
      </c>
      <c r="Q1070" s="228">
        <f t="shared" si="118"/>
        <v>2</v>
      </c>
      <c r="R1070" s="343">
        <f t="shared" si="119"/>
        <v>-2</v>
      </c>
      <c r="S1070" s="240"/>
      <c r="T1070" s="201"/>
      <c r="U1070" s="201"/>
      <c r="V1070" s="201"/>
    </row>
    <row r="1071" spans="1:22" ht="15.75" x14ac:dyDescent="0.25">
      <c r="A1071" s="234" t="s">
        <v>1660</v>
      </c>
      <c r="B1071" s="235" t="s">
        <v>1661</v>
      </c>
      <c r="C1071" s="234" t="s">
        <v>9</v>
      </c>
      <c r="D1071" s="312">
        <v>3</v>
      </c>
      <c r="E1071" s="312"/>
      <c r="F1071" s="248">
        <f t="shared" si="123"/>
        <v>2</v>
      </c>
      <c r="G1071" s="312"/>
      <c r="H1071" s="312"/>
      <c r="I1071" s="312"/>
      <c r="J1071" s="248">
        <f t="shared" si="115"/>
        <v>2</v>
      </c>
      <c r="K1071" s="330">
        <f t="shared" si="116"/>
        <v>-1</v>
      </c>
      <c r="L1071" s="313"/>
      <c r="M1071" s="228">
        <f t="shared" si="117"/>
        <v>2</v>
      </c>
      <c r="N1071" s="228">
        <f t="shared" si="121"/>
        <v>0</v>
      </c>
      <c r="O1071" s="228">
        <f t="shared" si="122"/>
        <v>0</v>
      </c>
      <c r="P1071" s="228">
        <f t="shared" si="122"/>
        <v>0</v>
      </c>
      <c r="Q1071" s="228">
        <f t="shared" si="118"/>
        <v>2</v>
      </c>
      <c r="R1071" s="343">
        <f t="shared" si="119"/>
        <v>-1</v>
      </c>
      <c r="S1071" s="240"/>
      <c r="T1071" s="201"/>
      <c r="U1071" s="201"/>
      <c r="V1071" s="201"/>
    </row>
    <row r="1072" spans="1:22" ht="15.75" x14ac:dyDescent="0.25">
      <c r="A1072" s="234" t="s">
        <v>1662</v>
      </c>
      <c r="B1072" s="235" t="s">
        <v>1663</v>
      </c>
      <c r="C1072" s="234" t="s">
        <v>9</v>
      </c>
      <c r="D1072" s="312">
        <v>3</v>
      </c>
      <c r="E1072" s="312"/>
      <c r="F1072" s="248">
        <f t="shared" si="123"/>
        <v>2</v>
      </c>
      <c r="G1072" s="312"/>
      <c r="H1072" s="312"/>
      <c r="I1072" s="312"/>
      <c r="J1072" s="248">
        <f t="shared" si="115"/>
        <v>2</v>
      </c>
      <c r="K1072" s="330">
        <f t="shared" si="116"/>
        <v>-1</v>
      </c>
      <c r="L1072" s="313"/>
      <c r="M1072" s="228">
        <f t="shared" si="117"/>
        <v>2</v>
      </c>
      <c r="N1072" s="228">
        <f t="shared" si="121"/>
        <v>0</v>
      </c>
      <c r="O1072" s="228">
        <f t="shared" si="122"/>
        <v>0</v>
      </c>
      <c r="P1072" s="228">
        <f t="shared" si="122"/>
        <v>0</v>
      </c>
      <c r="Q1072" s="228">
        <f t="shared" si="118"/>
        <v>2</v>
      </c>
      <c r="R1072" s="343">
        <f t="shared" si="119"/>
        <v>-1</v>
      </c>
      <c r="S1072" s="240"/>
      <c r="T1072" s="201"/>
      <c r="U1072" s="201"/>
      <c r="V1072" s="201"/>
    </row>
    <row r="1073" spans="1:22" ht="15.75" x14ac:dyDescent="0.25">
      <c r="A1073" s="234" t="s">
        <v>1664</v>
      </c>
      <c r="B1073" s="235" t="s">
        <v>1665</v>
      </c>
      <c r="C1073" s="234" t="s">
        <v>9</v>
      </c>
      <c r="D1073" s="312">
        <v>80</v>
      </c>
      <c r="E1073" s="312"/>
      <c r="F1073" s="248">
        <f t="shared" si="123"/>
        <v>56</v>
      </c>
      <c r="G1073" s="312"/>
      <c r="H1073" s="312"/>
      <c r="I1073" s="312"/>
      <c r="J1073" s="248">
        <f t="shared" si="115"/>
        <v>56</v>
      </c>
      <c r="K1073" s="330">
        <f t="shared" si="116"/>
        <v>-24</v>
      </c>
      <c r="L1073" s="313"/>
      <c r="M1073" s="228">
        <f t="shared" si="117"/>
        <v>56</v>
      </c>
      <c r="N1073" s="228">
        <f t="shared" si="121"/>
        <v>0</v>
      </c>
      <c r="O1073" s="228">
        <f t="shared" si="122"/>
        <v>0</v>
      </c>
      <c r="P1073" s="228">
        <f t="shared" si="122"/>
        <v>0</v>
      </c>
      <c r="Q1073" s="228">
        <f t="shared" si="118"/>
        <v>56</v>
      </c>
      <c r="R1073" s="343">
        <f t="shared" si="119"/>
        <v>-24</v>
      </c>
      <c r="S1073" s="240"/>
      <c r="T1073" s="201"/>
      <c r="U1073" s="201"/>
      <c r="V1073" s="201"/>
    </row>
    <row r="1074" spans="1:22" ht="15.75" x14ac:dyDescent="0.25">
      <c r="A1074" s="234" t="s">
        <v>1666</v>
      </c>
      <c r="B1074" s="235" t="s">
        <v>1667</v>
      </c>
      <c r="C1074" s="234" t="s">
        <v>9</v>
      </c>
      <c r="D1074" s="312">
        <v>76</v>
      </c>
      <c r="E1074" s="312"/>
      <c r="F1074" s="248">
        <f t="shared" si="123"/>
        <v>53</v>
      </c>
      <c r="G1074" s="312"/>
      <c r="H1074" s="312"/>
      <c r="I1074" s="312"/>
      <c r="J1074" s="248">
        <f t="shared" si="115"/>
        <v>53</v>
      </c>
      <c r="K1074" s="330">
        <f t="shared" si="116"/>
        <v>-23</v>
      </c>
      <c r="L1074" s="313"/>
      <c r="M1074" s="228">
        <f t="shared" si="117"/>
        <v>53</v>
      </c>
      <c r="N1074" s="228">
        <f t="shared" si="121"/>
        <v>0</v>
      </c>
      <c r="O1074" s="228">
        <f t="shared" si="122"/>
        <v>0</v>
      </c>
      <c r="P1074" s="228">
        <f t="shared" si="122"/>
        <v>0</v>
      </c>
      <c r="Q1074" s="228">
        <f t="shared" si="118"/>
        <v>53</v>
      </c>
      <c r="R1074" s="343">
        <f t="shared" si="119"/>
        <v>-23</v>
      </c>
      <c r="S1074" s="240"/>
      <c r="T1074" s="201"/>
      <c r="U1074" s="201"/>
      <c r="V1074" s="201"/>
    </row>
    <row r="1075" spans="1:22" ht="15.75" x14ac:dyDescent="0.25">
      <c r="A1075" s="234" t="s">
        <v>1668</v>
      </c>
      <c r="B1075" s="235" t="s">
        <v>1669</v>
      </c>
      <c r="C1075" s="234" t="s">
        <v>9</v>
      </c>
      <c r="D1075" s="312">
        <v>12</v>
      </c>
      <c r="E1075" s="312"/>
      <c r="F1075" s="248">
        <f t="shared" si="123"/>
        <v>8</v>
      </c>
      <c r="G1075" s="312"/>
      <c r="H1075" s="312"/>
      <c r="I1075" s="312"/>
      <c r="J1075" s="248">
        <f t="shared" si="115"/>
        <v>8</v>
      </c>
      <c r="K1075" s="330">
        <f t="shared" si="116"/>
        <v>-4</v>
      </c>
      <c r="L1075" s="313"/>
      <c r="M1075" s="228">
        <f t="shared" si="117"/>
        <v>8</v>
      </c>
      <c r="N1075" s="228">
        <f t="shared" si="121"/>
        <v>0</v>
      </c>
      <c r="O1075" s="228">
        <f t="shared" si="122"/>
        <v>0</v>
      </c>
      <c r="P1075" s="228">
        <f t="shared" si="122"/>
        <v>0</v>
      </c>
      <c r="Q1075" s="228">
        <f t="shared" si="118"/>
        <v>8</v>
      </c>
      <c r="R1075" s="343">
        <f t="shared" si="119"/>
        <v>-4</v>
      </c>
      <c r="S1075" s="240"/>
      <c r="T1075" s="201"/>
      <c r="U1075" s="201"/>
      <c r="V1075" s="201"/>
    </row>
    <row r="1076" spans="1:22" ht="15.75" x14ac:dyDescent="0.25">
      <c r="A1076" s="234" t="s">
        <v>1670</v>
      </c>
      <c r="B1076" s="235" t="s">
        <v>1671</v>
      </c>
      <c r="C1076" s="234" t="s">
        <v>9</v>
      </c>
      <c r="D1076" s="312">
        <v>2</v>
      </c>
      <c r="E1076" s="312"/>
      <c r="F1076" s="248">
        <f t="shared" si="123"/>
        <v>1</v>
      </c>
      <c r="G1076" s="312"/>
      <c r="H1076" s="312"/>
      <c r="I1076" s="312"/>
      <c r="J1076" s="248">
        <f t="shared" si="115"/>
        <v>1</v>
      </c>
      <c r="K1076" s="330">
        <f t="shared" si="116"/>
        <v>-1</v>
      </c>
      <c r="L1076" s="313"/>
      <c r="M1076" s="228">
        <f t="shared" si="117"/>
        <v>1</v>
      </c>
      <c r="N1076" s="228">
        <f t="shared" si="121"/>
        <v>0</v>
      </c>
      <c r="O1076" s="228">
        <f t="shared" si="122"/>
        <v>0</v>
      </c>
      <c r="P1076" s="228">
        <f t="shared" si="122"/>
        <v>0</v>
      </c>
      <c r="Q1076" s="228">
        <f t="shared" si="118"/>
        <v>1</v>
      </c>
      <c r="R1076" s="343">
        <f t="shared" si="119"/>
        <v>-1</v>
      </c>
      <c r="S1076" s="240"/>
      <c r="T1076" s="201"/>
      <c r="U1076" s="201"/>
      <c r="V1076" s="201"/>
    </row>
    <row r="1077" spans="1:22" ht="15.75" x14ac:dyDescent="0.25">
      <c r="A1077" s="234" t="s">
        <v>1672</v>
      </c>
      <c r="B1077" s="235" t="s">
        <v>1673</v>
      </c>
      <c r="C1077" s="234" t="s">
        <v>9</v>
      </c>
      <c r="D1077" s="312">
        <v>2</v>
      </c>
      <c r="E1077" s="312"/>
      <c r="F1077" s="248">
        <f t="shared" si="123"/>
        <v>1</v>
      </c>
      <c r="G1077" s="312"/>
      <c r="H1077" s="312"/>
      <c r="I1077" s="312"/>
      <c r="J1077" s="248">
        <f t="shared" si="115"/>
        <v>1</v>
      </c>
      <c r="K1077" s="330">
        <f t="shared" si="116"/>
        <v>-1</v>
      </c>
      <c r="L1077" s="313"/>
      <c r="M1077" s="228">
        <f t="shared" si="117"/>
        <v>1</v>
      </c>
      <c r="N1077" s="228">
        <f t="shared" si="121"/>
        <v>0</v>
      </c>
      <c r="O1077" s="228">
        <f t="shared" si="122"/>
        <v>0</v>
      </c>
      <c r="P1077" s="228">
        <f t="shared" si="122"/>
        <v>0</v>
      </c>
      <c r="Q1077" s="228">
        <f t="shared" si="118"/>
        <v>1</v>
      </c>
      <c r="R1077" s="343">
        <f t="shared" si="119"/>
        <v>-1</v>
      </c>
      <c r="S1077" s="240"/>
      <c r="T1077" s="201"/>
      <c r="U1077" s="201"/>
      <c r="V1077" s="201"/>
    </row>
    <row r="1078" spans="1:22" ht="15.75" x14ac:dyDescent="0.25">
      <c r="A1078" s="234" t="s">
        <v>1674</v>
      </c>
      <c r="B1078" s="235" t="s">
        <v>1675</v>
      </c>
      <c r="C1078" s="234" t="s">
        <v>9</v>
      </c>
      <c r="D1078" s="312">
        <v>3</v>
      </c>
      <c r="E1078" s="312"/>
      <c r="F1078" s="248">
        <f t="shared" si="123"/>
        <v>2</v>
      </c>
      <c r="G1078" s="312"/>
      <c r="H1078" s="312"/>
      <c r="I1078" s="312"/>
      <c r="J1078" s="248">
        <f t="shared" si="115"/>
        <v>2</v>
      </c>
      <c r="K1078" s="330">
        <f t="shared" si="116"/>
        <v>-1</v>
      </c>
      <c r="L1078" s="313"/>
      <c r="M1078" s="228">
        <f t="shared" si="117"/>
        <v>2</v>
      </c>
      <c r="N1078" s="228">
        <f t="shared" si="121"/>
        <v>0</v>
      </c>
      <c r="O1078" s="228">
        <f t="shared" si="122"/>
        <v>0</v>
      </c>
      <c r="P1078" s="228">
        <f t="shared" si="122"/>
        <v>0</v>
      </c>
      <c r="Q1078" s="228">
        <f t="shared" si="118"/>
        <v>2</v>
      </c>
      <c r="R1078" s="343">
        <f t="shared" si="119"/>
        <v>-1</v>
      </c>
      <c r="S1078" s="240"/>
      <c r="T1078" s="201"/>
      <c r="U1078" s="201"/>
      <c r="V1078" s="201"/>
    </row>
    <row r="1079" spans="1:22" ht="15.75" x14ac:dyDescent="0.25">
      <c r="A1079" s="234" t="s">
        <v>1676</v>
      </c>
      <c r="B1079" s="235" t="s">
        <v>1677</v>
      </c>
      <c r="C1079" s="234" t="s">
        <v>9</v>
      </c>
      <c r="D1079" s="312">
        <v>14</v>
      </c>
      <c r="E1079" s="312"/>
      <c r="F1079" s="248">
        <f t="shared" si="123"/>
        <v>9</v>
      </c>
      <c r="G1079" s="312"/>
      <c r="H1079" s="312"/>
      <c r="I1079" s="312"/>
      <c r="J1079" s="248">
        <f t="shared" si="115"/>
        <v>9</v>
      </c>
      <c r="K1079" s="330">
        <f t="shared" si="116"/>
        <v>-5</v>
      </c>
      <c r="L1079" s="313"/>
      <c r="M1079" s="228">
        <f t="shared" si="117"/>
        <v>9</v>
      </c>
      <c r="N1079" s="228">
        <f t="shared" si="121"/>
        <v>0</v>
      </c>
      <c r="O1079" s="228">
        <f t="shared" si="122"/>
        <v>0</v>
      </c>
      <c r="P1079" s="228">
        <f t="shared" si="122"/>
        <v>0</v>
      </c>
      <c r="Q1079" s="228">
        <f t="shared" si="118"/>
        <v>9</v>
      </c>
      <c r="R1079" s="343">
        <f t="shared" si="119"/>
        <v>-5</v>
      </c>
      <c r="S1079" s="240"/>
      <c r="T1079" s="201"/>
      <c r="U1079" s="201"/>
      <c r="V1079" s="201"/>
    </row>
    <row r="1080" spans="1:22" ht="15.75" x14ac:dyDescent="0.25">
      <c r="A1080" s="234" t="s">
        <v>1678</v>
      </c>
      <c r="B1080" s="235" t="s">
        <v>1679</v>
      </c>
      <c r="C1080" s="234" t="s">
        <v>9</v>
      </c>
      <c r="D1080" s="312">
        <v>3</v>
      </c>
      <c r="E1080" s="312"/>
      <c r="F1080" s="248">
        <f t="shared" si="123"/>
        <v>2</v>
      </c>
      <c r="G1080" s="312"/>
      <c r="H1080" s="312"/>
      <c r="I1080" s="312"/>
      <c r="J1080" s="248">
        <f t="shared" si="115"/>
        <v>2</v>
      </c>
      <c r="K1080" s="330">
        <f t="shared" si="116"/>
        <v>-1</v>
      </c>
      <c r="L1080" s="313"/>
      <c r="M1080" s="228">
        <f t="shared" si="117"/>
        <v>2</v>
      </c>
      <c r="N1080" s="228">
        <f t="shared" si="121"/>
        <v>0</v>
      </c>
      <c r="O1080" s="228">
        <f t="shared" si="122"/>
        <v>0</v>
      </c>
      <c r="P1080" s="228">
        <f t="shared" si="122"/>
        <v>0</v>
      </c>
      <c r="Q1080" s="228">
        <f t="shared" si="118"/>
        <v>2</v>
      </c>
      <c r="R1080" s="343">
        <f t="shared" si="119"/>
        <v>-1</v>
      </c>
      <c r="S1080" s="240"/>
      <c r="T1080" s="201"/>
      <c r="U1080" s="201"/>
      <c r="V1080" s="201"/>
    </row>
    <row r="1081" spans="1:22" ht="15.75" x14ac:dyDescent="0.25">
      <c r="A1081" s="234" t="s">
        <v>1680</v>
      </c>
      <c r="B1081" s="235" t="s">
        <v>1681</v>
      </c>
      <c r="C1081" s="234" t="s">
        <v>9</v>
      </c>
      <c r="D1081" s="312">
        <v>4</v>
      </c>
      <c r="E1081" s="312"/>
      <c r="F1081" s="248">
        <f t="shared" si="123"/>
        <v>2</v>
      </c>
      <c r="G1081" s="312"/>
      <c r="H1081" s="312"/>
      <c r="I1081" s="312"/>
      <c r="J1081" s="248">
        <f t="shared" si="115"/>
        <v>2</v>
      </c>
      <c r="K1081" s="330">
        <f t="shared" si="116"/>
        <v>-2</v>
      </c>
      <c r="L1081" s="313"/>
      <c r="M1081" s="228">
        <f t="shared" si="117"/>
        <v>2</v>
      </c>
      <c r="N1081" s="228">
        <f t="shared" si="121"/>
        <v>0</v>
      </c>
      <c r="O1081" s="228">
        <f t="shared" si="122"/>
        <v>0</v>
      </c>
      <c r="P1081" s="228">
        <f t="shared" si="122"/>
        <v>0</v>
      </c>
      <c r="Q1081" s="228">
        <f t="shared" si="118"/>
        <v>2</v>
      </c>
      <c r="R1081" s="343">
        <f t="shared" si="119"/>
        <v>-2</v>
      </c>
      <c r="S1081" s="240"/>
      <c r="T1081" s="201"/>
      <c r="U1081" s="201"/>
      <c r="V1081" s="201"/>
    </row>
    <row r="1082" spans="1:22" ht="15.75" x14ac:dyDescent="0.25">
      <c r="A1082" s="234" t="s">
        <v>1682</v>
      </c>
      <c r="B1082" s="235" t="s">
        <v>1496</v>
      </c>
      <c r="C1082" s="234" t="s">
        <v>9</v>
      </c>
      <c r="D1082" s="312">
        <v>3</v>
      </c>
      <c r="E1082" s="312"/>
      <c r="F1082" s="248">
        <f t="shared" si="123"/>
        <v>2</v>
      </c>
      <c r="G1082" s="312"/>
      <c r="H1082" s="312"/>
      <c r="I1082" s="312"/>
      <c r="J1082" s="248">
        <f t="shared" ref="J1082:J1145" si="124">F1082+G1082+H1082+I1082</f>
        <v>2</v>
      </c>
      <c r="K1082" s="330">
        <f t="shared" ref="K1082:K1145" si="125">J1082-D1082</f>
        <v>-1</v>
      </c>
      <c r="L1082" s="313"/>
      <c r="M1082" s="228">
        <f t="shared" ref="M1082:M1145" si="126">F1082</f>
        <v>2</v>
      </c>
      <c r="N1082" s="228">
        <f t="shared" si="121"/>
        <v>0</v>
      </c>
      <c r="O1082" s="228">
        <f t="shared" si="122"/>
        <v>0</v>
      </c>
      <c r="P1082" s="228">
        <f t="shared" si="122"/>
        <v>0</v>
      </c>
      <c r="Q1082" s="228">
        <f t="shared" ref="Q1082:Q1145" si="127">M1082+N1082+O1082+P1082</f>
        <v>2</v>
      </c>
      <c r="R1082" s="343">
        <f t="shared" ref="R1082:R1145" si="128">Q1082-D1082</f>
        <v>-1</v>
      </c>
      <c r="S1082" s="240"/>
      <c r="T1082" s="201"/>
      <c r="U1082" s="201"/>
      <c r="V1082" s="201"/>
    </row>
    <row r="1083" spans="1:22" ht="15.75" x14ac:dyDescent="0.25">
      <c r="A1083" s="234" t="s">
        <v>1683</v>
      </c>
      <c r="B1083" s="235" t="s">
        <v>1684</v>
      </c>
      <c r="C1083" s="234" t="s">
        <v>14</v>
      </c>
      <c r="D1083" s="312">
        <v>0.6</v>
      </c>
      <c r="E1083" s="312"/>
      <c r="F1083" s="248">
        <f>(D1083*$U$967)</f>
        <v>0.42</v>
      </c>
      <c r="G1083" s="312"/>
      <c r="H1083" s="312"/>
      <c r="I1083" s="312"/>
      <c r="J1083" s="248">
        <f t="shared" si="124"/>
        <v>0.42</v>
      </c>
      <c r="K1083" s="330">
        <f t="shared" si="125"/>
        <v>-0.18</v>
      </c>
      <c r="L1083" s="313"/>
      <c r="M1083" s="228">
        <f t="shared" si="126"/>
        <v>0.42</v>
      </c>
      <c r="N1083" s="228">
        <f t="shared" si="121"/>
        <v>0</v>
      </c>
      <c r="O1083" s="228">
        <f t="shared" si="122"/>
        <v>0</v>
      </c>
      <c r="P1083" s="228">
        <f t="shared" si="122"/>
        <v>0</v>
      </c>
      <c r="Q1083" s="228">
        <f t="shared" si="127"/>
        <v>0.42</v>
      </c>
      <c r="R1083" s="343">
        <f t="shared" si="128"/>
        <v>-0.18</v>
      </c>
      <c r="S1083" s="240"/>
      <c r="T1083" s="201"/>
      <c r="U1083" s="201"/>
      <c r="V1083" s="201"/>
    </row>
    <row r="1084" spans="1:22" ht="15.75" x14ac:dyDescent="0.25">
      <c r="A1084" s="234" t="s">
        <v>1685</v>
      </c>
      <c r="B1084" s="235" t="s">
        <v>1686</v>
      </c>
      <c r="C1084" s="234" t="s">
        <v>14</v>
      </c>
      <c r="D1084" s="312">
        <v>1.18</v>
      </c>
      <c r="E1084" s="312"/>
      <c r="F1084" s="248">
        <f>(D1084*$U$967)</f>
        <v>0.82599999999999996</v>
      </c>
      <c r="G1084" s="312"/>
      <c r="H1084" s="312"/>
      <c r="I1084" s="312"/>
      <c r="J1084" s="248">
        <f t="shared" si="124"/>
        <v>0.82599999999999996</v>
      </c>
      <c r="K1084" s="330">
        <f t="shared" si="125"/>
        <v>-0.35399999999999998</v>
      </c>
      <c r="L1084" s="313"/>
      <c r="M1084" s="228">
        <f t="shared" si="126"/>
        <v>0.82599999999999996</v>
      </c>
      <c r="N1084" s="228">
        <f t="shared" si="121"/>
        <v>0</v>
      </c>
      <c r="O1084" s="228">
        <f t="shared" si="122"/>
        <v>0</v>
      </c>
      <c r="P1084" s="228">
        <f t="shared" si="122"/>
        <v>0</v>
      </c>
      <c r="Q1084" s="228">
        <f t="shared" si="127"/>
        <v>0.82599999999999996</v>
      </c>
      <c r="R1084" s="343">
        <f t="shared" si="128"/>
        <v>-0.35399999999999998</v>
      </c>
      <c r="S1084" s="240"/>
      <c r="T1084" s="201"/>
      <c r="U1084" s="201"/>
      <c r="V1084" s="201"/>
    </row>
    <row r="1085" spans="1:22" ht="15.75" x14ac:dyDescent="0.25">
      <c r="A1085" s="234" t="s">
        <v>1687</v>
      </c>
      <c r="B1085" s="235" t="s">
        <v>1688</v>
      </c>
      <c r="C1085" s="234" t="s">
        <v>14</v>
      </c>
      <c r="D1085" s="312">
        <v>8.15</v>
      </c>
      <c r="E1085" s="312"/>
      <c r="F1085" s="248">
        <f>(D1085*$U$967)</f>
        <v>5.7050000000000001</v>
      </c>
      <c r="G1085" s="312"/>
      <c r="H1085" s="312"/>
      <c r="I1085" s="312"/>
      <c r="J1085" s="248">
        <f t="shared" si="124"/>
        <v>5.7050000000000001</v>
      </c>
      <c r="K1085" s="330">
        <f t="shared" si="125"/>
        <v>-2.4450000000000003</v>
      </c>
      <c r="L1085" s="313"/>
      <c r="M1085" s="228">
        <f t="shared" si="126"/>
        <v>5.7050000000000001</v>
      </c>
      <c r="N1085" s="228">
        <f t="shared" si="121"/>
        <v>0</v>
      </c>
      <c r="O1085" s="228">
        <f t="shared" si="122"/>
        <v>0</v>
      </c>
      <c r="P1085" s="228">
        <f t="shared" si="122"/>
        <v>0</v>
      </c>
      <c r="Q1085" s="228">
        <f t="shared" si="127"/>
        <v>5.7050000000000001</v>
      </c>
      <c r="R1085" s="343">
        <f t="shared" si="128"/>
        <v>-2.4450000000000003</v>
      </c>
      <c r="S1085" s="240"/>
      <c r="T1085" s="201"/>
      <c r="U1085" s="201"/>
      <c r="V1085" s="201"/>
    </row>
    <row r="1086" spans="1:22" ht="15.75" x14ac:dyDescent="0.25">
      <c r="A1086" s="234" t="s">
        <v>1689</v>
      </c>
      <c r="B1086" s="235" t="s">
        <v>1690</v>
      </c>
      <c r="C1086" s="234" t="s">
        <v>14</v>
      </c>
      <c r="D1086" s="312">
        <v>14.92</v>
      </c>
      <c r="E1086" s="312"/>
      <c r="F1086" s="248">
        <f>(D1086*$U$967)</f>
        <v>10.443999999999999</v>
      </c>
      <c r="G1086" s="312"/>
      <c r="H1086" s="312"/>
      <c r="I1086" s="312"/>
      <c r="J1086" s="248">
        <f t="shared" si="124"/>
        <v>10.443999999999999</v>
      </c>
      <c r="K1086" s="330">
        <f t="shared" si="125"/>
        <v>-4.4760000000000009</v>
      </c>
      <c r="L1086" s="313"/>
      <c r="M1086" s="228">
        <f t="shared" si="126"/>
        <v>10.443999999999999</v>
      </c>
      <c r="N1086" s="228">
        <f t="shared" si="121"/>
        <v>0</v>
      </c>
      <c r="O1086" s="228">
        <f t="shared" si="122"/>
        <v>0</v>
      </c>
      <c r="P1086" s="228">
        <f t="shared" si="122"/>
        <v>0</v>
      </c>
      <c r="Q1086" s="228">
        <f t="shared" si="127"/>
        <v>10.443999999999999</v>
      </c>
      <c r="R1086" s="343">
        <f t="shared" si="128"/>
        <v>-4.4760000000000009</v>
      </c>
      <c r="S1086" s="240"/>
      <c r="T1086" s="201"/>
      <c r="U1086" s="201"/>
      <c r="V1086" s="201"/>
    </row>
    <row r="1087" spans="1:22" ht="15.75" x14ac:dyDescent="0.25">
      <c r="A1087" s="234" t="s">
        <v>1691</v>
      </c>
      <c r="B1087" s="235" t="s">
        <v>1692</v>
      </c>
      <c r="C1087" s="234" t="s">
        <v>14</v>
      </c>
      <c r="D1087" s="312">
        <v>0.72</v>
      </c>
      <c r="E1087" s="312"/>
      <c r="F1087" s="248">
        <f>(D1087*$U$967)</f>
        <v>0.504</v>
      </c>
      <c r="G1087" s="312"/>
      <c r="H1087" s="312"/>
      <c r="I1087" s="312"/>
      <c r="J1087" s="248">
        <f t="shared" si="124"/>
        <v>0.504</v>
      </c>
      <c r="K1087" s="330">
        <f t="shared" si="125"/>
        <v>-0.21599999999999997</v>
      </c>
      <c r="L1087" s="313"/>
      <c r="M1087" s="228">
        <f t="shared" si="126"/>
        <v>0.504</v>
      </c>
      <c r="N1087" s="228">
        <f t="shared" si="121"/>
        <v>0</v>
      </c>
      <c r="O1087" s="228">
        <f t="shared" si="122"/>
        <v>0</v>
      </c>
      <c r="P1087" s="228">
        <f t="shared" si="122"/>
        <v>0</v>
      </c>
      <c r="Q1087" s="228">
        <f t="shared" si="127"/>
        <v>0.504</v>
      </c>
      <c r="R1087" s="343">
        <f t="shared" si="128"/>
        <v>-0.21599999999999997</v>
      </c>
      <c r="S1087" s="240"/>
      <c r="T1087" s="201"/>
      <c r="U1087" s="201"/>
      <c r="V1087" s="201"/>
    </row>
    <row r="1088" spans="1:22" ht="15.75" x14ac:dyDescent="0.25">
      <c r="A1088" s="234" t="s">
        <v>1693</v>
      </c>
      <c r="B1088" s="235" t="s">
        <v>1694</v>
      </c>
      <c r="C1088" s="234" t="s">
        <v>9</v>
      </c>
      <c r="D1088" s="312">
        <v>11.8</v>
      </c>
      <c r="E1088" s="312"/>
      <c r="F1088" s="248">
        <f t="shared" ref="F1088:F1099" si="129">INT(D1088*$U$970)</f>
        <v>8</v>
      </c>
      <c r="G1088" s="312"/>
      <c r="H1088" s="312"/>
      <c r="I1088" s="312"/>
      <c r="J1088" s="248">
        <f t="shared" si="124"/>
        <v>8</v>
      </c>
      <c r="K1088" s="330">
        <f t="shared" si="125"/>
        <v>-3.8000000000000007</v>
      </c>
      <c r="L1088" s="313"/>
      <c r="M1088" s="228">
        <f t="shared" si="126"/>
        <v>8</v>
      </c>
      <c r="N1088" s="228">
        <f t="shared" si="121"/>
        <v>0</v>
      </c>
      <c r="O1088" s="228">
        <f t="shared" si="122"/>
        <v>0</v>
      </c>
      <c r="P1088" s="228">
        <f t="shared" si="122"/>
        <v>0</v>
      </c>
      <c r="Q1088" s="228">
        <f t="shared" si="127"/>
        <v>8</v>
      </c>
      <c r="R1088" s="343">
        <f t="shared" si="128"/>
        <v>-3.8000000000000007</v>
      </c>
      <c r="S1088" s="240"/>
      <c r="T1088" s="201"/>
      <c r="U1088" s="201"/>
      <c r="V1088" s="201"/>
    </row>
    <row r="1089" spans="1:22" ht="15.75" x14ac:dyDescent="0.25">
      <c r="A1089" s="234" t="s">
        <v>1695</v>
      </c>
      <c r="B1089" s="235" t="s">
        <v>1696</v>
      </c>
      <c r="C1089" s="234" t="s">
        <v>9</v>
      </c>
      <c r="D1089" s="312">
        <v>81.5</v>
      </c>
      <c r="E1089" s="312"/>
      <c r="F1089" s="248">
        <f t="shared" si="129"/>
        <v>57</v>
      </c>
      <c r="G1089" s="312"/>
      <c r="H1089" s="312"/>
      <c r="I1089" s="312"/>
      <c r="J1089" s="248">
        <f t="shared" si="124"/>
        <v>57</v>
      </c>
      <c r="K1089" s="330">
        <f t="shared" si="125"/>
        <v>-24.5</v>
      </c>
      <c r="L1089" s="313"/>
      <c r="M1089" s="228">
        <f t="shared" si="126"/>
        <v>57</v>
      </c>
      <c r="N1089" s="228">
        <f t="shared" si="121"/>
        <v>0</v>
      </c>
      <c r="O1089" s="228">
        <f t="shared" si="122"/>
        <v>0</v>
      </c>
      <c r="P1089" s="228">
        <f t="shared" si="122"/>
        <v>0</v>
      </c>
      <c r="Q1089" s="228">
        <f t="shared" si="127"/>
        <v>57</v>
      </c>
      <c r="R1089" s="343">
        <f t="shared" si="128"/>
        <v>-24.5</v>
      </c>
      <c r="S1089" s="240"/>
      <c r="T1089" s="201"/>
      <c r="U1089" s="201"/>
      <c r="V1089" s="201"/>
    </row>
    <row r="1090" spans="1:22" ht="15.75" x14ac:dyDescent="0.25">
      <c r="A1090" s="234" t="s">
        <v>1697</v>
      </c>
      <c r="B1090" s="235" t="s">
        <v>1698</v>
      </c>
      <c r="C1090" s="234" t="s">
        <v>9</v>
      </c>
      <c r="D1090" s="312">
        <v>149.19999999999999</v>
      </c>
      <c r="E1090" s="312"/>
      <c r="F1090" s="248">
        <f t="shared" si="129"/>
        <v>104</v>
      </c>
      <c r="G1090" s="312"/>
      <c r="H1090" s="312"/>
      <c r="I1090" s="312"/>
      <c r="J1090" s="248">
        <f t="shared" si="124"/>
        <v>104</v>
      </c>
      <c r="K1090" s="330">
        <f t="shared" si="125"/>
        <v>-45.199999999999989</v>
      </c>
      <c r="L1090" s="313"/>
      <c r="M1090" s="228">
        <f t="shared" si="126"/>
        <v>104</v>
      </c>
      <c r="N1090" s="228">
        <f t="shared" si="121"/>
        <v>0</v>
      </c>
      <c r="O1090" s="228">
        <f t="shared" si="122"/>
        <v>0</v>
      </c>
      <c r="P1090" s="228">
        <f t="shared" si="122"/>
        <v>0</v>
      </c>
      <c r="Q1090" s="228">
        <f t="shared" si="127"/>
        <v>104</v>
      </c>
      <c r="R1090" s="343">
        <f t="shared" si="128"/>
        <v>-45.199999999999989</v>
      </c>
      <c r="S1090" s="240"/>
      <c r="T1090" s="201"/>
      <c r="U1090" s="201"/>
      <c r="V1090" s="201"/>
    </row>
    <row r="1091" spans="1:22" ht="15.75" x14ac:dyDescent="0.25">
      <c r="A1091" s="234" t="s">
        <v>1699</v>
      </c>
      <c r="B1091" s="235" t="s">
        <v>1700</v>
      </c>
      <c r="C1091" s="234" t="s">
        <v>9</v>
      </c>
      <c r="D1091" s="312">
        <v>52</v>
      </c>
      <c r="E1091" s="312"/>
      <c r="F1091" s="248">
        <f t="shared" si="129"/>
        <v>36</v>
      </c>
      <c r="G1091" s="312"/>
      <c r="H1091" s="312"/>
      <c r="I1091" s="312"/>
      <c r="J1091" s="248">
        <f t="shared" si="124"/>
        <v>36</v>
      </c>
      <c r="K1091" s="330">
        <f t="shared" si="125"/>
        <v>-16</v>
      </c>
      <c r="L1091" s="313"/>
      <c r="M1091" s="228">
        <f t="shared" si="126"/>
        <v>36</v>
      </c>
      <c r="N1091" s="228">
        <f t="shared" si="121"/>
        <v>0</v>
      </c>
      <c r="O1091" s="228">
        <f t="shared" si="122"/>
        <v>0</v>
      </c>
      <c r="P1091" s="228">
        <f t="shared" si="122"/>
        <v>0</v>
      </c>
      <c r="Q1091" s="228">
        <f t="shared" si="127"/>
        <v>36</v>
      </c>
      <c r="R1091" s="343">
        <f t="shared" si="128"/>
        <v>-16</v>
      </c>
      <c r="S1091" s="240"/>
      <c r="T1091" s="201"/>
      <c r="U1091" s="201"/>
      <c r="V1091" s="201"/>
    </row>
    <row r="1092" spans="1:22" ht="15.75" x14ac:dyDescent="0.25">
      <c r="A1092" s="234" t="s">
        <v>1701</v>
      </c>
      <c r="B1092" s="235" t="s">
        <v>1702</v>
      </c>
      <c r="C1092" s="234" t="s">
        <v>9</v>
      </c>
      <c r="D1092" s="312">
        <v>238</v>
      </c>
      <c r="E1092" s="312"/>
      <c r="F1092" s="248">
        <f t="shared" si="129"/>
        <v>166</v>
      </c>
      <c r="G1092" s="312"/>
      <c r="H1092" s="312"/>
      <c r="I1092" s="312"/>
      <c r="J1092" s="248">
        <f t="shared" si="124"/>
        <v>166</v>
      </c>
      <c r="K1092" s="330">
        <f t="shared" si="125"/>
        <v>-72</v>
      </c>
      <c r="L1092" s="313"/>
      <c r="M1092" s="228">
        <f t="shared" si="126"/>
        <v>166</v>
      </c>
      <c r="N1092" s="228">
        <f t="shared" si="121"/>
        <v>0</v>
      </c>
      <c r="O1092" s="228">
        <f t="shared" si="122"/>
        <v>0</v>
      </c>
      <c r="P1092" s="228">
        <f t="shared" si="122"/>
        <v>0</v>
      </c>
      <c r="Q1092" s="228">
        <f t="shared" si="127"/>
        <v>166</v>
      </c>
      <c r="R1092" s="343">
        <f t="shared" si="128"/>
        <v>-72</v>
      </c>
      <c r="S1092" s="240"/>
      <c r="T1092" s="201"/>
      <c r="U1092" s="201"/>
      <c r="V1092" s="201"/>
    </row>
    <row r="1093" spans="1:22" ht="15.75" x14ac:dyDescent="0.25">
      <c r="A1093" s="234" t="s">
        <v>1703</v>
      </c>
      <c r="B1093" s="235" t="s">
        <v>1704</v>
      </c>
      <c r="C1093" s="234" t="s">
        <v>9</v>
      </c>
      <c r="D1093" s="312">
        <v>89</v>
      </c>
      <c r="E1093" s="312"/>
      <c r="F1093" s="248">
        <f t="shared" si="129"/>
        <v>62</v>
      </c>
      <c r="G1093" s="312"/>
      <c r="H1093" s="312"/>
      <c r="I1093" s="312"/>
      <c r="J1093" s="248">
        <f t="shared" si="124"/>
        <v>62</v>
      </c>
      <c r="K1093" s="330">
        <f t="shared" si="125"/>
        <v>-27</v>
      </c>
      <c r="L1093" s="313"/>
      <c r="M1093" s="228">
        <f t="shared" si="126"/>
        <v>62</v>
      </c>
      <c r="N1093" s="228">
        <f t="shared" si="121"/>
        <v>0</v>
      </c>
      <c r="O1093" s="228">
        <f t="shared" si="122"/>
        <v>0</v>
      </c>
      <c r="P1093" s="228">
        <f t="shared" si="122"/>
        <v>0</v>
      </c>
      <c r="Q1093" s="228">
        <f t="shared" si="127"/>
        <v>62</v>
      </c>
      <c r="R1093" s="343">
        <f t="shared" si="128"/>
        <v>-27</v>
      </c>
      <c r="S1093" s="240"/>
      <c r="T1093" s="201"/>
      <c r="U1093" s="201"/>
      <c r="V1093" s="201"/>
    </row>
    <row r="1094" spans="1:22" ht="15.75" x14ac:dyDescent="0.25">
      <c r="A1094" s="234" t="s">
        <v>1705</v>
      </c>
      <c r="B1094" s="235" t="s">
        <v>1706</v>
      </c>
      <c r="C1094" s="234" t="s">
        <v>9</v>
      </c>
      <c r="D1094" s="312">
        <v>288</v>
      </c>
      <c r="E1094" s="312"/>
      <c r="F1094" s="248">
        <f t="shared" si="129"/>
        <v>201</v>
      </c>
      <c r="G1094" s="312"/>
      <c r="H1094" s="312"/>
      <c r="I1094" s="312"/>
      <c r="J1094" s="248">
        <f t="shared" si="124"/>
        <v>201</v>
      </c>
      <c r="K1094" s="330">
        <f t="shared" si="125"/>
        <v>-87</v>
      </c>
      <c r="L1094" s="313"/>
      <c r="M1094" s="228">
        <f t="shared" si="126"/>
        <v>201</v>
      </c>
      <c r="N1094" s="228">
        <f t="shared" si="121"/>
        <v>0</v>
      </c>
      <c r="O1094" s="228">
        <f t="shared" si="122"/>
        <v>0</v>
      </c>
      <c r="P1094" s="228">
        <f t="shared" si="122"/>
        <v>0</v>
      </c>
      <c r="Q1094" s="228">
        <f t="shared" si="127"/>
        <v>201</v>
      </c>
      <c r="R1094" s="343">
        <f t="shared" si="128"/>
        <v>-87</v>
      </c>
      <c r="S1094" s="240"/>
      <c r="T1094" s="201"/>
      <c r="U1094" s="201"/>
      <c r="V1094" s="201"/>
    </row>
    <row r="1095" spans="1:22" ht="15.75" x14ac:dyDescent="0.25">
      <c r="A1095" s="234" t="s">
        <v>1707</v>
      </c>
      <c r="B1095" s="235" t="s">
        <v>1708</v>
      </c>
      <c r="C1095" s="234" t="s">
        <v>9</v>
      </c>
      <c r="D1095" s="312">
        <v>130</v>
      </c>
      <c r="E1095" s="312"/>
      <c r="F1095" s="248">
        <f t="shared" si="129"/>
        <v>91</v>
      </c>
      <c r="G1095" s="312"/>
      <c r="H1095" s="312"/>
      <c r="I1095" s="312"/>
      <c r="J1095" s="248">
        <f t="shared" si="124"/>
        <v>91</v>
      </c>
      <c r="K1095" s="330">
        <f t="shared" si="125"/>
        <v>-39</v>
      </c>
      <c r="L1095" s="313"/>
      <c r="M1095" s="228">
        <f t="shared" si="126"/>
        <v>91</v>
      </c>
      <c r="N1095" s="228">
        <f t="shared" si="121"/>
        <v>0</v>
      </c>
      <c r="O1095" s="228">
        <f t="shared" si="122"/>
        <v>0</v>
      </c>
      <c r="P1095" s="228">
        <f t="shared" si="122"/>
        <v>0</v>
      </c>
      <c r="Q1095" s="228">
        <f t="shared" si="127"/>
        <v>91</v>
      </c>
      <c r="R1095" s="343">
        <f t="shared" si="128"/>
        <v>-39</v>
      </c>
      <c r="S1095" s="240"/>
      <c r="T1095" s="201"/>
      <c r="U1095" s="201"/>
      <c r="V1095" s="201"/>
    </row>
    <row r="1096" spans="1:22" ht="15.75" x14ac:dyDescent="0.25">
      <c r="A1096" s="234" t="s">
        <v>1709</v>
      </c>
      <c r="B1096" s="235" t="s">
        <v>1710</v>
      </c>
      <c r="C1096" s="234" t="s">
        <v>9</v>
      </c>
      <c r="D1096" s="312">
        <v>80</v>
      </c>
      <c r="E1096" s="312"/>
      <c r="F1096" s="248">
        <f t="shared" si="129"/>
        <v>56</v>
      </c>
      <c r="G1096" s="312"/>
      <c r="H1096" s="312"/>
      <c r="I1096" s="312"/>
      <c r="J1096" s="248">
        <f t="shared" si="124"/>
        <v>56</v>
      </c>
      <c r="K1096" s="330">
        <f t="shared" si="125"/>
        <v>-24</v>
      </c>
      <c r="L1096" s="313"/>
      <c r="M1096" s="228">
        <f t="shared" si="126"/>
        <v>56</v>
      </c>
      <c r="N1096" s="228">
        <f t="shared" si="121"/>
        <v>0</v>
      </c>
      <c r="O1096" s="228">
        <f t="shared" si="122"/>
        <v>0</v>
      </c>
      <c r="P1096" s="228">
        <f t="shared" si="122"/>
        <v>0</v>
      </c>
      <c r="Q1096" s="228">
        <f t="shared" si="127"/>
        <v>56</v>
      </c>
      <c r="R1096" s="343">
        <f t="shared" si="128"/>
        <v>-24</v>
      </c>
      <c r="S1096" s="240"/>
      <c r="T1096" s="201"/>
      <c r="U1096" s="201"/>
      <c r="V1096" s="201"/>
    </row>
    <row r="1097" spans="1:22" ht="15.75" x14ac:dyDescent="0.25">
      <c r="A1097" s="234" t="s">
        <v>1711</v>
      </c>
      <c r="B1097" s="235" t="s">
        <v>1712</v>
      </c>
      <c r="C1097" s="234" t="s">
        <v>9</v>
      </c>
      <c r="D1097" s="312">
        <v>14</v>
      </c>
      <c r="E1097" s="312"/>
      <c r="F1097" s="248">
        <f t="shared" si="129"/>
        <v>9</v>
      </c>
      <c r="G1097" s="312"/>
      <c r="H1097" s="312"/>
      <c r="I1097" s="312"/>
      <c r="J1097" s="248">
        <f t="shared" si="124"/>
        <v>9</v>
      </c>
      <c r="K1097" s="330">
        <f t="shared" si="125"/>
        <v>-5</v>
      </c>
      <c r="L1097" s="313"/>
      <c r="M1097" s="228">
        <f t="shared" si="126"/>
        <v>9</v>
      </c>
      <c r="N1097" s="228">
        <f t="shared" ref="N1097:N1160" si="130">G1097</f>
        <v>0</v>
      </c>
      <c r="O1097" s="228">
        <f t="shared" ref="O1097:P1160" si="131">H1097</f>
        <v>0</v>
      </c>
      <c r="P1097" s="228">
        <f t="shared" si="131"/>
        <v>0</v>
      </c>
      <c r="Q1097" s="228">
        <f t="shared" si="127"/>
        <v>9</v>
      </c>
      <c r="R1097" s="343">
        <f t="shared" si="128"/>
        <v>-5</v>
      </c>
      <c r="S1097" s="240"/>
      <c r="T1097" s="201"/>
      <c r="U1097" s="201"/>
      <c r="V1097" s="201"/>
    </row>
    <row r="1098" spans="1:22" ht="15.75" x14ac:dyDescent="0.25">
      <c r="A1098" s="234" t="s">
        <v>1713</v>
      </c>
      <c r="B1098" s="235" t="s">
        <v>1714</v>
      </c>
      <c r="C1098" s="234" t="s">
        <v>9</v>
      </c>
      <c r="D1098" s="312">
        <v>23</v>
      </c>
      <c r="E1098" s="312"/>
      <c r="F1098" s="248">
        <f t="shared" si="129"/>
        <v>16</v>
      </c>
      <c r="G1098" s="312"/>
      <c r="H1098" s="312"/>
      <c r="I1098" s="312"/>
      <c r="J1098" s="248">
        <f t="shared" si="124"/>
        <v>16</v>
      </c>
      <c r="K1098" s="330">
        <f t="shared" si="125"/>
        <v>-7</v>
      </c>
      <c r="L1098" s="313"/>
      <c r="M1098" s="228">
        <f t="shared" si="126"/>
        <v>16</v>
      </c>
      <c r="N1098" s="228">
        <f t="shared" si="130"/>
        <v>0</v>
      </c>
      <c r="O1098" s="228">
        <f t="shared" si="131"/>
        <v>0</v>
      </c>
      <c r="P1098" s="228">
        <f t="shared" si="131"/>
        <v>0</v>
      </c>
      <c r="Q1098" s="228">
        <f t="shared" si="127"/>
        <v>16</v>
      </c>
      <c r="R1098" s="343">
        <f t="shared" si="128"/>
        <v>-7</v>
      </c>
      <c r="S1098" s="240"/>
      <c r="T1098" s="201"/>
      <c r="U1098" s="201"/>
      <c r="V1098" s="201"/>
    </row>
    <row r="1099" spans="1:22" ht="15.75" x14ac:dyDescent="0.25">
      <c r="A1099" s="234" t="s">
        <v>1715</v>
      </c>
      <c r="B1099" s="235" t="s">
        <v>1716</v>
      </c>
      <c r="C1099" s="234" t="s">
        <v>9</v>
      </c>
      <c r="D1099" s="312">
        <v>26</v>
      </c>
      <c r="E1099" s="312"/>
      <c r="F1099" s="248">
        <f t="shared" si="129"/>
        <v>18</v>
      </c>
      <c r="G1099" s="312"/>
      <c r="H1099" s="312"/>
      <c r="I1099" s="312"/>
      <c r="J1099" s="248">
        <f t="shared" si="124"/>
        <v>18</v>
      </c>
      <c r="K1099" s="330">
        <f t="shared" si="125"/>
        <v>-8</v>
      </c>
      <c r="L1099" s="313"/>
      <c r="M1099" s="228">
        <f t="shared" si="126"/>
        <v>18</v>
      </c>
      <c r="N1099" s="228">
        <f t="shared" si="130"/>
        <v>0</v>
      </c>
      <c r="O1099" s="228">
        <f t="shared" si="131"/>
        <v>0</v>
      </c>
      <c r="P1099" s="228">
        <f t="shared" si="131"/>
        <v>0</v>
      </c>
      <c r="Q1099" s="228">
        <f t="shared" si="127"/>
        <v>18</v>
      </c>
      <c r="R1099" s="343">
        <f t="shared" si="128"/>
        <v>-8</v>
      </c>
      <c r="S1099" s="240"/>
      <c r="T1099" s="201"/>
      <c r="U1099" s="201"/>
      <c r="V1099" s="201"/>
    </row>
    <row r="1100" spans="1:22" ht="15.75" x14ac:dyDescent="0.25">
      <c r="A1100" s="234" t="s">
        <v>1717</v>
      </c>
      <c r="B1100" s="235" t="s">
        <v>1718</v>
      </c>
      <c r="C1100" s="234" t="s">
        <v>9</v>
      </c>
      <c r="D1100" s="312">
        <v>28</v>
      </c>
      <c r="E1100" s="312"/>
      <c r="F1100" s="248"/>
      <c r="G1100" s="312"/>
      <c r="H1100" s="312"/>
      <c r="I1100" s="312"/>
      <c r="J1100" s="248">
        <f t="shared" si="124"/>
        <v>0</v>
      </c>
      <c r="K1100" s="330">
        <f t="shared" si="125"/>
        <v>-28</v>
      </c>
      <c r="L1100" s="313"/>
      <c r="M1100" s="228">
        <f t="shared" si="126"/>
        <v>0</v>
      </c>
      <c r="N1100" s="228">
        <f t="shared" si="130"/>
        <v>0</v>
      </c>
      <c r="O1100" s="228">
        <f t="shared" si="131"/>
        <v>0</v>
      </c>
      <c r="P1100" s="228">
        <f t="shared" si="131"/>
        <v>0</v>
      </c>
      <c r="Q1100" s="228">
        <f t="shared" si="127"/>
        <v>0</v>
      </c>
      <c r="R1100" s="343">
        <f t="shared" si="128"/>
        <v>-28</v>
      </c>
      <c r="S1100" s="240"/>
      <c r="T1100" s="201"/>
      <c r="U1100" s="201"/>
      <c r="V1100" s="201"/>
    </row>
    <row r="1101" spans="1:22" ht="15.75" x14ac:dyDescent="0.25">
      <c r="A1101" s="234" t="s">
        <v>1719</v>
      </c>
      <c r="B1101" s="235" t="s">
        <v>1720</v>
      </c>
      <c r="C1101" s="234" t="s">
        <v>14</v>
      </c>
      <c r="D1101" s="312">
        <v>0.15</v>
      </c>
      <c r="E1101" s="312"/>
      <c r="F1101" s="248">
        <f>(D1101*$U$967)</f>
        <v>0.105</v>
      </c>
      <c r="G1101" s="312"/>
      <c r="H1101" s="312"/>
      <c r="I1101" s="312"/>
      <c r="J1101" s="248">
        <f t="shared" si="124"/>
        <v>0.105</v>
      </c>
      <c r="K1101" s="330">
        <f t="shared" si="125"/>
        <v>-4.4999999999999998E-2</v>
      </c>
      <c r="L1101" s="313"/>
      <c r="M1101" s="228">
        <f t="shared" si="126"/>
        <v>0.105</v>
      </c>
      <c r="N1101" s="228">
        <f t="shared" si="130"/>
        <v>0</v>
      </c>
      <c r="O1101" s="228">
        <f t="shared" si="131"/>
        <v>0</v>
      </c>
      <c r="P1101" s="228">
        <f t="shared" si="131"/>
        <v>0</v>
      </c>
      <c r="Q1101" s="228">
        <f t="shared" si="127"/>
        <v>0.105</v>
      </c>
      <c r="R1101" s="343">
        <f t="shared" si="128"/>
        <v>-4.4999999999999998E-2</v>
      </c>
      <c r="S1101" s="240"/>
      <c r="T1101" s="201"/>
      <c r="U1101" s="201"/>
      <c r="V1101" s="201"/>
    </row>
    <row r="1102" spans="1:22" ht="15.75" x14ac:dyDescent="0.25">
      <c r="A1102" s="234" t="s">
        <v>1721</v>
      </c>
      <c r="B1102" s="235" t="s">
        <v>1722</v>
      </c>
      <c r="C1102" s="234" t="s">
        <v>14</v>
      </c>
      <c r="D1102" s="312">
        <v>0.6</v>
      </c>
      <c r="E1102" s="312"/>
      <c r="F1102" s="248">
        <f>(D1102*$U$967)</f>
        <v>0.42</v>
      </c>
      <c r="G1102" s="312"/>
      <c r="H1102" s="312"/>
      <c r="I1102" s="312"/>
      <c r="J1102" s="248">
        <f t="shared" si="124"/>
        <v>0.42</v>
      </c>
      <c r="K1102" s="330">
        <f t="shared" si="125"/>
        <v>-0.18</v>
      </c>
      <c r="L1102" s="313"/>
      <c r="M1102" s="228">
        <f t="shared" si="126"/>
        <v>0.42</v>
      </c>
      <c r="N1102" s="228">
        <f t="shared" si="130"/>
        <v>0</v>
      </c>
      <c r="O1102" s="228">
        <f t="shared" si="131"/>
        <v>0</v>
      </c>
      <c r="P1102" s="228">
        <f t="shared" si="131"/>
        <v>0</v>
      </c>
      <c r="Q1102" s="228">
        <f t="shared" si="127"/>
        <v>0.42</v>
      </c>
      <c r="R1102" s="343">
        <f t="shared" si="128"/>
        <v>-0.18</v>
      </c>
      <c r="S1102" s="240"/>
      <c r="T1102" s="201"/>
      <c r="U1102" s="201"/>
      <c r="V1102" s="201"/>
    </row>
    <row r="1103" spans="1:22" ht="15.75" x14ac:dyDescent="0.25">
      <c r="A1103" s="234" t="s">
        <v>1723</v>
      </c>
      <c r="B1103" s="235" t="s">
        <v>1724</v>
      </c>
      <c r="C1103" s="234" t="s">
        <v>14</v>
      </c>
      <c r="D1103" s="312">
        <v>1.2</v>
      </c>
      <c r="E1103" s="312"/>
      <c r="F1103" s="248">
        <f>(D1103*$U$967)</f>
        <v>0.84</v>
      </c>
      <c r="G1103" s="312"/>
      <c r="H1103" s="312"/>
      <c r="I1103" s="312"/>
      <c r="J1103" s="248">
        <f t="shared" si="124"/>
        <v>0.84</v>
      </c>
      <c r="K1103" s="330">
        <f t="shared" si="125"/>
        <v>-0.36</v>
      </c>
      <c r="L1103" s="313"/>
      <c r="M1103" s="228">
        <f t="shared" si="126"/>
        <v>0.84</v>
      </c>
      <c r="N1103" s="228">
        <f t="shared" si="130"/>
        <v>0</v>
      </c>
      <c r="O1103" s="228">
        <f t="shared" si="131"/>
        <v>0</v>
      </c>
      <c r="P1103" s="228">
        <f t="shared" si="131"/>
        <v>0</v>
      </c>
      <c r="Q1103" s="228">
        <f t="shared" si="127"/>
        <v>0.84</v>
      </c>
      <c r="R1103" s="343">
        <f t="shared" si="128"/>
        <v>-0.36</v>
      </c>
      <c r="S1103" s="240"/>
      <c r="T1103" s="201"/>
      <c r="U1103" s="201"/>
      <c r="V1103" s="201"/>
    </row>
    <row r="1104" spans="1:22" ht="15.75" x14ac:dyDescent="0.25">
      <c r="A1104" s="234" t="s">
        <v>1725</v>
      </c>
      <c r="B1104" s="235" t="s">
        <v>1726</v>
      </c>
      <c r="C1104" s="234" t="s">
        <v>14</v>
      </c>
      <c r="D1104" s="312">
        <v>7.9</v>
      </c>
      <c r="E1104" s="312"/>
      <c r="F1104" s="248">
        <f>(D1104*$U$967)</f>
        <v>5.53</v>
      </c>
      <c r="G1104" s="312"/>
      <c r="H1104" s="312"/>
      <c r="I1104" s="312"/>
      <c r="J1104" s="248">
        <f t="shared" si="124"/>
        <v>5.53</v>
      </c>
      <c r="K1104" s="330">
        <f t="shared" si="125"/>
        <v>-2.37</v>
      </c>
      <c r="L1104" s="313"/>
      <c r="M1104" s="228">
        <f t="shared" si="126"/>
        <v>5.53</v>
      </c>
      <c r="N1104" s="228">
        <f t="shared" si="130"/>
        <v>0</v>
      </c>
      <c r="O1104" s="228">
        <f t="shared" si="131"/>
        <v>0</v>
      </c>
      <c r="P1104" s="228">
        <f t="shared" si="131"/>
        <v>0</v>
      </c>
      <c r="Q1104" s="228">
        <f t="shared" si="127"/>
        <v>5.53</v>
      </c>
      <c r="R1104" s="343">
        <f t="shared" si="128"/>
        <v>-2.37</v>
      </c>
      <c r="S1104" s="240"/>
      <c r="T1104" s="201"/>
      <c r="U1104" s="201"/>
      <c r="V1104" s="201"/>
    </row>
    <row r="1105" spans="1:22" ht="15.75" x14ac:dyDescent="0.25">
      <c r="A1105" s="234" t="s">
        <v>1727</v>
      </c>
      <c r="B1105" s="235" t="s">
        <v>1728</v>
      </c>
      <c r="C1105" s="234" t="s">
        <v>9</v>
      </c>
      <c r="D1105" s="312">
        <v>1.5</v>
      </c>
      <c r="E1105" s="312"/>
      <c r="F1105" s="248">
        <f t="shared" ref="F1105:F1114" si="132">INT(D1105*$U$970)</f>
        <v>1</v>
      </c>
      <c r="G1105" s="312"/>
      <c r="H1105" s="312"/>
      <c r="I1105" s="312"/>
      <c r="J1105" s="248">
        <f t="shared" si="124"/>
        <v>1</v>
      </c>
      <c r="K1105" s="330">
        <f t="shared" si="125"/>
        <v>-0.5</v>
      </c>
      <c r="L1105" s="313"/>
      <c r="M1105" s="228">
        <f t="shared" si="126"/>
        <v>1</v>
      </c>
      <c r="N1105" s="228">
        <f t="shared" si="130"/>
        <v>0</v>
      </c>
      <c r="O1105" s="228">
        <f t="shared" si="131"/>
        <v>0</v>
      </c>
      <c r="P1105" s="228">
        <f t="shared" si="131"/>
        <v>0</v>
      </c>
      <c r="Q1105" s="228">
        <f t="shared" si="127"/>
        <v>1</v>
      </c>
      <c r="R1105" s="343">
        <f t="shared" si="128"/>
        <v>-0.5</v>
      </c>
      <c r="S1105" s="240"/>
      <c r="T1105" s="201"/>
      <c r="U1105" s="201"/>
      <c r="V1105" s="201"/>
    </row>
    <row r="1106" spans="1:22" ht="15.75" x14ac:dyDescent="0.25">
      <c r="A1106" s="234" t="s">
        <v>1729</v>
      </c>
      <c r="B1106" s="235" t="s">
        <v>1730</v>
      </c>
      <c r="C1106" s="234" t="s">
        <v>9</v>
      </c>
      <c r="D1106" s="312">
        <v>79</v>
      </c>
      <c r="E1106" s="312"/>
      <c r="F1106" s="248">
        <f t="shared" si="132"/>
        <v>55</v>
      </c>
      <c r="G1106" s="312"/>
      <c r="H1106" s="312"/>
      <c r="I1106" s="312"/>
      <c r="J1106" s="248">
        <f t="shared" si="124"/>
        <v>55</v>
      </c>
      <c r="K1106" s="330">
        <f t="shared" si="125"/>
        <v>-24</v>
      </c>
      <c r="L1106" s="313"/>
      <c r="M1106" s="228">
        <f t="shared" si="126"/>
        <v>55</v>
      </c>
      <c r="N1106" s="228">
        <f t="shared" si="130"/>
        <v>0</v>
      </c>
      <c r="O1106" s="228">
        <f t="shared" si="131"/>
        <v>0</v>
      </c>
      <c r="P1106" s="228">
        <f t="shared" si="131"/>
        <v>0</v>
      </c>
      <c r="Q1106" s="228">
        <f t="shared" si="127"/>
        <v>55</v>
      </c>
      <c r="R1106" s="343">
        <f t="shared" si="128"/>
        <v>-24</v>
      </c>
      <c r="S1106" s="240"/>
      <c r="T1106" s="201"/>
      <c r="U1106" s="201"/>
      <c r="V1106" s="201"/>
    </row>
    <row r="1107" spans="1:22" ht="15.75" x14ac:dyDescent="0.25">
      <c r="A1107" s="234" t="s">
        <v>1731</v>
      </c>
      <c r="B1107" s="235" t="s">
        <v>1732</v>
      </c>
      <c r="C1107" s="234" t="s">
        <v>9</v>
      </c>
      <c r="D1107" s="312">
        <v>49</v>
      </c>
      <c r="E1107" s="312"/>
      <c r="F1107" s="248">
        <f t="shared" si="132"/>
        <v>34</v>
      </c>
      <c r="G1107" s="312"/>
      <c r="H1107" s="312"/>
      <c r="I1107" s="312"/>
      <c r="J1107" s="248">
        <f t="shared" si="124"/>
        <v>34</v>
      </c>
      <c r="K1107" s="330">
        <f t="shared" si="125"/>
        <v>-15</v>
      </c>
      <c r="L1107" s="313"/>
      <c r="M1107" s="228">
        <f t="shared" si="126"/>
        <v>34</v>
      </c>
      <c r="N1107" s="228">
        <f t="shared" si="130"/>
        <v>0</v>
      </c>
      <c r="O1107" s="228">
        <f t="shared" si="131"/>
        <v>0</v>
      </c>
      <c r="P1107" s="228">
        <f t="shared" si="131"/>
        <v>0</v>
      </c>
      <c r="Q1107" s="228">
        <f t="shared" si="127"/>
        <v>34</v>
      </c>
      <c r="R1107" s="343">
        <f t="shared" si="128"/>
        <v>-15</v>
      </c>
      <c r="S1107" s="240"/>
      <c r="T1107" s="201"/>
      <c r="U1107" s="201"/>
      <c r="V1107" s="201"/>
    </row>
    <row r="1108" spans="1:22" ht="15.75" x14ac:dyDescent="0.25">
      <c r="A1108" s="234" t="s">
        <v>1733</v>
      </c>
      <c r="B1108" s="235" t="s">
        <v>1734</v>
      </c>
      <c r="C1108" s="234" t="s">
        <v>9</v>
      </c>
      <c r="D1108" s="312">
        <v>1</v>
      </c>
      <c r="E1108" s="312"/>
      <c r="F1108" s="248">
        <f t="shared" si="132"/>
        <v>0</v>
      </c>
      <c r="G1108" s="312"/>
      <c r="H1108" s="312"/>
      <c r="I1108" s="312"/>
      <c r="J1108" s="248">
        <f t="shared" si="124"/>
        <v>0</v>
      </c>
      <c r="K1108" s="330">
        <f t="shared" si="125"/>
        <v>-1</v>
      </c>
      <c r="L1108" s="313"/>
      <c r="M1108" s="228">
        <f t="shared" si="126"/>
        <v>0</v>
      </c>
      <c r="N1108" s="228">
        <f t="shared" si="130"/>
        <v>0</v>
      </c>
      <c r="O1108" s="228">
        <f t="shared" si="131"/>
        <v>0</v>
      </c>
      <c r="P1108" s="228">
        <f t="shared" si="131"/>
        <v>0</v>
      </c>
      <c r="Q1108" s="228">
        <f t="shared" si="127"/>
        <v>0</v>
      </c>
      <c r="R1108" s="343">
        <f t="shared" si="128"/>
        <v>-1</v>
      </c>
      <c r="S1108" s="240"/>
      <c r="T1108" s="201"/>
      <c r="U1108" s="201"/>
      <c r="V1108" s="201"/>
    </row>
    <row r="1109" spans="1:22" ht="15.75" x14ac:dyDescent="0.25">
      <c r="A1109" s="234" t="s">
        <v>1735</v>
      </c>
      <c r="B1109" s="235" t="s">
        <v>1736</v>
      </c>
      <c r="C1109" s="234" t="s">
        <v>9</v>
      </c>
      <c r="D1109" s="312">
        <v>332</v>
      </c>
      <c r="E1109" s="312"/>
      <c r="F1109" s="248">
        <f t="shared" si="132"/>
        <v>232</v>
      </c>
      <c r="G1109" s="312"/>
      <c r="H1109" s="312"/>
      <c r="I1109" s="312"/>
      <c r="J1109" s="248">
        <f t="shared" si="124"/>
        <v>232</v>
      </c>
      <c r="K1109" s="330">
        <f t="shared" si="125"/>
        <v>-100</v>
      </c>
      <c r="L1109" s="313"/>
      <c r="M1109" s="228">
        <f t="shared" si="126"/>
        <v>232</v>
      </c>
      <c r="N1109" s="228">
        <f t="shared" si="130"/>
        <v>0</v>
      </c>
      <c r="O1109" s="228">
        <f t="shared" si="131"/>
        <v>0</v>
      </c>
      <c r="P1109" s="228">
        <f t="shared" si="131"/>
        <v>0</v>
      </c>
      <c r="Q1109" s="228">
        <f t="shared" si="127"/>
        <v>232</v>
      </c>
      <c r="R1109" s="343">
        <f t="shared" si="128"/>
        <v>-100</v>
      </c>
      <c r="S1109" s="240"/>
      <c r="T1109" s="201"/>
      <c r="U1109" s="201"/>
      <c r="V1109" s="201"/>
    </row>
    <row r="1110" spans="1:22" ht="15.75" x14ac:dyDescent="0.25">
      <c r="A1110" s="234" t="s">
        <v>1737</v>
      </c>
      <c r="B1110" s="235" t="s">
        <v>1738</v>
      </c>
      <c r="C1110" s="234" t="s">
        <v>9</v>
      </c>
      <c r="D1110" s="312">
        <v>2</v>
      </c>
      <c r="E1110" s="312"/>
      <c r="F1110" s="248">
        <f t="shared" si="132"/>
        <v>1</v>
      </c>
      <c r="G1110" s="312"/>
      <c r="H1110" s="312"/>
      <c r="I1110" s="312"/>
      <c r="J1110" s="248">
        <f t="shared" si="124"/>
        <v>1</v>
      </c>
      <c r="K1110" s="330">
        <f t="shared" si="125"/>
        <v>-1</v>
      </c>
      <c r="L1110" s="313"/>
      <c r="M1110" s="228">
        <f t="shared" si="126"/>
        <v>1</v>
      </c>
      <c r="N1110" s="228">
        <f t="shared" si="130"/>
        <v>0</v>
      </c>
      <c r="O1110" s="228">
        <f t="shared" si="131"/>
        <v>0</v>
      </c>
      <c r="P1110" s="228">
        <f t="shared" si="131"/>
        <v>0</v>
      </c>
      <c r="Q1110" s="228">
        <f t="shared" si="127"/>
        <v>1</v>
      </c>
      <c r="R1110" s="343">
        <f t="shared" si="128"/>
        <v>-1</v>
      </c>
      <c r="S1110" s="240"/>
      <c r="T1110" s="201"/>
      <c r="U1110" s="201"/>
      <c r="V1110" s="201"/>
    </row>
    <row r="1111" spans="1:22" ht="15.75" x14ac:dyDescent="0.25">
      <c r="A1111" s="234" t="s">
        <v>1739</v>
      </c>
      <c r="B1111" s="235" t="s">
        <v>1740</v>
      </c>
      <c r="C1111" s="234" t="s">
        <v>9</v>
      </c>
      <c r="D1111" s="312">
        <v>12</v>
      </c>
      <c r="E1111" s="312"/>
      <c r="F1111" s="248">
        <f t="shared" si="132"/>
        <v>8</v>
      </c>
      <c r="G1111" s="312"/>
      <c r="H1111" s="312"/>
      <c r="I1111" s="312"/>
      <c r="J1111" s="248">
        <f t="shared" si="124"/>
        <v>8</v>
      </c>
      <c r="K1111" s="330">
        <f t="shared" si="125"/>
        <v>-4</v>
      </c>
      <c r="L1111" s="313"/>
      <c r="M1111" s="228">
        <f t="shared" si="126"/>
        <v>8</v>
      </c>
      <c r="N1111" s="228">
        <f t="shared" si="130"/>
        <v>0</v>
      </c>
      <c r="O1111" s="228">
        <f t="shared" si="131"/>
        <v>0</v>
      </c>
      <c r="P1111" s="228">
        <f t="shared" si="131"/>
        <v>0</v>
      </c>
      <c r="Q1111" s="228">
        <f t="shared" si="127"/>
        <v>8</v>
      </c>
      <c r="R1111" s="343">
        <f t="shared" si="128"/>
        <v>-4</v>
      </c>
      <c r="S1111" s="240"/>
      <c r="T1111" s="201"/>
      <c r="U1111" s="201"/>
      <c r="V1111" s="201"/>
    </row>
    <row r="1112" spans="1:22" ht="15.75" x14ac:dyDescent="0.25">
      <c r="A1112" s="234" t="s">
        <v>1741</v>
      </c>
      <c r="B1112" s="235" t="s">
        <v>1742</v>
      </c>
      <c r="C1112" s="234" t="s">
        <v>9</v>
      </c>
      <c r="D1112" s="312">
        <v>28</v>
      </c>
      <c r="E1112" s="312"/>
      <c r="F1112" s="248">
        <f t="shared" si="132"/>
        <v>19</v>
      </c>
      <c r="G1112" s="312"/>
      <c r="H1112" s="312"/>
      <c r="I1112" s="312"/>
      <c r="J1112" s="248">
        <f t="shared" si="124"/>
        <v>19</v>
      </c>
      <c r="K1112" s="330">
        <f t="shared" si="125"/>
        <v>-9</v>
      </c>
      <c r="L1112" s="313"/>
      <c r="M1112" s="228">
        <f t="shared" si="126"/>
        <v>19</v>
      </c>
      <c r="N1112" s="228">
        <f t="shared" si="130"/>
        <v>0</v>
      </c>
      <c r="O1112" s="228">
        <f t="shared" si="131"/>
        <v>0</v>
      </c>
      <c r="P1112" s="228">
        <f t="shared" si="131"/>
        <v>0</v>
      </c>
      <c r="Q1112" s="228">
        <f t="shared" si="127"/>
        <v>19</v>
      </c>
      <c r="R1112" s="343">
        <f t="shared" si="128"/>
        <v>-9</v>
      </c>
      <c r="S1112" s="240"/>
      <c r="T1112" s="201"/>
      <c r="U1112" s="201"/>
      <c r="V1112" s="201"/>
    </row>
    <row r="1113" spans="1:22" ht="15.75" x14ac:dyDescent="0.25">
      <c r="A1113" s="234" t="s">
        <v>1743</v>
      </c>
      <c r="B1113" s="235" t="s">
        <v>1744</v>
      </c>
      <c r="C1113" s="234" t="s">
        <v>9</v>
      </c>
      <c r="D1113" s="312">
        <v>24</v>
      </c>
      <c r="E1113" s="312"/>
      <c r="F1113" s="248">
        <f t="shared" si="132"/>
        <v>16</v>
      </c>
      <c r="G1113" s="312"/>
      <c r="H1113" s="312"/>
      <c r="I1113" s="312"/>
      <c r="J1113" s="248">
        <f t="shared" si="124"/>
        <v>16</v>
      </c>
      <c r="K1113" s="330">
        <f t="shared" si="125"/>
        <v>-8</v>
      </c>
      <c r="L1113" s="313"/>
      <c r="M1113" s="228">
        <f t="shared" si="126"/>
        <v>16</v>
      </c>
      <c r="N1113" s="228">
        <f t="shared" si="130"/>
        <v>0</v>
      </c>
      <c r="O1113" s="228">
        <f t="shared" si="131"/>
        <v>0</v>
      </c>
      <c r="P1113" s="228">
        <f t="shared" si="131"/>
        <v>0</v>
      </c>
      <c r="Q1113" s="228">
        <f t="shared" si="127"/>
        <v>16</v>
      </c>
      <c r="R1113" s="343">
        <f t="shared" si="128"/>
        <v>-8</v>
      </c>
      <c r="S1113" s="240"/>
      <c r="T1113" s="201"/>
      <c r="U1113" s="201"/>
      <c r="V1113" s="201"/>
    </row>
    <row r="1114" spans="1:22" ht="15.75" x14ac:dyDescent="0.25">
      <c r="A1114" s="234" t="s">
        <v>1745</v>
      </c>
      <c r="B1114" s="235" t="s">
        <v>1746</v>
      </c>
      <c r="C1114" s="234" t="s">
        <v>9</v>
      </c>
      <c r="D1114" s="312">
        <v>18</v>
      </c>
      <c r="E1114" s="312"/>
      <c r="F1114" s="248">
        <f t="shared" si="132"/>
        <v>12</v>
      </c>
      <c r="G1114" s="312"/>
      <c r="H1114" s="312"/>
      <c r="I1114" s="312"/>
      <c r="J1114" s="248">
        <f t="shared" si="124"/>
        <v>12</v>
      </c>
      <c r="K1114" s="330">
        <f t="shared" si="125"/>
        <v>-6</v>
      </c>
      <c r="L1114" s="313"/>
      <c r="M1114" s="228">
        <f t="shared" si="126"/>
        <v>12</v>
      </c>
      <c r="N1114" s="228">
        <f t="shared" si="130"/>
        <v>0</v>
      </c>
      <c r="O1114" s="228">
        <f t="shared" si="131"/>
        <v>0</v>
      </c>
      <c r="P1114" s="228">
        <f t="shared" si="131"/>
        <v>0</v>
      </c>
      <c r="Q1114" s="228">
        <f t="shared" si="127"/>
        <v>12</v>
      </c>
      <c r="R1114" s="343">
        <f t="shared" si="128"/>
        <v>-6</v>
      </c>
      <c r="S1114" s="240"/>
      <c r="T1114" s="201"/>
      <c r="U1114" s="201"/>
      <c r="V1114" s="201"/>
    </row>
    <row r="1115" spans="1:22" ht="15.75" x14ac:dyDescent="0.25">
      <c r="A1115" s="234" t="s">
        <v>1747</v>
      </c>
      <c r="B1115" s="235" t="s">
        <v>1748</v>
      </c>
      <c r="C1115" s="234" t="s">
        <v>9</v>
      </c>
      <c r="D1115" s="312">
        <v>2</v>
      </c>
      <c r="E1115" s="312"/>
      <c r="F1115" s="248"/>
      <c r="G1115" s="312"/>
      <c r="H1115" s="312"/>
      <c r="I1115" s="312"/>
      <c r="J1115" s="248">
        <f t="shared" si="124"/>
        <v>0</v>
      </c>
      <c r="K1115" s="330">
        <f t="shared" si="125"/>
        <v>-2</v>
      </c>
      <c r="L1115" s="313"/>
      <c r="M1115" s="228">
        <f t="shared" si="126"/>
        <v>0</v>
      </c>
      <c r="N1115" s="228">
        <f t="shared" si="130"/>
        <v>0</v>
      </c>
      <c r="O1115" s="228">
        <f t="shared" si="131"/>
        <v>0</v>
      </c>
      <c r="P1115" s="228">
        <f t="shared" si="131"/>
        <v>0</v>
      </c>
      <c r="Q1115" s="228">
        <f t="shared" si="127"/>
        <v>0</v>
      </c>
      <c r="R1115" s="343">
        <f t="shared" si="128"/>
        <v>-2</v>
      </c>
      <c r="S1115" s="240"/>
      <c r="T1115" s="201"/>
      <c r="U1115" s="201"/>
      <c r="V1115" s="201"/>
    </row>
    <row r="1116" spans="1:22" ht="15.75" x14ac:dyDescent="0.25">
      <c r="A1116" s="234" t="s">
        <v>1749</v>
      </c>
      <c r="B1116" s="235" t="s">
        <v>1750</v>
      </c>
      <c r="C1116" s="234" t="s">
        <v>14</v>
      </c>
      <c r="D1116" s="312">
        <v>1.49</v>
      </c>
      <c r="E1116" s="312"/>
      <c r="F1116" s="248">
        <f>(D1116*$U$967)</f>
        <v>1.0429999999999999</v>
      </c>
      <c r="G1116" s="312"/>
      <c r="H1116" s="312"/>
      <c r="I1116" s="312"/>
      <c r="J1116" s="248">
        <f t="shared" si="124"/>
        <v>1.0429999999999999</v>
      </c>
      <c r="K1116" s="330">
        <f t="shared" si="125"/>
        <v>-0.44700000000000006</v>
      </c>
      <c r="L1116" s="313"/>
      <c r="M1116" s="228">
        <f t="shared" si="126"/>
        <v>1.0429999999999999</v>
      </c>
      <c r="N1116" s="228">
        <f t="shared" si="130"/>
        <v>0</v>
      </c>
      <c r="O1116" s="228">
        <f t="shared" si="131"/>
        <v>0</v>
      </c>
      <c r="P1116" s="228">
        <f t="shared" si="131"/>
        <v>0</v>
      </c>
      <c r="Q1116" s="228">
        <f t="shared" si="127"/>
        <v>1.0429999999999999</v>
      </c>
      <c r="R1116" s="343">
        <f t="shared" si="128"/>
        <v>-0.44700000000000006</v>
      </c>
      <c r="S1116" s="240"/>
      <c r="T1116" s="201"/>
      <c r="U1116" s="201"/>
      <c r="V1116" s="201"/>
    </row>
    <row r="1117" spans="1:22" ht="15.75" x14ac:dyDescent="0.25">
      <c r="A1117" s="234" t="s">
        <v>1751</v>
      </c>
      <c r="B1117" s="235" t="s">
        <v>1752</v>
      </c>
      <c r="C1117" s="234" t="s">
        <v>14</v>
      </c>
      <c r="D1117" s="312">
        <v>1.48</v>
      </c>
      <c r="E1117" s="312"/>
      <c r="F1117" s="248">
        <f>(D1117*$U$967)</f>
        <v>1.036</v>
      </c>
      <c r="G1117" s="312"/>
      <c r="H1117" s="312"/>
      <c r="I1117" s="312"/>
      <c r="J1117" s="248">
        <f t="shared" si="124"/>
        <v>1.036</v>
      </c>
      <c r="K1117" s="330">
        <f t="shared" si="125"/>
        <v>-0.44399999999999995</v>
      </c>
      <c r="L1117" s="313"/>
      <c r="M1117" s="228">
        <f t="shared" si="126"/>
        <v>1.036</v>
      </c>
      <c r="N1117" s="228">
        <f t="shared" si="130"/>
        <v>0</v>
      </c>
      <c r="O1117" s="228">
        <f t="shared" si="131"/>
        <v>0</v>
      </c>
      <c r="P1117" s="228">
        <f t="shared" si="131"/>
        <v>0</v>
      </c>
      <c r="Q1117" s="228">
        <f t="shared" si="127"/>
        <v>1.036</v>
      </c>
      <c r="R1117" s="343">
        <f t="shared" si="128"/>
        <v>-0.44399999999999995</v>
      </c>
      <c r="S1117" s="240"/>
      <c r="T1117" s="201"/>
      <c r="U1117" s="201"/>
      <c r="V1117" s="201"/>
    </row>
    <row r="1118" spans="1:22" ht="15.75" x14ac:dyDescent="0.25">
      <c r="A1118" s="234" t="s">
        <v>1753</v>
      </c>
      <c r="B1118" s="235" t="s">
        <v>1754</v>
      </c>
      <c r="C1118" s="234" t="s">
        <v>14</v>
      </c>
      <c r="D1118" s="312">
        <v>9.24</v>
      </c>
      <c r="E1118" s="312"/>
      <c r="F1118" s="248">
        <f>(D1118*$U$967)</f>
        <v>6.468</v>
      </c>
      <c r="G1118" s="312"/>
      <c r="H1118" s="312"/>
      <c r="I1118" s="312"/>
      <c r="J1118" s="248">
        <f t="shared" si="124"/>
        <v>6.468</v>
      </c>
      <c r="K1118" s="330">
        <f t="shared" si="125"/>
        <v>-2.7720000000000002</v>
      </c>
      <c r="L1118" s="313"/>
      <c r="M1118" s="228">
        <f t="shared" si="126"/>
        <v>6.468</v>
      </c>
      <c r="N1118" s="228">
        <f t="shared" si="130"/>
        <v>0</v>
      </c>
      <c r="O1118" s="228">
        <f t="shared" si="131"/>
        <v>0</v>
      </c>
      <c r="P1118" s="228">
        <f t="shared" si="131"/>
        <v>0</v>
      </c>
      <c r="Q1118" s="228">
        <f t="shared" si="127"/>
        <v>6.468</v>
      </c>
      <c r="R1118" s="343">
        <f t="shared" si="128"/>
        <v>-2.7720000000000002</v>
      </c>
      <c r="S1118" s="240"/>
      <c r="T1118" s="201"/>
      <c r="U1118" s="201"/>
      <c r="V1118" s="201"/>
    </row>
    <row r="1119" spans="1:22" ht="15.75" x14ac:dyDescent="0.25">
      <c r="A1119" s="234" t="s">
        <v>1755</v>
      </c>
      <c r="B1119" s="235" t="s">
        <v>1756</v>
      </c>
      <c r="C1119" s="234" t="s">
        <v>14</v>
      </c>
      <c r="D1119" s="312">
        <v>2.4900000000000002</v>
      </c>
      <c r="E1119" s="312"/>
      <c r="F1119" s="248">
        <f>(D1119*$U$967)</f>
        <v>1.7430000000000001</v>
      </c>
      <c r="G1119" s="312"/>
      <c r="H1119" s="312"/>
      <c r="I1119" s="312"/>
      <c r="J1119" s="248">
        <f t="shared" si="124"/>
        <v>1.7430000000000001</v>
      </c>
      <c r="K1119" s="330">
        <f t="shared" si="125"/>
        <v>-0.74700000000000011</v>
      </c>
      <c r="L1119" s="313"/>
      <c r="M1119" s="228">
        <f t="shared" si="126"/>
        <v>1.7430000000000001</v>
      </c>
      <c r="N1119" s="228">
        <f t="shared" si="130"/>
        <v>0</v>
      </c>
      <c r="O1119" s="228">
        <f t="shared" si="131"/>
        <v>0</v>
      </c>
      <c r="P1119" s="228">
        <f t="shared" si="131"/>
        <v>0</v>
      </c>
      <c r="Q1119" s="228">
        <f t="shared" si="127"/>
        <v>1.7430000000000001</v>
      </c>
      <c r="R1119" s="343">
        <f t="shared" si="128"/>
        <v>-0.74700000000000011</v>
      </c>
      <c r="S1119" s="240"/>
      <c r="T1119" s="201"/>
      <c r="U1119" s="201"/>
      <c r="V1119" s="201"/>
    </row>
    <row r="1120" spans="1:22" ht="15.75" x14ac:dyDescent="0.25">
      <c r="A1120" s="234" t="s">
        <v>1757</v>
      </c>
      <c r="B1120" s="235" t="s">
        <v>1694</v>
      </c>
      <c r="C1120" s="234" t="s">
        <v>9</v>
      </c>
      <c r="D1120" s="312">
        <v>14.9</v>
      </c>
      <c r="E1120" s="312"/>
      <c r="F1120" s="248">
        <f t="shared" ref="F1120:F1134" si="133">INT(D1120*$U$970)</f>
        <v>10</v>
      </c>
      <c r="G1120" s="312"/>
      <c r="H1120" s="312"/>
      <c r="I1120" s="312"/>
      <c r="J1120" s="248">
        <f t="shared" si="124"/>
        <v>10</v>
      </c>
      <c r="K1120" s="330">
        <f t="shared" si="125"/>
        <v>-4.9000000000000004</v>
      </c>
      <c r="L1120" s="313"/>
      <c r="M1120" s="228">
        <f t="shared" si="126"/>
        <v>10</v>
      </c>
      <c r="N1120" s="228">
        <f t="shared" si="130"/>
        <v>0</v>
      </c>
      <c r="O1120" s="228">
        <f t="shared" si="131"/>
        <v>0</v>
      </c>
      <c r="P1120" s="228">
        <f t="shared" si="131"/>
        <v>0</v>
      </c>
      <c r="Q1120" s="228">
        <f t="shared" si="127"/>
        <v>10</v>
      </c>
      <c r="R1120" s="343">
        <f t="shared" si="128"/>
        <v>-4.9000000000000004</v>
      </c>
      <c r="S1120" s="240"/>
      <c r="T1120" s="201"/>
      <c r="U1120" s="201"/>
      <c r="V1120" s="201"/>
    </row>
    <row r="1121" spans="1:22" ht="15.75" x14ac:dyDescent="0.25">
      <c r="A1121" s="234" t="s">
        <v>1758</v>
      </c>
      <c r="B1121" s="235" t="s">
        <v>1759</v>
      </c>
      <c r="C1121" s="234" t="s">
        <v>9</v>
      </c>
      <c r="D1121" s="312">
        <v>14.8</v>
      </c>
      <c r="E1121" s="312"/>
      <c r="F1121" s="248">
        <f t="shared" si="133"/>
        <v>10</v>
      </c>
      <c r="G1121" s="312"/>
      <c r="H1121" s="312"/>
      <c r="I1121" s="312"/>
      <c r="J1121" s="248">
        <f t="shared" si="124"/>
        <v>10</v>
      </c>
      <c r="K1121" s="330">
        <f t="shared" si="125"/>
        <v>-4.8000000000000007</v>
      </c>
      <c r="L1121" s="313"/>
      <c r="M1121" s="228">
        <f t="shared" si="126"/>
        <v>10</v>
      </c>
      <c r="N1121" s="228">
        <f t="shared" si="130"/>
        <v>0</v>
      </c>
      <c r="O1121" s="228">
        <f t="shared" si="131"/>
        <v>0</v>
      </c>
      <c r="P1121" s="228">
        <f t="shared" si="131"/>
        <v>0</v>
      </c>
      <c r="Q1121" s="228">
        <f t="shared" si="127"/>
        <v>10</v>
      </c>
      <c r="R1121" s="343">
        <f t="shared" si="128"/>
        <v>-4.8000000000000007</v>
      </c>
      <c r="S1121" s="240"/>
      <c r="T1121" s="201"/>
      <c r="U1121" s="201"/>
      <c r="V1121" s="201"/>
    </row>
    <row r="1122" spans="1:22" ht="15.75" x14ac:dyDescent="0.25">
      <c r="A1122" s="234" t="s">
        <v>1760</v>
      </c>
      <c r="B1122" s="235" t="s">
        <v>1698</v>
      </c>
      <c r="C1122" s="234" t="s">
        <v>9</v>
      </c>
      <c r="D1122" s="312">
        <v>92.4</v>
      </c>
      <c r="E1122" s="312"/>
      <c r="F1122" s="248">
        <f t="shared" si="133"/>
        <v>64</v>
      </c>
      <c r="G1122" s="312"/>
      <c r="H1122" s="312"/>
      <c r="I1122" s="312"/>
      <c r="J1122" s="248">
        <f t="shared" si="124"/>
        <v>64</v>
      </c>
      <c r="K1122" s="330">
        <f t="shared" si="125"/>
        <v>-28.400000000000006</v>
      </c>
      <c r="L1122" s="313"/>
      <c r="M1122" s="228">
        <f t="shared" si="126"/>
        <v>64</v>
      </c>
      <c r="N1122" s="228">
        <f t="shared" si="130"/>
        <v>0</v>
      </c>
      <c r="O1122" s="228">
        <f t="shared" si="131"/>
        <v>0</v>
      </c>
      <c r="P1122" s="228">
        <f t="shared" si="131"/>
        <v>0</v>
      </c>
      <c r="Q1122" s="228">
        <f t="shared" si="127"/>
        <v>64</v>
      </c>
      <c r="R1122" s="343">
        <f t="shared" si="128"/>
        <v>-28.400000000000006</v>
      </c>
      <c r="S1122" s="240"/>
      <c r="T1122" s="201"/>
      <c r="U1122" s="201"/>
      <c r="V1122" s="201"/>
    </row>
    <row r="1123" spans="1:22" ht="15.75" x14ac:dyDescent="0.25">
      <c r="A1123" s="234" t="s">
        <v>1761</v>
      </c>
      <c r="B1123" s="235" t="s">
        <v>1762</v>
      </c>
      <c r="C1123" s="234" t="s">
        <v>9</v>
      </c>
      <c r="D1123" s="312">
        <v>14</v>
      </c>
      <c r="E1123" s="312"/>
      <c r="F1123" s="248">
        <f t="shared" si="133"/>
        <v>9</v>
      </c>
      <c r="G1123" s="312"/>
      <c r="H1123" s="312"/>
      <c r="I1123" s="312"/>
      <c r="J1123" s="248">
        <f t="shared" si="124"/>
        <v>9</v>
      </c>
      <c r="K1123" s="330">
        <f t="shared" si="125"/>
        <v>-5</v>
      </c>
      <c r="L1123" s="313"/>
      <c r="M1123" s="228">
        <f t="shared" si="126"/>
        <v>9</v>
      </c>
      <c r="N1123" s="228">
        <f t="shared" si="130"/>
        <v>0</v>
      </c>
      <c r="O1123" s="228">
        <f t="shared" si="131"/>
        <v>0</v>
      </c>
      <c r="P1123" s="228">
        <f t="shared" si="131"/>
        <v>0</v>
      </c>
      <c r="Q1123" s="228">
        <f t="shared" si="127"/>
        <v>9</v>
      </c>
      <c r="R1123" s="343">
        <f t="shared" si="128"/>
        <v>-5</v>
      </c>
      <c r="S1123" s="240"/>
      <c r="T1123" s="201"/>
      <c r="U1123" s="201"/>
      <c r="V1123" s="201"/>
    </row>
    <row r="1124" spans="1:22" ht="15.75" x14ac:dyDescent="0.25">
      <c r="A1124" s="234" t="s">
        <v>1763</v>
      </c>
      <c r="B1124" s="235" t="s">
        <v>1764</v>
      </c>
      <c r="C1124" s="234" t="s">
        <v>9</v>
      </c>
      <c r="D1124" s="312">
        <v>36</v>
      </c>
      <c r="E1124" s="312"/>
      <c r="F1124" s="248">
        <f t="shared" si="133"/>
        <v>25</v>
      </c>
      <c r="G1124" s="312"/>
      <c r="H1124" s="312"/>
      <c r="I1124" s="312"/>
      <c r="J1124" s="248">
        <f t="shared" si="124"/>
        <v>25</v>
      </c>
      <c r="K1124" s="330">
        <f t="shared" si="125"/>
        <v>-11</v>
      </c>
      <c r="L1124" s="313"/>
      <c r="M1124" s="228">
        <f t="shared" si="126"/>
        <v>25</v>
      </c>
      <c r="N1124" s="228">
        <f t="shared" si="130"/>
        <v>0</v>
      </c>
      <c r="O1124" s="228">
        <f t="shared" si="131"/>
        <v>0</v>
      </c>
      <c r="P1124" s="228">
        <f t="shared" si="131"/>
        <v>0</v>
      </c>
      <c r="Q1124" s="228">
        <f t="shared" si="127"/>
        <v>25</v>
      </c>
      <c r="R1124" s="343">
        <f t="shared" si="128"/>
        <v>-11</v>
      </c>
      <c r="S1124" s="240"/>
      <c r="T1124" s="201"/>
      <c r="U1124" s="201"/>
      <c r="V1124" s="201"/>
    </row>
    <row r="1125" spans="1:22" ht="15.75" x14ac:dyDescent="0.25">
      <c r="A1125" s="234" t="s">
        <v>1765</v>
      </c>
      <c r="B1125" s="235" t="s">
        <v>1702</v>
      </c>
      <c r="C1125" s="234" t="s">
        <v>9</v>
      </c>
      <c r="D1125" s="312">
        <v>180</v>
      </c>
      <c r="E1125" s="312"/>
      <c r="F1125" s="248">
        <f t="shared" si="133"/>
        <v>126</v>
      </c>
      <c r="G1125" s="312"/>
      <c r="H1125" s="312"/>
      <c r="I1125" s="312"/>
      <c r="J1125" s="248">
        <f t="shared" si="124"/>
        <v>126</v>
      </c>
      <c r="K1125" s="330">
        <f t="shared" si="125"/>
        <v>-54</v>
      </c>
      <c r="L1125" s="313"/>
      <c r="M1125" s="228">
        <f t="shared" si="126"/>
        <v>126</v>
      </c>
      <c r="N1125" s="228">
        <f t="shared" si="130"/>
        <v>0</v>
      </c>
      <c r="O1125" s="228">
        <f t="shared" si="131"/>
        <v>0</v>
      </c>
      <c r="P1125" s="228">
        <f t="shared" si="131"/>
        <v>0</v>
      </c>
      <c r="Q1125" s="228">
        <f t="shared" si="127"/>
        <v>126</v>
      </c>
      <c r="R1125" s="343">
        <f t="shared" si="128"/>
        <v>-54</v>
      </c>
      <c r="S1125" s="240"/>
      <c r="T1125" s="201"/>
      <c r="U1125" s="201"/>
      <c r="V1125" s="201"/>
    </row>
    <row r="1126" spans="1:22" ht="15.75" x14ac:dyDescent="0.25">
      <c r="A1126" s="234" t="s">
        <v>1766</v>
      </c>
      <c r="B1126" s="235" t="s">
        <v>1704</v>
      </c>
      <c r="C1126" s="234" t="s">
        <v>9</v>
      </c>
      <c r="D1126" s="312">
        <v>765</v>
      </c>
      <c r="E1126" s="312"/>
      <c r="F1126" s="248">
        <f t="shared" si="133"/>
        <v>535</v>
      </c>
      <c r="G1126" s="312"/>
      <c r="H1126" s="312"/>
      <c r="I1126" s="312"/>
      <c r="J1126" s="248">
        <f t="shared" si="124"/>
        <v>535</v>
      </c>
      <c r="K1126" s="330">
        <f t="shared" si="125"/>
        <v>-230</v>
      </c>
      <c r="L1126" s="313"/>
      <c r="M1126" s="228">
        <f t="shared" si="126"/>
        <v>535</v>
      </c>
      <c r="N1126" s="228">
        <f t="shared" si="130"/>
        <v>0</v>
      </c>
      <c r="O1126" s="228">
        <f t="shared" si="131"/>
        <v>0</v>
      </c>
      <c r="P1126" s="228">
        <f t="shared" si="131"/>
        <v>0</v>
      </c>
      <c r="Q1126" s="228">
        <f t="shared" si="127"/>
        <v>535</v>
      </c>
      <c r="R1126" s="343">
        <f t="shared" si="128"/>
        <v>-230</v>
      </c>
      <c r="S1126" s="240"/>
      <c r="T1126" s="201"/>
      <c r="U1126" s="201"/>
      <c r="V1126" s="201"/>
    </row>
    <row r="1127" spans="1:22" ht="15.75" x14ac:dyDescent="0.25">
      <c r="A1127" s="234" t="s">
        <v>1767</v>
      </c>
      <c r="B1127" s="235" t="s">
        <v>1768</v>
      </c>
      <c r="C1127" s="234" t="s">
        <v>9</v>
      </c>
      <c r="D1127" s="312">
        <v>8</v>
      </c>
      <c r="E1127" s="312"/>
      <c r="F1127" s="248">
        <f t="shared" si="133"/>
        <v>5</v>
      </c>
      <c r="G1127" s="312"/>
      <c r="H1127" s="312"/>
      <c r="I1127" s="312"/>
      <c r="J1127" s="248">
        <f t="shared" si="124"/>
        <v>5</v>
      </c>
      <c r="K1127" s="330">
        <f t="shared" si="125"/>
        <v>-3</v>
      </c>
      <c r="L1127" s="313"/>
      <c r="M1127" s="228">
        <f t="shared" si="126"/>
        <v>5</v>
      </c>
      <c r="N1127" s="228">
        <f t="shared" si="130"/>
        <v>0</v>
      </c>
      <c r="O1127" s="228">
        <f t="shared" si="131"/>
        <v>0</v>
      </c>
      <c r="P1127" s="228">
        <f t="shared" si="131"/>
        <v>0</v>
      </c>
      <c r="Q1127" s="228">
        <f t="shared" si="127"/>
        <v>5</v>
      </c>
      <c r="R1127" s="343">
        <f t="shared" si="128"/>
        <v>-3</v>
      </c>
      <c r="S1127" s="240"/>
      <c r="T1127" s="201"/>
      <c r="U1127" s="201"/>
      <c r="V1127" s="201"/>
    </row>
    <row r="1128" spans="1:22" ht="15.75" x14ac:dyDescent="0.25">
      <c r="A1128" s="234" t="s">
        <v>1769</v>
      </c>
      <c r="B1128" s="235" t="s">
        <v>1770</v>
      </c>
      <c r="C1128" s="234" t="s">
        <v>9</v>
      </c>
      <c r="D1128" s="312">
        <v>42</v>
      </c>
      <c r="E1128" s="312"/>
      <c r="F1128" s="248">
        <f t="shared" si="133"/>
        <v>29</v>
      </c>
      <c r="G1128" s="312"/>
      <c r="H1128" s="312"/>
      <c r="I1128" s="312"/>
      <c r="J1128" s="248">
        <f t="shared" si="124"/>
        <v>29</v>
      </c>
      <c r="K1128" s="330">
        <f t="shared" si="125"/>
        <v>-13</v>
      </c>
      <c r="L1128" s="313"/>
      <c r="M1128" s="228">
        <f t="shared" si="126"/>
        <v>29</v>
      </c>
      <c r="N1128" s="228">
        <f t="shared" si="130"/>
        <v>0</v>
      </c>
      <c r="O1128" s="228">
        <f t="shared" si="131"/>
        <v>0</v>
      </c>
      <c r="P1128" s="228">
        <f t="shared" si="131"/>
        <v>0</v>
      </c>
      <c r="Q1128" s="228">
        <f t="shared" si="127"/>
        <v>29</v>
      </c>
      <c r="R1128" s="343">
        <f t="shared" si="128"/>
        <v>-13</v>
      </c>
      <c r="S1128" s="240"/>
      <c r="T1128" s="201"/>
      <c r="U1128" s="201"/>
      <c r="V1128" s="201"/>
    </row>
    <row r="1129" spans="1:22" ht="15.75" x14ac:dyDescent="0.25">
      <c r="A1129" s="234" t="s">
        <v>1771</v>
      </c>
      <c r="B1129" s="235" t="s">
        <v>1712</v>
      </c>
      <c r="C1129" s="234" t="s">
        <v>9</v>
      </c>
      <c r="D1129" s="312">
        <v>22</v>
      </c>
      <c r="E1129" s="312"/>
      <c r="F1129" s="248">
        <f t="shared" si="133"/>
        <v>15</v>
      </c>
      <c r="G1129" s="312"/>
      <c r="H1129" s="312"/>
      <c r="I1129" s="312"/>
      <c r="J1129" s="248">
        <f t="shared" si="124"/>
        <v>15</v>
      </c>
      <c r="K1129" s="330">
        <f t="shared" si="125"/>
        <v>-7</v>
      </c>
      <c r="L1129" s="313"/>
      <c r="M1129" s="228">
        <f t="shared" si="126"/>
        <v>15</v>
      </c>
      <c r="N1129" s="228">
        <f t="shared" si="130"/>
        <v>0</v>
      </c>
      <c r="O1129" s="228">
        <f t="shared" si="131"/>
        <v>0</v>
      </c>
      <c r="P1129" s="228">
        <f t="shared" si="131"/>
        <v>0</v>
      </c>
      <c r="Q1129" s="228">
        <f t="shared" si="127"/>
        <v>15</v>
      </c>
      <c r="R1129" s="343">
        <f t="shared" si="128"/>
        <v>-7</v>
      </c>
      <c r="S1129" s="240"/>
      <c r="T1129" s="201"/>
      <c r="U1129" s="201"/>
      <c r="V1129" s="201"/>
    </row>
    <row r="1130" spans="1:22" ht="15.75" x14ac:dyDescent="0.25">
      <c r="A1130" s="234" t="s">
        <v>1772</v>
      </c>
      <c r="B1130" s="235" t="s">
        <v>1714</v>
      </c>
      <c r="C1130" s="234" t="s">
        <v>9</v>
      </c>
      <c r="D1130" s="312">
        <v>249</v>
      </c>
      <c r="E1130" s="312"/>
      <c r="F1130" s="248">
        <f t="shared" si="133"/>
        <v>174</v>
      </c>
      <c r="G1130" s="312"/>
      <c r="H1130" s="312"/>
      <c r="I1130" s="312"/>
      <c r="J1130" s="248">
        <f t="shared" si="124"/>
        <v>174</v>
      </c>
      <c r="K1130" s="330">
        <f t="shared" si="125"/>
        <v>-75</v>
      </c>
      <c r="L1130" s="313"/>
      <c r="M1130" s="228">
        <f t="shared" si="126"/>
        <v>174</v>
      </c>
      <c r="N1130" s="228">
        <f t="shared" si="130"/>
        <v>0</v>
      </c>
      <c r="O1130" s="228">
        <f t="shared" si="131"/>
        <v>0</v>
      </c>
      <c r="P1130" s="228">
        <f t="shared" si="131"/>
        <v>0</v>
      </c>
      <c r="Q1130" s="228">
        <f t="shared" si="127"/>
        <v>174</v>
      </c>
      <c r="R1130" s="343">
        <f t="shared" si="128"/>
        <v>-75</v>
      </c>
      <c r="S1130" s="240"/>
      <c r="T1130" s="201"/>
      <c r="U1130" s="201"/>
      <c r="V1130" s="201"/>
    </row>
    <row r="1131" spans="1:22" ht="15.75" x14ac:dyDescent="0.25">
      <c r="A1131" s="234" t="s">
        <v>1773</v>
      </c>
      <c r="B1131" s="235" t="s">
        <v>1774</v>
      </c>
      <c r="C1131" s="234" t="s">
        <v>9</v>
      </c>
      <c r="D1131" s="312">
        <v>16</v>
      </c>
      <c r="E1131" s="312"/>
      <c r="F1131" s="248">
        <f t="shared" si="133"/>
        <v>11</v>
      </c>
      <c r="G1131" s="312"/>
      <c r="H1131" s="312"/>
      <c r="I1131" s="312"/>
      <c r="J1131" s="248">
        <f t="shared" si="124"/>
        <v>11</v>
      </c>
      <c r="K1131" s="330">
        <f t="shared" si="125"/>
        <v>-5</v>
      </c>
      <c r="L1131" s="313"/>
      <c r="M1131" s="228">
        <f t="shared" si="126"/>
        <v>11</v>
      </c>
      <c r="N1131" s="228">
        <f t="shared" si="130"/>
        <v>0</v>
      </c>
      <c r="O1131" s="228">
        <f t="shared" si="131"/>
        <v>0</v>
      </c>
      <c r="P1131" s="228">
        <f t="shared" si="131"/>
        <v>0</v>
      </c>
      <c r="Q1131" s="228">
        <f t="shared" si="127"/>
        <v>11</v>
      </c>
      <c r="R1131" s="343">
        <f t="shared" si="128"/>
        <v>-5</v>
      </c>
      <c r="S1131" s="240"/>
      <c r="T1131" s="201"/>
      <c r="U1131" s="201"/>
      <c r="V1131" s="201"/>
    </row>
    <row r="1132" spans="1:22" ht="15.75" x14ac:dyDescent="0.25">
      <c r="A1132" s="234" t="s">
        <v>1775</v>
      </c>
      <c r="B1132" s="235" t="s">
        <v>1776</v>
      </c>
      <c r="C1132" s="234" t="s">
        <v>9</v>
      </c>
      <c r="D1132" s="312">
        <v>20</v>
      </c>
      <c r="E1132" s="312"/>
      <c r="F1132" s="248">
        <f t="shared" si="133"/>
        <v>14</v>
      </c>
      <c r="G1132" s="312"/>
      <c r="H1132" s="312"/>
      <c r="I1132" s="312"/>
      <c r="J1132" s="248">
        <f t="shared" si="124"/>
        <v>14</v>
      </c>
      <c r="K1132" s="330">
        <f t="shared" si="125"/>
        <v>-6</v>
      </c>
      <c r="L1132" s="313"/>
      <c r="M1132" s="228">
        <f t="shared" si="126"/>
        <v>14</v>
      </c>
      <c r="N1132" s="228">
        <f t="shared" si="130"/>
        <v>0</v>
      </c>
      <c r="O1132" s="228">
        <f t="shared" si="131"/>
        <v>0</v>
      </c>
      <c r="P1132" s="228">
        <f t="shared" si="131"/>
        <v>0</v>
      </c>
      <c r="Q1132" s="228">
        <f t="shared" si="127"/>
        <v>14</v>
      </c>
      <c r="R1132" s="343">
        <f t="shared" si="128"/>
        <v>-6</v>
      </c>
      <c r="S1132" s="240"/>
      <c r="T1132" s="201"/>
      <c r="U1132" s="201"/>
      <c r="V1132" s="201"/>
    </row>
    <row r="1133" spans="1:22" ht="15.75" x14ac:dyDescent="0.25">
      <c r="A1133" s="234" t="s">
        <v>1777</v>
      </c>
      <c r="B1133" s="235" t="s">
        <v>1778</v>
      </c>
      <c r="C1133" s="234" t="s">
        <v>9</v>
      </c>
      <c r="D1133" s="312">
        <v>255</v>
      </c>
      <c r="E1133" s="312"/>
      <c r="F1133" s="248">
        <f t="shared" si="133"/>
        <v>178</v>
      </c>
      <c r="G1133" s="312"/>
      <c r="H1133" s="312"/>
      <c r="I1133" s="312"/>
      <c r="J1133" s="248">
        <f t="shared" si="124"/>
        <v>178</v>
      </c>
      <c r="K1133" s="330">
        <f t="shared" si="125"/>
        <v>-77</v>
      </c>
      <c r="L1133" s="313"/>
      <c r="M1133" s="228">
        <f t="shared" si="126"/>
        <v>178</v>
      </c>
      <c r="N1133" s="228">
        <f t="shared" si="130"/>
        <v>0</v>
      </c>
      <c r="O1133" s="228">
        <f t="shared" si="131"/>
        <v>0</v>
      </c>
      <c r="P1133" s="228">
        <f t="shared" si="131"/>
        <v>0</v>
      </c>
      <c r="Q1133" s="228">
        <f t="shared" si="127"/>
        <v>178</v>
      </c>
      <c r="R1133" s="343">
        <f t="shared" si="128"/>
        <v>-77</v>
      </c>
      <c r="S1133" s="240"/>
      <c r="T1133" s="201"/>
      <c r="U1133" s="201"/>
      <c r="V1133" s="201"/>
    </row>
    <row r="1134" spans="1:22" ht="15.75" x14ac:dyDescent="0.25">
      <c r="A1134" s="234" t="s">
        <v>1779</v>
      </c>
      <c r="B1134" s="235" t="s">
        <v>1780</v>
      </c>
      <c r="C1134" s="234" t="s">
        <v>9</v>
      </c>
      <c r="D1134" s="312">
        <v>255</v>
      </c>
      <c r="E1134" s="312"/>
      <c r="F1134" s="248">
        <f t="shared" si="133"/>
        <v>178</v>
      </c>
      <c r="G1134" s="312"/>
      <c r="H1134" s="312"/>
      <c r="I1134" s="312"/>
      <c r="J1134" s="248">
        <f t="shared" si="124"/>
        <v>178</v>
      </c>
      <c r="K1134" s="330">
        <f t="shared" si="125"/>
        <v>-77</v>
      </c>
      <c r="L1134" s="313"/>
      <c r="M1134" s="228">
        <f t="shared" si="126"/>
        <v>178</v>
      </c>
      <c r="N1134" s="228">
        <f t="shared" si="130"/>
        <v>0</v>
      </c>
      <c r="O1134" s="228">
        <f t="shared" si="131"/>
        <v>0</v>
      </c>
      <c r="P1134" s="228">
        <f t="shared" si="131"/>
        <v>0</v>
      </c>
      <c r="Q1134" s="228">
        <f t="shared" si="127"/>
        <v>178</v>
      </c>
      <c r="R1134" s="343">
        <f t="shared" si="128"/>
        <v>-77</v>
      </c>
      <c r="S1134" s="240"/>
      <c r="T1134" s="201"/>
      <c r="U1134" s="201"/>
      <c r="V1134" s="201"/>
    </row>
    <row r="1135" spans="1:22" ht="15.75" x14ac:dyDescent="0.25">
      <c r="A1135" s="234" t="s">
        <v>1781</v>
      </c>
      <c r="B1135" s="235" t="s">
        <v>1782</v>
      </c>
      <c r="C1135" s="234" t="s">
        <v>9</v>
      </c>
      <c r="D1135" s="312">
        <v>10</v>
      </c>
      <c r="E1135" s="312"/>
      <c r="F1135" s="248"/>
      <c r="G1135" s="312"/>
      <c r="H1135" s="312"/>
      <c r="I1135" s="312"/>
      <c r="J1135" s="248">
        <f t="shared" si="124"/>
        <v>0</v>
      </c>
      <c r="K1135" s="330">
        <f t="shared" si="125"/>
        <v>-10</v>
      </c>
      <c r="L1135" s="313"/>
      <c r="M1135" s="228">
        <f t="shared" si="126"/>
        <v>0</v>
      </c>
      <c r="N1135" s="228">
        <f t="shared" si="130"/>
        <v>0</v>
      </c>
      <c r="O1135" s="228">
        <f t="shared" si="131"/>
        <v>0</v>
      </c>
      <c r="P1135" s="228">
        <f t="shared" si="131"/>
        <v>0</v>
      </c>
      <c r="Q1135" s="228">
        <f t="shared" si="127"/>
        <v>0</v>
      </c>
      <c r="R1135" s="343">
        <f t="shared" si="128"/>
        <v>-10</v>
      </c>
      <c r="S1135" s="240"/>
      <c r="T1135" s="201"/>
      <c r="U1135" s="201"/>
      <c r="V1135" s="201"/>
    </row>
    <row r="1136" spans="1:22" ht="15.75" x14ac:dyDescent="0.25">
      <c r="A1136" s="234" t="s">
        <v>1783</v>
      </c>
      <c r="B1136" s="235" t="s">
        <v>1784</v>
      </c>
      <c r="C1136" s="234" t="s">
        <v>9</v>
      </c>
      <c r="D1136" s="312">
        <v>4</v>
      </c>
      <c r="E1136" s="312"/>
      <c r="F1136" s="248"/>
      <c r="G1136" s="312"/>
      <c r="H1136" s="312"/>
      <c r="I1136" s="312"/>
      <c r="J1136" s="248">
        <f t="shared" si="124"/>
        <v>0</v>
      </c>
      <c r="K1136" s="330">
        <f t="shared" si="125"/>
        <v>-4</v>
      </c>
      <c r="L1136" s="313"/>
      <c r="M1136" s="228">
        <f t="shared" si="126"/>
        <v>0</v>
      </c>
      <c r="N1136" s="228">
        <f t="shared" si="130"/>
        <v>0</v>
      </c>
      <c r="O1136" s="228">
        <f t="shared" si="131"/>
        <v>0</v>
      </c>
      <c r="P1136" s="228">
        <f t="shared" si="131"/>
        <v>0</v>
      </c>
      <c r="Q1136" s="228">
        <f t="shared" si="127"/>
        <v>0</v>
      </c>
      <c r="R1136" s="343">
        <f t="shared" si="128"/>
        <v>-4</v>
      </c>
      <c r="S1136" s="240"/>
      <c r="T1136" s="201"/>
      <c r="U1136" s="201"/>
      <c r="V1136" s="201"/>
    </row>
    <row r="1137" spans="1:22" ht="15.75" x14ac:dyDescent="0.25">
      <c r="A1137" s="234" t="s">
        <v>1785</v>
      </c>
      <c r="B1137" s="235" t="s">
        <v>1786</v>
      </c>
      <c r="C1137" s="234" t="s">
        <v>9</v>
      </c>
      <c r="D1137" s="312">
        <v>1</v>
      </c>
      <c r="E1137" s="312"/>
      <c r="F1137" s="248"/>
      <c r="G1137" s="312"/>
      <c r="H1137" s="312"/>
      <c r="I1137" s="312"/>
      <c r="J1137" s="248">
        <f t="shared" si="124"/>
        <v>0</v>
      </c>
      <c r="K1137" s="330">
        <f t="shared" si="125"/>
        <v>-1</v>
      </c>
      <c r="L1137" s="313"/>
      <c r="M1137" s="228">
        <f t="shared" si="126"/>
        <v>0</v>
      </c>
      <c r="N1137" s="228">
        <f t="shared" si="130"/>
        <v>0</v>
      </c>
      <c r="O1137" s="228">
        <f t="shared" si="131"/>
        <v>0</v>
      </c>
      <c r="P1137" s="228">
        <f t="shared" si="131"/>
        <v>0</v>
      </c>
      <c r="Q1137" s="228">
        <f t="shared" si="127"/>
        <v>0</v>
      </c>
      <c r="R1137" s="343">
        <f t="shared" si="128"/>
        <v>-1</v>
      </c>
      <c r="S1137" s="240"/>
      <c r="T1137" s="201"/>
      <c r="U1137" s="201"/>
      <c r="V1137" s="201"/>
    </row>
    <row r="1138" spans="1:22" ht="15.75" x14ac:dyDescent="0.25">
      <c r="A1138" s="234" t="s">
        <v>1787</v>
      </c>
      <c r="B1138" s="235" t="s">
        <v>1788</v>
      </c>
      <c r="C1138" s="234" t="s">
        <v>9</v>
      </c>
      <c r="D1138" s="312">
        <v>8</v>
      </c>
      <c r="E1138" s="312"/>
      <c r="F1138" s="248"/>
      <c r="G1138" s="312"/>
      <c r="H1138" s="312"/>
      <c r="I1138" s="312"/>
      <c r="J1138" s="248">
        <f t="shared" si="124"/>
        <v>0</v>
      </c>
      <c r="K1138" s="330">
        <f t="shared" si="125"/>
        <v>-8</v>
      </c>
      <c r="L1138" s="313"/>
      <c r="M1138" s="228">
        <f t="shared" si="126"/>
        <v>0</v>
      </c>
      <c r="N1138" s="228">
        <f t="shared" si="130"/>
        <v>0</v>
      </c>
      <c r="O1138" s="228">
        <f t="shared" si="131"/>
        <v>0</v>
      </c>
      <c r="P1138" s="228">
        <f t="shared" si="131"/>
        <v>0</v>
      </c>
      <c r="Q1138" s="228">
        <f t="shared" si="127"/>
        <v>0</v>
      </c>
      <c r="R1138" s="343">
        <f t="shared" si="128"/>
        <v>-8</v>
      </c>
      <c r="S1138" s="240"/>
      <c r="T1138" s="201"/>
      <c r="U1138" s="201"/>
      <c r="V1138" s="201"/>
    </row>
    <row r="1139" spans="1:22" ht="15.75" x14ac:dyDescent="0.25">
      <c r="A1139" s="234" t="s">
        <v>1789</v>
      </c>
      <c r="B1139" s="235" t="s">
        <v>1790</v>
      </c>
      <c r="C1139" s="234" t="s">
        <v>9</v>
      </c>
      <c r="D1139" s="312">
        <v>2</v>
      </c>
      <c r="E1139" s="312"/>
      <c r="F1139" s="248"/>
      <c r="G1139" s="312"/>
      <c r="H1139" s="312"/>
      <c r="I1139" s="312"/>
      <c r="J1139" s="248">
        <f t="shared" si="124"/>
        <v>0</v>
      </c>
      <c r="K1139" s="330">
        <f t="shared" si="125"/>
        <v>-2</v>
      </c>
      <c r="L1139" s="313"/>
      <c r="M1139" s="228">
        <f t="shared" si="126"/>
        <v>0</v>
      </c>
      <c r="N1139" s="228">
        <f t="shared" si="130"/>
        <v>0</v>
      </c>
      <c r="O1139" s="228">
        <f t="shared" si="131"/>
        <v>0</v>
      </c>
      <c r="P1139" s="228">
        <f t="shared" si="131"/>
        <v>0</v>
      </c>
      <c r="Q1139" s="228">
        <f t="shared" si="127"/>
        <v>0</v>
      </c>
      <c r="R1139" s="343">
        <f t="shared" si="128"/>
        <v>-2</v>
      </c>
      <c r="S1139" s="240"/>
      <c r="T1139" s="201"/>
      <c r="U1139" s="201"/>
      <c r="V1139" s="201"/>
    </row>
    <row r="1140" spans="1:22" ht="15.75" x14ac:dyDescent="0.25">
      <c r="A1140" s="234" t="s">
        <v>1791</v>
      </c>
      <c r="B1140" s="235" t="s">
        <v>1792</v>
      </c>
      <c r="C1140" s="234" t="s">
        <v>9</v>
      </c>
      <c r="D1140" s="312">
        <v>2</v>
      </c>
      <c r="E1140" s="312"/>
      <c r="F1140" s="248"/>
      <c r="G1140" s="312"/>
      <c r="H1140" s="312"/>
      <c r="I1140" s="312"/>
      <c r="J1140" s="248">
        <f t="shared" si="124"/>
        <v>0</v>
      </c>
      <c r="K1140" s="330">
        <f t="shared" si="125"/>
        <v>-2</v>
      </c>
      <c r="L1140" s="313"/>
      <c r="M1140" s="228">
        <f t="shared" si="126"/>
        <v>0</v>
      </c>
      <c r="N1140" s="228">
        <f t="shared" si="130"/>
        <v>0</v>
      </c>
      <c r="O1140" s="228">
        <f t="shared" si="131"/>
        <v>0</v>
      </c>
      <c r="P1140" s="228">
        <f t="shared" si="131"/>
        <v>0</v>
      </c>
      <c r="Q1140" s="228">
        <f t="shared" si="127"/>
        <v>0</v>
      </c>
      <c r="R1140" s="343">
        <f t="shared" si="128"/>
        <v>-2</v>
      </c>
      <c r="S1140" s="240"/>
      <c r="T1140" s="201"/>
      <c r="U1140" s="201"/>
      <c r="V1140" s="201"/>
    </row>
    <row r="1141" spans="1:22" ht="15.75" x14ac:dyDescent="0.25">
      <c r="A1141" s="234" t="s">
        <v>1793</v>
      </c>
      <c r="B1141" s="235" t="s">
        <v>1794</v>
      </c>
      <c r="C1141" s="234" t="s">
        <v>9</v>
      </c>
      <c r="D1141" s="312">
        <v>2</v>
      </c>
      <c r="E1141" s="312"/>
      <c r="F1141" s="248"/>
      <c r="G1141" s="312"/>
      <c r="H1141" s="312"/>
      <c r="I1141" s="312"/>
      <c r="J1141" s="248">
        <f t="shared" si="124"/>
        <v>0</v>
      </c>
      <c r="K1141" s="330">
        <f t="shared" si="125"/>
        <v>-2</v>
      </c>
      <c r="L1141" s="313"/>
      <c r="M1141" s="228">
        <f t="shared" si="126"/>
        <v>0</v>
      </c>
      <c r="N1141" s="228">
        <f t="shared" si="130"/>
        <v>0</v>
      </c>
      <c r="O1141" s="228">
        <f t="shared" si="131"/>
        <v>0</v>
      </c>
      <c r="P1141" s="228">
        <f t="shared" si="131"/>
        <v>0</v>
      </c>
      <c r="Q1141" s="228">
        <f t="shared" si="127"/>
        <v>0</v>
      </c>
      <c r="R1141" s="343">
        <f t="shared" si="128"/>
        <v>-2</v>
      </c>
      <c r="S1141" s="240"/>
      <c r="T1141" s="201"/>
      <c r="U1141" s="201"/>
      <c r="V1141" s="201"/>
    </row>
    <row r="1142" spans="1:22" ht="15.75" x14ac:dyDescent="0.25">
      <c r="A1142" s="234" t="s">
        <v>1795</v>
      </c>
      <c r="B1142" s="235" t="s">
        <v>1796</v>
      </c>
      <c r="C1142" s="234" t="s">
        <v>9</v>
      </c>
      <c r="D1142" s="312">
        <v>2</v>
      </c>
      <c r="E1142" s="312"/>
      <c r="F1142" s="248"/>
      <c r="G1142" s="312"/>
      <c r="H1142" s="312"/>
      <c r="I1142" s="312"/>
      <c r="J1142" s="248">
        <f t="shared" si="124"/>
        <v>0</v>
      </c>
      <c r="K1142" s="330">
        <f t="shared" si="125"/>
        <v>-2</v>
      </c>
      <c r="L1142" s="313"/>
      <c r="M1142" s="228">
        <f t="shared" si="126"/>
        <v>0</v>
      </c>
      <c r="N1142" s="228">
        <f t="shared" si="130"/>
        <v>0</v>
      </c>
      <c r="O1142" s="228">
        <f t="shared" si="131"/>
        <v>0</v>
      </c>
      <c r="P1142" s="228">
        <f t="shared" si="131"/>
        <v>0</v>
      </c>
      <c r="Q1142" s="228">
        <f t="shared" si="127"/>
        <v>0</v>
      </c>
      <c r="R1142" s="343">
        <f t="shared" si="128"/>
        <v>-2</v>
      </c>
      <c r="S1142" s="240"/>
      <c r="T1142" s="201"/>
      <c r="U1142" s="201"/>
      <c r="V1142" s="201"/>
    </row>
    <row r="1143" spans="1:22" ht="15.75" x14ac:dyDescent="0.25">
      <c r="A1143" s="234" t="s">
        <v>1797</v>
      </c>
      <c r="B1143" s="235" t="s">
        <v>1798</v>
      </c>
      <c r="C1143" s="234" t="s">
        <v>9</v>
      </c>
      <c r="D1143" s="312">
        <v>2</v>
      </c>
      <c r="E1143" s="312"/>
      <c r="F1143" s="248"/>
      <c r="G1143" s="312"/>
      <c r="H1143" s="312"/>
      <c r="I1143" s="312"/>
      <c r="J1143" s="248">
        <f t="shared" si="124"/>
        <v>0</v>
      </c>
      <c r="K1143" s="330">
        <f t="shared" si="125"/>
        <v>-2</v>
      </c>
      <c r="L1143" s="313"/>
      <c r="M1143" s="228">
        <f t="shared" si="126"/>
        <v>0</v>
      </c>
      <c r="N1143" s="228">
        <f t="shared" si="130"/>
        <v>0</v>
      </c>
      <c r="O1143" s="228">
        <f t="shared" si="131"/>
        <v>0</v>
      </c>
      <c r="P1143" s="228">
        <f t="shared" si="131"/>
        <v>0</v>
      </c>
      <c r="Q1143" s="228">
        <f t="shared" si="127"/>
        <v>0</v>
      </c>
      <c r="R1143" s="343">
        <f t="shared" si="128"/>
        <v>-2</v>
      </c>
      <c r="S1143" s="240"/>
      <c r="T1143" s="201"/>
      <c r="U1143" s="201"/>
      <c r="V1143" s="201"/>
    </row>
    <row r="1144" spans="1:22" ht="15.75" x14ac:dyDescent="0.25">
      <c r="A1144" s="234" t="s">
        <v>1799</v>
      </c>
      <c r="B1144" s="235" t="s">
        <v>1800</v>
      </c>
      <c r="C1144" s="234" t="s">
        <v>9</v>
      </c>
      <c r="D1144" s="312">
        <v>2</v>
      </c>
      <c r="E1144" s="312"/>
      <c r="F1144" s="248"/>
      <c r="G1144" s="312"/>
      <c r="H1144" s="312"/>
      <c r="I1144" s="312"/>
      <c r="J1144" s="248">
        <f t="shared" si="124"/>
        <v>0</v>
      </c>
      <c r="K1144" s="330">
        <f t="shared" si="125"/>
        <v>-2</v>
      </c>
      <c r="L1144" s="313"/>
      <c r="M1144" s="228">
        <f t="shared" si="126"/>
        <v>0</v>
      </c>
      <c r="N1144" s="228">
        <f t="shared" si="130"/>
        <v>0</v>
      </c>
      <c r="O1144" s="228">
        <f t="shared" si="131"/>
        <v>0</v>
      </c>
      <c r="P1144" s="228">
        <f t="shared" si="131"/>
        <v>0</v>
      </c>
      <c r="Q1144" s="228">
        <f t="shared" si="127"/>
        <v>0</v>
      </c>
      <c r="R1144" s="343">
        <f t="shared" si="128"/>
        <v>-2</v>
      </c>
      <c r="S1144" s="240"/>
      <c r="T1144" s="201"/>
      <c r="U1144" s="201"/>
      <c r="V1144" s="201"/>
    </row>
    <row r="1145" spans="1:22" ht="15.75" x14ac:dyDescent="0.25">
      <c r="A1145" s="234" t="s">
        <v>1801</v>
      </c>
      <c r="B1145" s="235" t="s">
        <v>1802</v>
      </c>
      <c r="C1145" s="234" t="s">
        <v>9</v>
      </c>
      <c r="D1145" s="312">
        <v>2</v>
      </c>
      <c r="E1145" s="312"/>
      <c r="F1145" s="248"/>
      <c r="G1145" s="312"/>
      <c r="H1145" s="312"/>
      <c r="I1145" s="312"/>
      <c r="J1145" s="248">
        <f t="shared" si="124"/>
        <v>0</v>
      </c>
      <c r="K1145" s="330">
        <f t="shared" si="125"/>
        <v>-2</v>
      </c>
      <c r="L1145" s="313"/>
      <c r="M1145" s="228">
        <f t="shared" si="126"/>
        <v>0</v>
      </c>
      <c r="N1145" s="228">
        <f t="shared" si="130"/>
        <v>0</v>
      </c>
      <c r="O1145" s="228">
        <f t="shared" si="131"/>
        <v>0</v>
      </c>
      <c r="P1145" s="228">
        <f t="shared" si="131"/>
        <v>0</v>
      </c>
      <c r="Q1145" s="228">
        <f t="shared" si="127"/>
        <v>0</v>
      </c>
      <c r="R1145" s="343">
        <f t="shared" si="128"/>
        <v>-2</v>
      </c>
      <c r="S1145" s="240"/>
      <c r="T1145" s="201"/>
      <c r="U1145" s="201"/>
      <c r="V1145" s="201"/>
    </row>
    <row r="1146" spans="1:22" ht="15.75" x14ac:dyDescent="0.25">
      <c r="A1146" s="234" t="s">
        <v>1803</v>
      </c>
      <c r="B1146" s="235" t="s">
        <v>1804</v>
      </c>
      <c r="C1146" s="234" t="s">
        <v>9</v>
      </c>
      <c r="D1146" s="312">
        <v>2</v>
      </c>
      <c r="E1146" s="312"/>
      <c r="F1146" s="248"/>
      <c r="G1146" s="312"/>
      <c r="H1146" s="312"/>
      <c r="I1146" s="312"/>
      <c r="J1146" s="248">
        <f t="shared" ref="J1146:J1209" si="134">F1146+G1146+H1146+I1146</f>
        <v>0</v>
      </c>
      <c r="K1146" s="330">
        <f t="shared" ref="K1146:K1209" si="135">J1146-D1146</f>
        <v>-2</v>
      </c>
      <c r="L1146" s="313"/>
      <c r="M1146" s="228">
        <f t="shared" ref="M1146:M1209" si="136">F1146</f>
        <v>0</v>
      </c>
      <c r="N1146" s="228">
        <f t="shared" si="130"/>
        <v>0</v>
      </c>
      <c r="O1146" s="228">
        <f t="shared" si="131"/>
        <v>0</v>
      </c>
      <c r="P1146" s="228">
        <f t="shared" si="131"/>
        <v>0</v>
      </c>
      <c r="Q1146" s="228">
        <f t="shared" ref="Q1146:Q1209" si="137">M1146+N1146+O1146+P1146</f>
        <v>0</v>
      </c>
      <c r="R1146" s="343">
        <f t="shared" ref="R1146:R1209" si="138">Q1146-D1146</f>
        <v>-2</v>
      </c>
      <c r="S1146" s="240"/>
      <c r="T1146" s="201"/>
      <c r="U1146" s="201"/>
      <c r="V1146" s="201"/>
    </row>
    <row r="1147" spans="1:22" ht="15.75" x14ac:dyDescent="0.25">
      <c r="A1147" s="234" t="s">
        <v>1805</v>
      </c>
      <c r="B1147" s="235" t="s">
        <v>1806</v>
      </c>
      <c r="C1147" s="234" t="s">
        <v>9</v>
      </c>
      <c r="D1147" s="312">
        <v>2</v>
      </c>
      <c r="E1147" s="312"/>
      <c r="F1147" s="248"/>
      <c r="G1147" s="312"/>
      <c r="H1147" s="312"/>
      <c r="I1147" s="312"/>
      <c r="J1147" s="248">
        <f t="shared" si="134"/>
        <v>0</v>
      </c>
      <c r="K1147" s="330">
        <f t="shared" si="135"/>
        <v>-2</v>
      </c>
      <c r="L1147" s="313"/>
      <c r="M1147" s="228">
        <f t="shared" si="136"/>
        <v>0</v>
      </c>
      <c r="N1147" s="228">
        <f t="shared" si="130"/>
        <v>0</v>
      </c>
      <c r="O1147" s="228">
        <f t="shared" si="131"/>
        <v>0</v>
      </c>
      <c r="P1147" s="228">
        <f t="shared" si="131"/>
        <v>0</v>
      </c>
      <c r="Q1147" s="228">
        <f t="shared" si="137"/>
        <v>0</v>
      </c>
      <c r="R1147" s="343">
        <f t="shared" si="138"/>
        <v>-2</v>
      </c>
      <c r="S1147" s="240"/>
      <c r="T1147" s="201"/>
      <c r="U1147" s="201"/>
      <c r="V1147" s="201"/>
    </row>
    <row r="1148" spans="1:22" ht="15.75" x14ac:dyDescent="0.25">
      <c r="A1148" s="234" t="s">
        <v>1807</v>
      </c>
      <c r="B1148" s="235" t="s">
        <v>1808</v>
      </c>
      <c r="C1148" s="234" t="s">
        <v>9</v>
      </c>
      <c r="D1148" s="312">
        <v>2</v>
      </c>
      <c r="E1148" s="312"/>
      <c r="F1148" s="248"/>
      <c r="G1148" s="312"/>
      <c r="H1148" s="312"/>
      <c r="I1148" s="312"/>
      <c r="J1148" s="248">
        <f t="shared" si="134"/>
        <v>0</v>
      </c>
      <c r="K1148" s="330">
        <f t="shared" si="135"/>
        <v>-2</v>
      </c>
      <c r="L1148" s="313"/>
      <c r="M1148" s="228">
        <f t="shared" si="136"/>
        <v>0</v>
      </c>
      <c r="N1148" s="228">
        <f t="shared" si="130"/>
        <v>0</v>
      </c>
      <c r="O1148" s="228">
        <f t="shared" si="131"/>
        <v>0</v>
      </c>
      <c r="P1148" s="228">
        <f t="shared" si="131"/>
        <v>0</v>
      </c>
      <c r="Q1148" s="228">
        <f t="shared" si="137"/>
        <v>0</v>
      </c>
      <c r="R1148" s="343">
        <f t="shared" si="138"/>
        <v>-2</v>
      </c>
      <c r="S1148" s="240"/>
      <c r="T1148" s="201"/>
      <c r="U1148" s="201"/>
      <c r="V1148" s="201"/>
    </row>
    <row r="1149" spans="1:22" ht="15.75" x14ac:dyDescent="0.25">
      <c r="A1149" s="234" t="s">
        <v>1809</v>
      </c>
      <c r="B1149" s="235" t="s">
        <v>1810</v>
      </c>
      <c r="C1149" s="234" t="s">
        <v>9</v>
      </c>
      <c r="D1149" s="312">
        <v>2</v>
      </c>
      <c r="E1149" s="312"/>
      <c r="F1149" s="248"/>
      <c r="G1149" s="312"/>
      <c r="H1149" s="312"/>
      <c r="I1149" s="312"/>
      <c r="J1149" s="248">
        <f t="shared" si="134"/>
        <v>0</v>
      </c>
      <c r="K1149" s="330">
        <f t="shared" si="135"/>
        <v>-2</v>
      </c>
      <c r="L1149" s="313"/>
      <c r="M1149" s="228">
        <f t="shared" si="136"/>
        <v>0</v>
      </c>
      <c r="N1149" s="228">
        <f t="shared" si="130"/>
        <v>0</v>
      </c>
      <c r="O1149" s="228">
        <f t="shared" si="131"/>
        <v>0</v>
      </c>
      <c r="P1149" s="228">
        <f t="shared" si="131"/>
        <v>0</v>
      </c>
      <c r="Q1149" s="228">
        <f t="shared" si="137"/>
        <v>0</v>
      </c>
      <c r="R1149" s="343">
        <f t="shared" si="138"/>
        <v>-2</v>
      </c>
      <c r="S1149" s="240"/>
      <c r="T1149" s="201"/>
      <c r="U1149" s="201"/>
      <c r="V1149" s="201"/>
    </row>
    <row r="1150" spans="1:22" ht="15.75" x14ac:dyDescent="0.25">
      <c r="A1150" s="234" t="s">
        <v>1811</v>
      </c>
      <c r="B1150" s="235" t="s">
        <v>1812</v>
      </c>
      <c r="C1150" s="234" t="s">
        <v>9</v>
      </c>
      <c r="D1150" s="312">
        <v>3</v>
      </c>
      <c r="E1150" s="312"/>
      <c r="F1150" s="248"/>
      <c r="G1150" s="312"/>
      <c r="H1150" s="312"/>
      <c r="I1150" s="312"/>
      <c r="J1150" s="248">
        <f t="shared" si="134"/>
        <v>0</v>
      </c>
      <c r="K1150" s="330">
        <f t="shared" si="135"/>
        <v>-3</v>
      </c>
      <c r="L1150" s="313"/>
      <c r="M1150" s="228">
        <f t="shared" si="136"/>
        <v>0</v>
      </c>
      <c r="N1150" s="228">
        <f t="shared" si="130"/>
        <v>0</v>
      </c>
      <c r="O1150" s="228">
        <f t="shared" si="131"/>
        <v>0</v>
      </c>
      <c r="P1150" s="228">
        <f t="shared" si="131"/>
        <v>0</v>
      </c>
      <c r="Q1150" s="228">
        <f t="shared" si="137"/>
        <v>0</v>
      </c>
      <c r="R1150" s="343">
        <f t="shared" si="138"/>
        <v>-3</v>
      </c>
      <c r="S1150" s="240"/>
      <c r="T1150" s="201"/>
      <c r="U1150" s="201"/>
      <c r="V1150" s="201"/>
    </row>
    <row r="1151" spans="1:22" ht="15.75" x14ac:dyDescent="0.25">
      <c r="A1151" s="230" t="s">
        <v>1813</v>
      </c>
      <c r="B1151" s="231" t="s">
        <v>1814</v>
      </c>
      <c r="C1151" s="230"/>
      <c r="D1151" s="316"/>
      <c r="E1151" s="316"/>
      <c r="F1151" s="317"/>
      <c r="G1151" s="316"/>
      <c r="H1151" s="316"/>
      <c r="I1151" s="316"/>
      <c r="J1151" s="248">
        <f t="shared" si="134"/>
        <v>0</v>
      </c>
      <c r="K1151" s="330">
        <f t="shared" si="135"/>
        <v>0</v>
      </c>
      <c r="L1151" s="318"/>
      <c r="M1151" s="228">
        <f t="shared" si="136"/>
        <v>0</v>
      </c>
      <c r="N1151" s="228">
        <f t="shared" si="130"/>
        <v>0</v>
      </c>
      <c r="O1151" s="228">
        <f t="shared" si="131"/>
        <v>0</v>
      </c>
      <c r="P1151" s="228">
        <f t="shared" si="131"/>
        <v>0</v>
      </c>
      <c r="Q1151" s="228">
        <f t="shared" si="137"/>
        <v>0</v>
      </c>
      <c r="R1151" s="343">
        <f t="shared" si="138"/>
        <v>0</v>
      </c>
      <c r="S1151" s="240"/>
      <c r="T1151" s="201"/>
      <c r="U1151" s="201"/>
      <c r="V1151" s="201"/>
    </row>
    <row r="1152" spans="1:22" ht="15.75" x14ac:dyDescent="0.25">
      <c r="A1152" s="230" t="s">
        <v>1815</v>
      </c>
      <c r="B1152" s="231" t="s">
        <v>1816</v>
      </c>
      <c r="C1152" s="230"/>
      <c r="D1152" s="316"/>
      <c r="E1152" s="316"/>
      <c r="F1152" s="317"/>
      <c r="G1152" s="316"/>
      <c r="H1152" s="316"/>
      <c r="I1152" s="316"/>
      <c r="J1152" s="248">
        <f t="shared" si="134"/>
        <v>0</v>
      </c>
      <c r="K1152" s="330">
        <f t="shared" si="135"/>
        <v>0</v>
      </c>
      <c r="L1152" s="318"/>
      <c r="M1152" s="228">
        <f t="shared" si="136"/>
        <v>0</v>
      </c>
      <c r="N1152" s="228">
        <f t="shared" si="130"/>
        <v>0</v>
      </c>
      <c r="O1152" s="228">
        <f t="shared" si="131"/>
        <v>0</v>
      </c>
      <c r="P1152" s="228">
        <f t="shared" si="131"/>
        <v>0</v>
      </c>
      <c r="Q1152" s="228">
        <f t="shared" si="137"/>
        <v>0</v>
      </c>
      <c r="R1152" s="343">
        <f t="shared" si="138"/>
        <v>0</v>
      </c>
      <c r="S1152" s="240"/>
      <c r="T1152" s="201"/>
      <c r="U1152" s="201"/>
      <c r="V1152" s="201"/>
    </row>
    <row r="1153" spans="1:22" ht="15.75" x14ac:dyDescent="0.25">
      <c r="A1153" s="234" t="s">
        <v>1817</v>
      </c>
      <c r="B1153" s="235" t="s">
        <v>1818</v>
      </c>
      <c r="C1153" s="234" t="s">
        <v>6</v>
      </c>
      <c r="D1153" s="312">
        <v>6105</v>
      </c>
      <c r="E1153" s="312"/>
      <c r="F1153" s="248"/>
      <c r="G1153" s="312"/>
      <c r="H1153" s="312"/>
      <c r="I1153" s="312"/>
      <c r="J1153" s="248">
        <f t="shared" si="134"/>
        <v>0</v>
      </c>
      <c r="K1153" s="330">
        <f t="shared" si="135"/>
        <v>-6105</v>
      </c>
      <c r="L1153" s="313"/>
      <c r="M1153" s="228">
        <f t="shared" si="136"/>
        <v>0</v>
      </c>
      <c r="N1153" s="228">
        <f t="shared" si="130"/>
        <v>0</v>
      </c>
      <c r="O1153" s="228">
        <f t="shared" si="131"/>
        <v>0</v>
      </c>
      <c r="P1153" s="228">
        <f t="shared" si="131"/>
        <v>0</v>
      </c>
      <c r="Q1153" s="228">
        <f t="shared" si="137"/>
        <v>0</v>
      </c>
      <c r="R1153" s="343">
        <f t="shared" si="138"/>
        <v>-6105</v>
      </c>
      <c r="S1153" s="240"/>
      <c r="T1153" s="201"/>
      <c r="U1153" s="201"/>
      <c r="V1153" s="201"/>
    </row>
    <row r="1154" spans="1:22" ht="15.75" x14ac:dyDescent="0.25">
      <c r="A1154" s="234" t="s">
        <v>1819</v>
      </c>
      <c r="B1154" s="235" t="s">
        <v>1820</v>
      </c>
      <c r="C1154" s="234" t="s">
        <v>6</v>
      </c>
      <c r="D1154" s="312">
        <v>1200</v>
      </c>
      <c r="E1154" s="312"/>
      <c r="F1154" s="248"/>
      <c r="G1154" s="312"/>
      <c r="H1154" s="312"/>
      <c r="I1154" s="312"/>
      <c r="J1154" s="248">
        <f t="shared" si="134"/>
        <v>0</v>
      </c>
      <c r="K1154" s="330">
        <f t="shared" si="135"/>
        <v>-1200</v>
      </c>
      <c r="L1154" s="313"/>
      <c r="M1154" s="228">
        <f t="shared" si="136"/>
        <v>0</v>
      </c>
      <c r="N1154" s="228">
        <f t="shared" si="130"/>
        <v>0</v>
      </c>
      <c r="O1154" s="228">
        <f t="shared" si="131"/>
        <v>0</v>
      </c>
      <c r="P1154" s="228">
        <f t="shared" si="131"/>
        <v>0</v>
      </c>
      <c r="Q1154" s="228">
        <f t="shared" si="137"/>
        <v>0</v>
      </c>
      <c r="R1154" s="343">
        <f t="shared" si="138"/>
        <v>-1200</v>
      </c>
      <c r="S1154" s="240"/>
      <c r="T1154" s="201"/>
      <c r="U1154" s="201"/>
      <c r="V1154" s="201"/>
    </row>
    <row r="1155" spans="1:22" ht="15.75" x14ac:dyDescent="0.25">
      <c r="A1155" s="234" t="s">
        <v>1821</v>
      </c>
      <c r="B1155" s="235" t="s">
        <v>1822</v>
      </c>
      <c r="C1155" s="234" t="s">
        <v>6</v>
      </c>
      <c r="D1155" s="312">
        <v>1200</v>
      </c>
      <c r="E1155" s="312"/>
      <c r="F1155" s="248"/>
      <c r="G1155" s="312"/>
      <c r="H1155" s="312"/>
      <c r="I1155" s="312"/>
      <c r="J1155" s="248">
        <f t="shared" si="134"/>
        <v>0</v>
      </c>
      <c r="K1155" s="330">
        <f t="shared" si="135"/>
        <v>-1200</v>
      </c>
      <c r="L1155" s="313"/>
      <c r="M1155" s="228">
        <f t="shared" si="136"/>
        <v>0</v>
      </c>
      <c r="N1155" s="228">
        <f t="shared" si="130"/>
        <v>0</v>
      </c>
      <c r="O1155" s="228">
        <f t="shared" si="131"/>
        <v>0</v>
      </c>
      <c r="P1155" s="228">
        <f t="shared" si="131"/>
        <v>0</v>
      </c>
      <c r="Q1155" s="228">
        <f t="shared" si="137"/>
        <v>0</v>
      </c>
      <c r="R1155" s="343">
        <f t="shared" si="138"/>
        <v>-1200</v>
      </c>
      <c r="S1155" s="240"/>
      <c r="T1155" s="201"/>
      <c r="U1155" s="201"/>
      <c r="V1155" s="201"/>
    </row>
    <row r="1156" spans="1:22" ht="15.75" x14ac:dyDescent="0.25">
      <c r="A1156" s="234" t="s">
        <v>1823</v>
      </c>
      <c r="B1156" s="235" t="s">
        <v>1824</v>
      </c>
      <c r="C1156" s="234" t="s">
        <v>6</v>
      </c>
      <c r="D1156" s="312">
        <v>200</v>
      </c>
      <c r="E1156" s="312"/>
      <c r="F1156" s="248"/>
      <c r="G1156" s="312"/>
      <c r="H1156" s="312"/>
      <c r="I1156" s="312"/>
      <c r="J1156" s="248">
        <f t="shared" si="134"/>
        <v>0</v>
      </c>
      <c r="K1156" s="330">
        <f t="shared" si="135"/>
        <v>-200</v>
      </c>
      <c r="L1156" s="313"/>
      <c r="M1156" s="228">
        <f t="shared" si="136"/>
        <v>0</v>
      </c>
      <c r="N1156" s="228">
        <f t="shared" si="130"/>
        <v>0</v>
      </c>
      <c r="O1156" s="228">
        <f t="shared" si="131"/>
        <v>0</v>
      </c>
      <c r="P1156" s="228">
        <f t="shared" si="131"/>
        <v>0</v>
      </c>
      <c r="Q1156" s="228">
        <f t="shared" si="137"/>
        <v>0</v>
      </c>
      <c r="R1156" s="343">
        <f t="shared" si="138"/>
        <v>-200</v>
      </c>
      <c r="S1156" s="240"/>
      <c r="T1156" s="201"/>
      <c r="U1156" s="201"/>
      <c r="V1156" s="201"/>
    </row>
    <row r="1157" spans="1:22" ht="15.75" x14ac:dyDescent="0.25">
      <c r="A1157" s="234" t="s">
        <v>1825</v>
      </c>
      <c r="B1157" s="235" t="s">
        <v>1826</v>
      </c>
      <c r="C1157" s="234" t="s">
        <v>6</v>
      </c>
      <c r="D1157" s="312">
        <v>15700</v>
      </c>
      <c r="E1157" s="312"/>
      <c r="F1157" s="248"/>
      <c r="G1157" s="312"/>
      <c r="H1157" s="312"/>
      <c r="I1157" s="312"/>
      <c r="J1157" s="248">
        <f t="shared" si="134"/>
        <v>0</v>
      </c>
      <c r="K1157" s="330">
        <f t="shared" si="135"/>
        <v>-15700</v>
      </c>
      <c r="L1157" s="313"/>
      <c r="M1157" s="228">
        <f t="shared" si="136"/>
        <v>0</v>
      </c>
      <c r="N1157" s="228">
        <f t="shared" si="130"/>
        <v>0</v>
      </c>
      <c r="O1157" s="228">
        <f t="shared" si="131"/>
        <v>0</v>
      </c>
      <c r="P1157" s="228">
        <f t="shared" si="131"/>
        <v>0</v>
      </c>
      <c r="Q1157" s="228">
        <f t="shared" si="137"/>
        <v>0</v>
      </c>
      <c r="R1157" s="343">
        <f t="shared" si="138"/>
        <v>-15700</v>
      </c>
      <c r="S1157" s="240"/>
      <c r="T1157" s="201"/>
      <c r="U1157" s="201"/>
      <c r="V1157" s="201"/>
    </row>
    <row r="1158" spans="1:22" ht="15.75" x14ac:dyDescent="0.25">
      <c r="A1158" s="234" t="s">
        <v>1827</v>
      </c>
      <c r="B1158" s="235" t="s">
        <v>1828</v>
      </c>
      <c r="C1158" s="234" t="s">
        <v>6</v>
      </c>
      <c r="D1158" s="312">
        <v>1090</v>
      </c>
      <c r="E1158" s="312"/>
      <c r="F1158" s="248"/>
      <c r="G1158" s="312"/>
      <c r="H1158" s="312"/>
      <c r="I1158" s="312"/>
      <c r="J1158" s="248">
        <f t="shared" si="134"/>
        <v>0</v>
      </c>
      <c r="K1158" s="330">
        <f t="shared" si="135"/>
        <v>-1090</v>
      </c>
      <c r="L1158" s="313"/>
      <c r="M1158" s="228">
        <f t="shared" si="136"/>
        <v>0</v>
      </c>
      <c r="N1158" s="228">
        <f t="shared" si="130"/>
        <v>0</v>
      </c>
      <c r="O1158" s="228">
        <f t="shared" si="131"/>
        <v>0</v>
      </c>
      <c r="P1158" s="228">
        <f t="shared" si="131"/>
        <v>0</v>
      </c>
      <c r="Q1158" s="228">
        <f t="shared" si="137"/>
        <v>0</v>
      </c>
      <c r="R1158" s="343">
        <f t="shared" si="138"/>
        <v>-1090</v>
      </c>
      <c r="S1158" s="240"/>
      <c r="T1158" s="201"/>
      <c r="U1158" s="201"/>
      <c r="V1158" s="201"/>
    </row>
    <row r="1159" spans="1:22" ht="30" x14ac:dyDescent="0.25">
      <c r="A1159" s="234" t="s">
        <v>1829</v>
      </c>
      <c r="B1159" s="235" t="s">
        <v>1830</v>
      </c>
      <c r="C1159" s="234" t="s">
        <v>9</v>
      </c>
      <c r="D1159" s="312">
        <v>302</v>
      </c>
      <c r="E1159" s="312"/>
      <c r="F1159" s="248"/>
      <c r="G1159" s="312"/>
      <c r="H1159" s="312"/>
      <c r="I1159" s="312"/>
      <c r="J1159" s="248">
        <f t="shared" si="134"/>
        <v>0</v>
      </c>
      <c r="K1159" s="330">
        <f t="shared" si="135"/>
        <v>-302</v>
      </c>
      <c r="L1159" s="313"/>
      <c r="M1159" s="228">
        <f t="shared" si="136"/>
        <v>0</v>
      </c>
      <c r="N1159" s="228">
        <f t="shared" si="130"/>
        <v>0</v>
      </c>
      <c r="O1159" s="228">
        <f t="shared" si="131"/>
        <v>0</v>
      </c>
      <c r="P1159" s="228">
        <f t="shared" si="131"/>
        <v>0</v>
      </c>
      <c r="Q1159" s="228">
        <f t="shared" si="137"/>
        <v>0</v>
      </c>
      <c r="R1159" s="343">
        <f t="shared" si="138"/>
        <v>-302</v>
      </c>
      <c r="S1159" s="240"/>
      <c r="T1159" s="201"/>
      <c r="U1159" s="201"/>
      <c r="V1159" s="201"/>
    </row>
    <row r="1160" spans="1:22" ht="15.75" x14ac:dyDescent="0.25">
      <c r="A1160" s="234" t="s">
        <v>1831</v>
      </c>
      <c r="B1160" s="235" t="s">
        <v>1832</v>
      </c>
      <c r="C1160" s="234" t="s">
        <v>499</v>
      </c>
      <c r="D1160" s="312">
        <v>1</v>
      </c>
      <c r="E1160" s="312"/>
      <c r="F1160" s="248"/>
      <c r="G1160" s="312"/>
      <c r="H1160" s="312"/>
      <c r="I1160" s="312"/>
      <c r="J1160" s="248">
        <f t="shared" si="134"/>
        <v>0</v>
      </c>
      <c r="K1160" s="330">
        <f t="shared" si="135"/>
        <v>-1</v>
      </c>
      <c r="L1160" s="313"/>
      <c r="M1160" s="228">
        <f t="shared" si="136"/>
        <v>0</v>
      </c>
      <c r="N1160" s="228">
        <f t="shared" si="130"/>
        <v>0</v>
      </c>
      <c r="O1160" s="228">
        <f t="shared" si="131"/>
        <v>0</v>
      </c>
      <c r="P1160" s="228">
        <f t="shared" si="131"/>
        <v>0</v>
      </c>
      <c r="Q1160" s="228">
        <f t="shared" si="137"/>
        <v>0</v>
      </c>
      <c r="R1160" s="343">
        <f t="shared" si="138"/>
        <v>-1</v>
      </c>
      <c r="S1160" s="240"/>
      <c r="T1160" s="201"/>
      <c r="U1160" s="201"/>
      <c r="V1160" s="201"/>
    </row>
    <row r="1161" spans="1:22" ht="15.75" x14ac:dyDescent="0.25">
      <c r="A1161" s="234" t="s">
        <v>1833</v>
      </c>
      <c r="B1161" s="235" t="s">
        <v>1834</v>
      </c>
      <c r="C1161" s="234" t="s">
        <v>1835</v>
      </c>
      <c r="D1161" s="312">
        <v>19</v>
      </c>
      <c r="E1161" s="312"/>
      <c r="F1161" s="248"/>
      <c r="G1161" s="312"/>
      <c r="H1161" s="312"/>
      <c r="I1161" s="312"/>
      <c r="J1161" s="248">
        <f t="shared" si="134"/>
        <v>0</v>
      </c>
      <c r="K1161" s="330">
        <f t="shared" si="135"/>
        <v>-19</v>
      </c>
      <c r="L1161" s="313"/>
      <c r="M1161" s="228">
        <f t="shared" si="136"/>
        <v>0</v>
      </c>
      <c r="N1161" s="228">
        <f t="shared" ref="N1161:N1224" si="139">G1161</f>
        <v>0</v>
      </c>
      <c r="O1161" s="228">
        <f t="shared" ref="O1161:P1224" si="140">H1161</f>
        <v>0</v>
      </c>
      <c r="P1161" s="228">
        <f t="shared" si="140"/>
        <v>0</v>
      </c>
      <c r="Q1161" s="228">
        <f t="shared" si="137"/>
        <v>0</v>
      </c>
      <c r="R1161" s="343">
        <f t="shared" si="138"/>
        <v>-19</v>
      </c>
      <c r="S1161" s="240"/>
      <c r="T1161" s="201"/>
      <c r="U1161" s="201"/>
      <c r="V1161" s="201"/>
    </row>
    <row r="1162" spans="1:22" ht="15.75" x14ac:dyDescent="0.25">
      <c r="A1162" s="234" t="s">
        <v>1836</v>
      </c>
      <c r="B1162" s="235" t="s">
        <v>1837</v>
      </c>
      <c r="C1162" s="234" t="s">
        <v>1835</v>
      </c>
      <c r="D1162" s="312">
        <v>1</v>
      </c>
      <c r="E1162" s="312"/>
      <c r="F1162" s="248"/>
      <c r="G1162" s="312"/>
      <c r="H1162" s="312"/>
      <c r="I1162" s="312"/>
      <c r="J1162" s="248">
        <f t="shared" si="134"/>
        <v>0</v>
      </c>
      <c r="K1162" s="330">
        <f t="shared" si="135"/>
        <v>-1</v>
      </c>
      <c r="L1162" s="313"/>
      <c r="M1162" s="228">
        <f t="shared" si="136"/>
        <v>0</v>
      </c>
      <c r="N1162" s="228">
        <f t="shared" si="139"/>
        <v>0</v>
      </c>
      <c r="O1162" s="228">
        <f t="shared" si="140"/>
        <v>0</v>
      </c>
      <c r="P1162" s="228">
        <f t="shared" si="140"/>
        <v>0</v>
      </c>
      <c r="Q1162" s="228">
        <f t="shared" si="137"/>
        <v>0</v>
      </c>
      <c r="R1162" s="343">
        <f t="shared" si="138"/>
        <v>-1</v>
      </c>
      <c r="S1162" s="240"/>
      <c r="T1162" s="201"/>
      <c r="U1162" s="201"/>
      <c r="V1162" s="201"/>
    </row>
    <row r="1163" spans="1:22" ht="15.75" x14ac:dyDescent="0.25">
      <c r="A1163" s="230" t="s">
        <v>1838</v>
      </c>
      <c r="B1163" s="231" t="s">
        <v>1839</v>
      </c>
      <c r="C1163" s="230"/>
      <c r="D1163" s="316"/>
      <c r="E1163" s="316"/>
      <c r="F1163" s="317"/>
      <c r="G1163" s="316"/>
      <c r="H1163" s="316"/>
      <c r="I1163" s="316"/>
      <c r="J1163" s="248">
        <f t="shared" si="134"/>
        <v>0</v>
      </c>
      <c r="K1163" s="330">
        <f t="shared" si="135"/>
        <v>0</v>
      </c>
      <c r="L1163" s="318"/>
      <c r="M1163" s="228">
        <f t="shared" si="136"/>
        <v>0</v>
      </c>
      <c r="N1163" s="228">
        <f t="shared" si="139"/>
        <v>0</v>
      </c>
      <c r="O1163" s="228">
        <f t="shared" si="140"/>
        <v>0</v>
      </c>
      <c r="P1163" s="228">
        <f t="shared" si="140"/>
        <v>0</v>
      </c>
      <c r="Q1163" s="228">
        <f t="shared" si="137"/>
        <v>0</v>
      </c>
      <c r="R1163" s="343">
        <f t="shared" si="138"/>
        <v>0</v>
      </c>
      <c r="S1163" s="240"/>
      <c r="T1163" s="201"/>
      <c r="U1163" s="201"/>
      <c r="V1163" s="201"/>
    </row>
    <row r="1164" spans="1:22" ht="15.75" x14ac:dyDescent="0.25">
      <c r="A1164" s="234" t="s">
        <v>1840</v>
      </c>
      <c r="B1164" s="235" t="s">
        <v>1841</v>
      </c>
      <c r="C1164" s="234" t="s">
        <v>499</v>
      </c>
      <c r="D1164" s="312">
        <v>1</v>
      </c>
      <c r="E1164" s="312"/>
      <c r="F1164" s="248"/>
      <c r="G1164" s="312"/>
      <c r="H1164" s="312"/>
      <c r="I1164" s="312"/>
      <c r="J1164" s="248">
        <f t="shared" si="134"/>
        <v>0</v>
      </c>
      <c r="K1164" s="330">
        <f t="shared" si="135"/>
        <v>-1</v>
      </c>
      <c r="L1164" s="313"/>
      <c r="M1164" s="228">
        <f t="shared" si="136"/>
        <v>0</v>
      </c>
      <c r="N1164" s="228">
        <f t="shared" si="139"/>
        <v>0</v>
      </c>
      <c r="O1164" s="228">
        <f t="shared" si="140"/>
        <v>0</v>
      </c>
      <c r="P1164" s="228">
        <f t="shared" si="140"/>
        <v>0</v>
      </c>
      <c r="Q1164" s="228">
        <f t="shared" si="137"/>
        <v>0</v>
      </c>
      <c r="R1164" s="343">
        <f t="shared" si="138"/>
        <v>-1</v>
      </c>
      <c r="S1164" s="240"/>
      <c r="T1164" s="201"/>
      <c r="U1164" s="201"/>
      <c r="V1164" s="201"/>
    </row>
    <row r="1165" spans="1:22" ht="15.75" x14ac:dyDescent="0.25">
      <c r="A1165" s="234" t="s">
        <v>1842</v>
      </c>
      <c r="B1165" s="235" t="s">
        <v>1843</v>
      </c>
      <c r="C1165" s="234" t="s">
        <v>499</v>
      </c>
      <c r="D1165" s="312">
        <v>2</v>
      </c>
      <c r="E1165" s="312"/>
      <c r="F1165" s="248"/>
      <c r="G1165" s="312"/>
      <c r="H1165" s="312"/>
      <c r="I1165" s="312"/>
      <c r="J1165" s="248">
        <f t="shared" si="134"/>
        <v>0</v>
      </c>
      <c r="K1165" s="330">
        <f t="shared" si="135"/>
        <v>-2</v>
      </c>
      <c r="L1165" s="313"/>
      <c r="M1165" s="228">
        <f t="shared" si="136"/>
        <v>0</v>
      </c>
      <c r="N1165" s="228">
        <f t="shared" si="139"/>
        <v>0</v>
      </c>
      <c r="O1165" s="228">
        <f t="shared" si="140"/>
        <v>0</v>
      </c>
      <c r="P1165" s="228">
        <f t="shared" si="140"/>
        <v>0</v>
      </c>
      <c r="Q1165" s="228">
        <f t="shared" si="137"/>
        <v>0</v>
      </c>
      <c r="R1165" s="343">
        <f t="shared" si="138"/>
        <v>-2</v>
      </c>
      <c r="S1165" s="240"/>
      <c r="T1165" s="201"/>
      <c r="U1165" s="201"/>
      <c r="V1165" s="201"/>
    </row>
    <row r="1166" spans="1:22" ht="15.75" x14ac:dyDescent="0.25">
      <c r="A1166" s="234" t="s">
        <v>1844</v>
      </c>
      <c r="B1166" s="235" t="s">
        <v>1845</v>
      </c>
      <c r="C1166" s="234" t="s">
        <v>499</v>
      </c>
      <c r="D1166" s="312">
        <v>12</v>
      </c>
      <c r="E1166" s="312"/>
      <c r="F1166" s="248"/>
      <c r="G1166" s="312"/>
      <c r="H1166" s="312"/>
      <c r="I1166" s="312"/>
      <c r="J1166" s="248">
        <f t="shared" si="134"/>
        <v>0</v>
      </c>
      <c r="K1166" s="330">
        <f t="shared" si="135"/>
        <v>-12</v>
      </c>
      <c r="L1166" s="313"/>
      <c r="M1166" s="228">
        <f t="shared" si="136"/>
        <v>0</v>
      </c>
      <c r="N1166" s="228">
        <f t="shared" si="139"/>
        <v>0</v>
      </c>
      <c r="O1166" s="228">
        <f t="shared" si="140"/>
        <v>0</v>
      </c>
      <c r="P1166" s="228">
        <f t="shared" si="140"/>
        <v>0</v>
      </c>
      <c r="Q1166" s="228">
        <f t="shared" si="137"/>
        <v>0</v>
      </c>
      <c r="R1166" s="343">
        <f t="shared" si="138"/>
        <v>-12</v>
      </c>
      <c r="S1166" s="240"/>
      <c r="T1166" s="201"/>
      <c r="U1166" s="201"/>
      <c r="V1166" s="201"/>
    </row>
    <row r="1167" spans="1:22" ht="15.75" x14ac:dyDescent="0.25">
      <c r="A1167" s="234" t="s">
        <v>1846</v>
      </c>
      <c r="B1167" s="235" t="s">
        <v>1847</v>
      </c>
      <c r="C1167" s="234" t="s">
        <v>499</v>
      </c>
      <c r="D1167" s="312">
        <v>2</v>
      </c>
      <c r="E1167" s="312"/>
      <c r="F1167" s="248"/>
      <c r="G1167" s="312"/>
      <c r="H1167" s="312"/>
      <c r="I1167" s="312"/>
      <c r="J1167" s="248">
        <f t="shared" si="134"/>
        <v>0</v>
      </c>
      <c r="K1167" s="330">
        <f t="shared" si="135"/>
        <v>-2</v>
      </c>
      <c r="L1167" s="313"/>
      <c r="M1167" s="228">
        <f t="shared" si="136"/>
        <v>0</v>
      </c>
      <c r="N1167" s="228">
        <f t="shared" si="139"/>
        <v>0</v>
      </c>
      <c r="O1167" s="228">
        <f t="shared" si="140"/>
        <v>0</v>
      </c>
      <c r="P1167" s="228">
        <f t="shared" si="140"/>
        <v>0</v>
      </c>
      <c r="Q1167" s="228">
        <f t="shared" si="137"/>
        <v>0</v>
      </c>
      <c r="R1167" s="343">
        <f t="shared" si="138"/>
        <v>-2</v>
      </c>
      <c r="S1167" s="240"/>
      <c r="T1167" s="201"/>
      <c r="U1167" s="201"/>
      <c r="V1167" s="201"/>
    </row>
    <row r="1168" spans="1:22" ht="15.75" x14ac:dyDescent="0.25">
      <c r="A1168" s="234" t="s">
        <v>1848</v>
      </c>
      <c r="B1168" s="235" t="s">
        <v>1849</v>
      </c>
      <c r="C1168" s="234" t="s">
        <v>6</v>
      </c>
      <c r="D1168" s="312">
        <v>7660</v>
      </c>
      <c r="E1168" s="312"/>
      <c r="F1168" s="248"/>
      <c r="G1168" s="312"/>
      <c r="H1168" s="312"/>
      <c r="I1168" s="312"/>
      <c r="J1168" s="248">
        <f t="shared" si="134"/>
        <v>0</v>
      </c>
      <c r="K1168" s="330">
        <f t="shared" si="135"/>
        <v>-7660</v>
      </c>
      <c r="L1168" s="313"/>
      <c r="M1168" s="228">
        <f t="shared" si="136"/>
        <v>0</v>
      </c>
      <c r="N1168" s="228">
        <f t="shared" si="139"/>
        <v>0</v>
      </c>
      <c r="O1168" s="228">
        <f t="shared" si="140"/>
        <v>0</v>
      </c>
      <c r="P1168" s="228">
        <f t="shared" si="140"/>
        <v>0</v>
      </c>
      <c r="Q1168" s="228">
        <f t="shared" si="137"/>
        <v>0</v>
      </c>
      <c r="R1168" s="343">
        <f t="shared" si="138"/>
        <v>-7660</v>
      </c>
      <c r="S1168" s="240"/>
      <c r="T1168" s="201"/>
      <c r="U1168" s="201"/>
      <c r="V1168" s="201"/>
    </row>
    <row r="1169" spans="1:22" ht="15.75" x14ac:dyDescent="0.25">
      <c r="A1169" s="234" t="s">
        <v>1850</v>
      </c>
      <c r="B1169" s="235" t="s">
        <v>1851</v>
      </c>
      <c r="C1169" s="234" t="s">
        <v>6</v>
      </c>
      <c r="D1169" s="312">
        <v>1360</v>
      </c>
      <c r="E1169" s="312"/>
      <c r="F1169" s="248"/>
      <c r="G1169" s="312"/>
      <c r="H1169" s="312"/>
      <c r="I1169" s="312"/>
      <c r="J1169" s="248">
        <f t="shared" si="134"/>
        <v>0</v>
      </c>
      <c r="K1169" s="330">
        <f t="shared" si="135"/>
        <v>-1360</v>
      </c>
      <c r="L1169" s="313"/>
      <c r="M1169" s="228">
        <f t="shared" si="136"/>
        <v>0</v>
      </c>
      <c r="N1169" s="228">
        <f t="shared" si="139"/>
        <v>0</v>
      </c>
      <c r="O1169" s="228">
        <f t="shared" si="140"/>
        <v>0</v>
      </c>
      <c r="P1169" s="228">
        <f t="shared" si="140"/>
        <v>0</v>
      </c>
      <c r="Q1169" s="228">
        <f t="shared" si="137"/>
        <v>0</v>
      </c>
      <c r="R1169" s="343">
        <f t="shared" si="138"/>
        <v>-1360</v>
      </c>
      <c r="S1169" s="240"/>
      <c r="T1169" s="201"/>
      <c r="U1169" s="201"/>
      <c r="V1169" s="201"/>
    </row>
    <row r="1170" spans="1:22" ht="30" x14ac:dyDescent="0.25">
      <c r="A1170" s="234" t="s">
        <v>1852</v>
      </c>
      <c r="B1170" s="235" t="s">
        <v>1853</v>
      </c>
      <c r="C1170" s="234" t="s">
        <v>9</v>
      </c>
      <c r="D1170" s="312">
        <v>283</v>
      </c>
      <c r="E1170" s="312"/>
      <c r="F1170" s="248"/>
      <c r="G1170" s="312"/>
      <c r="H1170" s="312"/>
      <c r="I1170" s="312"/>
      <c r="J1170" s="248">
        <f t="shared" si="134"/>
        <v>0</v>
      </c>
      <c r="K1170" s="330">
        <f t="shared" si="135"/>
        <v>-283</v>
      </c>
      <c r="L1170" s="313"/>
      <c r="M1170" s="228">
        <f t="shared" si="136"/>
        <v>0</v>
      </c>
      <c r="N1170" s="228">
        <f t="shared" si="139"/>
        <v>0</v>
      </c>
      <c r="O1170" s="228">
        <f t="shared" si="140"/>
        <v>0</v>
      </c>
      <c r="P1170" s="228">
        <f t="shared" si="140"/>
        <v>0</v>
      </c>
      <c r="Q1170" s="228">
        <f t="shared" si="137"/>
        <v>0</v>
      </c>
      <c r="R1170" s="343">
        <f t="shared" si="138"/>
        <v>-283</v>
      </c>
      <c r="S1170" s="240"/>
      <c r="T1170" s="201"/>
      <c r="U1170" s="201"/>
      <c r="V1170" s="201"/>
    </row>
    <row r="1171" spans="1:22" ht="15.75" x14ac:dyDescent="0.25">
      <c r="A1171" s="230" t="s">
        <v>1854</v>
      </c>
      <c r="B1171" s="231" t="s">
        <v>1855</v>
      </c>
      <c r="C1171" s="230"/>
      <c r="D1171" s="316"/>
      <c r="E1171" s="316"/>
      <c r="F1171" s="317"/>
      <c r="G1171" s="316"/>
      <c r="H1171" s="316"/>
      <c r="I1171" s="316"/>
      <c r="J1171" s="248">
        <f t="shared" si="134"/>
        <v>0</v>
      </c>
      <c r="K1171" s="330">
        <f t="shared" si="135"/>
        <v>0</v>
      </c>
      <c r="L1171" s="318"/>
      <c r="M1171" s="228">
        <f t="shared" si="136"/>
        <v>0</v>
      </c>
      <c r="N1171" s="228">
        <f t="shared" si="139"/>
        <v>0</v>
      </c>
      <c r="O1171" s="228">
        <f t="shared" si="140"/>
        <v>0</v>
      </c>
      <c r="P1171" s="228">
        <f t="shared" si="140"/>
        <v>0</v>
      </c>
      <c r="Q1171" s="228">
        <f t="shared" si="137"/>
        <v>0</v>
      </c>
      <c r="R1171" s="343">
        <f t="shared" si="138"/>
        <v>0</v>
      </c>
      <c r="S1171" s="240"/>
      <c r="T1171" s="201"/>
      <c r="U1171" s="201"/>
      <c r="V1171" s="201"/>
    </row>
    <row r="1172" spans="1:22" ht="15.75" x14ac:dyDescent="0.25">
      <c r="A1172" s="234" t="s">
        <v>1856</v>
      </c>
      <c r="B1172" s="235" t="s">
        <v>1818</v>
      </c>
      <c r="C1172" s="234" t="s">
        <v>6</v>
      </c>
      <c r="D1172" s="312">
        <v>3200</v>
      </c>
      <c r="E1172" s="312"/>
      <c r="F1172" s="248"/>
      <c r="G1172" s="312"/>
      <c r="H1172" s="312"/>
      <c r="I1172" s="312"/>
      <c r="J1172" s="248">
        <f t="shared" si="134"/>
        <v>0</v>
      </c>
      <c r="K1172" s="330">
        <f t="shared" si="135"/>
        <v>-3200</v>
      </c>
      <c r="L1172" s="313"/>
      <c r="M1172" s="228">
        <f t="shared" si="136"/>
        <v>0</v>
      </c>
      <c r="N1172" s="228">
        <f t="shared" si="139"/>
        <v>0</v>
      </c>
      <c r="O1172" s="228">
        <f t="shared" si="140"/>
        <v>0</v>
      </c>
      <c r="P1172" s="228">
        <f t="shared" si="140"/>
        <v>0</v>
      </c>
      <c r="Q1172" s="228">
        <f t="shared" si="137"/>
        <v>0</v>
      </c>
      <c r="R1172" s="343">
        <f t="shared" si="138"/>
        <v>-3200</v>
      </c>
      <c r="S1172" s="240"/>
      <c r="T1172" s="201"/>
      <c r="U1172" s="201"/>
      <c r="V1172" s="201"/>
    </row>
    <row r="1173" spans="1:22" ht="15.75" x14ac:dyDescent="0.25">
      <c r="A1173" s="234" t="s">
        <v>1857</v>
      </c>
      <c r="B1173" s="235" t="s">
        <v>1820</v>
      </c>
      <c r="C1173" s="234" t="s">
        <v>6</v>
      </c>
      <c r="D1173" s="312">
        <v>480</v>
      </c>
      <c r="E1173" s="312"/>
      <c r="F1173" s="248"/>
      <c r="G1173" s="312"/>
      <c r="H1173" s="312"/>
      <c r="I1173" s="312"/>
      <c r="J1173" s="248">
        <f t="shared" si="134"/>
        <v>0</v>
      </c>
      <c r="K1173" s="330">
        <f t="shared" si="135"/>
        <v>-480</v>
      </c>
      <c r="L1173" s="313"/>
      <c r="M1173" s="228">
        <f t="shared" si="136"/>
        <v>0</v>
      </c>
      <c r="N1173" s="228">
        <f t="shared" si="139"/>
        <v>0</v>
      </c>
      <c r="O1173" s="228">
        <f t="shared" si="140"/>
        <v>0</v>
      </c>
      <c r="P1173" s="228">
        <f t="shared" si="140"/>
        <v>0</v>
      </c>
      <c r="Q1173" s="228">
        <f t="shared" si="137"/>
        <v>0</v>
      </c>
      <c r="R1173" s="343">
        <f t="shared" si="138"/>
        <v>-480</v>
      </c>
      <c r="S1173" s="240"/>
      <c r="T1173" s="201"/>
      <c r="U1173" s="201"/>
      <c r="V1173" s="201"/>
    </row>
    <row r="1174" spans="1:22" ht="15.75" x14ac:dyDescent="0.25">
      <c r="A1174" s="234" t="s">
        <v>1858</v>
      </c>
      <c r="B1174" s="235" t="s">
        <v>1859</v>
      </c>
      <c r="C1174" s="234" t="s">
        <v>6</v>
      </c>
      <c r="D1174" s="312">
        <v>4024</v>
      </c>
      <c r="E1174" s="312"/>
      <c r="F1174" s="248"/>
      <c r="G1174" s="312"/>
      <c r="H1174" s="312"/>
      <c r="I1174" s="312"/>
      <c r="J1174" s="248">
        <f t="shared" si="134"/>
        <v>0</v>
      </c>
      <c r="K1174" s="330">
        <f t="shared" si="135"/>
        <v>-4024</v>
      </c>
      <c r="L1174" s="313"/>
      <c r="M1174" s="228">
        <f t="shared" si="136"/>
        <v>0</v>
      </c>
      <c r="N1174" s="228">
        <f t="shared" si="139"/>
        <v>0</v>
      </c>
      <c r="O1174" s="228">
        <f t="shared" si="140"/>
        <v>0</v>
      </c>
      <c r="P1174" s="228">
        <f t="shared" si="140"/>
        <v>0</v>
      </c>
      <c r="Q1174" s="228">
        <f t="shared" si="137"/>
        <v>0</v>
      </c>
      <c r="R1174" s="343">
        <f t="shared" si="138"/>
        <v>-4024</v>
      </c>
      <c r="S1174" s="240"/>
      <c r="T1174" s="201"/>
      <c r="U1174" s="201"/>
      <c r="V1174" s="201"/>
    </row>
    <row r="1175" spans="1:22" ht="15.75" x14ac:dyDescent="0.25">
      <c r="A1175" s="234" t="s">
        <v>1860</v>
      </c>
      <c r="B1175" s="235" t="s">
        <v>1824</v>
      </c>
      <c r="C1175" s="234" t="s">
        <v>6</v>
      </c>
      <c r="D1175" s="312">
        <v>625</v>
      </c>
      <c r="E1175" s="312"/>
      <c r="F1175" s="248"/>
      <c r="G1175" s="312"/>
      <c r="H1175" s="312"/>
      <c r="I1175" s="312"/>
      <c r="J1175" s="248">
        <f t="shared" si="134"/>
        <v>0</v>
      </c>
      <c r="K1175" s="330">
        <f t="shared" si="135"/>
        <v>-625</v>
      </c>
      <c r="L1175" s="313"/>
      <c r="M1175" s="228">
        <f t="shared" si="136"/>
        <v>0</v>
      </c>
      <c r="N1175" s="228">
        <f t="shared" si="139"/>
        <v>0</v>
      </c>
      <c r="O1175" s="228">
        <f t="shared" si="140"/>
        <v>0</v>
      </c>
      <c r="P1175" s="228">
        <f t="shared" si="140"/>
        <v>0</v>
      </c>
      <c r="Q1175" s="228">
        <f t="shared" si="137"/>
        <v>0</v>
      </c>
      <c r="R1175" s="343">
        <f t="shared" si="138"/>
        <v>-625</v>
      </c>
      <c r="S1175" s="240"/>
      <c r="T1175" s="201"/>
      <c r="U1175" s="201"/>
      <c r="V1175" s="201"/>
    </row>
    <row r="1176" spans="1:22" ht="15.75" x14ac:dyDescent="0.25">
      <c r="A1176" s="234" t="s">
        <v>1861</v>
      </c>
      <c r="B1176" s="235" t="s">
        <v>1826</v>
      </c>
      <c r="C1176" s="234" t="s">
        <v>6</v>
      </c>
      <c r="D1176" s="312">
        <v>3680</v>
      </c>
      <c r="E1176" s="312"/>
      <c r="F1176" s="248"/>
      <c r="G1176" s="312"/>
      <c r="H1176" s="312"/>
      <c r="I1176" s="312"/>
      <c r="J1176" s="248">
        <f t="shared" si="134"/>
        <v>0</v>
      </c>
      <c r="K1176" s="330">
        <f t="shared" si="135"/>
        <v>-3680</v>
      </c>
      <c r="L1176" s="313"/>
      <c r="M1176" s="228">
        <f t="shared" si="136"/>
        <v>0</v>
      </c>
      <c r="N1176" s="228">
        <f t="shared" si="139"/>
        <v>0</v>
      </c>
      <c r="O1176" s="228">
        <f t="shared" si="140"/>
        <v>0</v>
      </c>
      <c r="P1176" s="228">
        <f t="shared" si="140"/>
        <v>0</v>
      </c>
      <c r="Q1176" s="228">
        <f t="shared" si="137"/>
        <v>0</v>
      </c>
      <c r="R1176" s="343">
        <f t="shared" si="138"/>
        <v>-3680</v>
      </c>
      <c r="S1176" s="240"/>
      <c r="T1176" s="201"/>
      <c r="U1176" s="201"/>
      <c r="V1176" s="201"/>
    </row>
    <row r="1177" spans="1:22" ht="15.75" x14ac:dyDescent="0.25">
      <c r="A1177" s="234" t="s">
        <v>1862</v>
      </c>
      <c r="B1177" s="235" t="s">
        <v>1863</v>
      </c>
      <c r="C1177" s="234" t="s">
        <v>6</v>
      </c>
      <c r="D1177" s="312">
        <v>625</v>
      </c>
      <c r="E1177" s="312"/>
      <c r="F1177" s="248"/>
      <c r="G1177" s="312"/>
      <c r="H1177" s="312"/>
      <c r="I1177" s="312"/>
      <c r="J1177" s="248">
        <f t="shared" si="134"/>
        <v>0</v>
      </c>
      <c r="K1177" s="330">
        <f t="shared" si="135"/>
        <v>-625</v>
      </c>
      <c r="L1177" s="313"/>
      <c r="M1177" s="228">
        <f t="shared" si="136"/>
        <v>0</v>
      </c>
      <c r="N1177" s="228">
        <f t="shared" si="139"/>
        <v>0</v>
      </c>
      <c r="O1177" s="228">
        <f t="shared" si="140"/>
        <v>0</v>
      </c>
      <c r="P1177" s="228">
        <f t="shared" si="140"/>
        <v>0</v>
      </c>
      <c r="Q1177" s="228">
        <f t="shared" si="137"/>
        <v>0</v>
      </c>
      <c r="R1177" s="343">
        <f t="shared" si="138"/>
        <v>-625</v>
      </c>
      <c r="S1177" s="240"/>
      <c r="T1177" s="201"/>
      <c r="U1177" s="201"/>
      <c r="V1177" s="201"/>
    </row>
    <row r="1178" spans="1:22" ht="15.75" x14ac:dyDescent="0.25">
      <c r="A1178" s="234" t="s">
        <v>1864</v>
      </c>
      <c r="B1178" s="235" t="s">
        <v>1832</v>
      </c>
      <c r="C1178" s="234" t="s">
        <v>499</v>
      </c>
      <c r="D1178" s="312">
        <v>1</v>
      </c>
      <c r="E1178" s="312"/>
      <c r="F1178" s="248"/>
      <c r="G1178" s="312"/>
      <c r="H1178" s="312"/>
      <c r="I1178" s="312"/>
      <c r="J1178" s="248">
        <f t="shared" si="134"/>
        <v>0</v>
      </c>
      <c r="K1178" s="330">
        <f t="shared" si="135"/>
        <v>-1</v>
      </c>
      <c r="L1178" s="313"/>
      <c r="M1178" s="228">
        <f t="shared" si="136"/>
        <v>0</v>
      </c>
      <c r="N1178" s="228">
        <f t="shared" si="139"/>
        <v>0</v>
      </c>
      <c r="O1178" s="228">
        <f t="shared" si="140"/>
        <v>0</v>
      </c>
      <c r="P1178" s="228">
        <f t="shared" si="140"/>
        <v>0</v>
      </c>
      <c r="Q1178" s="228">
        <f t="shared" si="137"/>
        <v>0</v>
      </c>
      <c r="R1178" s="343">
        <f t="shared" si="138"/>
        <v>-1</v>
      </c>
      <c r="S1178" s="240"/>
      <c r="T1178" s="201"/>
      <c r="U1178" s="201"/>
      <c r="V1178" s="201"/>
    </row>
    <row r="1179" spans="1:22" ht="15.75" x14ac:dyDescent="0.25">
      <c r="A1179" s="234" t="s">
        <v>1865</v>
      </c>
      <c r="B1179" s="235" t="s">
        <v>1866</v>
      </c>
      <c r="C1179" s="234" t="s">
        <v>1867</v>
      </c>
      <c r="D1179" s="312">
        <v>1</v>
      </c>
      <c r="E1179" s="312"/>
      <c r="F1179" s="248"/>
      <c r="G1179" s="312"/>
      <c r="H1179" s="312"/>
      <c r="I1179" s="312"/>
      <c r="J1179" s="248">
        <f t="shared" si="134"/>
        <v>0</v>
      </c>
      <c r="K1179" s="330">
        <f t="shared" si="135"/>
        <v>-1</v>
      </c>
      <c r="L1179" s="313"/>
      <c r="M1179" s="228">
        <f t="shared" si="136"/>
        <v>0</v>
      </c>
      <c r="N1179" s="228">
        <f t="shared" si="139"/>
        <v>0</v>
      </c>
      <c r="O1179" s="228">
        <f t="shared" si="140"/>
        <v>0</v>
      </c>
      <c r="P1179" s="228">
        <f t="shared" si="140"/>
        <v>0</v>
      </c>
      <c r="Q1179" s="228">
        <f t="shared" si="137"/>
        <v>0</v>
      </c>
      <c r="R1179" s="343">
        <f t="shared" si="138"/>
        <v>-1</v>
      </c>
      <c r="S1179" s="240"/>
      <c r="T1179" s="201"/>
      <c r="U1179" s="201"/>
      <c r="V1179" s="201"/>
    </row>
    <row r="1180" spans="1:22" ht="15.75" x14ac:dyDescent="0.25">
      <c r="A1180" s="234" t="s">
        <v>1868</v>
      </c>
      <c r="B1180" s="235" t="s">
        <v>1869</v>
      </c>
      <c r="C1180" s="234" t="s">
        <v>1867</v>
      </c>
      <c r="D1180" s="312">
        <v>9</v>
      </c>
      <c r="E1180" s="312"/>
      <c r="F1180" s="248"/>
      <c r="G1180" s="312"/>
      <c r="H1180" s="312"/>
      <c r="I1180" s="312"/>
      <c r="J1180" s="248">
        <f t="shared" si="134"/>
        <v>0</v>
      </c>
      <c r="K1180" s="330">
        <f t="shared" si="135"/>
        <v>-9</v>
      </c>
      <c r="L1180" s="313"/>
      <c r="M1180" s="228">
        <f t="shared" si="136"/>
        <v>0</v>
      </c>
      <c r="N1180" s="228">
        <f t="shared" si="139"/>
        <v>0</v>
      </c>
      <c r="O1180" s="228">
        <f t="shared" si="140"/>
        <v>0</v>
      </c>
      <c r="P1180" s="228">
        <f t="shared" si="140"/>
        <v>0</v>
      </c>
      <c r="Q1180" s="228">
        <f t="shared" si="137"/>
        <v>0</v>
      </c>
      <c r="R1180" s="343">
        <f t="shared" si="138"/>
        <v>-9</v>
      </c>
      <c r="S1180" s="240"/>
      <c r="T1180" s="201"/>
      <c r="U1180" s="201"/>
      <c r="V1180" s="201"/>
    </row>
    <row r="1181" spans="1:22" ht="15.75" x14ac:dyDescent="0.25">
      <c r="A1181" s="234" t="s">
        <v>1870</v>
      </c>
      <c r="B1181" s="235" t="s">
        <v>1871</v>
      </c>
      <c r="C1181" s="234" t="s">
        <v>1872</v>
      </c>
      <c r="D1181" s="312">
        <v>6</v>
      </c>
      <c r="E1181" s="312"/>
      <c r="F1181" s="248"/>
      <c r="G1181" s="312"/>
      <c r="H1181" s="312"/>
      <c r="I1181" s="312"/>
      <c r="J1181" s="248">
        <f t="shared" si="134"/>
        <v>0</v>
      </c>
      <c r="K1181" s="330">
        <f t="shared" si="135"/>
        <v>-6</v>
      </c>
      <c r="L1181" s="313"/>
      <c r="M1181" s="228">
        <f t="shared" si="136"/>
        <v>0</v>
      </c>
      <c r="N1181" s="228">
        <f t="shared" si="139"/>
        <v>0</v>
      </c>
      <c r="O1181" s="228">
        <f t="shared" si="140"/>
        <v>0</v>
      </c>
      <c r="P1181" s="228">
        <f t="shared" si="140"/>
        <v>0</v>
      </c>
      <c r="Q1181" s="228">
        <f t="shared" si="137"/>
        <v>0</v>
      </c>
      <c r="R1181" s="343">
        <f t="shared" si="138"/>
        <v>-6</v>
      </c>
      <c r="S1181" s="240"/>
      <c r="T1181" s="201"/>
      <c r="U1181" s="201"/>
      <c r="V1181" s="201"/>
    </row>
    <row r="1182" spans="1:22" ht="15.75" x14ac:dyDescent="0.25">
      <c r="A1182" s="230" t="s">
        <v>1873</v>
      </c>
      <c r="B1182" s="231" t="s">
        <v>1874</v>
      </c>
      <c r="C1182" s="230"/>
      <c r="D1182" s="316"/>
      <c r="E1182" s="316"/>
      <c r="F1182" s="317"/>
      <c r="G1182" s="316"/>
      <c r="H1182" s="316"/>
      <c r="I1182" s="316"/>
      <c r="J1182" s="248">
        <f t="shared" si="134"/>
        <v>0</v>
      </c>
      <c r="K1182" s="330">
        <f t="shared" si="135"/>
        <v>0</v>
      </c>
      <c r="L1182" s="318"/>
      <c r="M1182" s="228">
        <f t="shared" si="136"/>
        <v>0</v>
      </c>
      <c r="N1182" s="228">
        <f t="shared" si="139"/>
        <v>0</v>
      </c>
      <c r="O1182" s="228">
        <f t="shared" si="140"/>
        <v>0</v>
      </c>
      <c r="P1182" s="228">
        <f t="shared" si="140"/>
        <v>0</v>
      </c>
      <c r="Q1182" s="228">
        <f t="shared" si="137"/>
        <v>0</v>
      </c>
      <c r="R1182" s="343">
        <f t="shared" si="138"/>
        <v>0</v>
      </c>
      <c r="S1182" s="240"/>
      <c r="T1182" s="201"/>
      <c r="U1182" s="201"/>
      <c r="V1182" s="201"/>
    </row>
    <row r="1183" spans="1:22" ht="15.75" x14ac:dyDescent="0.25">
      <c r="A1183" s="234" t="s">
        <v>1875</v>
      </c>
      <c r="B1183" s="235" t="s">
        <v>1818</v>
      </c>
      <c r="C1183" s="234" t="s">
        <v>6</v>
      </c>
      <c r="D1183" s="312">
        <v>2290</v>
      </c>
      <c r="E1183" s="312"/>
      <c r="F1183" s="248"/>
      <c r="G1183" s="312"/>
      <c r="H1183" s="312"/>
      <c r="I1183" s="312"/>
      <c r="J1183" s="248">
        <f t="shared" si="134"/>
        <v>0</v>
      </c>
      <c r="K1183" s="330">
        <f t="shared" si="135"/>
        <v>-2290</v>
      </c>
      <c r="L1183" s="313"/>
      <c r="M1183" s="228">
        <f t="shared" si="136"/>
        <v>0</v>
      </c>
      <c r="N1183" s="228">
        <f t="shared" si="139"/>
        <v>0</v>
      </c>
      <c r="O1183" s="228">
        <f t="shared" si="140"/>
        <v>0</v>
      </c>
      <c r="P1183" s="228">
        <f t="shared" si="140"/>
        <v>0</v>
      </c>
      <c r="Q1183" s="228">
        <f t="shared" si="137"/>
        <v>0</v>
      </c>
      <c r="R1183" s="343">
        <f t="shared" si="138"/>
        <v>-2290</v>
      </c>
      <c r="S1183" s="240"/>
      <c r="T1183" s="201"/>
      <c r="U1183" s="201"/>
      <c r="V1183" s="201"/>
    </row>
    <row r="1184" spans="1:22" ht="15.75" x14ac:dyDescent="0.25">
      <c r="A1184" s="234" t="s">
        <v>1876</v>
      </c>
      <c r="B1184" s="235" t="s">
        <v>1820</v>
      </c>
      <c r="C1184" s="234" t="s">
        <v>6</v>
      </c>
      <c r="D1184" s="312">
        <v>760</v>
      </c>
      <c r="E1184" s="312"/>
      <c r="F1184" s="248"/>
      <c r="G1184" s="312"/>
      <c r="H1184" s="312"/>
      <c r="I1184" s="312"/>
      <c r="J1184" s="248">
        <f t="shared" si="134"/>
        <v>0</v>
      </c>
      <c r="K1184" s="330">
        <f t="shared" si="135"/>
        <v>-760</v>
      </c>
      <c r="L1184" s="313"/>
      <c r="M1184" s="228">
        <f t="shared" si="136"/>
        <v>0</v>
      </c>
      <c r="N1184" s="228">
        <f t="shared" si="139"/>
        <v>0</v>
      </c>
      <c r="O1184" s="228">
        <f t="shared" si="140"/>
        <v>0</v>
      </c>
      <c r="P1184" s="228">
        <f t="shared" si="140"/>
        <v>0</v>
      </c>
      <c r="Q1184" s="228">
        <f t="shared" si="137"/>
        <v>0</v>
      </c>
      <c r="R1184" s="343">
        <f t="shared" si="138"/>
        <v>-760</v>
      </c>
      <c r="S1184" s="240"/>
      <c r="T1184" s="201"/>
      <c r="U1184" s="201"/>
      <c r="V1184" s="201"/>
    </row>
    <row r="1185" spans="1:22" ht="30" x14ac:dyDescent="0.25">
      <c r="A1185" s="234" t="s">
        <v>1877</v>
      </c>
      <c r="B1185" s="235" t="s">
        <v>1878</v>
      </c>
      <c r="C1185" s="234" t="s">
        <v>1429</v>
      </c>
      <c r="D1185" s="312">
        <v>13</v>
      </c>
      <c r="E1185" s="312"/>
      <c r="F1185" s="248"/>
      <c r="G1185" s="312"/>
      <c r="H1185" s="312"/>
      <c r="I1185" s="312"/>
      <c r="J1185" s="248">
        <f t="shared" si="134"/>
        <v>0</v>
      </c>
      <c r="K1185" s="330">
        <f t="shared" si="135"/>
        <v>-13</v>
      </c>
      <c r="L1185" s="313"/>
      <c r="M1185" s="228">
        <f t="shared" si="136"/>
        <v>0</v>
      </c>
      <c r="N1185" s="228">
        <f t="shared" si="139"/>
        <v>0</v>
      </c>
      <c r="O1185" s="228">
        <f t="shared" si="140"/>
        <v>0</v>
      </c>
      <c r="P1185" s="228">
        <f t="shared" si="140"/>
        <v>0</v>
      </c>
      <c r="Q1185" s="228">
        <f t="shared" si="137"/>
        <v>0</v>
      </c>
      <c r="R1185" s="343">
        <f t="shared" si="138"/>
        <v>-13</v>
      </c>
      <c r="S1185" s="240"/>
      <c r="T1185" s="201"/>
      <c r="U1185" s="201"/>
      <c r="V1185" s="201"/>
    </row>
    <row r="1186" spans="1:22" ht="15.75" x14ac:dyDescent="0.25">
      <c r="A1186" s="234" t="s">
        <v>1879</v>
      </c>
      <c r="B1186" s="235" t="s">
        <v>1824</v>
      </c>
      <c r="C1186" s="234" t="s">
        <v>6</v>
      </c>
      <c r="D1186" s="312">
        <v>50</v>
      </c>
      <c r="E1186" s="312"/>
      <c r="F1186" s="248"/>
      <c r="G1186" s="312"/>
      <c r="H1186" s="312"/>
      <c r="I1186" s="312"/>
      <c r="J1186" s="248">
        <f t="shared" si="134"/>
        <v>0</v>
      </c>
      <c r="K1186" s="330">
        <f t="shared" si="135"/>
        <v>-50</v>
      </c>
      <c r="L1186" s="313"/>
      <c r="M1186" s="228">
        <f t="shared" si="136"/>
        <v>0</v>
      </c>
      <c r="N1186" s="228">
        <f t="shared" si="139"/>
        <v>0</v>
      </c>
      <c r="O1186" s="228">
        <f t="shared" si="140"/>
        <v>0</v>
      </c>
      <c r="P1186" s="228">
        <f t="shared" si="140"/>
        <v>0</v>
      </c>
      <c r="Q1186" s="228">
        <f t="shared" si="137"/>
        <v>0</v>
      </c>
      <c r="R1186" s="343">
        <f t="shared" si="138"/>
        <v>-50</v>
      </c>
      <c r="S1186" s="240"/>
      <c r="T1186" s="201"/>
      <c r="U1186" s="201"/>
      <c r="V1186" s="201"/>
    </row>
    <row r="1187" spans="1:22" ht="15.75" x14ac:dyDescent="0.25">
      <c r="A1187" s="234" t="s">
        <v>1880</v>
      </c>
      <c r="B1187" s="235" t="s">
        <v>1881</v>
      </c>
      <c r="C1187" s="234" t="s">
        <v>6</v>
      </c>
      <c r="D1187" s="312">
        <v>3180</v>
      </c>
      <c r="E1187" s="312"/>
      <c r="F1187" s="248"/>
      <c r="G1187" s="312"/>
      <c r="H1187" s="312"/>
      <c r="I1187" s="312"/>
      <c r="J1187" s="248">
        <f t="shared" si="134"/>
        <v>0</v>
      </c>
      <c r="K1187" s="330">
        <f t="shared" si="135"/>
        <v>-3180</v>
      </c>
      <c r="L1187" s="313"/>
      <c r="M1187" s="228">
        <f t="shared" si="136"/>
        <v>0</v>
      </c>
      <c r="N1187" s="228">
        <f t="shared" si="139"/>
        <v>0</v>
      </c>
      <c r="O1187" s="228">
        <f t="shared" si="140"/>
        <v>0</v>
      </c>
      <c r="P1187" s="228">
        <f t="shared" si="140"/>
        <v>0</v>
      </c>
      <c r="Q1187" s="228">
        <f t="shared" si="137"/>
        <v>0</v>
      </c>
      <c r="R1187" s="343">
        <f t="shared" si="138"/>
        <v>-3180</v>
      </c>
      <c r="S1187" s="240"/>
      <c r="T1187" s="201"/>
      <c r="U1187" s="201"/>
      <c r="V1187" s="201"/>
    </row>
    <row r="1188" spans="1:22" ht="15.75" x14ac:dyDescent="0.25">
      <c r="A1188" s="234" t="s">
        <v>1882</v>
      </c>
      <c r="B1188" s="235" t="s">
        <v>1883</v>
      </c>
      <c r="C1188" s="234" t="s">
        <v>6</v>
      </c>
      <c r="D1188" s="312">
        <v>640</v>
      </c>
      <c r="E1188" s="312"/>
      <c r="F1188" s="248"/>
      <c r="G1188" s="312"/>
      <c r="H1188" s="312"/>
      <c r="I1188" s="312"/>
      <c r="J1188" s="248">
        <f t="shared" si="134"/>
        <v>0</v>
      </c>
      <c r="K1188" s="330">
        <f t="shared" si="135"/>
        <v>-640</v>
      </c>
      <c r="L1188" s="313"/>
      <c r="M1188" s="228">
        <f t="shared" si="136"/>
        <v>0</v>
      </c>
      <c r="N1188" s="228">
        <f t="shared" si="139"/>
        <v>0</v>
      </c>
      <c r="O1188" s="228">
        <f t="shared" si="140"/>
        <v>0</v>
      </c>
      <c r="P1188" s="228">
        <f t="shared" si="140"/>
        <v>0</v>
      </c>
      <c r="Q1188" s="228">
        <f t="shared" si="137"/>
        <v>0</v>
      </c>
      <c r="R1188" s="343">
        <f t="shared" si="138"/>
        <v>-640</v>
      </c>
      <c r="S1188" s="240"/>
      <c r="T1188" s="201"/>
      <c r="U1188" s="201"/>
      <c r="V1188" s="201"/>
    </row>
    <row r="1189" spans="1:22" ht="15.75" x14ac:dyDescent="0.25">
      <c r="A1189" s="230" t="s">
        <v>1884</v>
      </c>
      <c r="B1189" s="231" t="s">
        <v>1885</v>
      </c>
      <c r="C1189" s="230"/>
      <c r="D1189" s="316"/>
      <c r="E1189" s="316"/>
      <c r="F1189" s="317"/>
      <c r="G1189" s="316"/>
      <c r="H1189" s="316"/>
      <c r="I1189" s="316"/>
      <c r="J1189" s="248">
        <f t="shared" si="134"/>
        <v>0</v>
      </c>
      <c r="K1189" s="330">
        <f t="shared" si="135"/>
        <v>0</v>
      </c>
      <c r="L1189" s="318"/>
      <c r="M1189" s="228">
        <f t="shared" si="136"/>
        <v>0</v>
      </c>
      <c r="N1189" s="228">
        <f t="shared" si="139"/>
        <v>0</v>
      </c>
      <c r="O1189" s="228">
        <f t="shared" si="140"/>
        <v>0</v>
      </c>
      <c r="P1189" s="228">
        <f t="shared" si="140"/>
        <v>0</v>
      </c>
      <c r="Q1189" s="228">
        <f t="shared" si="137"/>
        <v>0</v>
      </c>
      <c r="R1189" s="343">
        <f t="shared" si="138"/>
        <v>0</v>
      </c>
      <c r="S1189" s="240"/>
      <c r="T1189" s="201"/>
      <c r="U1189" s="201"/>
      <c r="V1189" s="201"/>
    </row>
    <row r="1190" spans="1:22" ht="15.75" x14ac:dyDescent="0.25">
      <c r="A1190" s="234" t="s">
        <v>1886</v>
      </c>
      <c r="B1190" s="235" t="s">
        <v>1818</v>
      </c>
      <c r="C1190" s="234" t="s">
        <v>6</v>
      </c>
      <c r="D1190" s="312">
        <v>1950</v>
      </c>
      <c r="E1190" s="312"/>
      <c r="F1190" s="248"/>
      <c r="G1190" s="312"/>
      <c r="H1190" s="312"/>
      <c r="I1190" s="312"/>
      <c r="J1190" s="248">
        <f t="shared" si="134"/>
        <v>0</v>
      </c>
      <c r="K1190" s="330">
        <f t="shared" si="135"/>
        <v>-1950</v>
      </c>
      <c r="L1190" s="313"/>
      <c r="M1190" s="228">
        <f t="shared" si="136"/>
        <v>0</v>
      </c>
      <c r="N1190" s="228">
        <f t="shared" si="139"/>
        <v>0</v>
      </c>
      <c r="O1190" s="228">
        <f t="shared" si="140"/>
        <v>0</v>
      </c>
      <c r="P1190" s="228">
        <f t="shared" si="140"/>
        <v>0</v>
      </c>
      <c r="Q1190" s="228">
        <f t="shared" si="137"/>
        <v>0</v>
      </c>
      <c r="R1190" s="343">
        <f t="shared" si="138"/>
        <v>-1950</v>
      </c>
      <c r="S1190" s="240"/>
      <c r="T1190" s="201"/>
      <c r="U1190" s="201"/>
      <c r="V1190" s="201"/>
    </row>
    <row r="1191" spans="1:22" ht="15.75" x14ac:dyDescent="0.25">
      <c r="A1191" s="234" t="s">
        <v>1887</v>
      </c>
      <c r="B1191" s="235" t="s">
        <v>1888</v>
      </c>
      <c r="C1191" s="234" t="s">
        <v>6</v>
      </c>
      <c r="D1191" s="312">
        <v>2500</v>
      </c>
      <c r="E1191" s="312"/>
      <c r="F1191" s="248"/>
      <c r="G1191" s="312"/>
      <c r="H1191" s="312"/>
      <c r="I1191" s="312"/>
      <c r="J1191" s="248">
        <f t="shared" si="134"/>
        <v>0</v>
      </c>
      <c r="K1191" s="330">
        <f t="shared" si="135"/>
        <v>-2500</v>
      </c>
      <c r="L1191" s="313"/>
      <c r="M1191" s="228">
        <f t="shared" si="136"/>
        <v>0</v>
      </c>
      <c r="N1191" s="228">
        <f t="shared" si="139"/>
        <v>0</v>
      </c>
      <c r="O1191" s="228">
        <f t="shared" si="140"/>
        <v>0</v>
      </c>
      <c r="P1191" s="228">
        <f t="shared" si="140"/>
        <v>0</v>
      </c>
      <c r="Q1191" s="228">
        <f t="shared" si="137"/>
        <v>0</v>
      </c>
      <c r="R1191" s="343">
        <f t="shared" si="138"/>
        <v>-2500</v>
      </c>
      <c r="S1191" s="240"/>
      <c r="T1191" s="201"/>
      <c r="U1191" s="201"/>
      <c r="V1191" s="201"/>
    </row>
    <row r="1192" spans="1:22" ht="15.75" x14ac:dyDescent="0.25">
      <c r="A1192" s="234" t="s">
        <v>1889</v>
      </c>
      <c r="B1192" s="235" t="s">
        <v>1890</v>
      </c>
      <c r="C1192" s="234" t="s">
        <v>6</v>
      </c>
      <c r="D1192" s="312">
        <v>650</v>
      </c>
      <c r="E1192" s="312"/>
      <c r="F1192" s="248"/>
      <c r="G1192" s="312"/>
      <c r="H1192" s="312"/>
      <c r="I1192" s="312"/>
      <c r="J1192" s="248">
        <f t="shared" si="134"/>
        <v>0</v>
      </c>
      <c r="K1192" s="330">
        <f t="shared" si="135"/>
        <v>-650</v>
      </c>
      <c r="L1192" s="313"/>
      <c r="M1192" s="228">
        <f t="shared" si="136"/>
        <v>0</v>
      </c>
      <c r="N1192" s="228">
        <f t="shared" si="139"/>
        <v>0</v>
      </c>
      <c r="O1192" s="228">
        <f t="shared" si="140"/>
        <v>0</v>
      </c>
      <c r="P1192" s="228">
        <f t="shared" si="140"/>
        <v>0</v>
      </c>
      <c r="Q1192" s="228">
        <f t="shared" si="137"/>
        <v>0</v>
      </c>
      <c r="R1192" s="343">
        <f t="shared" si="138"/>
        <v>-650</v>
      </c>
      <c r="S1192" s="240"/>
      <c r="T1192" s="201"/>
      <c r="U1192" s="201"/>
      <c r="V1192" s="201"/>
    </row>
    <row r="1193" spans="1:22" ht="15.75" x14ac:dyDescent="0.25">
      <c r="A1193" s="230" t="s">
        <v>1891</v>
      </c>
      <c r="B1193" s="231" t="s">
        <v>1892</v>
      </c>
      <c r="C1193" s="230"/>
      <c r="D1193" s="316"/>
      <c r="E1193" s="316"/>
      <c r="F1193" s="317"/>
      <c r="G1193" s="316"/>
      <c r="H1193" s="316"/>
      <c r="I1193" s="316"/>
      <c r="J1193" s="248">
        <f t="shared" si="134"/>
        <v>0</v>
      </c>
      <c r="K1193" s="330">
        <f t="shared" si="135"/>
        <v>0</v>
      </c>
      <c r="L1193" s="318"/>
      <c r="M1193" s="228">
        <f t="shared" si="136"/>
        <v>0</v>
      </c>
      <c r="N1193" s="228">
        <f t="shared" si="139"/>
        <v>0</v>
      </c>
      <c r="O1193" s="228">
        <f t="shared" si="140"/>
        <v>0</v>
      </c>
      <c r="P1193" s="228">
        <f t="shared" si="140"/>
        <v>0</v>
      </c>
      <c r="Q1193" s="228">
        <f t="shared" si="137"/>
        <v>0</v>
      </c>
      <c r="R1193" s="343">
        <f t="shared" si="138"/>
        <v>0</v>
      </c>
      <c r="S1193" s="240"/>
      <c r="T1193" s="201"/>
      <c r="U1193" s="201"/>
      <c r="V1193" s="201"/>
    </row>
    <row r="1194" spans="1:22" ht="15.75" x14ac:dyDescent="0.25">
      <c r="A1194" s="234" t="s">
        <v>1893</v>
      </c>
      <c r="B1194" s="235" t="s">
        <v>1863</v>
      </c>
      <c r="C1194" s="234" t="s">
        <v>6</v>
      </c>
      <c r="D1194" s="312">
        <v>50</v>
      </c>
      <c r="E1194" s="312"/>
      <c r="F1194" s="248"/>
      <c r="G1194" s="312"/>
      <c r="H1194" s="312"/>
      <c r="I1194" s="312"/>
      <c r="J1194" s="248">
        <f t="shared" si="134"/>
        <v>0</v>
      </c>
      <c r="K1194" s="330">
        <f t="shared" si="135"/>
        <v>-50</v>
      </c>
      <c r="L1194" s="313"/>
      <c r="M1194" s="228">
        <f t="shared" si="136"/>
        <v>0</v>
      </c>
      <c r="N1194" s="228">
        <f t="shared" si="139"/>
        <v>0</v>
      </c>
      <c r="O1194" s="228">
        <f t="shared" si="140"/>
        <v>0</v>
      </c>
      <c r="P1194" s="228">
        <f t="shared" si="140"/>
        <v>0</v>
      </c>
      <c r="Q1194" s="228">
        <f t="shared" si="137"/>
        <v>0</v>
      </c>
      <c r="R1194" s="343">
        <f t="shared" si="138"/>
        <v>-50</v>
      </c>
      <c r="S1194" s="240"/>
      <c r="T1194" s="201"/>
      <c r="U1194" s="201"/>
      <c r="V1194" s="201"/>
    </row>
    <row r="1195" spans="1:22" ht="15.75" x14ac:dyDescent="0.25">
      <c r="A1195" s="234" t="s">
        <v>1894</v>
      </c>
      <c r="B1195" s="235" t="s">
        <v>1826</v>
      </c>
      <c r="C1195" s="234" t="s">
        <v>6</v>
      </c>
      <c r="D1195" s="312">
        <v>100</v>
      </c>
      <c r="E1195" s="312"/>
      <c r="F1195" s="248"/>
      <c r="G1195" s="312"/>
      <c r="H1195" s="312"/>
      <c r="I1195" s="312"/>
      <c r="J1195" s="248">
        <f t="shared" si="134"/>
        <v>0</v>
      </c>
      <c r="K1195" s="330">
        <f t="shared" si="135"/>
        <v>-100</v>
      </c>
      <c r="L1195" s="313"/>
      <c r="M1195" s="228">
        <f t="shared" si="136"/>
        <v>0</v>
      </c>
      <c r="N1195" s="228">
        <f t="shared" si="139"/>
        <v>0</v>
      </c>
      <c r="O1195" s="228">
        <f t="shared" si="140"/>
        <v>0</v>
      </c>
      <c r="P1195" s="228">
        <f t="shared" si="140"/>
        <v>0</v>
      </c>
      <c r="Q1195" s="228">
        <f t="shared" si="137"/>
        <v>0</v>
      </c>
      <c r="R1195" s="343">
        <f t="shared" si="138"/>
        <v>-100</v>
      </c>
      <c r="S1195" s="240"/>
      <c r="T1195" s="201"/>
      <c r="U1195" s="201"/>
      <c r="V1195" s="201"/>
    </row>
    <row r="1196" spans="1:22" ht="15.75" x14ac:dyDescent="0.25">
      <c r="A1196" s="234" t="s">
        <v>1895</v>
      </c>
      <c r="B1196" s="235" t="s">
        <v>1824</v>
      </c>
      <c r="C1196" s="234" t="s">
        <v>6</v>
      </c>
      <c r="D1196" s="312">
        <v>50</v>
      </c>
      <c r="E1196" s="312"/>
      <c r="F1196" s="248"/>
      <c r="G1196" s="312"/>
      <c r="H1196" s="312"/>
      <c r="I1196" s="312"/>
      <c r="J1196" s="248">
        <f t="shared" si="134"/>
        <v>0</v>
      </c>
      <c r="K1196" s="330">
        <f t="shared" si="135"/>
        <v>-50</v>
      </c>
      <c r="L1196" s="313"/>
      <c r="M1196" s="228">
        <f t="shared" si="136"/>
        <v>0</v>
      </c>
      <c r="N1196" s="228">
        <f t="shared" si="139"/>
        <v>0</v>
      </c>
      <c r="O1196" s="228">
        <f t="shared" si="140"/>
        <v>0</v>
      </c>
      <c r="P1196" s="228">
        <f t="shared" si="140"/>
        <v>0</v>
      </c>
      <c r="Q1196" s="228">
        <f t="shared" si="137"/>
        <v>0</v>
      </c>
      <c r="R1196" s="343">
        <f t="shared" si="138"/>
        <v>-50</v>
      </c>
      <c r="S1196" s="240"/>
      <c r="T1196" s="201"/>
      <c r="U1196" s="201"/>
      <c r="V1196" s="201"/>
    </row>
    <row r="1197" spans="1:22" ht="15.75" x14ac:dyDescent="0.25">
      <c r="A1197" s="234" t="s">
        <v>1896</v>
      </c>
      <c r="B1197" s="235" t="s">
        <v>1897</v>
      </c>
      <c r="C1197" s="234" t="s">
        <v>1898</v>
      </c>
      <c r="D1197" s="312">
        <v>1</v>
      </c>
      <c r="E1197" s="312"/>
      <c r="F1197" s="248"/>
      <c r="G1197" s="312"/>
      <c r="H1197" s="312"/>
      <c r="I1197" s="312"/>
      <c r="J1197" s="248">
        <f t="shared" si="134"/>
        <v>0</v>
      </c>
      <c r="K1197" s="330">
        <f t="shared" si="135"/>
        <v>-1</v>
      </c>
      <c r="L1197" s="313"/>
      <c r="M1197" s="228">
        <f t="shared" si="136"/>
        <v>0</v>
      </c>
      <c r="N1197" s="228">
        <f t="shared" si="139"/>
        <v>0</v>
      </c>
      <c r="O1197" s="228">
        <f t="shared" si="140"/>
        <v>0</v>
      </c>
      <c r="P1197" s="228">
        <f t="shared" si="140"/>
        <v>0</v>
      </c>
      <c r="Q1197" s="228">
        <f t="shared" si="137"/>
        <v>0</v>
      </c>
      <c r="R1197" s="343">
        <f t="shared" si="138"/>
        <v>-1</v>
      </c>
      <c r="S1197" s="240"/>
      <c r="T1197" s="201"/>
      <c r="U1197" s="201"/>
      <c r="V1197" s="201"/>
    </row>
    <row r="1198" spans="1:22" ht="15.75" x14ac:dyDescent="0.25">
      <c r="A1198" s="230" t="s">
        <v>1899</v>
      </c>
      <c r="B1198" s="231" t="s">
        <v>1900</v>
      </c>
      <c r="C1198" s="230"/>
      <c r="D1198" s="316"/>
      <c r="E1198" s="316"/>
      <c r="F1198" s="317"/>
      <c r="G1198" s="316"/>
      <c r="H1198" s="316"/>
      <c r="I1198" s="316"/>
      <c r="J1198" s="248">
        <f t="shared" si="134"/>
        <v>0</v>
      </c>
      <c r="K1198" s="330">
        <f t="shared" si="135"/>
        <v>0</v>
      </c>
      <c r="L1198" s="318"/>
      <c r="M1198" s="228">
        <f t="shared" si="136"/>
        <v>0</v>
      </c>
      <c r="N1198" s="228">
        <f t="shared" si="139"/>
        <v>0</v>
      </c>
      <c r="O1198" s="228">
        <f t="shared" si="140"/>
        <v>0</v>
      </c>
      <c r="P1198" s="228">
        <f t="shared" si="140"/>
        <v>0</v>
      </c>
      <c r="Q1198" s="228">
        <f t="shared" si="137"/>
        <v>0</v>
      </c>
      <c r="R1198" s="343">
        <f t="shared" si="138"/>
        <v>0</v>
      </c>
      <c r="S1198" s="240"/>
      <c r="T1198" s="201"/>
      <c r="U1198" s="201"/>
      <c r="V1198" s="201"/>
    </row>
    <row r="1199" spans="1:22" ht="15.75" x14ac:dyDescent="0.25">
      <c r="A1199" s="234" t="s">
        <v>1901</v>
      </c>
      <c r="B1199" s="235" t="s">
        <v>1902</v>
      </c>
      <c r="C1199" s="234" t="s">
        <v>6</v>
      </c>
      <c r="D1199" s="312">
        <v>75</v>
      </c>
      <c r="E1199" s="312"/>
      <c r="F1199" s="248"/>
      <c r="G1199" s="312"/>
      <c r="H1199" s="312"/>
      <c r="I1199" s="312"/>
      <c r="J1199" s="248">
        <f t="shared" si="134"/>
        <v>0</v>
      </c>
      <c r="K1199" s="330">
        <f t="shared" si="135"/>
        <v>-75</v>
      </c>
      <c r="L1199" s="313"/>
      <c r="M1199" s="228">
        <f t="shared" si="136"/>
        <v>0</v>
      </c>
      <c r="N1199" s="228">
        <f t="shared" si="139"/>
        <v>0</v>
      </c>
      <c r="O1199" s="228">
        <f t="shared" si="140"/>
        <v>0</v>
      </c>
      <c r="P1199" s="228">
        <f t="shared" si="140"/>
        <v>0</v>
      </c>
      <c r="Q1199" s="228">
        <f t="shared" si="137"/>
        <v>0</v>
      </c>
      <c r="R1199" s="343">
        <f t="shared" si="138"/>
        <v>-75</v>
      </c>
      <c r="S1199" s="240"/>
      <c r="T1199" s="201"/>
      <c r="U1199" s="201"/>
      <c r="V1199" s="201"/>
    </row>
    <row r="1200" spans="1:22" ht="15.75" x14ac:dyDescent="0.25">
      <c r="A1200" s="234" t="s">
        <v>1903</v>
      </c>
      <c r="B1200" s="235" t="s">
        <v>1904</v>
      </c>
      <c r="C1200" s="234" t="s">
        <v>6</v>
      </c>
      <c r="D1200" s="312">
        <v>36</v>
      </c>
      <c r="E1200" s="312"/>
      <c r="F1200" s="248"/>
      <c r="G1200" s="312"/>
      <c r="H1200" s="312"/>
      <c r="I1200" s="312"/>
      <c r="J1200" s="248">
        <f t="shared" si="134"/>
        <v>0</v>
      </c>
      <c r="K1200" s="330">
        <f t="shared" si="135"/>
        <v>-36</v>
      </c>
      <c r="L1200" s="313"/>
      <c r="M1200" s="228">
        <f t="shared" si="136"/>
        <v>0</v>
      </c>
      <c r="N1200" s="228">
        <f t="shared" si="139"/>
        <v>0</v>
      </c>
      <c r="O1200" s="228">
        <f t="shared" si="140"/>
        <v>0</v>
      </c>
      <c r="P1200" s="228">
        <f t="shared" si="140"/>
        <v>0</v>
      </c>
      <c r="Q1200" s="228">
        <f t="shared" si="137"/>
        <v>0</v>
      </c>
      <c r="R1200" s="343">
        <f t="shared" si="138"/>
        <v>-36</v>
      </c>
      <c r="S1200" s="240"/>
      <c r="T1200" s="201"/>
      <c r="U1200" s="201"/>
      <c r="V1200" s="201"/>
    </row>
    <row r="1201" spans="1:22" ht="15.75" x14ac:dyDescent="0.25">
      <c r="A1201" s="234" t="s">
        <v>1905</v>
      </c>
      <c r="B1201" s="235" t="s">
        <v>1906</v>
      </c>
      <c r="C1201" s="234" t="s">
        <v>6</v>
      </c>
      <c r="D1201" s="312">
        <v>740</v>
      </c>
      <c r="E1201" s="312"/>
      <c r="F1201" s="248"/>
      <c r="G1201" s="312"/>
      <c r="H1201" s="312"/>
      <c r="I1201" s="312"/>
      <c r="J1201" s="248">
        <f t="shared" si="134"/>
        <v>0</v>
      </c>
      <c r="K1201" s="330">
        <f t="shared" si="135"/>
        <v>-740</v>
      </c>
      <c r="L1201" s="313"/>
      <c r="M1201" s="228">
        <f t="shared" si="136"/>
        <v>0</v>
      </c>
      <c r="N1201" s="228">
        <f t="shared" si="139"/>
        <v>0</v>
      </c>
      <c r="O1201" s="228">
        <f t="shared" si="140"/>
        <v>0</v>
      </c>
      <c r="P1201" s="228">
        <f t="shared" si="140"/>
        <v>0</v>
      </c>
      <c r="Q1201" s="228">
        <f t="shared" si="137"/>
        <v>0</v>
      </c>
      <c r="R1201" s="343">
        <f t="shared" si="138"/>
        <v>-740</v>
      </c>
      <c r="S1201" s="240"/>
      <c r="T1201" s="201"/>
      <c r="U1201" s="201"/>
      <c r="V1201" s="201"/>
    </row>
    <row r="1202" spans="1:22" ht="15.75" x14ac:dyDescent="0.25">
      <c r="A1202" s="234" t="s">
        <v>1907</v>
      </c>
      <c r="B1202" s="235" t="s">
        <v>1908</v>
      </c>
      <c r="C1202" s="234" t="s">
        <v>1429</v>
      </c>
      <c r="D1202" s="312">
        <v>19</v>
      </c>
      <c r="E1202" s="312"/>
      <c r="F1202" s="248"/>
      <c r="G1202" s="312"/>
      <c r="H1202" s="312"/>
      <c r="I1202" s="312"/>
      <c r="J1202" s="248">
        <f t="shared" si="134"/>
        <v>0</v>
      </c>
      <c r="K1202" s="330">
        <f t="shared" si="135"/>
        <v>-19</v>
      </c>
      <c r="L1202" s="313"/>
      <c r="M1202" s="228">
        <f t="shared" si="136"/>
        <v>0</v>
      </c>
      <c r="N1202" s="228">
        <f t="shared" si="139"/>
        <v>0</v>
      </c>
      <c r="O1202" s="228">
        <f t="shared" si="140"/>
        <v>0</v>
      </c>
      <c r="P1202" s="228">
        <f t="shared" si="140"/>
        <v>0</v>
      </c>
      <c r="Q1202" s="228">
        <f t="shared" si="137"/>
        <v>0</v>
      </c>
      <c r="R1202" s="343">
        <f t="shared" si="138"/>
        <v>-19</v>
      </c>
      <c r="S1202" s="240"/>
      <c r="T1202" s="201"/>
      <c r="U1202" s="201"/>
      <c r="V1202" s="201"/>
    </row>
    <row r="1203" spans="1:22" ht="15.75" x14ac:dyDescent="0.25">
      <c r="A1203" s="234" t="s">
        <v>1909</v>
      </c>
      <c r="B1203" s="235" t="s">
        <v>1910</v>
      </c>
      <c r="C1203" s="234" t="s">
        <v>9</v>
      </c>
      <c r="D1203" s="312">
        <v>1</v>
      </c>
      <c r="E1203" s="312"/>
      <c r="F1203" s="248"/>
      <c r="G1203" s="312"/>
      <c r="H1203" s="312"/>
      <c r="I1203" s="312"/>
      <c r="J1203" s="248">
        <f t="shared" si="134"/>
        <v>0</v>
      </c>
      <c r="K1203" s="330">
        <f t="shared" si="135"/>
        <v>-1</v>
      </c>
      <c r="L1203" s="313"/>
      <c r="M1203" s="228">
        <f t="shared" si="136"/>
        <v>0</v>
      </c>
      <c r="N1203" s="228">
        <f t="shared" si="139"/>
        <v>0</v>
      </c>
      <c r="O1203" s="228">
        <f t="shared" si="140"/>
        <v>0</v>
      </c>
      <c r="P1203" s="228">
        <f t="shared" si="140"/>
        <v>0</v>
      </c>
      <c r="Q1203" s="228">
        <f t="shared" si="137"/>
        <v>0</v>
      </c>
      <c r="R1203" s="343">
        <f t="shared" si="138"/>
        <v>-1</v>
      </c>
      <c r="S1203" s="240"/>
      <c r="T1203" s="201"/>
      <c r="U1203" s="201"/>
      <c r="V1203" s="201"/>
    </row>
    <row r="1204" spans="1:22" ht="15.75" x14ac:dyDescent="0.25">
      <c r="A1204" s="230" t="s">
        <v>3766</v>
      </c>
      <c r="B1204" s="231" t="s">
        <v>3767</v>
      </c>
      <c r="C1204" s="230"/>
      <c r="D1204" s="316" t="s">
        <v>3</v>
      </c>
      <c r="E1204" s="312"/>
      <c r="F1204" s="248"/>
      <c r="G1204" s="312"/>
      <c r="H1204" s="312"/>
      <c r="I1204" s="312"/>
      <c r="J1204" s="248"/>
      <c r="K1204" s="330"/>
      <c r="L1204" s="313"/>
      <c r="M1204" s="228"/>
      <c r="N1204" s="228"/>
      <c r="O1204" s="228"/>
      <c r="P1204" s="228"/>
      <c r="Q1204" s="228"/>
      <c r="R1204" s="343" t="e">
        <f t="shared" si="138"/>
        <v>#VALUE!</v>
      </c>
      <c r="S1204" s="240"/>
      <c r="T1204" s="201"/>
      <c r="U1204" s="201"/>
      <c r="V1204" s="201"/>
    </row>
    <row r="1205" spans="1:22" ht="15.75" x14ac:dyDescent="0.25">
      <c r="A1205" s="230" t="s">
        <v>3768</v>
      </c>
      <c r="B1205" s="231" t="s">
        <v>3769</v>
      </c>
      <c r="C1205" s="230"/>
      <c r="D1205" s="316" t="s">
        <v>3</v>
      </c>
      <c r="E1205" s="312"/>
      <c r="F1205" s="248"/>
      <c r="G1205" s="312"/>
      <c r="H1205" s="312"/>
      <c r="I1205" s="312"/>
      <c r="J1205" s="248"/>
      <c r="K1205" s="330"/>
      <c r="L1205" s="313"/>
      <c r="M1205" s="228"/>
      <c r="N1205" s="228"/>
      <c r="O1205" s="228"/>
      <c r="P1205" s="228"/>
      <c r="Q1205" s="228"/>
      <c r="R1205" s="343" t="e">
        <f t="shared" si="138"/>
        <v>#VALUE!</v>
      </c>
      <c r="S1205" s="240"/>
      <c r="T1205" s="201"/>
      <c r="U1205" s="201"/>
      <c r="V1205" s="201"/>
    </row>
    <row r="1206" spans="1:22" ht="15.75" x14ac:dyDescent="0.25">
      <c r="A1206" s="234" t="s">
        <v>3770</v>
      </c>
      <c r="B1206" s="235" t="s">
        <v>3771</v>
      </c>
      <c r="C1206" s="234" t="s">
        <v>6</v>
      </c>
      <c r="D1206" s="312">
        <v>382</v>
      </c>
      <c r="E1206" s="312"/>
      <c r="F1206" s="248"/>
      <c r="G1206" s="312"/>
      <c r="H1206" s="312"/>
      <c r="I1206" s="312"/>
      <c r="J1206" s="248">
        <f t="shared" si="134"/>
        <v>0</v>
      </c>
      <c r="K1206" s="330">
        <f t="shared" si="135"/>
        <v>-382</v>
      </c>
      <c r="L1206" s="313"/>
      <c r="M1206" s="228">
        <f t="shared" si="136"/>
        <v>0</v>
      </c>
      <c r="N1206" s="228">
        <f t="shared" si="139"/>
        <v>0</v>
      </c>
      <c r="O1206" s="228">
        <f t="shared" si="140"/>
        <v>0</v>
      </c>
      <c r="P1206" s="228">
        <f t="shared" si="140"/>
        <v>0</v>
      </c>
      <c r="Q1206" s="228">
        <f t="shared" si="137"/>
        <v>0</v>
      </c>
      <c r="R1206" s="343">
        <f t="shared" si="138"/>
        <v>-382</v>
      </c>
      <c r="S1206" s="240"/>
      <c r="T1206" s="201"/>
      <c r="U1206" s="201"/>
      <c r="V1206" s="201"/>
    </row>
    <row r="1207" spans="1:22" ht="15.75" x14ac:dyDescent="0.25">
      <c r="A1207" s="234" t="s">
        <v>3772</v>
      </c>
      <c r="B1207" s="235" t="s">
        <v>3773</v>
      </c>
      <c r="C1207" s="234" t="s">
        <v>6</v>
      </c>
      <c r="D1207" s="312">
        <v>5</v>
      </c>
      <c r="E1207" s="312"/>
      <c r="F1207" s="248"/>
      <c r="G1207" s="312"/>
      <c r="H1207" s="312"/>
      <c r="I1207" s="312"/>
      <c r="J1207" s="248">
        <f t="shared" si="134"/>
        <v>0</v>
      </c>
      <c r="K1207" s="330">
        <f t="shared" si="135"/>
        <v>-5</v>
      </c>
      <c r="L1207" s="313"/>
      <c r="M1207" s="228">
        <f t="shared" si="136"/>
        <v>0</v>
      </c>
      <c r="N1207" s="228">
        <f t="shared" si="139"/>
        <v>0</v>
      </c>
      <c r="O1207" s="228">
        <f t="shared" si="140"/>
        <v>0</v>
      </c>
      <c r="P1207" s="228">
        <f t="shared" si="140"/>
        <v>0</v>
      </c>
      <c r="Q1207" s="228">
        <f t="shared" si="137"/>
        <v>0</v>
      </c>
      <c r="R1207" s="343">
        <f t="shared" si="138"/>
        <v>-5</v>
      </c>
      <c r="S1207" s="240"/>
      <c r="T1207" s="201"/>
      <c r="U1207" s="201"/>
      <c r="V1207" s="201"/>
    </row>
    <row r="1208" spans="1:22" ht="30" x14ac:dyDescent="0.25">
      <c r="A1208" s="234" t="s">
        <v>3774</v>
      </c>
      <c r="B1208" s="235" t="s">
        <v>3775</v>
      </c>
      <c r="C1208" s="234" t="s">
        <v>6</v>
      </c>
      <c r="D1208" s="312">
        <v>74</v>
      </c>
      <c r="E1208" s="312"/>
      <c r="F1208" s="248"/>
      <c r="G1208" s="312"/>
      <c r="H1208" s="312"/>
      <c r="I1208" s="312"/>
      <c r="J1208" s="248">
        <f t="shared" si="134"/>
        <v>0</v>
      </c>
      <c r="K1208" s="330">
        <f t="shared" si="135"/>
        <v>-74</v>
      </c>
      <c r="L1208" s="313"/>
      <c r="M1208" s="228">
        <f t="shared" si="136"/>
        <v>0</v>
      </c>
      <c r="N1208" s="228">
        <f t="shared" si="139"/>
        <v>0</v>
      </c>
      <c r="O1208" s="228">
        <f t="shared" si="140"/>
        <v>0</v>
      </c>
      <c r="P1208" s="228">
        <f t="shared" si="140"/>
        <v>0</v>
      </c>
      <c r="Q1208" s="228">
        <f t="shared" si="137"/>
        <v>0</v>
      </c>
      <c r="R1208" s="343">
        <f t="shared" si="138"/>
        <v>-74</v>
      </c>
      <c r="S1208" s="240"/>
      <c r="T1208" s="201"/>
      <c r="U1208" s="201"/>
      <c r="V1208" s="201"/>
    </row>
    <row r="1209" spans="1:22" ht="30" x14ac:dyDescent="0.25">
      <c r="A1209" s="234" t="s">
        <v>3776</v>
      </c>
      <c r="B1209" s="235" t="s">
        <v>3777</v>
      </c>
      <c r="C1209" s="234" t="s">
        <v>6</v>
      </c>
      <c r="D1209" s="312">
        <v>158</v>
      </c>
      <c r="E1209" s="312"/>
      <c r="F1209" s="248"/>
      <c r="G1209" s="312"/>
      <c r="H1209" s="312"/>
      <c r="I1209" s="312"/>
      <c r="J1209" s="248">
        <f t="shared" si="134"/>
        <v>0</v>
      </c>
      <c r="K1209" s="330">
        <f t="shared" si="135"/>
        <v>-158</v>
      </c>
      <c r="L1209" s="313"/>
      <c r="M1209" s="228">
        <f t="shared" si="136"/>
        <v>0</v>
      </c>
      <c r="N1209" s="228">
        <f t="shared" si="139"/>
        <v>0</v>
      </c>
      <c r="O1209" s="228">
        <f t="shared" si="140"/>
        <v>0</v>
      </c>
      <c r="P1209" s="228">
        <f t="shared" si="140"/>
        <v>0</v>
      </c>
      <c r="Q1209" s="228">
        <f t="shared" si="137"/>
        <v>0</v>
      </c>
      <c r="R1209" s="343">
        <f t="shared" si="138"/>
        <v>-158</v>
      </c>
      <c r="S1209" s="240"/>
      <c r="T1209" s="201"/>
      <c r="U1209" s="201"/>
      <c r="V1209" s="201"/>
    </row>
    <row r="1210" spans="1:22" ht="30" x14ac:dyDescent="0.25">
      <c r="A1210" s="234" t="s">
        <v>3778</v>
      </c>
      <c r="B1210" s="235" t="s">
        <v>3779</v>
      </c>
      <c r="C1210" s="234" t="s">
        <v>6</v>
      </c>
      <c r="D1210" s="312">
        <v>225</v>
      </c>
      <c r="E1210" s="312"/>
      <c r="F1210" s="248"/>
      <c r="G1210" s="312"/>
      <c r="H1210" s="312"/>
      <c r="I1210" s="312"/>
      <c r="J1210" s="248">
        <f t="shared" ref="J1210:J1273" si="141">F1210+G1210+H1210+I1210</f>
        <v>0</v>
      </c>
      <c r="K1210" s="330">
        <f t="shared" ref="K1210:K1273" si="142">J1210-D1210</f>
        <v>-225</v>
      </c>
      <c r="L1210" s="313"/>
      <c r="M1210" s="228">
        <f t="shared" ref="M1210:M1273" si="143">F1210</f>
        <v>0</v>
      </c>
      <c r="N1210" s="228">
        <f t="shared" si="139"/>
        <v>0</v>
      </c>
      <c r="O1210" s="228">
        <f t="shared" si="140"/>
        <v>0</v>
      </c>
      <c r="P1210" s="228">
        <f t="shared" si="140"/>
        <v>0</v>
      </c>
      <c r="Q1210" s="228">
        <f t="shared" ref="Q1210:Q1273" si="144">M1210+N1210+O1210+P1210</f>
        <v>0</v>
      </c>
      <c r="R1210" s="343">
        <f t="shared" ref="R1210:R1273" si="145">Q1210-D1210</f>
        <v>-225</v>
      </c>
      <c r="S1210" s="240"/>
      <c r="T1210" s="201"/>
      <c r="U1210" s="201"/>
      <c r="V1210" s="201"/>
    </row>
    <row r="1211" spans="1:22" ht="30" x14ac:dyDescent="0.25">
      <c r="A1211" s="234" t="s">
        <v>3780</v>
      </c>
      <c r="B1211" s="235" t="s">
        <v>3781</v>
      </c>
      <c r="C1211" s="234" t="s">
        <v>6</v>
      </c>
      <c r="D1211" s="312">
        <v>106</v>
      </c>
      <c r="E1211" s="312"/>
      <c r="F1211" s="248"/>
      <c r="G1211" s="312"/>
      <c r="H1211" s="312"/>
      <c r="I1211" s="312"/>
      <c r="J1211" s="248">
        <f t="shared" si="141"/>
        <v>0</v>
      </c>
      <c r="K1211" s="330">
        <f t="shared" si="142"/>
        <v>-106</v>
      </c>
      <c r="L1211" s="313"/>
      <c r="M1211" s="228">
        <f t="shared" si="143"/>
        <v>0</v>
      </c>
      <c r="N1211" s="228">
        <f t="shared" si="139"/>
        <v>0</v>
      </c>
      <c r="O1211" s="228">
        <f t="shared" si="140"/>
        <v>0</v>
      </c>
      <c r="P1211" s="228">
        <f t="shared" si="140"/>
        <v>0</v>
      </c>
      <c r="Q1211" s="228">
        <f t="shared" si="144"/>
        <v>0</v>
      </c>
      <c r="R1211" s="343">
        <f t="shared" si="145"/>
        <v>-106</v>
      </c>
      <c r="S1211" s="240"/>
      <c r="T1211" s="201"/>
      <c r="U1211" s="201"/>
      <c r="V1211" s="201"/>
    </row>
    <row r="1212" spans="1:22" ht="30" x14ac:dyDescent="0.25">
      <c r="A1212" s="234" t="s">
        <v>3782</v>
      </c>
      <c r="B1212" s="235" t="s">
        <v>3783</v>
      </c>
      <c r="C1212" s="234" t="s">
        <v>6</v>
      </c>
      <c r="D1212" s="312">
        <v>499</v>
      </c>
      <c r="E1212" s="312"/>
      <c r="F1212" s="248"/>
      <c r="G1212" s="312"/>
      <c r="H1212" s="312"/>
      <c r="I1212" s="312"/>
      <c r="J1212" s="248">
        <f t="shared" si="141"/>
        <v>0</v>
      </c>
      <c r="K1212" s="330">
        <f t="shared" si="142"/>
        <v>-499</v>
      </c>
      <c r="L1212" s="313"/>
      <c r="M1212" s="228">
        <f t="shared" si="143"/>
        <v>0</v>
      </c>
      <c r="N1212" s="228">
        <f t="shared" si="139"/>
        <v>0</v>
      </c>
      <c r="O1212" s="228">
        <f t="shared" si="140"/>
        <v>0</v>
      </c>
      <c r="P1212" s="228">
        <f t="shared" si="140"/>
        <v>0</v>
      </c>
      <c r="Q1212" s="228">
        <f t="shared" si="144"/>
        <v>0</v>
      </c>
      <c r="R1212" s="343">
        <f t="shared" si="145"/>
        <v>-499</v>
      </c>
      <c r="S1212" s="240"/>
      <c r="T1212" s="201"/>
      <c r="U1212" s="201"/>
      <c r="V1212" s="201"/>
    </row>
    <row r="1213" spans="1:22" ht="30" x14ac:dyDescent="0.25">
      <c r="A1213" s="234" t="s">
        <v>3784</v>
      </c>
      <c r="B1213" s="235" t="s">
        <v>3785</v>
      </c>
      <c r="C1213" s="234" t="s">
        <v>6</v>
      </c>
      <c r="D1213" s="312">
        <v>62</v>
      </c>
      <c r="E1213" s="312"/>
      <c r="F1213" s="248"/>
      <c r="G1213" s="312"/>
      <c r="H1213" s="312"/>
      <c r="I1213" s="312"/>
      <c r="J1213" s="248">
        <f t="shared" si="141"/>
        <v>0</v>
      </c>
      <c r="K1213" s="330">
        <f t="shared" si="142"/>
        <v>-62</v>
      </c>
      <c r="L1213" s="313"/>
      <c r="M1213" s="228">
        <f t="shared" si="143"/>
        <v>0</v>
      </c>
      <c r="N1213" s="228">
        <f t="shared" si="139"/>
        <v>0</v>
      </c>
      <c r="O1213" s="228">
        <f t="shared" si="140"/>
        <v>0</v>
      </c>
      <c r="P1213" s="228">
        <f t="shared" si="140"/>
        <v>0</v>
      </c>
      <c r="Q1213" s="228">
        <f t="shared" si="144"/>
        <v>0</v>
      </c>
      <c r="R1213" s="343">
        <f t="shared" si="145"/>
        <v>-62</v>
      </c>
      <c r="S1213" s="240"/>
      <c r="T1213" s="201"/>
      <c r="U1213" s="201"/>
      <c r="V1213" s="201"/>
    </row>
    <row r="1214" spans="1:22" ht="30" x14ac:dyDescent="0.25">
      <c r="A1214" s="234" t="s">
        <v>3786</v>
      </c>
      <c r="B1214" s="235" t="s">
        <v>3787</v>
      </c>
      <c r="C1214" s="234" t="s">
        <v>6</v>
      </c>
      <c r="D1214" s="312">
        <v>125</v>
      </c>
      <c r="E1214" s="312"/>
      <c r="F1214" s="248"/>
      <c r="G1214" s="312"/>
      <c r="H1214" s="312"/>
      <c r="I1214" s="312"/>
      <c r="J1214" s="248">
        <f t="shared" si="141"/>
        <v>0</v>
      </c>
      <c r="K1214" s="330">
        <f t="shared" si="142"/>
        <v>-125</v>
      </c>
      <c r="L1214" s="313"/>
      <c r="M1214" s="228">
        <f t="shared" si="143"/>
        <v>0</v>
      </c>
      <c r="N1214" s="228">
        <f t="shared" si="139"/>
        <v>0</v>
      </c>
      <c r="O1214" s="228">
        <f t="shared" si="140"/>
        <v>0</v>
      </c>
      <c r="P1214" s="228">
        <f t="shared" si="140"/>
        <v>0</v>
      </c>
      <c r="Q1214" s="228">
        <f t="shared" si="144"/>
        <v>0</v>
      </c>
      <c r="R1214" s="343">
        <f t="shared" si="145"/>
        <v>-125</v>
      </c>
      <c r="S1214" s="240"/>
      <c r="T1214" s="201"/>
      <c r="U1214" s="201"/>
      <c r="V1214" s="201"/>
    </row>
    <row r="1215" spans="1:22" ht="30" x14ac:dyDescent="0.25">
      <c r="A1215" s="234" t="s">
        <v>3788</v>
      </c>
      <c r="B1215" s="235" t="s">
        <v>3789</v>
      </c>
      <c r="C1215" s="234" t="s">
        <v>6</v>
      </c>
      <c r="D1215" s="312">
        <v>35</v>
      </c>
      <c r="E1215" s="312"/>
      <c r="F1215" s="248"/>
      <c r="G1215" s="312"/>
      <c r="H1215" s="312"/>
      <c r="I1215" s="312"/>
      <c r="J1215" s="248">
        <f t="shared" si="141"/>
        <v>0</v>
      </c>
      <c r="K1215" s="330">
        <f t="shared" si="142"/>
        <v>-35</v>
      </c>
      <c r="L1215" s="313"/>
      <c r="M1215" s="228">
        <f t="shared" si="143"/>
        <v>0</v>
      </c>
      <c r="N1215" s="228">
        <f t="shared" si="139"/>
        <v>0</v>
      </c>
      <c r="O1215" s="228">
        <f t="shared" si="140"/>
        <v>0</v>
      </c>
      <c r="P1215" s="228">
        <f t="shared" si="140"/>
        <v>0</v>
      </c>
      <c r="Q1215" s="228">
        <f t="shared" si="144"/>
        <v>0</v>
      </c>
      <c r="R1215" s="343">
        <f t="shared" si="145"/>
        <v>-35</v>
      </c>
      <c r="S1215" s="240"/>
      <c r="T1215" s="201"/>
      <c r="U1215" s="201"/>
      <c r="V1215" s="201"/>
    </row>
    <row r="1216" spans="1:22" ht="30" x14ac:dyDescent="0.25">
      <c r="A1216" s="234" t="s">
        <v>3790</v>
      </c>
      <c r="B1216" s="235" t="s">
        <v>3791</v>
      </c>
      <c r="C1216" s="234" t="s">
        <v>6</v>
      </c>
      <c r="D1216" s="312">
        <v>35</v>
      </c>
      <c r="E1216" s="312"/>
      <c r="F1216" s="248"/>
      <c r="G1216" s="312"/>
      <c r="H1216" s="312"/>
      <c r="I1216" s="312"/>
      <c r="J1216" s="248">
        <f t="shared" si="141"/>
        <v>0</v>
      </c>
      <c r="K1216" s="330">
        <f t="shared" si="142"/>
        <v>-35</v>
      </c>
      <c r="L1216" s="313"/>
      <c r="M1216" s="228">
        <f t="shared" si="143"/>
        <v>0</v>
      </c>
      <c r="N1216" s="228">
        <f t="shared" si="139"/>
        <v>0</v>
      </c>
      <c r="O1216" s="228">
        <f t="shared" si="140"/>
        <v>0</v>
      </c>
      <c r="P1216" s="228">
        <f t="shared" si="140"/>
        <v>0</v>
      </c>
      <c r="Q1216" s="228">
        <f t="shared" si="144"/>
        <v>0</v>
      </c>
      <c r="R1216" s="343">
        <f t="shared" si="145"/>
        <v>-35</v>
      </c>
      <c r="S1216" s="240"/>
      <c r="T1216" s="201"/>
      <c r="U1216" s="201"/>
      <c r="V1216" s="201"/>
    </row>
    <row r="1217" spans="1:22" ht="30" x14ac:dyDescent="0.25">
      <c r="A1217" s="234" t="s">
        <v>3792</v>
      </c>
      <c r="B1217" s="235" t="s">
        <v>3793</v>
      </c>
      <c r="C1217" s="234" t="s">
        <v>6</v>
      </c>
      <c r="D1217" s="312">
        <v>12</v>
      </c>
      <c r="E1217" s="312"/>
      <c r="F1217" s="248"/>
      <c r="G1217" s="312"/>
      <c r="H1217" s="312"/>
      <c r="I1217" s="312"/>
      <c r="J1217" s="248">
        <f t="shared" si="141"/>
        <v>0</v>
      </c>
      <c r="K1217" s="330">
        <f t="shared" si="142"/>
        <v>-12</v>
      </c>
      <c r="L1217" s="313"/>
      <c r="M1217" s="228">
        <f t="shared" si="143"/>
        <v>0</v>
      </c>
      <c r="N1217" s="228">
        <f t="shared" si="139"/>
        <v>0</v>
      </c>
      <c r="O1217" s="228">
        <f t="shared" si="140"/>
        <v>0</v>
      </c>
      <c r="P1217" s="228">
        <f t="shared" si="140"/>
        <v>0</v>
      </c>
      <c r="Q1217" s="228">
        <f t="shared" si="144"/>
        <v>0</v>
      </c>
      <c r="R1217" s="343">
        <f t="shared" si="145"/>
        <v>-12</v>
      </c>
      <c r="S1217" s="240"/>
      <c r="T1217" s="201"/>
      <c r="U1217" s="201"/>
      <c r="V1217" s="201"/>
    </row>
    <row r="1218" spans="1:22" ht="45" x14ac:dyDescent="0.25">
      <c r="A1218" s="234" t="s">
        <v>3794</v>
      </c>
      <c r="B1218" s="235" t="s">
        <v>3795</v>
      </c>
      <c r="C1218" s="234" t="s">
        <v>6</v>
      </c>
      <c r="D1218" s="312">
        <v>58</v>
      </c>
      <c r="E1218" s="312"/>
      <c r="F1218" s="248"/>
      <c r="G1218" s="312"/>
      <c r="H1218" s="312"/>
      <c r="I1218" s="312"/>
      <c r="J1218" s="248">
        <f t="shared" si="141"/>
        <v>0</v>
      </c>
      <c r="K1218" s="330">
        <f t="shared" si="142"/>
        <v>-58</v>
      </c>
      <c r="L1218" s="313"/>
      <c r="M1218" s="228">
        <f t="shared" si="143"/>
        <v>0</v>
      </c>
      <c r="N1218" s="228">
        <f t="shared" si="139"/>
        <v>0</v>
      </c>
      <c r="O1218" s="228">
        <f t="shared" si="140"/>
        <v>0</v>
      </c>
      <c r="P1218" s="228">
        <f t="shared" si="140"/>
        <v>0</v>
      </c>
      <c r="Q1218" s="228">
        <f t="shared" si="144"/>
        <v>0</v>
      </c>
      <c r="R1218" s="343">
        <f t="shared" si="145"/>
        <v>-58</v>
      </c>
      <c r="S1218" s="240"/>
      <c r="T1218" s="201"/>
      <c r="U1218" s="201"/>
      <c r="V1218" s="201"/>
    </row>
    <row r="1219" spans="1:22" ht="45" x14ac:dyDescent="0.25">
      <c r="A1219" s="234" t="s">
        <v>3796</v>
      </c>
      <c r="B1219" s="235" t="s">
        <v>3797</v>
      </c>
      <c r="C1219" s="234" t="s">
        <v>6</v>
      </c>
      <c r="D1219" s="312">
        <v>8</v>
      </c>
      <c r="E1219" s="312"/>
      <c r="F1219" s="248"/>
      <c r="G1219" s="312"/>
      <c r="H1219" s="312"/>
      <c r="I1219" s="312"/>
      <c r="J1219" s="248">
        <f t="shared" si="141"/>
        <v>0</v>
      </c>
      <c r="K1219" s="330">
        <f t="shared" si="142"/>
        <v>-8</v>
      </c>
      <c r="L1219" s="313"/>
      <c r="M1219" s="228">
        <f t="shared" si="143"/>
        <v>0</v>
      </c>
      <c r="N1219" s="228">
        <f t="shared" si="139"/>
        <v>0</v>
      </c>
      <c r="O1219" s="228">
        <f t="shared" si="140"/>
        <v>0</v>
      </c>
      <c r="P1219" s="228">
        <f t="shared" si="140"/>
        <v>0</v>
      </c>
      <c r="Q1219" s="228">
        <f t="shared" si="144"/>
        <v>0</v>
      </c>
      <c r="R1219" s="343">
        <f t="shared" si="145"/>
        <v>-8</v>
      </c>
      <c r="S1219" s="240"/>
      <c r="T1219" s="201"/>
      <c r="U1219" s="201"/>
      <c r="V1219" s="201"/>
    </row>
    <row r="1220" spans="1:22" ht="45" x14ac:dyDescent="0.25">
      <c r="A1220" s="234" t="s">
        <v>3798</v>
      </c>
      <c r="B1220" s="235" t="s">
        <v>3799</v>
      </c>
      <c r="C1220" s="234" t="s">
        <v>6</v>
      </c>
      <c r="D1220" s="312">
        <v>18</v>
      </c>
      <c r="E1220" s="312"/>
      <c r="F1220" s="248"/>
      <c r="G1220" s="312"/>
      <c r="H1220" s="312"/>
      <c r="I1220" s="312"/>
      <c r="J1220" s="248">
        <f t="shared" si="141"/>
        <v>0</v>
      </c>
      <c r="K1220" s="330">
        <f t="shared" si="142"/>
        <v>-18</v>
      </c>
      <c r="L1220" s="313"/>
      <c r="M1220" s="228">
        <f t="shared" si="143"/>
        <v>0</v>
      </c>
      <c r="N1220" s="228">
        <f t="shared" si="139"/>
        <v>0</v>
      </c>
      <c r="O1220" s="228">
        <f t="shared" si="140"/>
        <v>0</v>
      </c>
      <c r="P1220" s="228">
        <f t="shared" si="140"/>
        <v>0</v>
      </c>
      <c r="Q1220" s="228">
        <f t="shared" si="144"/>
        <v>0</v>
      </c>
      <c r="R1220" s="343">
        <f t="shared" si="145"/>
        <v>-18</v>
      </c>
      <c r="S1220" s="240"/>
      <c r="T1220" s="201"/>
      <c r="U1220" s="201"/>
      <c r="V1220" s="201"/>
    </row>
    <row r="1221" spans="1:22" ht="45" x14ac:dyDescent="0.25">
      <c r="A1221" s="234" t="s">
        <v>3800</v>
      </c>
      <c r="B1221" s="235" t="s">
        <v>3795</v>
      </c>
      <c r="C1221" s="234" t="s">
        <v>6</v>
      </c>
      <c r="D1221" s="312">
        <v>58</v>
      </c>
      <c r="E1221" s="312"/>
      <c r="F1221" s="248"/>
      <c r="G1221" s="312"/>
      <c r="H1221" s="312"/>
      <c r="I1221" s="312"/>
      <c r="J1221" s="248">
        <f t="shared" si="141"/>
        <v>0</v>
      </c>
      <c r="K1221" s="330">
        <f t="shared" si="142"/>
        <v>-58</v>
      </c>
      <c r="L1221" s="313"/>
      <c r="M1221" s="228">
        <f t="shared" si="143"/>
        <v>0</v>
      </c>
      <c r="N1221" s="228">
        <f t="shared" si="139"/>
        <v>0</v>
      </c>
      <c r="O1221" s="228">
        <f t="shared" si="140"/>
        <v>0</v>
      </c>
      <c r="P1221" s="228">
        <f t="shared" si="140"/>
        <v>0</v>
      </c>
      <c r="Q1221" s="228">
        <f t="shared" si="144"/>
        <v>0</v>
      </c>
      <c r="R1221" s="343">
        <f t="shared" si="145"/>
        <v>-58</v>
      </c>
      <c r="S1221" s="240"/>
      <c r="T1221" s="201"/>
      <c r="U1221" s="201"/>
      <c r="V1221" s="201"/>
    </row>
    <row r="1222" spans="1:22" ht="45" x14ac:dyDescent="0.25">
      <c r="A1222" s="234" t="s">
        <v>3801</v>
      </c>
      <c r="B1222" s="235" t="s">
        <v>3797</v>
      </c>
      <c r="C1222" s="234" t="s">
        <v>6</v>
      </c>
      <c r="D1222" s="312">
        <v>8</v>
      </c>
      <c r="E1222" s="312"/>
      <c r="F1222" s="248"/>
      <c r="G1222" s="312"/>
      <c r="H1222" s="312"/>
      <c r="I1222" s="312"/>
      <c r="J1222" s="248">
        <f t="shared" si="141"/>
        <v>0</v>
      </c>
      <c r="K1222" s="330">
        <f t="shared" si="142"/>
        <v>-8</v>
      </c>
      <c r="L1222" s="313"/>
      <c r="M1222" s="228">
        <f t="shared" si="143"/>
        <v>0</v>
      </c>
      <c r="N1222" s="228">
        <f t="shared" si="139"/>
        <v>0</v>
      </c>
      <c r="O1222" s="228">
        <f t="shared" si="140"/>
        <v>0</v>
      </c>
      <c r="P1222" s="228">
        <f t="shared" si="140"/>
        <v>0</v>
      </c>
      <c r="Q1222" s="228">
        <f t="shared" si="144"/>
        <v>0</v>
      </c>
      <c r="R1222" s="343">
        <f t="shared" si="145"/>
        <v>-8</v>
      </c>
      <c r="S1222" s="240"/>
      <c r="T1222" s="201"/>
      <c r="U1222" s="201"/>
      <c r="V1222" s="201"/>
    </row>
    <row r="1223" spans="1:22" ht="45" x14ac:dyDescent="0.25">
      <c r="A1223" s="234" t="s">
        <v>3802</v>
      </c>
      <c r="B1223" s="235" t="s">
        <v>3799</v>
      </c>
      <c r="C1223" s="234" t="s">
        <v>6</v>
      </c>
      <c r="D1223" s="312">
        <v>18</v>
      </c>
      <c r="E1223" s="312"/>
      <c r="F1223" s="248"/>
      <c r="G1223" s="312"/>
      <c r="H1223" s="312"/>
      <c r="I1223" s="312"/>
      <c r="J1223" s="248">
        <f t="shared" si="141"/>
        <v>0</v>
      </c>
      <c r="K1223" s="330">
        <f t="shared" si="142"/>
        <v>-18</v>
      </c>
      <c r="L1223" s="313"/>
      <c r="M1223" s="228">
        <f t="shared" si="143"/>
        <v>0</v>
      </c>
      <c r="N1223" s="228">
        <f t="shared" si="139"/>
        <v>0</v>
      </c>
      <c r="O1223" s="228">
        <f t="shared" si="140"/>
        <v>0</v>
      </c>
      <c r="P1223" s="228">
        <f t="shared" si="140"/>
        <v>0</v>
      </c>
      <c r="Q1223" s="228">
        <f t="shared" si="144"/>
        <v>0</v>
      </c>
      <c r="R1223" s="343">
        <f t="shared" si="145"/>
        <v>-18</v>
      </c>
      <c r="S1223" s="240"/>
      <c r="T1223" s="201"/>
      <c r="U1223" s="201"/>
      <c r="V1223" s="201"/>
    </row>
    <row r="1224" spans="1:22" ht="15.75" x14ac:dyDescent="0.25">
      <c r="A1224" s="234" t="s">
        <v>3803</v>
      </c>
      <c r="B1224" s="235" t="s">
        <v>3804</v>
      </c>
      <c r="C1224" s="234" t="s">
        <v>6</v>
      </c>
      <c r="D1224" s="312">
        <v>117</v>
      </c>
      <c r="E1224" s="312"/>
      <c r="F1224" s="248"/>
      <c r="G1224" s="312"/>
      <c r="H1224" s="312"/>
      <c r="I1224" s="312"/>
      <c r="J1224" s="248">
        <f t="shared" si="141"/>
        <v>0</v>
      </c>
      <c r="K1224" s="330">
        <f t="shared" si="142"/>
        <v>-117</v>
      </c>
      <c r="L1224" s="313"/>
      <c r="M1224" s="228">
        <f t="shared" si="143"/>
        <v>0</v>
      </c>
      <c r="N1224" s="228">
        <f t="shared" si="139"/>
        <v>0</v>
      </c>
      <c r="O1224" s="228">
        <f t="shared" si="140"/>
        <v>0</v>
      </c>
      <c r="P1224" s="228">
        <f t="shared" si="140"/>
        <v>0</v>
      </c>
      <c r="Q1224" s="228">
        <f t="shared" si="144"/>
        <v>0</v>
      </c>
      <c r="R1224" s="343">
        <f t="shared" si="145"/>
        <v>-117</v>
      </c>
      <c r="S1224" s="240"/>
      <c r="T1224" s="201"/>
      <c r="U1224" s="201"/>
      <c r="V1224" s="201"/>
    </row>
    <row r="1225" spans="1:22" ht="15.75" x14ac:dyDescent="0.25">
      <c r="A1225" s="234" t="s">
        <v>3805</v>
      </c>
      <c r="B1225" s="235" t="s">
        <v>3806</v>
      </c>
      <c r="C1225" s="234" t="s">
        <v>6</v>
      </c>
      <c r="D1225" s="312">
        <v>731</v>
      </c>
      <c r="E1225" s="312"/>
      <c r="F1225" s="248"/>
      <c r="G1225" s="312"/>
      <c r="H1225" s="312"/>
      <c r="I1225" s="312"/>
      <c r="J1225" s="248">
        <f t="shared" si="141"/>
        <v>0</v>
      </c>
      <c r="K1225" s="330">
        <f t="shared" si="142"/>
        <v>-731</v>
      </c>
      <c r="L1225" s="313"/>
      <c r="M1225" s="228">
        <f t="shared" si="143"/>
        <v>0</v>
      </c>
      <c r="N1225" s="228">
        <f t="shared" ref="N1225:N1288" si="146">G1225</f>
        <v>0</v>
      </c>
      <c r="O1225" s="228">
        <f t="shared" ref="O1225:P1288" si="147">H1225</f>
        <v>0</v>
      </c>
      <c r="P1225" s="228">
        <f t="shared" si="147"/>
        <v>0</v>
      </c>
      <c r="Q1225" s="228">
        <f t="shared" si="144"/>
        <v>0</v>
      </c>
      <c r="R1225" s="343">
        <f t="shared" si="145"/>
        <v>-731</v>
      </c>
      <c r="S1225" s="240"/>
      <c r="T1225" s="201"/>
      <c r="U1225" s="201"/>
      <c r="V1225" s="201"/>
    </row>
    <row r="1226" spans="1:22" ht="60" x14ac:dyDescent="0.25">
      <c r="A1226" s="234" t="s">
        <v>3807</v>
      </c>
      <c r="B1226" s="235" t="s">
        <v>3808</v>
      </c>
      <c r="C1226" s="234" t="s">
        <v>3809</v>
      </c>
      <c r="D1226" s="312">
        <v>260</v>
      </c>
      <c r="E1226" s="312"/>
      <c r="F1226" s="248"/>
      <c r="G1226" s="312"/>
      <c r="H1226" s="312"/>
      <c r="I1226" s="312"/>
      <c r="J1226" s="248">
        <f t="shared" si="141"/>
        <v>0</v>
      </c>
      <c r="K1226" s="330">
        <f t="shared" si="142"/>
        <v>-260</v>
      </c>
      <c r="L1226" s="313"/>
      <c r="M1226" s="228">
        <f t="shared" si="143"/>
        <v>0</v>
      </c>
      <c r="N1226" s="228">
        <f t="shared" si="146"/>
        <v>0</v>
      </c>
      <c r="O1226" s="228">
        <f t="shared" si="147"/>
        <v>0</v>
      </c>
      <c r="P1226" s="228">
        <f t="shared" si="147"/>
        <v>0</v>
      </c>
      <c r="Q1226" s="228">
        <f t="shared" si="144"/>
        <v>0</v>
      </c>
      <c r="R1226" s="343">
        <f t="shared" si="145"/>
        <v>-260</v>
      </c>
      <c r="S1226" s="240"/>
      <c r="T1226" s="201"/>
      <c r="U1226" s="201"/>
      <c r="V1226" s="201"/>
    </row>
    <row r="1227" spans="1:22" ht="30" x14ac:dyDescent="0.25">
      <c r="A1227" s="234" t="s">
        <v>3810</v>
      </c>
      <c r="B1227" s="235" t="s">
        <v>3811</v>
      </c>
      <c r="C1227" s="234" t="s">
        <v>6</v>
      </c>
      <c r="D1227" s="312">
        <v>858</v>
      </c>
      <c r="E1227" s="312"/>
      <c r="F1227" s="248"/>
      <c r="G1227" s="312"/>
      <c r="H1227" s="312"/>
      <c r="I1227" s="312"/>
      <c r="J1227" s="248">
        <f t="shared" si="141"/>
        <v>0</v>
      </c>
      <c r="K1227" s="330">
        <f t="shared" si="142"/>
        <v>-858</v>
      </c>
      <c r="L1227" s="313"/>
      <c r="M1227" s="228">
        <f t="shared" si="143"/>
        <v>0</v>
      </c>
      <c r="N1227" s="228">
        <f t="shared" si="146"/>
        <v>0</v>
      </c>
      <c r="O1227" s="228">
        <f t="shared" si="147"/>
        <v>0</v>
      </c>
      <c r="P1227" s="228">
        <f t="shared" si="147"/>
        <v>0</v>
      </c>
      <c r="Q1227" s="228">
        <f t="shared" si="144"/>
        <v>0</v>
      </c>
      <c r="R1227" s="343">
        <f t="shared" si="145"/>
        <v>-858</v>
      </c>
      <c r="S1227" s="240"/>
      <c r="T1227" s="201"/>
      <c r="U1227" s="201"/>
      <c r="V1227" s="201"/>
    </row>
    <row r="1228" spans="1:22" ht="30" x14ac:dyDescent="0.25">
      <c r="A1228" s="234" t="s">
        <v>3812</v>
      </c>
      <c r="B1228" s="235" t="s">
        <v>3813</v>
      </c>
      <c r="C1228" s="234" t="s">
        <v>3809</v>
      </c>
      <c r="D1228" s="312">
        <v>260</v>
      </c>
      <c r="E1228" s="312"/>
      <c r="F1228" s="248"/>
      <c r="G1228" s="312"/>
      <c r="H1228" s="312"/>
      <c r="I1228" s="312"/>
      <c r="J1228" s="248">
        <f t="shared" si="141"/>
        <v>0</v>
      </c>
      <c r="K1228" s="330">
        <f t="shared" si="142"/>
        <v>-260</v>
      </c>
      <c r="L1228" s="313"/>
      <c r="M1228" s="228">
        <f t="shared" si="143"/>
        <v>0</v>
      </c>
      <c r="N1228" s="228">
        <f t="shared" si="146"/>
        <v>0</v>
      </c>
      <c r="O1228" s="228">
        <f t="shared" si="147"/>
        <v>0</v>
      </c>
      <c r="P1228" s="228">
        <f t="shared" si="147"/>
        <v>0</v>
      </c>
      <c r="Q1228" s="228">
        <f t="shared" si="144"/>
        <v>0</v>
      </c>
      <c r="R1228" s="343">
        <f t="shared" si="145"/>
        <v>-260</v>
      </c>
      <c r="S1228" s="240"/>
      <c r="T1228" s="201"/>
      <c r="U1228" s="201"/>
      <c r="V1228" s="201"/>
    </row>
    <row r="1229" spans="1:22" ht="15.75" x14ac:dyDescent="0.25">
      <c r="A1229" s="234" t="s">
        <v>3814</v>
      </c>
      <c r="B1229" s="235" t="s">
        <v>3815</v>
      </c>
      <c r="C1229" s="234" t="s">
        <v>9</v>
      </c>
      <c r="D1229" s="312">
        <v>520</v>
      </c>
      <c r="E1229" s="312"/>
      <c r="F1229" s="248"/>
      <c r="G1229" s="312"/>
      <c r="H1229" s="312"/>
      <c r="I1229" s="312"/>
      <c r="J1229" s="248">
        <f t="shared" si="141"/>
        <v>0</v>
      </c>
      <c r="K1229" s="330">
        <f t="shared" si="142"/>
        <v>-520</v>
      </c>
      <c r="L1229" s="313"/>
      <c r="M1229" s="228">
        <f t="shared" si="143"/>
        <v>0</v>
      </c>
      <c r="N1229" s="228">
        <f t="shared" si="146"/>
        <v>0</v>
      </c>
      <c r="O1229" s="228">
        <f t="shared" si="147"/>
        <v>0</v>
      </c>
      <c r="P1229" s="228">
        <f t="shared" si="147"/>
        <v>0</v>
      </c>
      <c r="Q1229" s="228">
        <f t="shared" si="144"/>
        <v>0</v>
      </c>
      <c r="R1229" s="343">
        <f t="shared" si="145"/>
        <v>-520</v>
      </c>
      <c r="S1229" s="240"/>
      <c r="T1229" s="201"/>
      <c r="U1229" s="201"/>
      <c r="V1229" s="201"/>
    </row>
    <row r="1230" spans="1:22" ht="45" x14ac:dyDescent="0.25">
      <c r="A1230" s="234" t="s">
        <v>3816</v>
      </c>
      <c r="B1230" s="235" t="s">
        <v>3817</v>
      </c>
      <c r="C1230" s="234" t="s">
        <v>9</v>
      </c>
      <c r="D1230" s="312">
        <v>520</v>
      </c>
      <c r="E1230" s="312"/>
      <c r="F1230" s="248"/>
      <c r="G1230" s="312"/>
      <c r="H1230" s="312"/>
      <c r="I1230" s="312"/>
      <c r="J1230" s="248">
        <f t="shared" si="141"/>
        <v>0</v>
      </c>
      <c r="K1230" s="330">
        <f t="shared" si="142"/>
        <v>-520</v>
      </c>
      <c r="L1230" s="313"/>
      <c r="M1230" s="228">
        <f t="shared" si="143"/>
        <v>0</v>
      </c>
      <c r="N1230" s="228">
        <f t="shared" si="146"/>
        <v>0</v>
      </c>
      <c r="O1230" s="228">
        <f t="shared" si="147"/>
        <v>0</v>
      </c>
      <c r="P1230" s="228">
        <f t="shared" si="147"/>
        <v>0</v>
      </c>
      <c r="Q1230" s="228">
        <f t="shared" si="144"/>
        <v>0</v>
      </c>
      <c r="R1230" s="343">
        <f t="shared" si="145"/>
        <v>-520</v>
      </c>
      <c r="S1230" s="240"/>
      <c r="T1230" s="201"/>
      <c r="U1230" s="201"/>
      <c r="V1230" s="201"/>
    </row>
    <row r="1231" spans="1:22" ht="45" x14ac:dyDescent="0.25">
      <c r="A1231" s="234" t="s">
        <v>3818</v>
      </c>
      <c r="B1231" s="235" t="s">
        <v>3819</v>
      </c>
      <c r="C1231" s="234" t="s">
        <v>6</v>
      </c>
      <c r="D1231" s="312">
        <v>40</v>
      </c>
      <c r="E1231" s="312"/>
      <c r="F1231" s="248"/>
      <c r="G1231" s="312"/>
      <c r="H1231" s="312"/>
      <c r="I1231" s="312"/>
      <c r="J1231" s="248">
        <f t="shared" si="141"/>
        <v>0</v>
      </c>
      <c r="K1231" s="330">
        <f t="shared" si="142"/>
        <v>-40</v>
      </c>
      <c r="L1231" s="313"/>
      <c r="M1231" s="228">
        <f t="shared" si="143"/>
        <v>0</v>
      </c>
      <c r="N1231" s="228">
        <f t="shared" si="146"/>
        <v>0</v>
      </c>
      <c r="O1231" s="228">
        <f t="shared" si="147"/>
        <v>0</v>
      </c>
      <c r="P1231" s="228">
        <f t="shared" si="147"/>
        <v>0</v>
      </c>
      <c r="Q1231" s="228">
        <f t="shared" si="144"/>
        <v>0</v>
      </c>
      <c r="R1231" s="343">
        <f t="shared" si="145"/>
        <v>-40</v>
      </c>
      <c r="S1231" s="240"/>
      <c r="T1231" s="201"/>
      <c r="U1231" s="201"/>
      <c r="V1231" s="201"/>
    </row>
    <row r="1232" spans="1:22" ht="45" x14ac:dyDescent="0.25">
      <c r="A1232" s="234" t="s">
        <v>3820</v>
      </c>
      <c r="B1232" s="235" t="s">
        <v>3821</v>
      </c>
      <c r="C1232" s="234" t="s">
        <v>6</v>
      </c>
      <c r="D1232" s="312">
        <v>63</v>
      </c>
      <c r="E1232" s="312"/>
      <c r="F1232" s="248"/>
      <c r="G1232" s="312"/>
      <c r="H1232" s="312"/>
      <c r="I1232" s="312"/>
      <c r="J1232" s="248">
        <f t="shared" si="141"/>
        <v>0</v>
      </c>
      <c r="K1232" s="330">
        <f t="shared" si="142"/>
        <v>-63</v>
      </c>
      <c r="L1232" s="313"/>
      <c r="M1232" s="228">
        <f t="shared" si="143"/>
        <v>0</v>
      </c>
      <c r="N1232" s="228">
        <f t="shared" si="146"/>
        <v>0</v>
      </c>
      <c r="O1232" s="228">
        <f t="shared" si="147"/>
        <v>0</v>
      </c>
      <c r="P1232" s="228">
        <f t="shared" si="147"/>
        <v>0</v>
      </c>
      <c r="Q1232" s="228">
        <f t="shared" si="144"/>
        <v>0</v>
      </c>
      <c r="R1232" s="343">
        <f t="shared" si="145"/>
        <v>-63</v>
      </c>
      <c r="S1232" s="240"/>
      <c r="T1232" s="201"/>
      <c r="U1232" s="201"/>
      <c r="V1232" s="201"/>
    </row>
    <row r="1233" spans="1:22" ht="45" x14ac:dyDescent="0.25">
      <c r="A1233" s="234" t="s">
        <v>3822</v>
      </c>
      <c r="B1233" s="235" t="s">
        <v>3823</v>
      </c>
      <c r="C1233" s="234" t="s">
        <v>6</v>
      </c>
      <c r="D1233" s="312">
        <v>75</v>
      </c>
      <c r="E1233" s="312"/>
      <c r="F1233" s="248"/>
      <c r="G1233" s="312"/>
      <c r="H1233" s="312"/>
      <c r="I1233" s="312"/>
      <c r="J1233" s="248">
        <f t="shared" si="141"/>
        <v>0</v>
      </c>
      <c r="K1233" s="330">
        <f t="shared" si="142"/>
        <v>-75</v>
      </c>
      <c r="L1233" s="313"/>
      <c r="M1233" s="228">
        <f t="shared" si="143"/>
        <v>0</v>
      </c>
      <c r="N1233" s="228">
        <f t="shared" si="146"/>
        <v>0</v>
      </c>
      <c r="O1233" s="228">
        <f t="shared" si="147"/>
        <v>0</v>
      </c>
      <c r="P1233" s="228">
        <f t="shared" si="147"/>
        <v>0</v>
      </c>
      <c r="Q1233" s="228">
        <f t="shared" si="144"/>
        <v>0</v>
      </c>
      <c r="R1233" s="343">
        <f t="shared" si="145"/>
        <v>-75</v>
      </c>
      <c r="S1233" s="240"/>
      <c r="T1233" s="201"/>
      <c r="U1233" s="201"/>
      <c r="V1233" s="201"/>
    </row>
    <row r="1234" spans="1:22" ht="45" x14ac:dyDescent="0.25">
      <c r="A1234" s="234" t="s">
        <v>3824</v>
      </c>
      <c r="B1234" s="235" t="s">
        <v>3825</v>
      </c>
      <c r="C1234" s="234" t="s">
        <v>6</v>
      </c>
      <c r="D1234" s="312">
        <v>127</v>
      </c>
      <c r="E1234" s="312"/>
      <c r="F1234" s="248"/>
      <c r="G1234" s="312"/>
      <c r="H1234" s="312"/>
      <c r="I1234" s="312"/>
      <c r="J1234" s="248">
        <f t="shared" si="141"/>
        <v>0</v>
      </c>
      <c r="K1234" s="330">
        <f t="shared" si="142"/>
        <v>-127</v>
      </c>
      <c r="L1234" s="313"/>
      <c r="M1234" s="228">
        <f t="shared" si="143"/>
        <v>0</v>
      </c>
      <c r="N1234" s="228">
        <f t="shared" si="146"/>
        <v>0</v>
      </c>
      <c r="O1234" s="228">
        <f t="shared" si="147"/>
        <v>0</v>
      </c>
      <c r="P1234" s="228">
        <f t="shared" si="147"/>
        <v>0</v>
      </c>
      <c r="Q1234" s="228">
        <f t="shared" si="144"/>
        <v>0</v>
      </c>
      <c r="R1234" s="343">
        <f t="shared" si="145"/>
        <v>-127</v>
      </c>
      <c r="S1234" s="240"/>
      <c r="T1234" s="201"/>
      <c r="U1234" s="201"/>
      <c r="V1234" s="201"/>
    </row>
    <row r="1235" spans="1:22" ht="45" x14ac:dyDescent="0.25">
      <c r="A1235" s="234" t="s">
        <v>3826</v>
      </c>
      <c r="B1235" s="235" t="s">
        <v>3827</v>
      </c>
      <c r="C1235" s="234" t="s">
        <v>6</v>
      </c>
      <c r="D1235" s="312">
        <v>12</v>
      </c>
      <c r="E1235" s="312"/>
      <c r="F1235" s="248"/>
      <c r="G1235" s="312"/>
      <c r="H1235" s="312"/>
      <c r="I1235" s="312"/>
      <c r="J1235" s="248">
        <f t="shared" si="141"/>
        <v>0</v>
      </c>
      <c r="K1235" s="330">
        <f t="shared" si="142"/>
        <v>-12</v>
      </c>
      <c r="L1235" s="313"/>
      <c r="M1235" s="228">
        <f t="shared" si="143"/>
        <v>0</v>
      </c>
      <c r="N1235" s="228">
        <f t="shared" si="146"/>
        <v>0</v>
      </c>
      <c r="O1235" s="228">
        <f t="shared" si="147"/>
        <v>0</v>
      </c>
      <c r="P1235" s="228">
        <f t="shared" si="147"/>
        <v>0</v>
      </c>
      <c r="Q1235" s="228">
        <f t="shared" si="144"/>
        <v>0</v>
      </c>
      <c r="R1235" s="343">
        <f t="shared" si="145"/>
        <v>-12</v>
      </c>
      <c r="S1235" s="240"/>
      <c r="T1235" s="201"/>
      <c r="U1235" s="201"/>
      <c r="V1235" s="201"/>
    </row>
    <row r="1236" spans="1:22" ht="45" x14ac:dyDescent="0.25">
      <c r="A1236" s="234" t="s">
        <v>3828</v>
      </c>
      <c r="B1236" s="235" t="s">
        <v>3829</v>
      </c>
      <c r="C1236" s="234" t="s">
        <v>6</v>
      </c>
      <c r="D1236" s="312">
        <v>127</v>
      </c>
      <c r="E1236" s="312"/>
      <c r="F1236" s="248"/>
      <c r="G1236" s="312"/>
      <c r="H1236" s="312"/>
      <c r="I1236" s="312"/>
      <c r="J1236" s="248">
        <f t="shared" si="141"/>
        <v>0</v>
      </c>
      <c r="K1236" s="330">
        <f t="shared" si="142"/>
        <v>-127</v>
      </c>
      <c r="L1236" s="313"/>
      <c r="M1236" s="228">
        <f t="shared" si="143"/>
        <v>0</v>
      </c>
      <c r="N1236" s="228">
        <f t="shared" si="146"/>
        <v>0</v>
      </c>
      <c r="O1236" s="228">
        <f t="shared" si="147"/>
        <v>0</v>
      </c>
      <c r="P1236" s="228">
        <f t="shared" si="147"/>
        <v>0</v>
      </c>
      <c r="Q1236" s="228">
        <f t="shared" si="144"/>
        <v>0</v>
      </c>
      <c r="R1236" s="343">
        <f t="shared" si="145"/>
        <v>-127</v>
      </c>
      <c r="S1236" s="240"/>
      <c r="T1236" s="201"/>
      <c r="U1236" s="201"/>
      <c r="V1236" s="201"/>
    </row>
    <row r="1237" spans="1:22" ht="45" x14ac:dyDescent="0.25">
      <c r="A1237" s="234" t="s">
        <v>3830</v>
      </c>
      <c r="B1237" s="235" t="s">
        <v>3831</v>
      </c>
      <c r="C1237" s="234" t="s">
        <v>6</v>
      </c>
      <c r="D1237" s="312">
        <v>69</v>
      </c>
      <c r="E1237" s="312"/>
      <c r="F1237" s="248"/>
      <c r="G1237" s="312"/>
      <c r="H1237" s="312"/>
      <c r="I1237" s="312"/>
      <c r="J1237" s="248">
        <f t="shared" si="141"/>
        <v>0</v>
      </c>
      <c r="K1237" s="330">
        <f t="shared" si="142"/>
        <v>-69</v>
      </c>
      <c r="L1237" s="313"/>
      <c r="M1237" s="228">
        <f t="shared" si="143"/>
        <v>0</v>
      </c>
      <c r="N1237" s="228">
        <f t="shared" si="146"/>
        <v>0</v>
      </c>
      <c r="O1237" s="228">
        <f t="shared" si="147"/>
        <v>0</v>
      </c>
      <c r="P1237" s="228">
        <f t="shared" si="147"/>
        <v>0</v>
      </c>
      <c r="Q1237" s="228">
        <f t="shared" si="144"/>
        <v>0</v>
      </c>
      <c r="R1237" s="343">
        <f t="shared" si="145"/>
        <v>-69</v>
      </c>
      <c r="S1237" s="240"/>
      <c r="T1237" s="201"/>
      <c r="U1237" s="201"/>
      <c r="V1237" s="201"/>
    </row>
    <row r="1238" spans="1:22" ht="45" x14ac:dyDescent="0.25">
      <c r="A1238" s="234" t="s">
        <v>3832</v>
      </c>
      <c r="B1238" s="235" t="s">
        <v>3833</v>
      </c>
      <c r="C1238" s="234" t="s">
        <v>6</v>
      </c>
      <c r="D1238" s="312">
        <v>23</v>
      </c>
      <c r="E1238" s="312"/>
      <c r="F1238" s="248"/>
      <c r="G1238" s="312"/>
      <c r="H1238" s="312"/>
      <c r="I1238" s="312"/>
      <c r="J1238" s="248">
        <f t="shared" si="141"/>
        <v>0</v>
      </c>
      <c r="K1238" s="330">
        <f t="shared" si="142"/>
        <v>-23</v>
      </c>
      <c r="L1238" s="313"/>
      <c r="M1238" s="228">
        <f t="shared" si="143"/>
        <v>0</v>
      </c>
      <c r="N1238" s="228">
        <f t="shared" si="146"/>
        <v>0</v>
      </c>
      <c r="O1238" s="228">
        <f t="shared" si="147"/>
        <v>0</v>
      </c>
      <c r="P1238" s="228">
        <f t="shared" si="147"/>
        <v>0</v>
      </c>
      <c r="Q1238" s="228">
        <f t="shared" si="144"/>
        <v>0</v>
      </c>
      <c r="R1238" s="343">
        <f t="shared" si="145"/>
        <v>-23</v>
      </c>
      <c r="S1238" s="240"/>
      <c r="T1238" s="201"/>
      <c r="U1238" s="201"/>
      <c r="V1238" s="201"/>
    </row>
    <row r="1239" spans="1:22" ht="45" x14ac:dyDescent="0.25">
      <c r="A1239" s="234" t="s">
        <v>3834</v>
      </c>
      <c r="B1239" s="235" t="s">
        <v>3835</v>
      </c>
      <c r="C1239" s="234" t="s">
        <v>6</v>
      </c>
      <c r="D1239" s="312">
        <v>61</v>
      </c>
      <c r="E1239" s="312"/>
      <c r="F1239" s="248"/>
      <c r="G1239" s="312"/>
      <c r="H1239" s="312"/>
      <c r="I1239" s="312"/>
      <c r="J1239" s="248">
        <f t="shared" si="141"/>
        <v>0</v>
      </c>
      <c r="K1239" s="330">
        <f t="shared" si="142"/>
        <v>-61</v>
      </c>
      <c r="L1239" s="313"/>
      <c r="M1239" s="228">
        <f t="shared" si="143"/>
        <v>0</v>
      </c>
      <c r="N1239" s="228">
        <f t="shared" si="146"/>
        <v>0</v>
      </c>
      <c r="O1239" s="228">
        <f t="shared" si="147"/>
        <v>0</v>
      </c>
      <c r="P1239" s="228">
        <f t="shared" si="147"/>
        <v>0</v>
      </c>
      <c r="Q1239" s="228">
        <f t="shared" si="144"/>
        <v>0</v>
      </c>
      <c r="R1239" s="343">
        <f t="shared" si="145"/>
        <v>-61</v>
      </c>
      <c r="S1239" s="240"/>
      <c r="T1239" s="201"/>
      <c r="U1239" s="201"/>
      <c r="V1239" s="201"/>
    </row>
    <row r="1240" spans="1:22" ht="45" x14ac:dyDescent="0.25">
      <c r="A1240" s="234" t="s">
        <v>3836</v>
      </c>
      <c r="B1240" s="235" t="s">
        <v>3837</v>
      </c>
      <c r="C1240" s="234" t="s">
        <v>6</v>
      </c>
      <c r="D1240" s="312">
        <v>31</v>
      </c>
      <c r="E1240" s="312"/>
      <c r="F1240" s="248"/>
      <c r="G1240" s="312"/>
      <c r="H1240" s="312"/>
      <c r="I1240" s="312"/>
      <c r="J1240" s="248">
        <f t="shared" si="141"/>
        <v>0</v>
      </c>
      <c r="K1240" s="330">
        <f t="shared" si="142"/>
        <v>-31</v>
      </c>
      <c r="L1240" s="313"/>
      <c r="M1240" s="228">
        <f t="shared" si="143"/>
        <v>0</v>
      </c>
      <c r="N1240" s="228">
        <f t="shared" si="146"/>
        <v>0</v>
      </c>
      <c r="O1240" s="228">
        <f t="shared" si="147"/>
        <v>0</v>
      </c>
      <c r="P1240" s="228">
        <f t="shared" si="147"/>
        <v>0</v>
      </c>
      <c r="Q1240" s="228">
        <f t="shared" si="144"/>
        <v>0</v>
      </c>
      <c r="R1240" s="343">
        <f t="shared" si="145"/>
        <v>-31</v>
      </c>
      <c r="S1240" s="240"/>
      <c r="T1240" s="201"/>
      <c r="U1240" s="201"/>
      <c r="V1240" s="201"/>
    </row>
    <row r="1241" spans="1:22" ht="45" x14ac:dyDescent="0.25">
      <c r="A1241" s="234" t="s">
        <v>3838</v>
      </c>
      <c r="B1241" s="235" t="s">
        <v>3839</v>
      </c>
      <c r="C1241" s="234" t="s">
        <v>6</v>
      </c>
      <c r="D1241" s="312">
        <v>35</v>
      </c>
      <c r="E1241" s="312"/>
      <c r="F1241" s="248"/>
      <c r="G1241" s="312"/>
      <c r="H1241" s="312"/>
      <c r="I1241" s="312"/>
      <c r="J1241" s="248">
        <f t="shared" si="141"/>
        <v>0</v>
      </c>
      <c r="K1241" s="330">
        <f t="shared" si="142"/>
        <v>-35</v>
      </c>
      <c r="L1241" s="313"/>
      <c r="M1241" s="228">
        <f t="shared" si="143"/>
        <v>0</v>
      </c>
      <c r="N1241" s="228">
        <f t="shared" si="146"/>
        <v>0</v>
      </c>
      <c r="O1241" s="228">
        <f t="shared" si="147"/>
        <v>0</v>
      </c>
      <c r="P1241" s="228">
        <f t="shared" si="147"/>
        <v>0</v>
      </c>
      <c r="Q1241" s="228">
        <f t="shared" si="144"/>
        <v>0</v>
      </c>
      <c r="R1241" s="343">
        <f t="shared" si="145"/>
        <v>-35</v>
      </c>
      <c r="S1241" s="240"/>
      <c r="T1241" s="201"/>
      <c r="U1241" s="201"/>
      <c r="V1241" s="201"/>
    </row>
    <row r="1242" spans="1:22" ht="30" x14ac:dyDescent="0.25">
      <c r="A1242" s="234" t="s">
        <v>3840</v>
      </c>
      <c r="B1242" s="235" t="s">
        <v>3841</v>
      </c>
      <c r="C1242" s="234" t="s">
        <v>6</v>
      </c>
      <c r="D1242" s="312">
        <v>28</v>
      </c>
      <c r="E1242" s="312"/>
      <c r="F1242" s="248"/>
      <c r="G1242" s="312"/>
      <c r="H1242" s="312"/>
      <c r="I1242" s="312"/>
      <c r="J1242" s="248">
        <f t="shared" si="141"/>
        <v>0</v>
      </c>
      <c r="K1242" s="330">
        <f t="shared" si="142"/>
        <v>-28</v>
      </c>
      <c r="L1242" s="313"/>
      <c r="M1242" s="228">
        <f t="shared" si="143"/>
        <v>0</v>
      </c>
      <c r="N1242" s="228">
        <f t="shared" si="146"/>
        <v>0</v>
      </c>
      <c r="O1242" s="228">
        <f t="shared" si="147"/>
        <v>0</v>
      </c>
      <c r="P1242" s="228">
        <f t="shared" si="147"/>
        <v>0</v>
      </c>
      <c r="Q1242" s="228">
        <f t="shared" si="144"/>
        <v>0</v>
      </c>
      <c r="R1242" s="343">
        <f t="shared" si="145"/>
        <v>-28</v>
      </c>
      <c r="S1242" s="240"/>
      <c r="T1242" s="201"/>
      <c r="U1242" s="201"/>
      <c r="V1242" s="201"/>
    </row>
    <row r="1243" spans="1:22" ht="30" x14ac:dyDescent="0.25">
      <c r="A1243" s="234" t="s">
        <v>3842</v>
      </c>
      <c r="B1243" s="235" t="s">
        <v>3843</v>
      </c>
      <c r="C1243" s="234" t="s">
        <v>6</v>
      </c>
      <c r="D1243" s="312">
        <v>14</v>
      </c>
      <c r="E1243" s="312"/>
      <c r="F1243" s="248"/>
      <c r="G1243" s="312"/>
      <c r="H1243" s="312"/>
      <c r="I1243" s="312"/>
      <c r="J1243" s="248">
        <f t="shared" si="141"/>
        <v>0</v>
      </c>
      <c r="K1243" s="330">
        <f t="shared" si="142"/>
        <v>-14</v>
      </c>
      <c r="L1243" s="313"/>
      <c r="M1243" s="228">
        <f t="shared" si="143"/>
        <v>0</v>
      </c>
      <c r="N1243" s="228">
        <f t="shared" si="146"/>
        <v>0</v>
      </c>
      <c r="O1243" s="228">
        <f t="shared" si="147"/>
        <v>0</v>
      </c>
      <c r="P1243" s="228">
        <f t="shared" si="147"/>
        <v>0</v>
      </c>
      <c r="Q1243" s="228">
        <f t="shared" si="144"/>
        <v>0</v>
      </c>
      <c r="R1243" s="343">
        <f t="shared" si="145"/>
        <v>-14</v>
      </c>
      <c r="S1243" s="240"/>
      <c r="T1243" s="201"/>
      <c r="U1243" s="201"/>
      <c r="V1243" s="201"/>
    </row>
    <row r="1244" spans="1:22" ht="30" x14ac:dyDescent="0.25">
      <c r="A1244" s="234" t="s">
        <v>3844</v>
      </c>
      <c r="B1244" s="235" t="s">
        <v>3845</v>
      </c>
      <c r="C1244" s="234" t="s">
        <v>6</v>
      </c>
      <c r="D1244" s="312">
        <v>76</v>
      </c>
      <c r="E1244" s="312"/>
      <c r="F1244" s="248"/>
      <c r="G1244" s="312"/>
      <c r="H1244" s="312"/>
      <c r="I1244" s="312"/>
      <c r="J1244" s="248">
        <f t="shared" si="141"/>
        <v>0</v>
      </c>
      <c r="K1244" s="330">
        <f t="shared" si="142"/>
        <v>-76</v>
      </c>
      <c r="L1244" s="313"/>
      <c r="M1244" s="228">
        <f t="shared" si="143"/>
        <v>0</v>
      </c>
      <c r="N1244" s="228">
        <f t="shared" si="146"/>
        <v>0</v>
      </c>
      <c r="O1244" s="228">
        <f t="shared" si="147"/>
        <v>0</v>
      </c>
      <c r="P1244" s="228">
        <f t="shared" si="147"/>
        <v>0</v>
      </c>
      <c r="Q1244" s="228">
        <f t="shared" si="144"/>
        <v>0</v>
      </c>
      <c r="R1244" s="343">
        <f t="shared" si="145"/>
        <v>-76</v>
      </c>
      <c r="S1244" s="240"/>
      <c r="T1244" s="201"/>
      <c r="U1244" s="201"/>
      <c r="V1244" s="201"/>
    </row>
    <row r="1245" spans="1:22" ht="30" x14ac:dyDescent="0.25">
      <c r="A1245" s="234" t="s">
        <v>3846</v>
      </c>
      <c r="B1245" s="235" t="s">
        <v>3847</v>
      </c>
      <c r="C1245" s="234" t="s">
        <v>6</v>
      </c>
      <c r="D1245" s="312">
        <v>28</v>
      </c>
      <c r="E1245" s="312"/>
      <c r="F1245" s="248"/>
      <c r="G1245" s="312"/>
      <c r="H1245" s="312"/>
      <c r="I1245" s="312"/>
      <c r="J1245" s="248">
        <f t="shared" si="141"/>
        <v>0</v>
      </c>
      <c r="K1245" s="330">
        <f t="shared" si="142"/>
        <v>-28</v>
      </c>
      <c r="L1245" s="313"/>
      <c r="M1245" s="228">
        <f t="shared" si="143"/>
        <v>0</v>
      </c>
      <c r="N1245" s="228">
        <f t="shared" si="146"/>
        <v>0</v>
      </c>
      <c r="O1245" s="228">
        <f t="shared" si="147"/>
        <v>0</v>
      </c>
      <c r="P1245" s="228">
        <f t="shared" si="147"/>
        <v>0</v>
      </c>
      <c r="Q1245" s="228">
        <f t="shared" si="144"/>
        <v>0</v>
      </c>
      <c r="R1245" s="343">
        <f t="shared" si="145"/>
        <v>-28</v>
      </c>
      <c r="S1245" s="240"/>
      <c r="T1245" s="201"/>
      <c r="U1245" s="201"/>
      <c r="V1245" s="201"/>
    </row>
    <row r="1246" spans="1:22" ht="30" x14ac:dyDescent="0.25">
      <c r="A1246" s="234" t="s">
        <v>3848</v>
      </c>
      <c r="B1246" s="235" t="s">
        <v>3849</v>
      </c>
      <c r="C1246" s="234" t="s">
        <v>6</v>
      </c>
      <c r="D1246" s="312">
        <v>28</v>
      </c>
      <c r="E1246" s="312"/>
      <c r="F1246" s="248"/>
      <c r="G1246" s="312"/>
      <c r="H1246" s="312"/>
      <c r="I1246" s="312"/>
      <c r="J1246" s="248">
        <f t="shared" si="141"/>
        <v>0</v>
      </c>
      <c r="K1246" s="330">
        <f t="shared" si="142"/>
        <v>-28</v>
      </c>
      <c r="L1246" s="313"/>
      <c r="M1246" s="228">
        <f t="shared" si="143"/>
        <v>0</v>
      </c>
      <c r="N1246" s="228">
        <f t="shared" si="146"/>
        <v>0</v>
      </c>
      <c r="O1246" s="228">
        <f t="shared" si="147"/>
        <v>0</v>
      </c>
      <c r="P1246" s="228">
        <f t="shared" si="147"/>
        <v>0</v>
      </c>
      <c r="Q1246" s="228">
        <f t="shared" si="144"/>
        <v>0</v>
      </c>
      <c r="R1246" s="343">
        <f t="shared" si="145"/>
        <v>-28</v>
      </c>
      <c r="S1246" s="240"/>
      <c r="T1246" s="201"/>
      <c r="U1246" s="201"/>
      <c r="V1246" s="201"/>
    </row>
    <row r="1247" spans="1:22" ht="15.75" x14ac:dyDescent="0.25">
      <c r="A1247" s="234" t="s">
        <v>3850</v>
      </c>
      <c r="B1247" s="235" t="s">
        <v>3851</v>
      </c>
      <c r="C1247" s="234" t="s">
        <v>9</v>
      </c>
      <c r="D1247" s="312">
        <v>1</v>
      </c>
      <c r="E1247" s="312"/>
      <c r="F1247" s="248"/>
      <c r="G1247" s="312"/>
      <c r="H1247" s="312"/>
      <c r="I1247" s="312"/>
      <c r="J1247" s="248">
        <f t="shared" si="141"/>
        <v>0</v>
      </c>
      <c r="K1247" s="330">
        <f t="shared" si="142"/>
        <v>-1</v>
      </c>
      <c r="L1247" s="313"/>
      <c r="M1247" s="228">
        <f t="shared" si="143"/>
        <v>0</v>
      </c>
      <c r="N1247" s="228">
        <f t="shared" si="146"/>
        <v>0</v>
      </c>
      <c r="O1247" s="228">
        <f t="shared" si="147"/>
        <v>0</v>
      </c>
      <c r="P1247" s="228">
        <f t="shared" si="147"/>
        <v>0</v>
      </c>
      <c r="Q1247" s="228">
        <f t="shared" si="144"/>
        <v>0</v>
      </c>
      <c r="R1247" s="343">
        <f t="shared" si="145"/>
        <v>-1</v>
      </c>
      <c r="S1247" s="240"/>
      <c r="T1247" s="201"/>
      <c r="U1247" s="201"/>
      <c r="V1247" s="201"/>
    </row>
    <row r="1248" spans="1:22" ht="15.75" x14ac:dyDescent="0.25">
      <c r="A1248" s="234" t="s">
        <v>3852</v>
      </c>
      <c r="B1248" s="235" t="s">
        <v>3853</v>
      </c>
      <c r="C1248" s="234" t="s">
        <v>3809</v>
      </c>
      <c r="D1248" s="312">
        <v>39</v>
      </c>
      <c r="E1248" s="312"/>
      <c r="F1248" s="248"/>
      <c r="G1248" s="312"/>
      <c r="H1248" s="312"/>
      <c r="I1248" s="312"/>
      <c r="J1248" s="248">
        <f t="shared" si="141"/>
        <v>0</v>
      </c>
      <c r="K1248" s="330">
        <f t="shared" si="142"/>
        <v>-39</v>
      </c>
      <c r="L1248" s="313"/>
      <c r="M1248" s="228">
        <f t="shared" si="143"/>
        <v>0</v>
      </c>
      <c r="N1248" s="228">
        <f t="shared" si="146"/>
        <v>0</v>
      </c>
      <c r="O1248" s="228">
        <f t="shared" si="147"/>
        <v>0</v>
      </c>
      <c r="P1248" s="228">
        <f t="shared" si="147"/>
        <v>0</v>
      </c>
      <c r="Q1248" s="228">
        <f t="shared" si="144"/>
        <v>0</v>
      </c>
      <c r="R1248" s="343">
        <f t="shared" si="145"/>
        <v>-39</v>
      </c>
      <c r="S1248" s="240"/>
      <c r="T1248" s="201"/>
      <c r="U1248" s="201"/>
      <c r="V1248" s="201"/>
    </row>
    <row r="1249" spans="1:22" ht="30" x14ac:dyDescent="0.25">
      <c r="A1249" s="234" t="s">
        <v>3854</v>
      </c>
      <c r="B1249" s="235" t="s">
        <v>3855</v>
      </c>
      <c r="C1249" s="234" t="s">
        <v>6</v>
      </c>
      <c r="D1249" s="312">
        <v>28</v>
      </c>
      <c r="E1249" s="312"/>
      <c r="F1249" s="248"/>
      <c r="G1249" s="312"/>
      <c r="H1249" s="312"/>
      <c r="I1249" s="312"/>
      <c r="J1249" s="248">
        <f t="shared" si="141"/>
        <v>0</v>
      </c>
      <c r="K1249" s="330">
        <f t="shared" si="142"/>
        <v>-28</v>
      </c>
      <c r="L1249" s="313"/>
      <c r="M1249" s="228">
        <f t="shared" si="143"/>
        <v>0</v>
      </c>
      <c r="N1249" s="228">
        <f t="shared" si="146"/>
        <v>0</v>
      </c>
      <c r="O1249" s="228">
        <f t="shared" si="147"/>
        <v>0</v>
      </c>
      <c r="P1249" s="228">
        <f t="shared" si="147"/>
        <v>0</v>
      </c>
      <c r="Q1249" s="228">
        <f t="shared" si="144"/>
        <v>0</v>
      </c>
      <c r="R1249" s="343">
        <f t="shared" si="145"/>
        <v>-28</v>
      </c>
      <c r="S1249" s="240"/>
      <c r="T1249" s="201"/>
      <c r="U1249" s="201"/>
      <c r="V1249" s="201"/>
    </row>
    <row r="1250" spans="1:22" ht="30" x14ac:dyDescent="0.25">
      <c r="A1250" s="234" t="s">
        <v>3856</v>
      </c>
      <c r="B1250" s="235" t="s">
        <v>3857</v>
      </c>
      <c r="C1250" s="234" t="s">
        <v>6</v>
      </c>
      <c r="D1250" s="312">
        <v>14</v>
      </c>
      <c r="E1250" s="312"/>
      <c r="F1250" s="248"/>
      <c r="G1250" s="312"/>
      <c r="H1250" s="312"/>
      <c r="I1250" s="312"/>
      <c r="J1250" s="248">
        <f t="shared" si="141"/>
        <v>0</v>
      </c>
      <c r="K1250" s="330">
        <f t="shared" si="142"/>
        <v>-14</v>
      </c>
      <c r="L1250" s="313"/>
      <c r="M1250" s="228">
        <f t="shared" si="143"/>
        <v>0</v>
      </c>
      <c r="N1250" s="228">
        <f t="shared" si="146"/>
        <v>0</v>
      </c>
      <c r="O1250" s="228">
        <f t="shared" si="147"/>
        <v>0</v>
      </c>
      <c r="P1250" s="228">
        <f t="shared" si="147"/>
        <v>0</v>
      </c>
      <c r="Q1250" s="228">
        <f t="shared" si="144"/>
        <v>0</v>
      </c>
      <c r="R1250" s="343">
        <f t="shared" si="145"/>
        <v>-14</v>
      </c>
      <c r="S1250" s="240"/>
      <c r="T1250" s="201"/>
      <c r="U1250" s="201"/>
      <c r="V1250" s="201"/>
    </row>
    <row r="1251" spans="1:22" ht="30" x14ac:dyDescent="0.25">
      <c r="A1251" s="234" t="s">
        <v>3858</v>
      </c>
      <c r="B1251" s="235" t="s">
        <v>3859</v>
      </c>
      <c r="C1251" s="234" t="s">
        <v>6</v>
      </c>
      <c r="D1251" s="312">
        <v>76</v>
      </c>
      <c r="E1251" s="312"/>
      <c r="F1251" s="248"/>
      <c r="G1251" s="312"/>
      <c r="H1251" s="312"/>
      <c r="I1251" s="312"/>
      <c r="J1251" s="248">
        <f t="shared" si="141"/>
        <v>0</v>
      </c>
      <c r="K1251" s="330">
        <f t="shared" si="142"/>
        <v>-76</v>
      </c>
      <c r="L1251" s="313"/>
      <c r="M1251" s="228">
        <f t="shared" si="143"/>
        <v>0</v>
      </c>
      <c r="N1251" s="228">
        <f t="shared" si="146"/>
        <v>0</v>
      </c>
      <c r="O1251" s="228">
        <f t="shared" si="147"/>
        <v>0</v>
      </c>
      <c r="P1251" s="228">
        <f t="shared" si="147"/>
        <v>0</v>
      </c>
      <c r="Q1251" s="228">
        <f t="shared" si="144"/>
        <v>0</v>
      </c>
      <c r="R1251" s="343">
        <f t="shared" si="145"/>
        <v>-76</v>
      </c>
      <c r="S1251" s="240"/>
      <c r="T1251" s="201"/>
      <c r="U1251" s="201"/>
      <c r="V1251" s="201"/>
    </row>
    <row r="1252" spans="1:22" ht="30" x14ac:dyDescent="0.25">
      <c r="A1252" s="234" t="s">
        <v>3860</v>
      </c>
      <c r="B1252" s="235" t="s">
        <v>3861</v>
      </c>
      <c r="C1252" s="234" t="s">
        <v>6</v>
      </c>
      <c r="D1252" s="312">
        <v>28</v>
      </c>
      <c r="E1252" s="312"/>
      <c r="F1252" s="248"/>
      <c r="G1252" s="312"/>
      <c r="H1252" s="312"/>
      <c r="I1252" s="312"/>
      <c r="J1252" s="248">
        <f t="shared" si="141"/>
        <v>0</v>
      </c>
      <c r="K1252" s="330">
        <f t="shared" si="142"/>
        <v>-28</v>
      </c>
      <c r="L1252" s="313"/>
      <c r="M1252" s="228">
        <f t="shared" si="143"/>
        <v>0</v>
      </c>
      <c r="N1252" s="228">
        <f t="shared" si="146"/>
        <v>0</v>
      </c>
      <c r="O1252" s="228">
        <f t="shared" si="147"/>
        <v>0</v>
      </c>
      <c r="P1252" s="228">
        <f t="shared" si="147"/>
        <v>0</v>
      </c>
      <c r="Q1252" s="228">
        <f t="shared" si="144"/>
        <v>0</v>
      </c>
      <c r="R1252" s="343">
        <f t="shared" si="145"/>
        <v>-28</v>
      </c>
      <c r="S1252" s="240"/>
      <c r="T1252" s="201"/>
      <c r="U1252" s="201"/>
      <c r="V1252" s="201"/>
    </row>
    <row r="1253" spans="1:22" ht="30" x14ac:dyDescent="0.25">
      <c r="A1253" s="234" t="s">
        <v>3862</v>
      </c>
      <c r="B1253" s="235" t="s">
        <v>3863</v>
      </c>
      <c r="C1253" s="234" t="s">
        <v>6</v>
      </c>
      <c r="D1253" s="312">
        <v>28</v>
      </c>
      <c r="E1253" s="312"/>
      <c r="F1253" s="248"/>
      <c r="G1253" s="312"/>
      <c r="H1253" s="312"/>
      <c r="I1253" s="312"/>
      <c r="J1253" s="248">
        <f t="shared" si="141"/>
        <v>0</v>
      </c>
      <c r="K1253" s="330">
        <f t="shared" si="142"/>
        <v>-28</v>
      </c>
      <c r="L1253" s="313"/>
      <c r="M1253" s="228">
        <f t="shared" si="143"/>
        <v>0</v>
      </c>
      <c r="N1253" s="228">
        <f t="shared" si="146"/>
        <v>0</v>
      </c>
      <c r="O1253" s="228">
        <f t="shared" si="147"/>
        <v>0</v>
      </c>
      <c r="P1253" s="228">
        <f t="shared" si="147"/>
        <v>0</v>
      </c>
      <c r="Q1253" s="228">
        <f t="shared" si="144"/>
        <v>0</v>
      </c>
      <c r="R1253" s="343">
        <f t="shared" si="145"/>
        <v>-28</v>
      </c>
      <c r="S1253" s="240"/>
      <c r="T1253" s="201"/>
      <c r="U1253" s="201"/>
      <c r="V1253" s="201"/>
    </row>
    <row r="1254" spans="1:22" ht="30" x14ac:dyDescent="0.25">
      <c r="A1254" s="234" t="s">
        <v>3864</v>
      </c>
      <c r="B1254" s="235" t="s">
        <v>3865</v>
      </c>
      <c r="C1254" s="234" t="s">
        <v>3809</v>
      </c>
      <c r="D1254" s="312">
        <v>1</v>
      </c>
      <c r="E1254" s="312"/>
      <c r="F1254" s="248"/>
      <c r="G1254" s="312"/>
      <c r="H1254" s="312"/>
      <c r="I1254" s="312"/>
      <c r="J1254" s="248">
        <f t="shared" si="141"/>
        <v>0</v>
      </c>
      <c r="K1254" s="330">
        <f t="shared" si="142"/>
        <v>-1</v>
      </c>
      <c r="L1254" s="313"/>
      <c r="M1254" s="228">
        <f t="shared" si="143"/>
        <v>0</v>
      </c>
      <c r="N1254" s="228">
        <f t="shared" si="146"/>
        <v>0</v>
      </c>
      <c r="O1254" s="228">
        <f t="shared" si="147"/>
        <v>0</v>
      </c>
      <c r="P1254" s="228">
        <f t="shared" si="147"/>
        <v>0</v>
      </c>
      <c r="Q1254" s="228">
        <f t="shared" si="144"/>
        <v>0</v>
      </c>
      <c r="R1254" s="343">
        <f t="shared" si="145"/>
        <v>-1</v>
      </c>
      <c r="S1254" s="240"/>
      <c r="T1254" s="201"/>
      <c r="U1254" s="201"/>
      <c r="V1254" s="201"/>
    </row>
    <row r="1255" spans="1:22" ht="30" x14ac:dyDescent="0.25">
      <c r="A1255" s="234" t="s">
        <v>3866</v>
      </c>
      <c r="B1255" s="235" t="s">
        <v>3867</v>
      </c>
      <c r="C1255" s="234" t="s">
        <v>3809</v>
      </c>
      <c r="D1255" s="312">
        <v>39</v>
      </c>
      <c r="E1255" s="312"/>
      <c r="F1255" s="248"/>
      <c r="G1255" s="312"/>
      <c r="H1255" s="312"/>
      <c r="I1255" s="312"/>
      <c r="J1255" s="248">
        <f t="shared" si="141"/>
        <v>0</v>
      </c>
      <c r="K1255" s="330">
        <f t="shared" si="142"/>
        <v>-39</v>
      </c>
      <c r="L1255" s="313"/>
      <c r="M1255" s="228">
        <f t="shared" si="143"/>
        <v>0</v>
      </c>
      <c r="N1255" s="228">
        <f t="shared" si="146"/>
        <v>0</v>
      </c>
      <c r="O1255" s="228">
        <f t="shared" si="147"/>
        <v>0</v>
      </c>
      <c r="P1255" s="228">
        <f t="shared" si="147"/>
        <v>0</v>
      </c>
      <c r="Q1255" s="228">
        <f t="shared" si="144"/>
        <v>0</v>
      </c>
      <c r="R1255" s="343">
        <f t="shared" si="145"/>
        <v>-39</v>
      </c>
      <c r="S1255" s="240"/>
      <c r="T1255" s="201"/>
      <c r="U1255" s="201"/>
      <c r="V1255" s="201"/>
    </row>
    <row r="1256" spans="1:22" ht="30" x14ac:dyDescent="0.25">
      <c r="A1256" s="234" t="s">
        <v>3868</v>
      </c>
      <c r="B1256" s="235" t="s">
        <v>3869</v>
      </c>
      <c r="C1256" s="234" t="s">
        <v>3809</v>
      </c>
      <c r="D1256" s="312">
        <v>268</v>
      </c>
      <c r="E1256" s="312"/>
      <c r="F1256" s="248"/>
      <c r="G1256" s="312"/>
      <c r="H1256" s="312"/>
      <c r="I1256" s="312"/>
      <c r="J1256" s="248">
        <f t="shared" si="141"/>
        <v>0</v>
      </c>
      <c r="K1256" s="330">
        <f t="shared" si="142"/>
        <v>-268</v>
      </c>
      <c r="L1256" s="313"/>
      <c r="M1256" s="228">
        <f t="shared" si="143"/>
        <v>0</v>
      </c>
      <c r="N1256" s="228">
        <f t="shared" si="146"/>
        <v>0</v>
      </c>
      <c r="O1256" s="228">
        <f t="shared" si="147"/>
        <v>0</v>
      </c>
      <c r="P1256" s="228">
        <f t="shared" si="147"/>
        <v>0</v>
      </c>
      <c r="Q1256" s="228">
        <f t="shared" si="144"/>
        <v>0</v>
      </c>
      <c r="R1256" s="343">
        <f t="shared" si="145"/>
        <v>-268</v>
      </c>
      <c r="S1256" s="240"/>
      <c r="T1256" s="201"/>
      <c r="U1256" s="201"/>
      <c r="V1256" s="201"/>
    </row>
    <row r="1257" spans="1:22" ht="30" x14ac:dyDescent="0.25">
      <c r="A1257" s="234" t="s">
        <v>3870</v>
      </c>
      <c r="B1257" s="235" t="s">
        <v>3871</v>
      </c>
      <c r="C1257" s="234" t="s">
        <v>3809</v>
      </c>
      <c r="D1257" s="312">
        <v>24</v>
      </c>
      <c r="E1257" s="312"/>
      <c r="F1257" s="248"/>
      <c r="G1257" s="312"/>
      <c r="H1257" s="312"/>
      <c r="I1257" s="312"/>
      <c r="J1257" s="248">
        <f t="shared" si="141"/>
        <v>0</v>
      </c>
      <c r="K1257" s="330">
        <f t="shared" si="142"/>
        <v>-24</v>
      </c>
      <c r="L1257" s="313"/>
      <c r="M1257" s="228">
        <f t="shared" si="143"/>
        <v>0</v>
      </c>
      <c r="N1257" s="228">
        <f t="shared" si="146"/>
        <v>0</v>
      </c>
      <c r="O1257" s="228">
        <f t="shared" si="147"/>
        <v>0</v>
      </c>
      <c r="P1257" s="228">
        <f t="shared" si="147"/>
        <v>0</v>
      </c>
      <c r="Q1257" s="228">
        <f t="shared" si="144"/>
        <v>0</v>
      </c>
      <c r="R1257" s="343">
        <f t="shared" si="145"/>
        <v>-24</v>
      </c>
      <c r="S1257" s="240"/>
      <c r="T1257" s="201"/>
      <c r="U1257" s="201"/>
      <c r="V1257" s="201"/>
    </row>
    <row r="1258" spans="1:22" ht="30" x14ac:dyDescent="0.25">
      <c r="A1258" s="234" t="s">
        <v>3872</v>
      </c>
      <c r="B1258" s="235" t="s">
        <v>3873</v>
      </c>
      <c r="C1258" s="234" t="s">
        <v>3809</v>
      </c>
      <c r="D1258" s="312">
        <v>18</v>
      </c>
      <c r="E1258" s="312"/>
      <c r="F1258" s="248"/>
      <c r="G1258" s="312"/>
      <c r="H1258" s="312"/>
      <c r="I1258" s="312"/>
      <c r="J1258" s="248">
        <f t="shared" si="141"/>
        <v>0</v>
      </c>
      <c r="K1258" s="330">
        <f t="shared" si="142"/>
        <v>-18</v>
      </c>
      <c r="L1258" s="313"/>
      <c r="M1258" s="228">
        <f t="shared" si="143"/>
        <v>0</v>
      </c>
      <c r="N1258" s="228">
        <f t="shared" si="146"/>
        <v>0</v>
      </c>
      <c r="O1258" s="228">
        <f t="shared" si="147"/>
        <v>0</v>
      </c>
      <c r="P1258" s="228">
        <f t="shared" si="147"/>
        <v>0</v>
      </c>
      <c r="Q1258" s="228">
        <f t="shared" si="144"/>
        <v>0</v>
      </c>
      <c r="R1258" s="343">
        <f t="shared" si="145"/>
        <v>-18</v>
      </c>
      <c r="S1258" s="240"/>
      <c r="T1258" s="201"/>
      <c r="U1258" s="201"/>
      <c r="V1258" s="201"/>
    </row>
    <row r="1259" spans="1:22" ht="30" x14ac:dyDescent="0.25">
      <c r="A1259" s="234" t="s">
        <v>3874</v>
      </c>
      <c r="B1259" s="235" t="s">
        <v>3875</v>
      </c>
      <c r="C1259" s="234" t="s">
        <v>3809</v>
      </c>
      <c r="D1259" s="312">
        <v>252</v>
      </c>
      <c r="E1259" s="312"/>
      <c r="F1259" s="248"/>
      <c r="G1259" s="312"/>
      <c r="H1259" s="312"/>
      <c r="I1259" s="312"/>
      <c r="J1259" s="248">
        <f t="shared" si="141"/>
        <v>0</v>
      </c>
      <c r="K1259" s="330">
        <f t="shared" si="142"/>
        <v>-252</v>
      </c>
      <c r="L1259" s="313"/>
      <c r="M1259" s="228">
        <f t="shared" si="143"/>
        <v>0</v>
      </c>
      <c r="N1259" s="228">
        <f t="shared" si="146"/>
        <v>0</v>
      </c>
      <c r="O1259" s="228">
        <f t="shared" si="147"/>
        <v>0</v>
      </c>
      <c r="P1259" s="228">
        <f t="shared" si="147"/>
        <v>0</v>
      </c>
      <c r="Q1259" s="228">
        <f t="shared" si="144"/>
        <v>0</v>
      </c>
      <c r="R1259" s="343">
        <f t="shared" si="145"/>
        <v>-252</v>
      </c>
      <c r="S1259" s="240"/>
      <c r="T1259" s="201"/>
      <c r="U1259" s="201"/>
      <c r="V1259" s="201"/>
    </row>
    <row r="1260" spans="1:22" ht="30" x14ac:dyDescent="0.25">
      <c r="A1260" s="234" t="s">
        <v>3876</v>
      </c>
      <c r="B1260" s="235" t="s">
        <v>3877</v>
      </c>
      <c r="C1260" s="234" t="s">
        <v>3809</v>
      </c>
      <c r="D1260" s="312">
        <v>23</v>
      </c>
      <c r="E1260" s="312"/>
      <c r="F1260" s="248"/>
      <c r="G1260" s="312"/>
      <c r="H1260" s="312"/>
      <c r="I1260" s="312"/>
      <c r="J1260" s="248">
        <f t="shared" si="141"/>
        <v>0</v>
      </c>
      <c r="K1260" s="330">
        <f t="shared" si="142"/>
        <v>-23</v>
      </c>
      <c r="L1260" s="313"/>
      <c r="M1260" s="228">
        <f t="shared" si="143"/>
        <v>0</v>
      </c>
      <c r="N1260" s="228">
        <f t="shared" si="146"/>
        <v>0</v>
      </c>
      <c r="O1260" s="228">
        <f t="shared" si="147"/>
        <v>0</v>
      </c>
      <c r="P1260" s="228">
        <f t="shared" si="147"/>
        <v>0</v>
      </c>
      <c r="Q1260" s="228">
        <f t="shared" si="144"/>
        <v>0</v>
      </c>
      <c r="R1260" s="343">
        <f t="shared" si="145"/>
        <v>-23</v>
      </c>
      <c r="S1260" s="240"/>
      <c r="T1260" s="201"/>
      <c r="U1260" s="201"/>
      <c r="V1260" s="201"/>
    </row>
    <row r="1261" spans="1:22" ht="45" x14ac:dyDescent="0.25">
      <c r="A1261" s="234" t="s">
        <v>3878</v>
      </c>
      <c r="B1261" s="235" t="s">
        <v>3879</v>
      </c>
      <c r="C1261" s="234" t="s">
        <v>3809</v>
      </c>
      <c r="D1261" s="312">
        <v>268</v>
      </c>
      <c r="E1261" s="312"/>
      <c r="F1261" s="248"/>
      <c r="G1261" s="312"/>
      <c r="H1261" s="312"/>
      <c r="I1261" s="312"/>
      <c r="J1261" s="248">
        <f t="shared" si="141"/>
        <v>0</v>
      </c>
      <c r="K1261" s="330">
        <f t="shared" si="142"/>
        <v>-268</v>
      </c>
      <c r="L1261" s="313"/>
      <c r="M1261" s="228">
        <f t="shared" si="143"/>
        <v>0</v>
      </c>
      <c r="N1261" s="228">
        <f t="shared" si="146"/>
        <v>0</v>
      </c>
      <c r="O1261" s="228">
        <f t="shared" si="147"/>
        <v>0</v>
      </c>
      <c r="P1261" s="228">
        <f t="shared" si="147"/>
        <v>0</v>
      </c>
      <c r="Q1261" s="228">
        <f t="shared" si="144"/>
        <v>0</v>
      </c>
      <c r="R1261" s="343">
        <f t="shared" si="145"/>
        <v>-268</v>
      </c>
      <c r="S1261" s="240"/>
      <c r="T1261" s="201"/>
      <c r="U1261" s="201"/>
      <c r="V1261" s="201"/>
    </row>
    <row r="1262" spans="1:22" ht="45" x14ac:dyDescent="0.25">
      <c r="A1262" s="234" t="s">
        <v>3880</v>
      </c>
      <c r="B1262" s="235" t="s">
        <v>3881</v>
      </c>
      <c r="C1262" s="234" t="s">
        <v>3809</v>
      </c>
      <c r="D1262" s="312">
        <v>24</v>
      </c>
      <c r="E1262" s="312"/>
      <c r="F1262" s="248"/>
      <c r="G1262" s="312"/>
      <c r="H1262" s="312"/>
      <c r="I1262" s="312"/>
      <c r="J1262" s="248">
        <f t="shared" si="141"/>
        <v>0</v>
      </c>
      <c r="K1262" s="330">
        <f t="shared" si="142"/>
        <v>-24</v>
      </c>
      <c r="L1262" s="313"/>
      <c r="M1262" s="228">
        <f t="shared" si="143"/>
        <v>0</v>
      </c>
      <c r="N1262" s="228">
        <f t="shared" si="146"/>
        <v>0</v>
      </c>
      <c r="O1262" s="228">
        <f t="shared" si="147"/>
        <v>0</v>
      </c>
      <c r="P1262" s="228">
        <f t="shared" si="147"/>
        <v>0</v>
      </c>
      <c r="Q1262" s="228">
        <f t="shared" si="144"/>
        <v>0</v>
      </c>
      <c r="R1262" s="343">
        <f t="shared" si="145"/>
        <v>-24</v>
      </c>
      <c r="S1262" s="240"/>
      <c r="T1262" s="201"/>
      <c r="U1262" s="201"/>
      <c r="V1262" s="201"/>
    </row>
    <row r="1263" spans="1:22" ht="45" x14ac:dyDescent="0.25">
      <c r="A1263" s="234" t="s">
        <v>3882</v>
      </c>
      <c r="B1263" s="235" t="s">
        <v>3883</v>
      </c>
      <c r="C1263" s="234" t="s">
        <v>3809</v>
      </c>
      <c r="D1263" s="312">
        <v>18</v>
      </c>
      <c r="E1263" s="312"/>
      <c r="F1263" s="248"/>
      <c r="G1263" s="312"/>
      <c r="H1263" s="312"/>
      <c r="I1263" s="312"/>
      <c r="J1263" s="248">
        <f t="shared" si="141"/>
        <v>0</v>
      </c>
      <c r="K1263" s="330">
        <f t="shared" si="142"/>
        <v>-18</v>
      </c>
      <c r="L1263" s="313"/>
      <c r="M1263" s="228">
        <f t="shared" si="143"/>
        <v>0</v>
      </c>
      <c r="N1263" s="228">
        <f t="shared" si="146"/>
        <v>0</v>
      </c>
      <c r="O1263" s="228">
        <f t="shared" si="147"/>
        <v>0</v>
      </c>
      <c r="P1263" s="228">
        <f t="shared" si="147"/>
        <v>0</v>
      </c>
      <c r="Q1263" s="228">
        <f t="shared" si="144"/>
        <v>0</v>
      </c>
      <c r="R1263" s="343">
        <f t="shared" si="145"/>
        <v>-18</v>
      </c>
      <c r="S1263" s="240"/>
      <c r="T1263" s="201"/>
      <c r="U1263" s="201"/>
      <c r="V1263" s="201"/>
    </row>
    <row r="1264" spans="1:22" ht="45" x14ac:dyDescent="0.25">
      <c r="A1264" s="234" t="s">
        <v>3884</v>
      </c>
      <c r="B1264" s="235" t="s">
        <v>3885</v>
      </c>
      <c r="C1264" s="234" t="s">
        <v>3809</v>
      </c>
      <c r="D1264" s="312">
        <v>2</v>
      </c>
      <c r="E1264" s="312"/>
      <c r="F1264" s="248"/>
      <c r="G1264" s="312"/>
      <c r="H1264" s="312"/>
      <c r="I1264" s="312"/>
      <c r="J1264" s="248">
        <f t="shared" si="141"/>
        <v>0</v>
      </c>
      <c r="K1264" s="330">
        <f t="shared" si="142"/>
        <v>-2</v>
      </c>
      <c r="L1264" s="313"/>
      <c r="M1264" s="228">
        <f t="shared" si="143"/>
        <v>0</v>
      </c>
      <c r="N1264" s="228">
        <f t="shared" si="146"/>
        <v>0</v>
      </c>
      <c r="O1264" s="228">
        <f t="shared" si="147"/>
        <v>0</v>
      </c>
      <c r="P1264" s="228">
        <f t="shared" si="147"/>
        <v>0</v>
      </c>
      <c r="Q1264" s="228">
        <f t="shared" si="144"/>
        <v>0</v>
      </c>
      <c r="R1264" s="343">
        <f t="shared" si="145"/>
        <v>-2</v>
      </c>
      <c r="S1264" s="240"/>
      <c r="T1264" s="201"/>
      <c r="U1264" s="201"/>
      <c r="V1264" s="201"/>
    </row>
    <row r="1265" spans="1:22" ht="45" x14ac:dyDescent="0.25">
      <c r="A1265" s="234" t="s">
        <v>3886</v>
      </c>
      <c r="B1265" s="235" t="s">
        <v>3887</v>
      </c>
      <c r="C1265" s="234" t="s">
        <v>3809</v>
      </c>
      <c r="D1265" s="312">
        <v>1</v>
      </c>
      <c r="E1265" s="312"/>
      <c r="F1265" s="248"/>
      <c r="G1265" s="312"/>
      <c r="H1265" s="312"/>
      <c r="I1265" s="312"/>
      <c r="J1265" s="248">
        <f t="shared" si="141"/>
        <v>0</v>
      </c>
      <c r="K1265" s="330">
        <f t="shared" si="142"/>
        <v>-1</v>
      </c>
      <c r="L1265" s="313"/>
      <c r="M1265" s="228">
        <f t="shared" si="143"/>
        <v>0</v>
      </c>
      <c r="N1265" s="228">
        <f t="shared" si="146"/>
        <v>0</v>
      </c>
      <c r="O1265" s="228">
        <f t="shared" si="147"/>
        <v>0</v>
      </c>
      <c r="P1265" s="228">
        <f t="shared" si="147"/>
        <v>0</v>
      </c>
      <c r="Q1265" s="228">
        <f t="shared" si="144"/>
        <v>0</v>
      </c>
      <c r="R1265" s="343">
        <f t="shared" si="145"/>
        <v>-1</v>
      </c>
      <c r="S1265" s="240"/>
      <c r="T1265" s="201"/>
      <c r="U1265" s="201"/>
      <c r="V1265" s="201"/>
    </row>
    <row r="1266" spans="1:22" ht="45" x14ac:dyDescent="0.25">
      <c r="A1266" s="234" t="s">
        <v>3888</v>
      </c>
      <c r="B1266" s="235" t="s">
        <v>3889</v>
      </c>
      <c r="C1266" s="234" t="s">
        <v>3809</v>
      </c>
      <c r="D1266" s="312">
        <v>4</v>
      </c>
      <c r="E1266" s="312"/>
      <c r="F1266" s="248"/>
      <c r="G1266" s="312"/>
      <c r="H1266" s="312"/>
      <c r="I1266" s="312"/>
      <c r="J1266" s="248">
        <f t="shared" si="141"/>
        <v>0</v>
      </c>
      <c r="K1266" s="330">
        <f t="shared" si="142"/>
        <v>-4</v>
      </c>
      <c r="L1266" s="313"/>
      <c r="M1266" s="228">
        <f t="shared" si="143"/>
        <v>0</v>
      </c>
      <c r="N1266" s="228">
        <f t="shared" si="146"/>
        <v>0</v>
      </c>
      <c r="O1266" s="228">
        <f t="shared" si="147"/>
        <v>0</v>
      </c>
      <c r="P1266" s="228">
        <f t="shared" si="147"/>
        <v>0</v>
      </c>
      <c r="Q1266" s="228">
        <f t="shared" si="144"/>
        <v>0</v>
      </c>
      <c r="R1266" s="343">
        <f t="shared" si="145"/>
        <v>-4</v>
      </c>
      <c r="S1266" s="240"/>
      <c r="T1266" s="201"/>
      <c r="U1266" s="201"/>
      <c r="V1266" s="201"/>
    </row>
    <row r="1267" spans="1:22" ht="45" x14ac:dyDescent="0.25">
      <c r="A1267" s="234" t="s">
        <v>3890</v>
      </c>
      <c r="B1267" s="235" t="s">
        <v>3891</v>
      </c>
      <c r="C1267" s="234" t="s">
        <v>3809</v>
      </c>
      <c r="D1267" s="312">
        <v>2</v>
      </c>
      <c r="E1267" s="312"/>
      <c r="F1267" s="248"/>
      <c r="G1267" s="312"/>
      <c r="H1267" s="312"/>
      <c r="I1267" s="312"/>
      <c r="J1267" s="248">
        <f t="shared" si="141"/>
        <v>0</v>
      </c>
      <c r="K1267" s="330">
        <f t="shared" si="142"/>
        <v>-2</v>
      </c>
      <c r="L1267" s="313"/>
      <c r="M1267" s="228">
        <f t="shared" si="143"/>
        <v>0</v>
      </c>
      <c r="N1267" s="228">
        <f t="shared" si="146"/>
        <v>0</v>
      </c>
      <c r="O1267" s="228">
        <f t="shared" si="147"/>
        <v>0</v>
      </c>
      <c r="P1267" s="228">
        <f t="shared" si="147"/>
        <v>0</v>
      </c>
      <c r="Q1267" s="228">
        <f t="shared" si="144"/>
        <v>0</v>
      </c>
      <c r="R1267" s="343">
        <f t="shared" si="145"/>
        <v>-2</v>
      </c>
      <c r="S1267" s="240"/>
      <c r="T1267" s="201"/>
      <c r="U1267" s="201"/>
      <c r="V1267" s="201"/>
    </row>
    <row r="1268" spans="1:22" ht="45" x14ac:dyDescent="0.25">
      <c r="A1268" s="234" t="s">
        <v>3892</v>
      </c>
      <c r="B1268" s="235" t="s">
        <v>3893</v>
      </c>
      <c r="C1268" s="234" t="s">
        <v>3809</v>
      </c>
      <c r="D1268" s="312">
        <v>1</v>
      </c>
      <c r="E1268" s="312"/>
      <c r="F1268" s="248"/>
      <c r="G1268" s="312"/>
      <c r="H1268" s="312"/>
      <c r="I1268" s="312"/>
      <c r="J1268" s="248">
        <f t="shared" si="141"/>
        <v>0</v>
      </c>
      <c r="K1268" s="330">
        <f t="shared" si="142"/>
        <v>-1</v>
      </c>
      <c r="L1268" s="313"/>
      <c r="M1268" s="228">
        <f t="shared" si="143"/>
        <v>0</v>
      </c>
      <c r="N1268" s="228">
        <f t="shared" si="146"/>
        <v>0</v>
      </c>
      <c r="O1268" s="228">
        <f t="shared" si="147"/>
        <v>0</v>
      </c>
      <c r="P1268" s="228">
        <f t="shared" si="147"/>
        <v>0</v>
      </c>
      <c r="Q1268" s="228">
        <f t="shared" si="144"/>
        <v>0</v>
      </c>
      <c r="R1268" s="343">
        <f t="shared" si="145"/>
        <v>-1</v>
      </c>
      <c r="S1268" s="240"/>
      <c r="T1268" s="201"/>
      <c r="U1268" s="201"/>
      <c r="V1268" s="201"/>
    </row>
    <row r="1269" spans="1:22" ht="45" x14ac:dyDescent="0.25">
      <c r="A1269" s="234" t="s">
        <v>3894</v>
      </c>
      <c r="B1269" s="235" t="s">
        <v>3895</v>
      </c>
      <c r="C1269" s="234" t="s">
        <v>3809</v>
      </c>
      <c r="D1269" s="312">
        <v>3</v>
      </c>
      <c r="E1269" s="312"/>
      <c r="F1269" s="248"/>
      <c r="G1269" s="312"/>
      <c r="H1269" s="312"/>
      <c r="I1269" s="312"/>
      <c r="J1269" s="248">
        <f t="shared" si="141"/>
        <v>0</v>
      </c>
      <c r="K1269" s="330">
        <f t="shared" si="142"/>
        <v>-3</v>
      </c>
      <c r="L1269" s="313"/>
      <c r="M1269" s="228">
        <f t="shared" si="143"/>
        <v>0</v>
      </c>
      <c r="N1269" s="228">
        <f t="shared" si="146"/>
        <v>0</v>
      </c>
      <c r="O1269" s="228">
        <f t="shared" si="147"/>
        <v>0</v>
      </c>
      <c r="P1269" s="228">
        <f t="shared" si="147"/>
        <v>0</v>
      </c>
      <c r="Q1269" s="228">
        <f t="shared" si="144"/>
        <v>0</v>
      </c>
      <c r="R1269" s="343">
        <f t="shared" si="145"/>
        <v>-3</v>
      </c>
      <c r="S1269" s="240"/>
      <c r="T1269" s="201"/>
      <c r="U1269" s="201"/>
      <c r="V1269" s="201"/>
    </row>
    <row r="1270" spans="1:22" ht="45" x14ac:dyDescent="0.25">
      <c r="A1270" s="234" t="s">
        <v>3896</v>
      </c>
      <c r="B1270" s="235" t="s">
        <v>3897</v>
      </c>
      <c r="C1270" s="234" t="s">
        <v>3809</v>
      </c>
      <c r="D1270" s="312">
        <v>1</v>
      </c>
      <c r="E1270" s="312"/>
      <c r="F1270" s="248"/>
      <c r="G1270" s="312"/>
      <c r="H1270" s="312"/>
      <c r="I1270" s="312"/>
      <c r="J1270" s="248">
        <f t="shared" si="141"/>
        <v>0</v>
      </c>
      <c r="K1270" s="330">
        <f t="shared" si="142"/>
        <v>-1</v>
      </c>
      <c r="L1270" s="313"/>
      <c r="M1270" s="228">
        <f t="shared" si="143"/>
        <v>0</v>
      </c>
      <c r="N1270" s="228">
        <f t="shared" si="146"/>
        <v>0</v>
      </c>
      <c r="O1270" s="228">
        <f t="shared" si="147"/>
        <v>0</v>
      </c>
      <c r="P1270" s="228">
        <f t="shared" si="147"/>
        <v>0</v>
      </c>
      <c r="Q1270" s="228">
        <f t="shared" si="144"/>
        <v>0</v>
      </c>
      <c r="R1270" s="343">
        <f t="shared" si="145"/>
        <v>-1</v>
      </c>
      <c r="S1270" s="240"/>
      <c r="T1270" s="201"/>
      <c r="U1270" s="201"/>
      <c r="V1270" s="201"/>
    </row>
    <row r="1271" spans="1:22" ht="45" x14ac:dyDescent="0.25">
      <c r="A1271" s="234" t="s">
        <v>3898</v>
      </c>
      <c r="B1271" s="235" t="s">
        <v>3899</v>
      </c>
      <c r="C1271" s="234" t="s">
        <v>3809</v>
      </c>
      <c r="D1271" s="312">
        <v>2</v>
      </c>
      <c r="E1271" s="312"/>
      <c r="F1271" s="248"/>
      <c r="G1271" s="312"/>
      <c r="H1271" s="312"/>
      <c r="I1271" s="312"/>
      <c r="J1271" s="248">
        <f t="shared" si="141"/>
        <v>0</v>
      </c>
      <c r="K1271" s="330">
        <f t="shared" si="142"/>
        <v>-2</v>
      </c>
      <c r="L1271" s="313"/>
      <c r="M1271" s="228">
        <f t="shared" si="143"/>
        <v>0</v>
      </c>
      <c r="N1271" s="228">
        <f t="shared" si="146"/>
        <v>0</v>
      </c>
      <c r="O1271" s="228">
        <f t="shared" si="147"/>
        <v>0</v>
      </c>
      <c r="P1271" s="228">
        <f t="shared" si="147"/>
        <v>0</v>
      </c>
      <c r="Q1271" s="228">
        <f t="shared" si="144"/>
        <v>0</v>
      </c>
      <c r="R1271" s="343">
        <f t="shared" si="145"/>
        <v>-2</v>
      </c>
      <c r="S1271" s="240"/>
      <c r="T1271" s="201"/>
      <c r="U1271" s="201"/>
      <c r="V1271" s="201"/>
    </row>
    <row r="1272" spans="1:22" ht="45" x14ac:dyDescent="0.25">
      <c r="A1272" s="234" t="s">
        <v>3900</v>
      </c>
      <c r="B1272" s="235" t="s">
        <v>3901</v>
      </c>
      <c r="C1272" s="234" t="s">
        <v>6</v>
      </c>
      <c r="D1272" s="312">
        <v>1</v>
      </c>
      <c r="E1272" s="312"/>
      <c r="F1272" s="248"/>
      <c r="G1272" s="312"/>
      <c r="H1272" s="312"/>
      <c r="I1272" s="312"/>
      <c r="J1272" s="248">
        <f t="shared" si="141"/>
        <v>0</v>
      </c>
      <c r="K1272" s="330">
        <f t="shared" si="142"/>
        <v>-1</v>
      </c>
      <c r="L1272" s="313"/>
      <c r="M1272" s="228">
        <f t="shared" si="143"/>
        <v>0</v>
      </c>
      <c r="N1272" s="228">
        <f t="shared" si="146"/>
        <v>0</v>
      </c>
      <c r="O1272" s="228">
        <f t="shared" si="147"/>
        <v>0</v>
      </c>
      <c r="P1272" s="228">
        <f t="shared" si="147"/>
        <v>0</v>
      </c>
      <c r="Q1272" s="228">
        <f t="shared" si="144"/>
        <v>0</v>
      </c>
      <c r="R1272" s="343">
        <f t="shared" si="145"/>
        <v>-1</v>
      </c>
      <c r="S1272" s="240"/>
      <c r="T1272" s="201"/>
      <c r="U1272" s="201"/>
      <c r="V1272" s="201"/>
    </row>
    <row r="1273" spans="1:22" ht="15.75" x14ac:dyDescent="0.25">
      <c r="A1273" s="234" t="s">
        <v>3902</v>
      </c>
      <c r="B1273" s="235" t="s">
        <v>3903</v>
      </c>
      <c r="C1273" s="234" t="s">
        <v>9</v>
      </c>
      <c r="D1273" s="312">
        <v>31</v>
      </c>
      <c r="E1273" s="312"/>
      <c r="F1273" s="248"/>
      <c r="G1273" s="312"/>
      <c r="H1273" s="312"/>
      <c r="I1273" s="312"/>
      <c r="J1273" s="248">
        <f t="shared" si="141"/>
        <v>0</v>
      </c>
      <c r="K1273" s="330">
        <f t="shared" si="142"/>
        <v>-31</v>
      </c>
      <c r="L1273" s="313"/>
      <c r="M1273" s="228">
        <f t="shared" si="143"/>
        <v>0</v>
      </c>
      <c r="N1273" s="228">
        <f t="shared" si="146"/>
        <v>0</v>
      </c>
      <c r="O1273" s="228">
        <f t="shared" si="147"/>
        <v>0</v>
      </c>
      <c r="P1273" s="228">
        <f t="shared" si="147"/>
        <v>0</v>
      </c>
      <c r="Q1273" s="228">
        <f t="shared" si="144"/>
        <v>0</v>
      </c>
      <c r="R1273" s="343">
        <f t="shared" si="145"/>
        <v>-31</v>
      </c>
      <c r="S1273" s="240"/>
      <c r="T1273" s="201"/>
      <c r="U1273" s="201"/>
      <c r="V1273" s="201"/>
    </row>
    <row r="1274" spans="1:22" ht="15.75" x14ac:dyDescent="0.25">
      <c r="A1274" s="234" t="s">
        <v>3904</v>
      </c>
      <c r="B1274" s="235" t="s">
        <v>3905</v>
      </c>
      <c r="C1274" s="234" t="s">
        <v>9</v>
      </c>
      <c r="D1274" s="312">
        <v>7</v>
      </c>
      <c r="E1274" s="312"/>
      <c r="F1274" s="248"/>
      <c r="G1274" s="312"/>
      <c r="H1274" s="312"/>
      <c r="I1274" s="312"/>
      <c r="J1274" s="248">
        <f t="shared" ref="J1274:J1337" si="148">F1274+G1274+H1274+I1274</f>
        <v>0</v>
      </c>
      <c r="K1274" s="330">
        <f t="shared" ref="K1274:K1337" si="149">J1274-D1274</f>
        <v>-7</v>
      </c>
      <c r="L1274" s="313"/>
      <c r="M1274" s="228">
        <f t="shared" ref="M1274:M1337" si="150">F1274</f>
        <v>0</v>
      </c>
      <c r="N1274" s="228">
        <f t="shared" si="146"/>
        <v>0</v>
      </c>
      <c r="O1274" s="228">
        <f t="shared" si="147"/>
        <v>0</v>
      </c>
      <c r="P1274" s="228">
        <f t="shared" si="147"/>
        <v>0</v>
      </c>
      <c r="Q1274" s="228">
        <f t="shared" ref="Q1274:Q1337" si="151">M1274+N1274+O1274+P1274</f>
        <v>0</v>
      </c>
      <c r="R1274" s="343">
        <f t="shared" ref="R1274:R1337" si="152">Q1274-D1274</f>
        <v>-7</v>
      </c>
      <c r="S1274" s="240"/>
      <c r="T1274" s="201"/>
      <c r="U1274" s="201"/>
      <c r="V1274" s="201"/>
    </row>
    <row r="1275" spans="1:22" ht="15.75" x14ac:dyDescent="0.25">
      <c r="A1275" s="234" t="s">
        <v>3906</v>
      </c>
      <c r="B1275" s="235" t="s">
        <v>3907</v>
      </c>
      <c r="C1275" s="234" t="s">
        <v>9</v>
      </c>
      <c r="D1275" s="312">
        <v>36</v>
      </c>
      <c r="E1275" s="312"/>
      <c r="F1275" s="248"/>
      <c r="G1275" s="312"/>
      <c r="H1275" s="312"/>
      <c r="I1275" s="312"/>
      <c r="J1275" s="248">
        <f t="shared" si="148"/>
        <v>0</v>
      </c>
      <c r="K1275" s="330">
        <f t="shared" si="149"/>
        <v>-36</v>
      </c>
      <c r="L1275" s="313"/>
      <c r="M1275" s="228">
        <f t="shared" si="150"/>
        <v>0</v>
      </c>
      <c r="N1275" s="228">
        <f t="shared" si="146"/>
        <v>0</v>
      </c>
      <c r="O1275" s="228">
        <f t="shared" si="147"/>
        <v>0</v>
      </c>
      <c r="P1275" s="228">
        <f t="shared" si="147"/>
        <v>0</v>
      </c>
      <c r="Q1275" s="228">
        <f t="shared" si="151"/>
        <v>0</v>
      </c>
      <c r="R1275" s="343">
        <f t="shared" si="152"/>
        <v>-36</v>
      </c>
      <c r="S1275" s="240"/>
      <c r="T1275" s="201"/>
      <c r="U1275" s="201"/>
      <c r="V1275" s="201"/>
    </row>
    <row r="1276" spans="1:22" ht="15.75" x14ac:dyDescent="0.25">
      <c r="A1276" s="234" t="s">
        <v>3908</v>
      </c>
      <c r="B1276" s="235" t="s">
        <v>3909</v>
      </c>
      <c r="C1276" s="234" t="s">
        <v>9</v>
      </c>
      <c r="D1276" s="312">
        <v>10</v>
      </c>
      <c r="E1276" s="312"/>
      <c r="F1276" s="248"/>
      <c r="G1276" s="312"/>
      <c r="H1276" s="312"/>
      <c r="I1276" s="312"/>
      <c r="J1276" s="248">
        <f t="shared" si="148"/>
        <v>0</v>
      </c>
      <c r="K1276" s="330">
        <f t="shared" si="149"/>
        <v>-10</v>
      </c>
      <c r="L1276" s="313"/>
      <c r="M1276" s="228">
        <f t="shared" si="150"/>
        <v>0</v>
      </c>
      <c r="N1276" s="228">
        <f t="shared" si="146"/>
        <v>0</v>
      </c>
      <c r="O1276" s="228">
        <f t="shared" si="147"/>
        <v>0</v>
      </c>
      <c r="P1276" s="228">
        <f t="shared" si="147"/>
        <v>0</v>
      </c>
      <c r="Q1276" s="228">
        <f t="shared" si="151"/>
        <v>0</v>
      </c>
      <c r="R1276" s="343">
        <f t="shared" si="152"/>
        <v>-10</v>
      </c>
      <c r="S1276" s="240"/>
      <c r="T1276" s="201"/>
      <c r="U1276" s="201"/>
      <c r="V1276" s="201"/>
    </row>
    <row r="1277" spans="1:22" ht="15.75" x14ac:dyDescent="0.25">
      <c r="A1277" s="234" t="s">
        <v>3910</v>
      </c>
      <c r="B1277" s="235" t="s">
        <v>3911</v>
      </c>
      <c r="C1277" s="234" t="s">
        <v>9</v>
      </c>
      <c r="D1277" s="312">
        <v>1</v>
      </c>
      <c r="E1277" s="312"/>
      <c r="F1277" s="248"/>
      <c r="G1277" s="312"/>
      <c r="H1277" s="312"/>
      <c r="I1277" s="312"/>
      <c r="J1277" s="248">
        <f t="shared" si="148"/>
        <v>0</v>
      </c>
      <c r="K1277" s="330">
        <f t="shared" si="149"/>
        <v>-1</v>
      </c>
      <c r="L1277" s="313"/>
      <c r="M1277" s="228">
        <f t="shared" si="150"/>
        <v>0</v>
      </c>
      <c r="N1277" s="228">
        <f t="shared" si="146"/>
        <v>0</v>
      </c>
      <c r="O1277" s="228">
        <f t="shared" si="147"/>
        <v>0</v>
      </c>
      <c r="P1277" s="228">
        <f t="shared" si="147"/>
        <v>0</v>
      </c>
      <c r="Q1277" s="228">
        <f t="shared" si="151"/>
        <v>0</v>
      </c>
      <c r="R1277" s="343">
        <f t="shared" si="152"/>
        <v>-1</v>
      </c>
      <c r="S1277" s="240"/>
      <c r="T1277" s="201"/>
      <c r="U1277" s="201"/>
      <c r="V1277" s="201"/>
    </row>
    <row r="1278" spans="1:22" ht="15.75" x14ac:dyDescent="0.25">
      <c r="A1278" s="234" t="s">
        <v>3912</v>
      </c>
      <c r="B1278" s="235" t="s">
        <v>3913</v>
      </c>
      <c r="C1278" s="234" t="s">
        <v>9</v>
      </c>
      <c r="D1278" s="312">
        <v>4</v>
      </c>
      <c r="E1278" s="312"/>
      <c r="F1278" s="248"/>
      <c r="G1278" s="312"/>
      <c r="H1278" s="312"/>
      <c r="I1278" s="312"/>
      <c r="J1278" s="248">
        <f t="shared" si="148"/>
        <v>0</v>
      </c>
      <c r="K1278" s="330">
        <f t="shared" si="149"/>
        <v>-4</v>
      </c>
      <c r="L1278" s="313"/>
      <c r="M1278" s="228">
        <f t="shared" si="150"/>
        <v>0</v>
      </c>
      <c r="N1278" s="228">
        <f t="shared" si="146"/>
        <v>0</v>
      </c>
      <c r="O1278" s="228">
        <f t="shared" si="147"/>
        <v>0</v>
      </c>
      <c r="P1278" s="228">
        <f t="shared" si="147"/>
        <v>0</v>
      </c>
      <c r="Q1278" s="228">
        <f t="shared" si="151"/>
        <v>0</v>
      </c>
      <c r="R1278" s="343">
        <f t="shared" si="152"/>
        <v>-4</v>
      </c>
      <c r="S1278" s="240"/>
      <c r="T1278" s="201"/>
      <c r="U1278" s="201"/>
      <c r="V1278" s="201"/>
    </row>
    <row r="1279" spans="1:22" ht="15.75" x14ac:dyDescent="0.25">
      <c r="A1279" s="234" t="s">
        <v>3914</v>
      </c>
      <c r="B1279" s="235" t="s">
        <v>3915</v>
      </c>
      <c r="C1279" s="234" t="s">
        <v>9</v>
      </c>
      <c r="D1279" s="312">
        <v>3</v>
      </c>
      <c r="E1279" s="312"/>
      <c r="F1279" s="248"/>
      <c r="G1279" s="312"/>
      <c r="H1279" s="312"/>
      <c r="I1279" s="312"/>
      <c r="J1279" s="248">
        <f t="shared" si="148"/>
        <v>0</v>
      </c>
      <c r="K1279" s="330">
        <f t="shared" si="149"/>
        <v>-3</v>
      </c>
      <c r="L1279" s="313"/>
      <c r="M1279" s="228">
        <f t="shared" si="150"/>
        <v>0</v>
      </c>
      <c r="N1279" s="228">
        <f t="shared" si="146"/>
        <v>0</v>
      </c>
      <c r="O1279" s="228">
        <f t="shared" si="147"/>
        <v>0</v>
      </c>
      <c r="P1279" s="228">
        <f t="shared" si="147"/>
        <v>0</v>
      </c>
      <c r="Q1279" s="228">
        <f t="shared" si="151"/>
        <v>0</v>
      </c>
      <c r="R1279" s="343">
        <f t="shared" si="152"/>
        <v>-3</v>
      </c>
      <c r="S1279" s="240"/>
      <c r="T1279" s="201"/>
      <c r="U1279" s="201"/>
      <c r="V1279" s="201"/>
    </row>
    <row r="1280" spans="1:22" ht="30" x14ac:dyDescent="0.25">
      <c r="A1280" s="234" t="s">
        <v>3916</v>
      </c>
      <c r="B1280" s="235" t="s">
        <v>3917</v>
      </c>
      <c r="C1280" s="234" t="s">
        <v>9</v>
      </c>
      <c r="D1280" s="312">
        <v>49</v>
      </c>
      <c r="E1280" s="312"/>
      <c r="F1280" s="248"/>
      <c r="G1280" s="312"/>
      <c r="H1280" s="312"/>
      <c r="I1280" s="312"/>
      <c r="J1280" s="248">
        <f t="shared" si="148"/>
        <v>0</v>
      </c>
      <c r="K1280" s="330">
        <f t="shared" si="149"/>
        <v>-49</v>
      </c>
      <c r="L1280" s="313"/>
      <c r="M1280" s="228">
        <f t="shared" si="150"/>
        <v>0</v>
      </c>
      <c r="N1280" s="228">
        <f t="shared" si="146"/>
        <v>0</v>
      </c>
      <c r="O1280" s="228">
        <f t="shared" si="147"/>
        <v>0</v>
      </c>
      <c r="P1280" s="228">
        <f t="shared" si="147"/>
        <v>0</v>
      </c>
      <c r="Q1280" s="228">
        <f t="shared" si="151"/>
        <v>0</v>
      </c>
      <c r="R1280" s="343">
        <f t="shared" si="152"/>
        <v>-49</v>
      </c>
      <c r="S1280" s="240"/>
      <c r="T1280" s="201"/>
      <c r="U1280" s="201"/>
      <c r="V1280" s="201"/>
    </row>
    <row r="1281" spans="1:22" ht="30" x14ac:dyDescent="0.25">
      <c r="A1281" s="234" t="s">
        <v>3918</v>
      </c>
      <c r="B1281" s="235" t="s">
        <v>3919</v>
      </c>
      <c r="C1281" s="234" t="s">
        <v>9</v>
      </c>
      <c r="D1281" s="312">
        <v>196</v>
      </c>
      <c r="E1281" s="312"/>
      <c r="F1281" s="248"/>
      <c r="G1281" s="312"/>
      <c r="H1281" s="312"/>
      <c r="I1281" s="312"/>
      <c r="J1281" s="248">
        <f t="shared" si="148"/>
        <v>0</v>
      </c>
      <c r="K1281" s="330">
        <f t="shared" si="149"/>
        <v>-196</v>
      </c>
      <c r="L1281" s="313"/>
      <c r="M1281" s="228">
        <f t="shared" si="150"/>
        <v>0</v>
      </c>
      <c r="N1281" s="228">
        <f t="shared" si="146"/>
        <v>0</v>
      </c>
      <c r="O1281" s="228">
        <f t="shared" si="147"/>
        <v>0</v>
      </c>
      <c r="P1281" s="228">
        <f t="shared" si="147"/>
        <v>0</v>
      </c>
      <c r="Q1281" s="228">
        <f t="shared" si="151"/>
        <v>0</v>
      </c>
      <c r="R1281" s="343">
        <f t="shared" si="152"/>
        <v>-196</v>
      </c>
      <c r="S1281" s="240"/>
      <c r="T1281" s="201"/>
      <c r="U1281" s="201"/>
      <c r="V1281" s="201"/>
    </row>
    <row r="1282" spans="1:22" ht="30" x14ac:dyDescent="0.25">
      <c r="A1282" s="234" t="s">
        <v>3920</v>
      </c>
      <c r="B1282" s="235" t="s">
        <v>3921</v>
      </c>
      <c r="C1282" s="234" t="s">
        <v>9</v>
      </c>
      <c r="D1282" s="312">
        <v>2</v>
      </c>
      <c r="E1282" s="312"/>
      <c r="F1282" s="248"/>
      <c r="G1282" s="312"/>
      <c r="H1282" s="312"/>
      <c r="I1282" s="312"/>
      <c r="J1282" s="248">
        <f t="shared" si="148"/>
        <v>0</v>
      </c>
      <c r="K1282" s="330">
        <f t="shared" si="149"/>
        <v>-2</v>
      </c>
      <c r="L1282" s="313"/>
      <c r="M1282" s="228">
        <f t="shared" si="150"/>
        <v>0</v>
      </c>
      <c r="N1282" s="228">
        <f t="shared" si="146"/>
        <v>0</v>
      </c>
      <c r="O1282" s="228">
        <f t="shared" si="147"/>
        <v>0</v>
      </c>
      <c r="P1282" s="228">
        <f t="shared" si="147"/>
        <v>0</v>
      </c>
      <c r="Q1282" s="228">
        <f t="shared" si="151"/>
        <v>0</v>
      </c>
      <c r="R1282" s="343">
        <f t="shared" si="152"/>
        <v>-2</v>
      </c>
      <c r="S1282" s="240"/>
      <c r="T1282" s="201"/>
      <c r="U1282" s="201"/>
      <c r="V1282" s="201"/>
    </row>
    <row r="1283" spans="1:22" ht="45" x14ac:dyDescent="0.25">
      <c r="A1283" s="234" t="s">
        <v>3922</v>
      </c>
      <c r="B1283" s="235" t="s">
        <v>3923</v>
      </c>
      <c r="C1283" s="234" t="s">
        <v>9</v>
      </c>
      <c r="D1283" s="312">
        <v>8</v>
      </c>
      <c r="E1283" s="312"/>
      <c r="F1283" s="248"/>
      <c r="G1283" s="312"/>
      <c r="H1283" s="312"/>
      <c r="I1283" s="312"/>
      <c r="J1283" s="248">
        <f t="shared" si="148"/>
        <v>0</v>
      </c>
      <c r="K1283" s="330">
        <f t="shared" si="149"/>
        <v>-8</v>
      </c>
      <c r="L1283" s="313"/>
      <c r="M1283" s="228">
        <f t="shared" si="150"/>
        <v>0</v>
      </c>
      <c r="N1283" s="228">
        <f t="shared" si="146"/>
        <v>0</v>
      </c>
      <c r="O1283" s="228">
        <f t="shared" si="147"/>
        <v>0</v>
      </c>
      <c r="P1283" s="228">
        <f t="shared" si="147"/>
        <v>0</v>
      </c>
      <c r="Q1283" s="228">
        <f t="shared" si="151"/>
        <v>0</v>
      </c>
      <c r="R1283" s="343">
        <f t="shared" si="152"/>
        <v>-8</v>
      </c>
      <c r="S1283" s="240"/>
      <c r="T1283" s="201"/>
      <c r="U1283" s="201"/>
      <c r="V1283" s="201"/>
    </row>
    <row r="1284" spans="1:22" ht="45" x14ac:dyDescent="0.25">
      <c r="A1284" s="234" t="s">
        <v>3924</v>
      </c>
      <c r="B1284" s="235" t="s">
        <v>3925</v>
      </c>
      <c r="C1284" s="234" t="s">
        <v>9</v>
      </c>
      <c r="D1284" s="312">
        <v>2</v>
      </c>
      <c r="E1284" s="312"/>
      <c r="F1284" s="248"/>
      <c r="G1284" s="312"/>
      <c r="H1284" s="312"/>
      <c r="I1284" s="312"/>
      <c r="J1284" s="248">
        <f t="shared" si="148"/>
        <v>0</v>
      </c>
      <c r="K1284" s="330">
        <f t="shared" si="149"/>
        <v>-2</v>
      </c>
      <c r="L1284" s="313"/>
      <c r="M1284" s="228">
        <f t="shared" si="150"/>
        <v>0</v>
      </c>
      <c r="N1284" s="228">
        <f t="shared" si="146"/>
        <v>0</v>
      </c>
      <c r="O1284" s="228">
        <f t="shared" si="147"/>
        <v>0</v>
      </c>
      <c r="P1284" s="228">
        <f t="shared" si="147"/>
        <v>0</v>
      </c>
      <c r="Q1284" s="228">
        <f t="shared" si="151"/>
        <v>0</v>
      </c>
      <c r="R1284" s="343">
        <f t="shared" si="152"/>
        <v>-2</v>
      </c>
      <c r="S1284" s="240"/>
      <c r="T1284" s="201"/>
      <c r="U1284" s="201"/>
      <c r="V1284" s="201"/>
    </row>
    <row r="1285" spans="1:22" ht="45" x14ac:dyDescent="0.25">
      <c r="A1285" s="234" t="s">
        <v>3926</v>
      </c>
      <c r="B1285" s="235" t="s">
        <v>3927</v>
      </c>
      <c r="C1285" s="234" t="s">
        <v>9</v>
      </c>
      <c r="D1285" s="312">
        <v>2</v>
      </c>
      <c r="E1285" s="312"/>
      <c r="F1285" s="248"/>
      <c r="G1285" s="312"/>
      <c r="H1285" s="312"/>
      <c r="I1285" s="312"/>
      <c r="J1285" s="248">
        <f t="shared" si="148"/>
        <v>0</v>
      </c>
      <c r="K1285" s="330">
        <f t="shared" si="149"/>
        <v>-2</v>
      </c>
      <c r="L1285" s="313"/>
      <c r="M1285" s="228">
        <f t="shared" si="150"/>
        <v>0</v>
      </c>
      <c r="N1285" s="228">
        <f t="shared" si="146"/>
        <v>0</v>
      </c>
      <c r="O1285" s="228">
        <f t="shared" si="147"/>
        <v>0</v>
      </c>
      <c r="P1285" s="228">
        <f t="shared" si="147"/>
        <v>0</v>
      </c>
      <c r="Q1285" s="228">
        <f t="shared" si="151"/>
        <v>0</v>
      </c>
      <c r="R1285" s="343">
        <f t="shared" si="152"/>
        <v>-2</v>
      </c>
      <c r="S1285" s="240"/>
      <c r="T1285" s="201"/>
      <c r="U1285" s="201"/>
      <c r="V1285" s="201"/>
    </row>
    <row r="1286" spans="1:22" ht="45" x14ac:dyDescent="0.25">
      <c r="A1286" s="234" t="s">
        <v>3928</v>
      </c>
      <c r="B1286" s="235" t="s">
        <v>3929</v>
      </c>
      <c r="C1286" s="234" t="s">
        <v>9</v>
      </c>
      <c r="D1286" s="312">
        <v>1</v>
      </c>
      <c r="E1286" s="312"/>
      <c r="F1286" s="248"/>
      <c r="G1286" s="312"/>
      <c r="H1286" s="312"/>
      <c r="I1286" s="312"/>
      <c r="J1286" s="248">
        <f t="shared" si="148"/>
        <v>0</v>
      </c>
      <c r="K1286" s="330">
        <f t="shared" si="149"/>
        <v>-1</v>
      </c>
      <c r="L1286" s="313"/>
      <c r="M1286" s="228">
        <f t="shared" si="150"/>
        <v>0</v>
      </c>
      <c r="N1286" s="228">
        <f t="shared" si="146"/>
        <v>0</v>
      </c>
      <c r="O1286" s="228">
        <f t="shared" si="147"/>
        <v>0</v>
      </c>
      <c r="P1286" s="228">
        <f t="shared" si="147"/>
        <v>0</v>
      </c>
      <c r="Q1286" s="228">
        <f t="shared" si="151"/>
        <v>0</v>
      </c>
      <c r="R1286" s="343">
        <f t="shared" si="152"/>
        <v>-1</v>
      </c>
      <c r="S1286" s="240"/>
      <c r="T1286" s="201"/>
      <c r="U1286" s="201"/>
      <c r="V1286" s="201"/>
    </row>
    <row r="1287" spans="1:22" ht="45" x14ac:dyDescent="0.25">
      <c r="A1287" s="234" t="s">
        <v>3930</v>
      </c>
      <c r="B1287" s="235" t="s">
        <v>3931</v>
      </c>
      <c r="C1287" s="234" t="s">
        <v>9</v>
      </c>
      <c r="D1287" s="312">
        <v>4</v>
      </c>
      <c r="E1287" s="312"/>
      <c r="F1287" s="248"/>
      <c r="G1287" s="312"/>
      <c r="H1287" s="312"/>
      <c r="I1287" s="312"/>
      <c r="J1287" s="248">
        <f t="shared" si="148"/>
        <v>0</v>
      </c>
      <c r="K1287" s="330">
        <f t="shared" si="149"/>
        <v>-4</v>
      </c>
      <c r="L1287" s="313"/>
      <c r="M1287" s="228">
        <f t="shared" si="150"/>
        <v>0</v>
      </c>
      <c r="N1287" s="228">
        <f t="shared" si="146"/>
        <v>0</v>
      </c>
      <c r="O1287" s="228">
        <f t="shared" si="147"/>
        <v>0</v>
      </c>
      <c r="P1287" s="228">
        <f t="shared" si="147"/>
        <v>0</v>
      </c>
      <c r="Q1287" s="228">
        <f t="shared" si="151"/>
        <v>0</v>
      </c>
      <c r="R1287" s="343">
        <f t="shared" si="152"/>
        <v>-4</v>
      </c>
      <c r="S1287" s="240"/>
      <c r="T1287" s="201"/>
      <c r="U1287" s="201"/>
      <c r="V1287" s="201"/>
    </row>
    <row r="1288" spans="1:22" ht="45" x14ac:dyDescent="0.25">
      <c r="A1288" s="234" t="s">
        <v>3932</v>
      </c>
      <c r="B1288" s="235" t="s">
        <v>3933</v>
      </c>
      <c r="C1288" s="234" t="s">
        <v>9</v>
      </c>
      <c r="D1288" s="312">
        <v>2</v>
      </c>
      <c r="E1288" s="312"/>
      <c r="F1288" s="248"/>
      <c r="G1288" s="312"/>
      <c r="H1288" s="312"/>
      <c r="I1288" s="312"/>
      <c r="J1288" s="248">
        <f t="shared" si="148"/>
        <v>0</v>
      </c>
      <c r="K1288" s="330">
        <f t="shared" si="149"/>
        <v>-2</v>
      </c>
      <c r="L1288" s="313"/>
      <c r="M1288" s="228">
        <f t="shared" si="150"/>
        <v>0</v>
      </c>
      <c r="N1288" s="228">
        <f t="shared" si="146"/>
        <v>0</v>
      </c>
      <c r="O1288" s="228">
        <f t="shared" si="147"/>
        <v>0</v>
      </c>
      <c r="P1288" s="228">
        <f t="shared" si="147"/>
        <v>0</v>
      </c>
      <c r="Q1288" s="228">
        <f t="shared" si="151"/>
        <v>0</v>
      </c>
      <c r="R1288" s="343">
        <f t="shared" si="152"/>
        <v>-2</v>
      </c>
      <c r="S1288" s="240"/>
      <c r="T1288" s="201"/>
      <c r="U1288" s="201"/>
      <c r="V1288" s="201"/>
    </row>
    <row r="1289" spans="1:22" ht="45" x14ac:dyDescent="0.25">
      <c r="A1289" s="234" t="s">
        <v>3934</v>
      </c>
      <c r="B1289" s="235" t="s">
        <v>3935</v>
      </c>
      <c r="C1289" s="234" t="s">
        <v>9</v>
      </c>
      <c r="D1289" s="312">
        <v>2</v>
      </c>
      <c r="E1289" s="312"/>
      <c r="F1289" s="248"/>
      <c r="G1289" s="312"/>
      <c r="H1289" s="312"/>
      <c r="I1289" s="312"/>
      <c r="J1289" s="248">
        <f t="shared" si="148"/>
        <v>0</v>
      </c>
      <c r="K1289" s="330">
        <f t="shared" si="149"/>
        <v>-2</v>
      </c>
      <c r="L1289" s="313"/>
      <c r="M1289" s="228">
        <f t="shared" si="150"/>
        <v>0</v>
      </c>
      <c r="N1289" s="228">
        <f t="shared" ref="N1289:N1352" si="153">G1289</f>
        <v>0</v>
      </c>
      <c r="O1289" s="228">
        <f t="shared" ref="O1289:P1352" si="154">H1289</f>
        <v>0</v>
      </c>
      <c r="P1289" s="228">
        <f t="shared" si="154"/>
        <v>0</v>
      </c>
      <c r="Q1289" s="228">
        <f t="shared" si="151"/>
        <v>0</v>
      </c>
      <c r="R1289" s="343">
        <f t="shared" si="152"/>
        <v>-2</v>
      </c>
      <c r="S1289" s="240"/>
      <c r="T1289" s="201"/>
      <c r="U1289" s="201"/>
      <c r="V1289" s="201"/>
    </row>
    <row r="1290" spans="1:22" ht="45" x14ac:dyDescent="0.25">
      <c r="A1290" s="234" t="s">
        <v>3936</v>
      </c>
      <c r="B1290" s="235" t="s">
        <v>3937</v>
      </c>
      <c r="C1290" s="234" t="s">
        <v>9</v>
      </c>
      <c r="D1290" s="312">
        <v>4</v>
      </c>
      <c r="E1290" s="312"/>
      <c r="F1290" s="248"/>
      <c r="G1290" s="312"/>
      <c r="H1290" s="312"/>
      <c r="I1290" s="312"/>
      <c r="J1290" s="248">
        <f t="shared" si="148"/>
        <v>0</v>
      </c>
      <c r="K1290" s="330">
        <f t="shared" si="149"/>
        <v>-4</v>
      </c>
      <c r="L1290" s="313"/>
      <c r="M1290" s="228">
        <f t="shared" si="150"/>
        <v>0</v>
      </c>
      <c r="N1290" s="228">
        <f t="shared" si="153"/>
        <v>0</v>
      </c>
      <c r="O1290" s="228">
        <f t="shared" si="154"/>
        <v>0</v>
      </c>
      <c r="P1290" s="228">
        <f t="shared" si="154"/>
        <v>0</v>
      </c>
      <c r="Q1290" s="228">
        <f t="shared" si="151"/>
        <v>0</v>
      </c>
      <c r="R1290" s="343">
        <f t="shared" si="152"/>
        <v>-4</v>
      </c>
      <c r="S1290" s="240"/>
      <c r="T1290" s="201"/>
      <c r="U1290" s="201"/>
      <c r="V1290" s="201"/>
    </row>
    <row r="1291" spans="1:22" ht="45" x14ac:dyDescent="0.25">
      <c r="A1291" s="234" t="s">
        <v>3938</v>
      </c>
      <c r="B1291" s="235" t="s">
        <v>3939</v>
      </c>
      <c r="C1291" s="234" t="s">
        <v>9</v>
      </c>
      <c r="D1291" s="312">
        <v>4</v>
      </c>
      <c r="E1291" s="312"/>
      <c r="F1291" s="248"/>
      <c r="G1291" s="312"/>
      <c r="H1291" s="312"/>
      <c r="I1291" s="312"/>
      <c r="J1291" s="248">
        <f t="shared" si="148"/>
        <v>0</v>
      </c>
      <c r="K1291" s="330">
        <f t="shared" si="149"/>
        <v>-4</v>
      </c>
      <c r="L1291" s="313"/>
      <c r="M1291" s="228">
        <f t="shared" si="150"/>
        <v>0</v>
      </c>
      <c r="N1291" s="228">
        <f t="shared" si="153"/>
        <v>0</v>
      </c>
      <c r="O1291" s="228">
        <f t="shared" si="154"/>
        <v>0</v>
      </c>
      <c r="P1291" s="228">
        <f t="shared" si="154"/>
        <v>0</v>
      </c>
      <c r="Q1291" s="228">
        <f t="shared" si="151"/>
        <v>0</v>
      </c>
      <c r="R1291" s="343">
        <f t="shared" si="152"/>
        <v>-4</v>
      </c>
      <c r="S1291" s="240"/>
      <c r="T1291" s="201"/>
      <c r="U1291" s="201"/>
      <c r="V1291" s="201"/>
    </row>
    <row r="1292" spans="1:22" ht="45" x14ac:dyDescent="0.25">
      <c r="A1292" s="234" t="s">
        <v>3940</v>
      </c>
      <c r="B1292" s="235" t="s">
        <v>3941</v>
      </c>
      <c r="C1292" s="234" t="s">
        <v>9</v>
      </c>
      <c r="D1292" s="312">
        <v>8</v>
      </c>
      <c r="E1292" s="312"/>
      <c r="F1292" s="248"/>
      <c r="G1292" s="312"/>
      <c r="H1292" s="312"/>
      <c r="I1292" s="312"/>
      <c r="J1292" s="248">
        <f t="shared" si="148"/>
        <v>0</v>
      </c>
      <c r="K1292" s="330">
        <f t="shared" si="149"/>
        <v>-8</v>
      </c>
      <c r="L1292" s="313"/>
      <c r="M1292" s="228">
        <f t="shared" si="150"/>
        <v>0</v>
      </c>
      <c r="N1292" s="228">
        <f t="shared" si="153"/>
        <v>0</v>
      </c>
      <c r="O1292" s="228">
        <f t="shared" si="154"/>
        <v>0</v>
      </c>
      <c r="P1292" s="228">
        <f t="shared" si="154"/>
        <v>0</v>
      </c>
      <c r="Q1292" s="228">
        <f t="shared" si="151"/>
        <v>0</v>
      </c>
      <c r="R1292" s="343">
        <f t="shared" si="152"/>
        <v>-8</v>
      </c>
      <c r="S1292" s="240"/>
      <c r="T1292" s="201"/>
      <c r="U1292" s="201"/>
      <c r="V1292" s="201"/>
    </row>
    <row r="1293" spans="1:22" ht="75" x14ac:dyDescent="0.25">
      <c r="A1293" s="234" t="s">
        <v>3942</v>
      </c>
      <c r="B1293" s="235" t="s">
        <v>3943</v>
      </c>
      <c r="C1293" s="234" t="s">
        <v>248</v>
      </c>
      <c r="D1293" s="312">
        <v>122</v>
      </c>
      <c r="E1293" s="312"/>
      <c r="F1293" s="248"/>
      <c r="G1293" s="312"/>
      <c r="H1293" s="312"/>
      <c r="I1293" s="312"/>
      <c r="J1293" s="248">
        <f t="shared" si="148"/>
        <v>0</v>
      </c>
      <c r="K1293" s="330">
        <f t="shared" si="149"/>
        <v>-122</v>
      </c>
      <c r="L1293" s="313"/>
      <c r="M1293" s="228">
        <f t="shared" si="150"/>
        <v>0</v>
      </c>
      <c r="N1293" s="228">
        <f t="shared" si="153"/>
        <v>0</v>
      </c>
      <c r="O1293" s="228">
        <f t="shared" si="154"/>
        <v>0</v>
      </c>
      <c r="P1293" s="228">
        <f t="shared" si="154"/>
        <v>0</v>
      </c>
      <c r="Q1293" s="228">
        <f t="shared" si="151"/>
        <v>0</v>
      </c>
      <c r="R1293" s="343">
        <f t="shared" si="152"/>
        <v>-122</v>
      </c>
      <c r="S1293" s="240"/>
      <c r="T1293" s="201"/>
      <c r="U1293" s="201"/>
      <c r="V1293" s="201"/>
    </row>
    <row r="1294" spans="1:22" ht="15.75" x14ac:dyDescent="0.25">
      <c r="A1294" s="234" t="s">
        <v>3944</v>
      </c>
      <c r="B1294" s="235" t="s">
        <v>3945</v>
      </c>
      <c r="C1294" s="234" t="s">
        <v>248</v>
      </c>
      <c r="D1294" s="312">
        <v>122</v>
      </c>
      <c r="E1294" s="312"/>
      <c r="F1294" s="248"/>
      <c r="G1294" s="312"/>
      <c r="H1294" s="312"/>
      <c r="I1294" s="312"/>
      <c r="J1294" s="248">
        <f t="shared" si="148"/>
        <v>0</v>
      </c>
      <c r="K1294" s="330">
        <f t="shared" si="149"/>
        <v>-122</v>
      </c>
      <c r="L1294" s="313"/>
      <c r="M1294" s="228">
        <f t="shared" si="150"/>
        <v>0</v>
      </c>
      <c r="N1294" s="228">
        <f t="shared" si="153"/>
        <v>0</v>
      </c>
      <c r="O1294" s="228">
        <f t="shared" si="154"/>
        <v>0</v>
      </c>
      <c r="P1294" s="228">
        <f t="shared" si="154"/>
        <v>0</v>
      </c>
      <c r="Q1294" s="228">
        <f t="shared" si="151"/>
        <v>0</v>
      </c>
      <c r="R1294" s="343">
        <f t="shared" si="152"/>
        <v>-122</v>
      </c>
      <c r="S1294" s="240"/>
      <c r="T1294" s="201"/>
      <c r="U1294" s="201"/>
      <c r="V1294" s="201"/>
    </row>
    <row r="1295" spans="1:22" ht="15.75" x14ac:dyDescent="0.25">
      <c r="A1295" s="234" t="s">
        <v>3946</v>
      </c>
      <c r="B1295" s="235" t="s">
        <v>3947</v>
      </c>
      <c r="C1295" s="234" t="s">
        <v>9</v>
      </c>
      <c r="D1295" s="312">
        <v>122</v>
      </c>
      <c r="E1295" s="312"/>
      <c r="F1295" s="248"/>
      <c r="G1295" s="312"/>
      <c r="H1295" s="312"/>
      <c r="I1295" s="312"/>
      <c r="J1295" s="248">
        <f t="shared" si="148"/>
        <v>0</v>
      </c>
      <c r="K1295" s="330">
        <f t="shared" si="149"/>
        <v>-122</v>
      </c>
      <c r="L1295" s="313"/>
      <c r="M1295" s="228">
        <f t="shared" si="150"/>
        <v>0</v>
      </c>
      <c r="N1295" s="228">
        <f t="shared" si="153"/>
        <v>0</v>
      </c>
      <c r="O1295" s="228">
        <f t="shared" si="154"/>
        <v>0</v>
      </c>
      <c r="P1295" s="228">
        <f t="shared" si="154"/>
        <v>0</v>
      </c>
      <c r="Q1295" s="228">
        <f t="shared" si="151"/>
        <v>0</v>
      </c>
      <c r="R1295" s="343">
        <f t="shared" si="152"/>
        <v>-122</v>
      </c>
      <c r="S1295" s="240"/>
      <c r="T1295" s="201"/>
      <c r="U1295" s="201"/>
      <c r="V1295" s="201"/>
    </row>
    <row r="1296" spans="1:22" ht="15.75" x14ac:dyDescent="0.25">
      <c r="A1296" s="234" t="s">
        <v>3948</v>
      </c>
      <c r="B1296" s="235" t="s">
        <v>3949</v>
      </c>
      <c r="C1296" s="234" t="s">
        <v>9</v>
      </c>
      <c r="D1296" s="312">
        <v>34</v>
      </c>
      <c r="E1296" s="312"/>
      <c r="F1296" s="248"/>
      <c r="G1296" s="312"/>
      <c r="H1296" s="312"/>
      <c r="I1296" s="312"/>
      <c r="J1296" s="248">
        <f t="shared" si="148"/>
        <v>0</v>
      </c>
      <c r="K1296" s="330">
        <f t="shared" si="149"/>
        <v>-34</v>
      </c>
      <c r="L1296" s="313"/>
      <c r="M1296" s="228">
        <f t="shared" si="150"/>
        <v>0</v>
      </c>
      <c r="N1296" s="228">
        <f t="shared" si="153"/>
        <v>0</v>
      </c>
      <c r="O1296" s="228">
        <f t="shared" si="154"/>
        <v>0</v>
      </c>
      <c r="P1296" s="228">
        <f t="shared" si="154"/>
        <v>0</v>
      </c>
      <c r="Q1296" s="228">
        <f t="shared" si="151"/>
        <v>0</v>
      </c>
      <c r="R1296" s="343">
        <f t="shared" si="152"/>
        <v>-34</v>
      </c>
      <c r="S1296" s="240"/>
      <c r="T1296" s="201"/>
      <c r="U1296" s="201"/>
      <c r="V1296" s="201"/>
    </row>
    <row r="1297" spans="1:22" ht="30" x14ac:dyDescent="0.25">
      <c r="A1297" s="234" t="s">
        <v>3950</v>
      </c>
      <c r="B1297" s="235" t="s">
        <v>3951</v>
      </c>
      <c r="C1297" s="234" t="s">
        <v>3673</v>
      </c>
      <c r="D1297" s="312">
        <v>1503</v>
      </c>
      <c r="E1297" s="312"/>
      <c r="F1297" s="248"/>
      <c r="G1297" s="312"/>
      <c r="H1297" s="312"/>
      <c r="I1297" s="312"/>
      <c r="J1297" s="248">
        <f t="shared" si="148"/>
        <v>0</v>
      </c>
      <c r="K1297" s="330">
        <f t="shared" si="149"/>
        <v>-1503</v>
      </c>
      <c r="L1297" s="313"/>
      <c r="M1297" s="228">
        <f t="shared" si="150"/>
        <v>0</v>
      </c>
      <c r="N1297" s="228">
        <f t="shared" si="153"/>
        <v>0</v>
      </c>
      <c r="O1297" s="228">
        <f t="shared" si="154"/>
        <v>0</v>
      </c>
      <c r="P1297" s="228">
        <f t="shared" si="154"/>
        <v>0</v>
      </c>
      <c r="Q1297" s="228">
        <f t="shared" si="151"/>
        <v>0</v>
      </c>
      <c r="R1297" s="343">
        <f t="shared" si="152"/>
        <v>-1503</v>
      </c>
      <c r="S1297" s="240"/>
      <c r="T1297" s="201"/>
      <c r="U1297" s="201"/>
      <c r="V1297" s="201"/>
    </row>
    <row r="1298" spans="1:22" ht="15.75" x14ac:dyDescent="0.25">
      <c r="A1298" s="230" t="s">
        <v>3952</v>
      </c>
      <c r="B1298" s="231" t="s">
        <v>3953</v>
      </c>
      <c r="C1298" s="234"/>
      <c r="D1298" s="312"/>
      <c r="E1298" s="312"/>
      <c r="F1298" s="248"/>
      <c r="G1298" s="312"/>
      <c r="H1298" s="312"/>
      <c r="I1298" s="312"/>
      <c r="J1298" s="248">
        <f t="shared" si="148"/>
        <v>0</v>
      </c>
      <c r="K1298" s="330">
        <f t="shared" si="149"/>
        <v>0</v>
      </c>
      <c r="L1298" s="313"/>
      <c r="M1298" s="228">
        <f t="shared" si="150"/>
        <v>0</v>
      </c>
      <c r="N1298" s="228">
        <f t="shared" si="153"/>
        <v>0</v>
      </c>
      <c r="O1298" s="228">
        <f t="shared" si="154"/>
        <v>0</v>
      </c>
      <c r="P1298" s="228">
        <f t="shared" si="154"/>
        <v>0</v>
      </c>
      <c r="Q1298" s="228">
        <f t="shared" si="151"/>
        <v>0</v>
      </c>
      <c r="R1298" s="343">
        <f t="shared" si="152"/>
        <v>0</v>
      </c>
      <c r="S1298" s="240"/>
      <c r="T1298" s="201"/>
      <c r="U1298" s="201"/>
      <c r="V1298" s="201"/>
    </row>
    <row r="1299" spans="1:22" ht="15.75" x14ac:dyDescent="0.25">
      <c r="A1299" s="234" t="s">
        <v>3954</v>
      </c>
      <c r="B1299" s="235" t="s">
        <v>3955</v>
      </c>
      <c r="C1299" s="234" t="s">
        <v>14</v>
      </c>
      <c r="D1299" s="312">
        <v>3.91</v>
      </c>
      <c r="E1299" s="312"/>
      <c r="F1299" s="248"/>
      <c r="G1299" s="312"/>
      <c r="H1299" s="312"/>
      <c r="I1299" s="312"/>
      <c r="J1299" s="248">
        <f t="shared" si="148"/>
        <v>0</v>
      </c>
      <c r="K1299" s="330">
        <f t="shared" si="149"/>
        <v>-3.91</v>
      </c>
      <c r="L1299" s="313"/>
      <c r="M1299" s="228">
        <f t="shared" si="150"/>
        <v>0</v>
      </c>
      <c r="N1299" s="228">
        <f t="shared" si="153"/>
        <v>0</v>
      </c>
      <c r="O1299" s="228">
        <f t="shared" si="154"/>
        <v>0</v>
      </c>
      <c r="P1299" s="228">
        <f t="shared" si="154"/>
        <v>0</v>
      </c>
      <c r="Q1299" s="228">
        <f t="shared" si="151"/>
        <v>0</v>
      </c>
      <c r="R1299" s="343">
        <f t="shared" si="152"/>
        <v>-3.91</v>
      </c>
      <c r="S1299" s="240"/>
      <c r="T1299" s="201"/>
      <c r="U1299" s="201"/>
      <c r="V1299" s="201"/>
    </row>
    <row r="1300" spans="1:22" ht="15.75" x14ac:dyDescent="0.25">
      <c r="A1300" s="234" t="s">
        <v>3956</v>
      </c>
      <c r="B1300" s="235" t="s">
        <v>3957</v>
      </c>
      <c r="C1300" s="234" t="s">
        <v>14</v>
      </c>
      <c r="D1300" s="312">
        <v>3.45</v>
      </c>
      <c r="E1300" s="312"/>
      <c r="F1300" s="248"/>
      <c r="G1300" s="312"/>
      <c r="H1300" s="312"/>
      <c r="I1300" s="312"/>
      <c r="J1300" s="248">
        <f t="shared" si="148"/>
        <v>0</v>
      </c>
      <c r="K1300" s="330">
        <f t="shared" si="149"/>
        <v>-3.45</v>
      </c>
      <c r="L1300" s="313"/>
      <c r="M1300" s="228">
        <f t="shared" si="150"/>
        <v>0</v>
      </c>
      <c r="N1300" s="228">
        <f t="shared" si="153"/>
        <v>0</v>
      </c>
      <c r="O1300" s="228">
        <f t="shared" si="154"/>
        <v>0</v>
      </c>
      <c r="P1300" s="228">
        <f t="shared" si="154"/>
        <v>0</v>
      </c>
      <c r="Q1300" s="228">
        <f t="shared" si="151"/>
        <v>0</v>
      </c>
      <c r="R1300" s="343">
        <f t="shared" si="152"/>
        <v>-3.45</v>
      </c>
      <c r="S1300" s="240"/>
      <c r="T1300" s="201"/>
      <c r="U1300" s="201"/>
      <c r="V1300" s="201"/>
    </row>
    <row r="1301" spans="1:22" ht="15.75" x14ac:dyDescent="0.25">
      <c r="A1301" s="234" t="s">
        <v>3958</v>
      </c>
      <c r="B1301" s="235" t="s">
        <v>3959</v>
      </c>
      <c r="C1301" s="234" t="s">
        <v>14</v>
      </c>
      <c r="D1301" s="312">
        <v>1.73</v>
      </c>
      <c r="E1301" s="312"/>
      <c r="F1301" s="248"/>
      <c r="G1301" s="312"/>
      <c r="H1301" s="312"/>
      <c r="I1301" s="312"/>
      <c r="J1301" s="248">
        <f t="shared" si="148"/>
        <v>0</v>
      </c>
      <c r="K1301" s="330">
        <f t="shared" si="149"/>
        <v>-1.73</v>
      </c>
      <c r="L1301" s="313"/>
      <c r="M1301" s="228">
        <f t="shared" si="150"/>
        <v>0</v>
      </c>
      <c r="N1301" s="228">
        <f t="shared" si="153"/>
        <v>0</v>
      </c>
      <c r="O1301" s="228">
        <f t="shared" si="154"/>
        <v>0</v>
      </c>
      <c r="P1301" s="228">
        <f t="shared" si="154"/>
        <v>0</v>
      </c>
      <c r="Q1301" s="228">
        <f t="shared" si="151"/>
        <v>0</v>
      </c>
      <c r="R1301" s="343">
        <f t="shared" si="152"/>
        <v>-1.73</v>
      </c>
      <c r="S1301" s="240"/>
      <c r="T1301" s="201"/>
      <c r="U1301" s="201"/>
      <c r="V1301" s="201"/>
    </row>
    <row r="1302" spans="1:22" ht="15.75" x14ac:dyDescent="0.25">
      <c r="A1302" s="234" t="s">
        <v>3960</v>
      </c>
      <c r="B1302" s="235" t="s">
        <v>3961</v>
      </c>
      <c r="C1302" s="234" t="s">
        <v>14</v>
      </c>
      <c r="D1302" s="312">
        <v>1.1499999999999999</v>
      </c>
      <c r="E1302" s="312"/>
      <c r="F1302" s="248"/>
      <c r="G1302" s="312"/>
      <c r="H1302" s="312"/>
      <c r="I1302" s="312"/>
      <c r="J1302" s="248">
        <f t="shared" si="148"/>
        <v>0</v>
      </c>
      <c r="K1302" s="330">
        <f t="shared" si="149"/>
        <v>-1.1499999999999999</v>
      </c>
      <c r="L1302" s="313"/>
      <c r="M1302" s="228">
        <f t="shared" si="150"/>
        <v>0</v>
      </c>
      <c r="N1302" s="228">
        <f t="shared" si="153"/>
        <v>0</v>
      </c>
      <c r="O1302" s="228">
        <f t="shared" si="154"/>
        <v>0</v>
      </c>
      <c r="P1302" s="228">
        <f t="shared" si="154"/>
        <v>0</v>
      </c>
      <c r="Q1302" s="228">
        <f t="shared" si="151"/>
        <v>0</v>
      </c>
      <c r="R1302" s="343">
        <f t="shared" si="152"/>
        <v>-1.1499999999999999</v>
      </c>
      <c r="S1302" s="240"/>
      <c r="T1302" s="201"/>
      <c r="U1302" s="201"/>
      <c r="V1302" s="201"/>
    </row>
    <row r="1303" spans="1:22" ht="15.75" x14ac:dyDescent="0.25">
      <c r="A1303" s="234" t="s">
        <v>3962</v>
      </c>
      <c r="B1303" s="235" t="s">
        <v>3963</v>
      </c>
      <c r="C1303" s="234" t="s">
        <v>14</v>
      </c>
      <c r="D1303" s="312">
        <v>1.1499999999999999</v>
      </c>
      <c r="E1303" s="312"/>
      <c r="F1303" s="248"/>
      <c r="G1303" s="312"/>
      <c r="H1303" s="312"/>
      <c r="I1303" s="312"/>
      <c r="J1303" s="248">
        <f t="shared" si="148"/>
        <v>0</v>
      </c>
      <c r="K1303" s="330">
        <f t="shared" si="149"/>
        <v>-1.1499999999999999</v>
      </c>
      <c r="L1303" s="313"/>
      <c r="M1303" s="228">
        <f t="shared" si="150"/>
        <v>0</v>
      </c>
      <c r="N1303" s="228">
        <f t="shared" si="153"/>
        <v>0</v>
      </c>
      <c r="O1303" s="228">
        <f t="shared" si="154"/>
        <v>0</v>
      </c>
      <c r="P1303" s="228">
        <f t="shared" si="154"/>
        <v>0</v>
      </c>
      <c r="Q1303" s="228">
        <f t="shared" si="151"/>
        <v>0</v>
      </c>
      <c r="R1303" s="343">
        <f t="shared" si="152"/>
        <v>-1.1499999999999999</v>
      </c>
      <c r="S1303" s="240"/>
      <c r="T1303" s="201"/>
      <c r="U1303" s="201"/>
      <c r="V1303" s="201"/>
    </row>
    <row r="1304" spans="1:22" ht="15.75" x14ac:dyDescent="0.25">
      <c r="A1304" s="234" t="s">
        <v>3964</v>
      </c>
      <c r="B1304" s="235" t="s">
        <v>3965</v>
      </c>
      <c r="C1304" s="234" t="s">
        <v>14</v>
      </c>
      <c r="D1304" s="312">
        <v>1.06</v>
      </c>
      <c r="E1304" s="312"/>
      <c r="F1304" s="248"/>
      <c r="G1304" s="312"/>
      <c r="H1304" s="312"/>
      <c r="I1304" s="312"/>
      <c r="J1304" s="248">
        <f t="shared" si="148"/>
        <v>0</v>
      </c>
      <c r="K1304" s="330">
        <f t="shared" si="149"/>
        <v>-1.06</v>
      </c>
      <c r="L1304" s="313"/>
      <c r="M1304" s="228">
        <f t="shared" si="150"/>
        <v>0</v>
      </c>
      <c r="N1304" s="228">
        <f t="shared" si="153"/>
        <v>0</v>
      </c>
      <c r="O1304" s="228">
        <f t="shared" si="154"/>
        <v>0</v>
      </c>
      <c r="P1304" s="228">
        <f t="shared" si="154"/>
        <v>0</v>
      </c>
      <c r="Q1304" s="228">
        <f t="shared" si="151"/>
        <v>0</v>
      </c>
      <c r="R1304" s="343">
        <f t="shared" si="152"/>
        <v>-1.06</v>
      </c>
      <c r="S1304" s="240"/>
      <c r="T1304" s="201"/>
      <c r="U1304" s="201"/>
      <c r="V1304" s="201"/>
    </row>
    <row r="1305" spans="1:22" ht="15.75" x14ac:dyDescent="0.25">
      <c r="A1305" s="234" t="s">
        <v>3966</v>
      </c>
      <c r="B1305" s="235" t="s">
        <v>3967</v>
      </c>
      <c r="C1305" s="234" t="s">
        <v>9</v>
      </c>
      <c r="D1305" s="312">
        <v>129</v>
      </c>
      <c r="E1305" s="312"/>
      <c r="F1305" s="248"/>
      <c r="G1305" s="312"/>
      <c r="H1305" s="312"/>
      <c r="I1305" s="312"/>
      <c r="J1305" s="248">
        <f t="shared" si="148"/>
        <v>0</v>
      </c>
      <c r="K1305" s="330">
        <f t="shared" si="149"/>
        <v>-129</v>
      </c>
      <c r="L1305" s="313"/>
      <c r="M1305" s="228">
        <f t="shared" si="150"/>
        <v>0</v>
      </c>
      <c r="N1305" s="228">
        <f t="shared" si="153"/>
        <v>0</v>
      </c>
      <c r="O1305" s="228">
        <f t="shared" si="154"/>
        <v>0</v>
      </c>
      <c r="P1305" s="228">
        <f t="shared" si="154"/>
        <v>0</v>
      </c>
      <c r="Q1305" s="228">
        <f t="shared" si="151"/>
        <v>0</v>
      </c>
      <c r="R1305" s="343">
        <f t="shared" si="152"/>
        <v>-129</v>
      </c>
      <c r="S1305" s="240"/>
      <c r="T1305" s="201"/>
      <c r="U1305" s="201"/>
      <c r="V1305" s="201"/>
    </row>
    <row r="1306" spans="1:22" ht="15.75" x14ac:dyDescent="0.25">
      <c r="A1306" s="234" t="s">
        <v>3968</v>
      </c>
      <c r="B1306" s="235" t="s">
        <v>3969</v>
      </c>
      <c r="C1306" s="234" t="s">
        <v>9</v>
      </c>
      <c r="D1306" s="312">
        <v>100</v>
      </c>
      <c r="E1306" s="312"/>
      <c r="F1306" s="248"/>
      <c r="G1306" s="312"/>
      <c r="H1306" s="312"/>
      <c r="I1306" s="312"/>
      <c r="J1306" s="248">
        <f t="shared" si="148"/>
        <v>0</v>
      </c>
      <c r="K1306" s="330">
        <f t="shared" si="149"/>
        <v>-100</v>
      </c>
      <c r="L1306" s="313"/>
      <c r="M1306" s="228">
        <f t="shared" si="150"/>
        <v>0</v>
      </c>
      <c r="N1306" s="228">
        <f t="shared" si="153"/>
        <v>0</v>
      </c>
      <c r="O1306" s="228">
        <f t="shared" si="154"/>
        <v>0</v>
      </c>
      <c r="P1306" s="228">
        <f t="shared" si="154"/>
        <v>0</v>
      </c>
      <c r="Q1306" s="228">
        <f t="shared" si="151"/>
        <v>0</v>
      </c>
      <c r="R1306" s="343">
        <f t="shared" si="152"/>
        <v>-100</v>
      </c>
      <c r="S1306" s="240"/>
      <c r="T1306" s="201"/>
      <c r="U1306" s="201"/>
      <c r="V1306" s="201"/>
    </row>
    <row r="1307" spans="1:22" ht="15.75" x14ac:dyDescent="0.25">
      <c r="A1307" s="234" t="s">
        <v>3970</v>
      </c>
      <c r="B1307" s="235" t="s">
        <v>3971</v>
      </c>
      <c r="C1307" s="234" t="s">
        <v>9</v>
      </c>
      <c r="D1307" s="312">
        <v>50</v>
      </c>
      <c r="E1307" s="312"/>
      <c r="F1307" s="248"/>
      <c r="G1307" s="312"/>
      <c r="H1307" s="312"/>
      <c r="I1307" s="312"/>
      <c r="J1307" s="248">
        <f t="shared" si="148"/>
        <v>0</v>
      </c>
      <c r="K1307" s="330">
        <f t="shared" si="149"/>
        <v>-50</v>
      </c>
      <c r="L1307" s="313"/>
      <c r="M1307" s="228">
        <f t="shared" si="150"/>
        <v>0</v>
      </c>
      <c r="N1307" s="228">
        <f t="shared" si="153"/>
        <v>0</v>
      </c>
      <c r="O1307" s="228">
        <f t="shared" si="154"/>
        <v>0</v>
      </c>
      <c r="P1307" s="228">
        <f t="shared" si="154"/>
        <v>0</v>
      </c>
      <c r="Q1307" s="228">
        <f t="shared" si="151"/>
        <v>0</v>
      </c>
      <c r="R1307" s="343">
        <f t="shared" si="152"/>
        <v>-50</v>
      </c>
      <c r="S1307" s="240"/>
      <c r="T1307" s="201"/>
      <c r="U1307" s="201"/>
      <c r="V1307" s="201"/>
    </row>
    <row r="1308" spans="1:22" ht="15.75" x14ac:dyDescent="0.25">
      <c r="A1308" s="234" t="s">
        <v>3972</v>
      </c>
      <c r="B1308" s="235" t="s">
        <v>3973</v>
      </c>
      <c r="C1308" s="234" t="s">
        <v>9</v>
      </c>
      <c r="D1308" s="312">
        <v>25</v>
      </c>
      <c r="E1308" s="312"/>
      <c r="F1308" s="248"/>
      <c r="G1308" s="312"/>
      <c r="H1308" s="312"/>
      <c r="I1308" s="312"/>
      <c r="J1308" s="248">
        <f t="shared" si="148"/>
        <v>0</v>
      </c>
      <c r="K1308" s="330">
        <f t="shared" si="149"/>
        <v>-25</v>
      </c>
      <c r="L1308" s="313"/>
      <c r="M1308" s="228">
        <f t="shared" si="150"/>
        <v>0</v>
      </c>
      <c r="N1308" s="228">
        <f t="shared" si="153"/>
        <v>0</v>
      </c>
      <c r="O1308" s="228">
        <f t="shared" si="154"/>
        <v>0</v>
      </c>
      <c r="P1308" s="228">
        <f t="shared" si="154"/>
        <v>0</v>
      </c>
      <c r="Q1308" s="228">
        <f t="shared" si="151"/>
        <v>0</v>
      </c>
      <c r="R1308" s="343">
        <f t="shared" si="152"/>
        <v>-25</v>
      </c>
      <c r="S1308" s="240"/>
      <c r="T1308" s="201"/>
      <c r="U1308" s="201"/>
      <c r="V1308" s="201"/>
    </row>
    <row r="1309" spans="1:22" ht="15.75" x14ac:dyDescent="0.25">
      <c r="A1309" s="234" t="s">
        <v>3974</v>
      </c>
      <c r="B1309" s="235" t="s">
        <v>3975</v>
      </c>
      <c r="C1309" s="234" t="s">
        <v>9</v>
      </c>
      <c r="D1309" s="312">
        <v>5</v>
      </c>
      <c r="E1309" s="312"/>
      <c r="F1309" s="248"/>
      <c r="G1309" s="312"/>
      <c r="H1309" s="312"/>
      <c r="I1309" s="312"/>
      <c r="J1309" s="248">
        <f t="shared" si="148"/>
        <v>0</v>
      </c>
      <c r="K1309" s="330">
        <f t="shared" si="149"/>
        <v>-5</v>
      </c>
      <c r="L1309" s="313"/>
      <c r="M1309" s="228">
        <f t="shared" si="150"/>
        <v>0</v>
      </c>
      <c r="N1309" s="228">
        <f t="shared" si="153"/>
        <v>0</v>
      </c>
      <c r="O1309" s="228">
        <f t="shared" si="154"/>
        <v>0</v>
      </c>
      <c r="P1309" s="228">
        <f t="shared" si="154"/>
        <v>0</v>
      </c>
      <c r="Q1309" s="228">
        <f t="shared" si="151"/>
        <v>0</v>
      </c>
      <c r="R1309" s="343">
        <f t="shared" si="152"/>
        <v>-5</v>
      </c>
      <c r="S1309" s="240"/>
      <c r="T1309" s="201"/>
      <c r="U1309" s="201"/>
      <c r="V1309" s="201"/>
    </row>
    <row r="1310" spans="1:22" ht="15.75" x14ac:dyDescent="0.25">
      <c r="A1310" s="234" t="s">
        <v>3976</v>
      </c>
      <c r="B1310" s="235" t="s">
        <v>3977</v>
      </c>
      <c r="C1310" s="234" t="s">
        <v>9</v>
      </c>
      <c r="D1310" s="312">
        <v>129</v>
      </c>
      <c r="E1310" s="312"/>
      <c r="F1310" s="248"/>
      <c r="G1310" s="312"/>
      <c r="H1310" s="312"/>
      <c r="I1310" s="312"/>
      <c r="J1310" s="248">
        <f t="shared" si="148"/>
        <v>0</v>
      </c>
      <c r="K1310" s="330">
        <f t="shared" si="149"/>
        <v>-129</v>
      </c>
      <c r="L1310" s="313"/>
      <c r="M1310" s="228">
        <f t="shared" si="150"/>
        <v>0</v>
      </c>
      <c r="N1310" s="228">
        <f t="shared" si="153"/>
        <v>0</v>
      </c>
      <c r="O1310" s="228">
        <f t="shared" si="154"/>
        <v>0</v>
      </c>
      <c r="P1310" s="228">
        <f t="shared" si="154"/>
        <v>0</v>
      </c>
      <c r="Q1310" s="228">
        <f t="shared" si="151"/>
        <v>0</v>
      </c>
      <c r="R1310" s="343">
        <f t="shared" si="152"/>
        <v>-129</v>
      </c>
      <c r="S1310" s="240"/>
      <c r="T1310" s="201"/>
      <c r="U1310" s="201"/>
      <c r="V1310" s="201"/>
    </row>
    <row r="1311" spans="1:22" ht="15.75" x14ac:dyDescent="0.25">
      <c r="A1311" s="234" t="s">
        <v>3978</v>
      </c>
      <c r="B1311" s="235" t="s">
        <v>3979</v>
      </c>
      <c r="C1311" s="234" t="s">
        <v>9</v>
      </c>
      <c r="D1311" s="312">
        <v>100</v>
      </c>
      <c r="E1311" s="312"/>
      <c r="F1311" s="248"/>
      <c r="G1311" s="312"/>
      <c r="H1311" s="312"/>
      <c r="I1311" s="312"/>
      <c r="J1311" s="248">
        <f t="shared" si="148"/>
        <v>0</v>
      </c>
      <c r="K1311" s="330">
        <f t="shared" si="149"/>
        <v>-100</v>
      </c>
      <c r="L1311" s="313"/>
      <c r="M1311" s="228">
        <f t="shared" si="150"/>
        <v>0</v>
      </c>
      <c r="N1311" s="228">
        <f t="shared" si="153"/>
        <v>0</v>
      </c>
      <c r="O1311" s="228">
        <f t="shared" si="154"/>
        <v>0</v>
      </c>
      <c r="P1311" s="228">
        <f t="shared" si="154"/>
        <v>0</v>
      </c>
      <c r="Q1311" s="228">
        <f t="shared" si="151"/>
        <v>0</v>
      </c>
      <c r="R1311" s="343">
        <f t="shared" si="152"/>
        <v>-100</v>
      </c>
      <c r="S1311" s="240"/>
      <c r="T1311" s="201"/>
      <c r="U1311" s="201"/>
      <c r="V1311" s="201"/>
    </row>
    <row r="1312" spans="1:22" ht="15.75" x14ac:dyDescent="0.25">
      <c r="A1312" s="234" t="s">
        <v>3980</v>
      </c>
      <c r="B1312" s="235" t="s">
        <v>3981</v>
      </c>
      <c r="C1312" s="234" t="s">
        <v>9</v>
      </c>
      <c r="D1312" s="312">
        <v>50</v>
      </c>
      <c r="E1312" s="312"/>
      <c r="F1312" s="248"/>
      <c r="G1312" s="312"/>
      <c r="H1312" s="312"/>
      <c r="I1312" s="312"/>
      <c r="J1312" s="248">
        <f t="shared" si="148"/>
        <v>0</v>
      </c>
      <c r="K1312" s="330">
        <f t="shared" si="149"/>
        <v>-50</v>
      </c>
      <c r="L1312" s="313"/>
      <c r="M1312" s="228">
        <f t="shared" si="150"/>
        <v>0</v>
      </c>
      <c r="N1312" s="228">
        <f t="shared" si="153"/>
        <v>0</v>
      </c>
      <c r="O1312" s="228">
        <f t="shared" si="154"/>
        <v>0</v>
      </c>
      <c r="P1312" s="228">
        <f t="shared" si="154"/>
        <v>0</v>
      </c>
      <c r="Q1312" s="228">
        <f t="shared" si="151"/>
        <v>0</v>
      </c>
      <c r="R1312" s="343">
        <f t="shared" si="152"/>
        <v>-50</v>
      </c>
      <c r="S1312" s="240"/>
      <c r="T1312" s="201"/>
      <c r="U1312" s="201"/>
      <c r="V1312" s="201"/>
    </row>
    <row r="1313" spans="1:22" ht="15.75" x14ac:dyDescent="0.25">
      <c r="A1313" s="234" t="s">
        <v>3982</v>
      </c>
      <c r="B1313" s="235" t="s">
        <v>3983</v>
      </c>
      <c r="C1313" s="234" t="s">
        <v>9</v>
      </c>
      <c r="D1313" s="312">
        <v>25</v>
      </c>
      <c r="E1313" s="312"/>
      <c r="F1313" s="248"/>
      <c r="G1313" s="312"/>
      <c r="H1313" s="312"/>
      <c r="I1313" s="312"/>
      <c r="J1313" s="248">
        <f t="shared" si="148"/>
        <v>0</v>
      </c>
      <c r="K1313" s="330">
        <f t="shared" si="149"/>
        <v>-25</v>
      </c>
      <c r="L1313" s="313"/>
      <c r="M1313" s="228">
        <f t="shared" si="150"/>
        <v>0</v>
      </c>
      <c r="N1313" s="228">
        <f t="shared" si="153"/>
        <v>0</v>
      </c>
      <c r="O1313" s="228">
        <f t="shared" si="154"/>
        <v>0</v>
      </c>
      <c r="P1313" s="228">
        <f t="shared" si="154"/>
        <v>0</v>
      </c>
      <c r="Q1313" s="228">
        <f t="shared" si="151"/>
        <v>0</v>
      </c>
      <c r="R1313" s="343">
        <f t="shared" si="152"/>
        <v>-25</v>
      </c>
      <c r="S1313" s="240"/>
      <c r="T1313" s="201"/>
      <c r="U1313" s="201"/>
      <c r="V1313" s="201"/>
    </row>
    <row r="1314" spans="1:22" ht="15.75" x14ac:dyDescent="0.25">
      <c r="A1314" s="234" t="s">
        <v>3984</v>
      </c>
      <c r="B1314" s="235" t="s">
        <v>3985</v>
      </c>
      <c r="C1314" s="234" t="s">
        <v>9</v>
      </c>
      <c r="D1314" s="312">
        <v>5</v>
      </c>
      <c r="E1314" s="312"/>
      <c r="F1314" s="248"/>
      <c r="G1314" s="312"/>
      <c r="H1314" s="312"/>
      <c r="I1314" s="312"/>
      <c r="J1314" s="248">
        <f t="shared" si="148"/>
        <v>0</v>
      </c>
      <c r="K1314" s="330">
        <f t="shared" si="149"/>
        <v>-5</v>
      </c>
      <c r="L1314" s="313"/>
      <c r="M1314" s="228">
        <f t="shared" si="150"/>
        <v>0</v>
      </c>
      <c r="N1314" s="228">
        <f t="shared" si="153"/>
        <v>0</v>
      </c>
      <c r="O1314" s="228">
        <f t="shared" si="154"/>
        <v>0</v>
      </c>
      <c r="P1314" s="228">
        <f t="shared" si="154"/>
        <v>0</v>
      </c>
      <c r="Q1314" s="228">
        <f t="shared" si="151"/>
        <v>0</v>
      </c>
      <c r="R1314" s="343">
        <f t="shared" si="152"/>
        <v>-5</v>
      </c>
      <c r="S1314" s="240"/>
      <c r="T1314" s="201"/>
      <c r="U1314" s="201"/>
      <c r="V1314" s="201"/>
    </row>
    <row r="1315" spans="1:22" ht="15.75" x14ac:dyDescent="0.25">
      <c r="A1315" s="234" t="s">
        <v>3986</v>
      </c>
      <c r="B1315" s="235" t="s">
        <v>3987</v>
      </c>
      <c r="C1315" s="234" t="s">
        <v>9</v>
      </c>
      <c r="D1315" s="312">
        <v>100</v>
      </c>
      <c r="E1315" s="312"/>
      <c r="F1315" s="248"/>
      <c r="G1315" s="312"/>
      <c r="H1315" s="312"/>
      <c r="I1315" s="312"/>
      <c r="J1315" s="248">
        <f t="shared" si="148"/>
        <v>0</v>
      </c>
      <c r="K1315" s="330">
        <f t="shared" si="149"/>
        <v>-100</v>
      </c>
      <c r="L1315" s="313"/>
      <c r="M1315" s="228">
        <f t="shared" si="150"/>
        <v>0</v>
      </c>
      <c r="N1315" s="228">
        <f t="shared" si="153"/>
        <v>0</v>
      </c>
      <c r="O1315" s="228">
        <f t="shared" si="154"/>
        <v>0</v>
      </c>
      <c r="P1315" s="228">
        <f t="shared" si="154"/>
        <v>0</v>
      </c>
      <c r="Q1315" s="228">
        <f t="shared" si="151"/>
        <v>0</v>
      </c>
      <c r="R1315" s="343">
        <f t="shared" si="152"/>
        <v>-100</v>
      </c>
      <c r="S1315" s="240"/>
      <c r="T1315" s="201"/>
      <c r="U1315" s="201"/>
      <c r="V1315" s="201"/>
    </row>
    <row r="1316" spans="1:22" ht="15.75" x14ac:dyDescent="0.25">
      <c r="A1316" s="234" t="s">
        <v>3988</v>
      </c>
      <c r="B1316" s="235" t="s">
        <v>3989</v>
      </c>
      <c r="C1316" s="234" t="s">
        <v>9</v>
      </c>
      <c r="D1316" s="312">
        <v>50</v>
      </c>
      <c r="E1316" s="312"/>
      <c r="F1316" s="248"/>
      <c r="G1316" s="312"/>
      <c r="H1316" s="312"/>
      <c r="I1316" s="312"/>
      <c r="J1316" s="248">
        <f t="shared" si="148"/>
        <v>0</v>
      </c>
      <c r="K1316" s="330">
        <f t="shared" si="149"/>
        <v>-50</v>
      </c>
      <c r="L1316" s="313"/>
      <c r="M1316" s="228">
        <f t="shared" si="150"/>
        <v>0</v>
      </c>
      <c r="N1316" s="228">
        <f t="shared" si="153"/>
        <v>0</v>
      </c>
      <c r="O1316" s="228">
        <f t="shared" si="154"/>
        <v>0</v>
      </c>
      <c r="P1316" s="228">
        <f t="shared" si="154"/>
        <v>0</v>
      </c>
      <c r="Q1316" s="228">
        <f t="shared" si="151"/>
        <v>0</v>
      </c>
      <c r="R1316" s="343">
        <f t="shared" si="152"/>
        <v>-50</v>
      </c>
      <c r="S1316" s="240"/>
      <c r="T1316" s="201"/>
      <c r="U1316" s="201"/>
      <c r="V1316" s="201"/>
    </row>
    <row r="1317" spans="1:22" ht="15.75" x14ac:dyDescent="0.25">
      <c r="A1317" s="234" t="s">
        <v>3990</v>
      </c>
      <c r="B1317" s="235" t="s">
        <v>3991</v>
      </c>
      <c r="C1317" s="234" t="s">
        <v>9</v>
      </c>
      <c r="D1317" s="312">
        <v>50</v>
      </c>
      <c r="E1317" s="312"/>
      <c r="F1317" s="248"/>
      <c r="G1317" s="312"/>
      <c r="H1317" s="312"/>
      <c r="I1317" s="312"/>
      <c r="J1317" s="248">
        <f t="shared" si="148"/>
        <v>0</v>
      </c>
      <c r="K1317" s="330">
        <f t="shared" si="149"/>
        <v>-50</v>
      </c>
      <c r="L1317" s="313"/>
      <c r="M1317" s="228">
        <f t="shared" si="150"/>
        <v>0</v>
      </c>
      <c r="N1317" s="228">
        <f t="shared" si="153"/>
        <v>0</v>
      </c>
      <c r="O1317" s="228">
        <f t="shared" si="154"/>
        <v>0</v>
      </c>
      <c r="P1317" s="228">
        <f t="shared" si="154"/>
        <v>0</v>
      </c>
      <c r="Q1317" s="228">
        <f t="shared" si="151"/>
        <v>0</v>
      </c>
      <c r="R1317" s="343">
        <f t="shared" si="152"/>
        <v>-50</v>
      </c>
      <c r="S1317" s="240"/>
      <c r="T1317" s="201"/>
      <c r="U1317" s="201"/>
      <c r="V1317" s="201"/>
    </row>
    <row r="1318" spans="1:22" ht="15.75" x14ac:dyDescent="0.25">
      <c r="A1318" s="234" t="s">
        <v>3992</v>
      </c>
      <c r="B1318" s="235" t="s">
        <v>3993</v>
      </c>
      <c r="C1318" s="234" t="s">
        <v>9</v>
      </c>
      <c r="D1318" s="312">
        <v>25</v>
      </c>
      <c r="E1318" s="312"/>
      <c r="F1318" s="248"/>
      <c r="G1318" s="312"/>
      <c r="H1318" s="312"/>
      <c r="I1318" s="312"/>
      <c r="J1318" s="248">
        <f t="shared" si="148"/>
        <v>0</v>
      </c>
      <c r="K1318" s="330">
        <f t="shared" si="149"/>
        <v>-25</v>
      </c>
      <c r="L1318" s="313"/>
      <c r="M1318" s="228">
        <f t="shared" si="150"/>
        <v>0</v>
      </c>
      <c r="N1318" s="228">
        <f t="shared" si="153"/>
        <v>0</v>
      </c>
      <c r="O1318" s="228">
        <f t="shared" si="154"/>
        <v>0</v>
      </c>
      <c r="P1318" s="228">
        <f t="shared" si="154"/>
        <v>0</v>
      </c>
      <c r="Q1318" s="228">
        <f t="shared" si="151"/>
        <v>0</v>
      </c>
      <c r="R1318" s="343">
        <f t="shared" si="152"/>
        <v>-25</v>
      </c>
      <c r="S1318" s="240"/>
      <c r="T1318" s="201"/>
      <c r="U1318" s="201"/>
      <c r="V1318" s="201"/>
    </row>
    <row r="1319" spans="1:22" ht="15.75" x14ac:dyDescent="0.25">
      <c r="A1319" s="234" t="s">
        <v>3994</v>
      </c>
      <c r="B1319" s="235" t="s">
        <v>3995</v>
      </c>
      <c r="C1319" s="234" t="s">
        <v>9</v>
      </c>
      <c r="D1319" s="312">
        <v>25</v>
      </c>
      <c r="E1319" s="312"/>
      <c r="F1319" s="248"/>
      <c r="G1319" s="312"/>
      <c r="H1319" s="312"/>
      <c r="I1319" s="312"/>
      <c r="J1319" s="248">
        <f t="shared" si="148"/>
        <v>0</v>
      </c>
      <c r="K1319" s="330">
        <f t="shared" si="149"/>
        <v>-25</v>
      </c>
      <c r="L1319" s="313"/>
      <c r="M1319" s="228">
        <f t="shared" si="150"/>
        <v>0</v>
      </c>
      <c r="N1319" s="228">
        <f t="shared" si="153"/>
        <v>0</v>
      </c>
      <c r="O1319" s="228">
        <f t="shared" si="154"/>
        <v>0</v>
      </c>
      <c r="P1319" s="228">
        <f t="shared" si="154"/>
        <v>0</v>
      </c>
      <c r="Q1319" s="228">
        <f t="shared" si="151"/>
        <v>0</v>
      </c>
      <c r="R1319" s="343">
        <f t="shared" si="152"/>
        <v>-25</v>
      </c>
      <c r="S1319" s="240"/>
      <c r="T1319" s="201"/>
      <c r="U1319" s="201"/>
      <c r="V1319" s="201"/>
    </row>
    <row r="1320" spans="1:22" ht="15.75" x14ac:dyDescent="0.25">
      <c r="A1320" s="234" t="s">
        <v>3996</v>
      </c>
      <c r="B1320" s="235" t="s">
        <v>3997</v>
      </c>
      <c r="C1320" s="234" t="s">
        <v>9</v>
      </c>
      <c r="D1320" s="312">
        <v>25</v>
      </c>
      <c r="E1320" s="312"/>
      <c r="F1320" s="248"/>
      <c r="G1320" s="312"/>
      <c r="H1320" s="312"/>
      <c r="I1320" s="312"/>
      <c r="J1320" s="248">
        <f t="shared" si="148"/>
        <v>0</v>
      </c>
      <c r="K1320" s="330">
        <f t="shared" si="149"/>
        <v>-25</v>
      </c>
      <c r="L1320" s="313"/>
      <c r="M1320" s="228">
        <f t="shared" si="150"/>
        <v>0</v>
      </c>
      <c r="N1320" s="228">
        <f t="shared" si="153"/>
        <v>0</v>
      </c>
      <c r="O1320" s="228">
        <f t="shared" si="154"/>
        <v>0</v>
      </c>
      <c r="P1320" s="228">
        <f t="shared" si="154"/>
        <v>0</v>
      </c>
      <c r="Q1320" s="228">
        <f t="shared" si="151"/>
        <v>0</v>
      </c>
      <c r="R1320" s="343">
        <f t="shared" si="152"/>
        <v>-25</v>
      </c>
      <c r="S1320" s="240"/>
      <c r="T1320" s="201"/>
      <c r="U1320" s="201"/>
      <c r="V1320" s="201"/>
    </row>
    <row r="1321" spans="1:22" ht="15.75" x14ac:dyDescent="0.25">
      <c r="A1321" s="234" t="s">
        <v>3998</v>
      </c>
      <c r="B1321" s="235" t="s">
        <v>3999</v>
      </c>
      <c r="C1321" s="234" t="s">
        <v>9</v>
      </c>
      <c r="D1321" s="312">
        <v>25</v>
      </c>
      <c r="E1321" s="312"/>
      <c r="F1321" s="248"/>
      <c r="G1321" s="312"/>
      <c r="H1321" s="312"/>
      <c r="I1321" s="312"/>
      <c r="J1321" s="248">
        <f t="shared" si="148"/>
        <v>0</v>
      </c>
      <c r="K1321" s="330">
        <f t="shared" si="149"/>
        <v>-25</v>
      </c>
      <c r="L1321" s="313"/>
      <c r="M1321" s="228">
        <f t="shared" si="150"/>
        <v>0</v>
      </c>
      <c r="N1321" s="228">
        <f t="shared" si="153"/>
        <v>0</v>
      </c>
      <c r="O1321" s="228">
        <f t="shared" si="154"/>
        <v>0</v>
      </c>
      <c r="P1321" s="228">
        <f t="shared" si="154"/>
        <v>0</v>
      </c>
      <c r="Q1321" s="228">
        <f t="shared" si="151"/>
        <v>0</v>
      </c>
      <c r="R1321" s="343">
        <f t="shared" si="152"/>
        <v>-25</v>
      </c>
      <c r="S1321" s="240"/>
      <c r="T1321" s="201"/>
      <c r="U1321" s="201"/>
      <c r="V1321" s="201"/>
    </row>
    <row r="1322" spans="1:22" ht="15.75" x14ac:dyDescent="0.25">
      <c r="A1322" s="234" t="s">
        <v>4000</v>
      </c>
      <c r="B1322" s="235" t="s">
        <v>4001</v>
      </c>
      <c r="C1322" s="234" t="s">
        <v>9</v>
      </c>
      <c r="D1322" s="312">
        <v>25</v>
      </c>
      <c r="E1322" s="312"/>
      <c r="F1322" s="248"/>
      <c r="G1322" s="312"/>
      <c r="H1322" s="312"/>
      <c r="I1322" s="312"/>
      <c r="J1322" s="248">
        <f t="shared" si="148"/>
        <v>0</v>
      </c>
      <c r="K1322" s="330">
        <f t="shared" si="149"/>
        <v>-25</v>
      </c>
      <c r="L1322" s="313"/>
      <c r="M1322" s="228">
        <f t="shared" si="150"/>
        <v>0</v>
      </c>
      <c r="N1322" s="228">
        <f t="shared" si="153"/>
        <v>0</v>
      </c>
      <c r="O1322" s="228">
        <f t="shared" si="154"/>
        <v>0</v>
      </c>
      <c r="P1322" s="228">
        <f t="shared" si="154"/>
        <v>0</v>
      </c>
      <c r="Q1322" s="228">
        <f t="shared" si="151"/>
        <v>0</v>
      </c>
      <c r="R1322" s="343">
        <f t="shared" si="152"/>
        <v>-25</v>
      </c>
      <c r="S1322" s="240"/>
      <c r="T1322" s="201"/>
      <c r="U1322" s="201"/>
      <c r="V1322" s="201"/>
    </row>
    <row r="1323" spans="1:22" ht="15.75" x14ac:dyDescent="0.25">
      <c r="A1323" s="234" t="s">
        <v>4002</v>
      </c>
      <c r="B1323" s="235" t="s">
        <v>4003</v>
      </c>
      <c r="C1323" s="234" t="s">
        <v>9</v>
      </c>
      <c r="D1323" s="312">
        <v>102</v>
      </c>
      <c r="E1323" s="312"/>
      <c r="F1323" s="248"/>
      <c r="G1323" s="312"/>
      <c r="H1323" s="312"/>
      <c r="I1323" s="312"/>
      <c r="J1323" s="248">
        <f t="shared" si="148"/>
        <v>0</v>
      </c>
      <c r="K1323" s="330">
        <f t="shared" si="149"/>
        <v>-102</v>
      </c>
      <c r="L1323" s="313"/>
      <c r="M1323" s="228">
        <f t="shared" si="150"/>
        <v>0</v>
      </c>
      <c r="N1323" s="228">
        <f t="shared" si="153"/>
        <v>0</v>
      </c>
      <c r="O1323" s="228">
        <f t="shared" si="154"/>
        <v>0</v>
      </c>
      <c r="P1323" s="228">
        <f t="shared" si="154"/>
        <v>0</v>
      </c>
      <c r="Q1323" s="228">
        <f t="shared" si="151"/>
        <v>0</v>
      </c>
      <c r="R1323" s="343">
        <f t="shared" si="152"/>
        <v>-102</v>
      </c>
      <c r="S1323" s="240"/>
      <c r="T1323" s="201"/>
      <c r="U1323" s="201"/>
      <c r="V1323" s="201"/>
    </row>
    <row r="1324" spans="1:22" ht="15.75" x14ac:dyDescent="0.25">
      <c r="A1324" s="234" t="s">
        <v>4004</v>
      </c>
      <c r="B1324" s="235" t="s">
        <v>4005</v>
      </c>
      <c r="C1324" s="234" t="s">
        <v>9</v>
      </c>
      <c r="D1324" s="312">
        <v>50</v>
      </c>
      <c r="E1324" s="312"/>
      <c r="F1324" s="248"/>
      <c r="G1324" s="312"/>
      <c r="H1324" s="312"/>
      <c r="I1324" s="312"/>
      <c r="J1324" s="248">
        <f t="shared" si="148"/>
        <v>0</v>
      </c>
      <c r="K1324" s="330">
        <f t="shared" si="149"/>
        <v>-50</v>
      </c>
      <c r="L1324" s="313"/>
      <c r="M1324" s="228">
        <f t="shared" si="150"/>
        <v>0</v>
      </c>
      <c r="N1324" s="228">
        <f t="shared" si="153"/>
        <v>0</v>
      </c>
      <c r="O1324" s="228">
        <f t="shared" si="154"/>
        <v>0</v>
      </c>
      <c r="P1324" s="228">
        <f t="shared" si="154"/>
        <v>0</v>
      </c>
      <c r="Q1324" s="228">
        <f t="shared" si="151"/>
        <v>0</v>
      </c>
      <c r="R1324" s="343">
        <f t="shared" si="152"/>
        <v>-50</v>
      </c>
      <c r="S1324" s="240"/>
      <c r="T1324" s="201"/>
      <c r="U1324" s="201"/>
      <c r="V1324" s="201"/>
    </row>
    <row r="1325" spans="1:22" ht="15.75" x14ac:dyDescent="0.25">
      <c r="A1325" s="234" t="s">
        <v>4006</v>
      </c>
      <c r="B1325" s="235" t="s">
        <v>4007</v>
      </c>
      <c r="C1325" s="234" t="s">
        <v>9</v>
      </c>
      <c r="D1325" s="312">
        <v>25</v>
      </c>
      <c r="E1325" s="312"/>
      <c r="F1325" s="248"/>
      <c r="G1325" s="312"/>
      <c r="H1325" s="312"/>
      <c r="I1325" s="312"/>
      <c r="J1325" s="248">
        <f t="shared" si="148"/>
        <v>0</v>
      </c>
      <c r="K1325" s="330">
        <f t="shared" si="149"/>
        <v>-25</v>
      </c>
      <c r="L1325" s="313"/>
      <c r="M1325" s="228">
        <f t="shared" si="150"/>
        <v>0</v>
      </c>
      <c r="N1325" s="228">
        <f t="shared" si="153"/>
        <v>0</v>
      </c>
      <c r="O1325" s="228">
        <f t="shared" si="154"/>
        <v>0</v>
      </c>
      <c r="P1325" s="228">
        <f t="shared" si="154"/>
        <v>0</v>
      </c>
      <c r="Q1325" s="228">
        <f t="shared" si="151"/>
        <v>0</v>
      </c>
      <c r="R1325" s="343">
        <f t="shared" si="152"/>
        <v>-25</v>
      </c>
      <c r="S1325" s="240"/>
      <c r="T1325" s="201"/>
      <c r="U1325" s="201"/>
      <c r="V1325" s="201"/>
    </row>
    <row r="1326" spans="1:22" ht="15.75" x14ac:dyDescent="0.25">
      <c r="A1326" s="234" t="s">
        <v>4008</v>
      </c>
      <c r="B1326" s="235" t="s">
        <v>4009</v>
      </c>
      <c r="C1326" s="234" t="s">
        <v>9</v>
      </c>
      <c r="D1326" s="312">
        <v>102</v>
      </c>
      <c r="E1326" s="312"/>
      <c r="F1326" s="248"/>
      <c r="G1326" s="312"/>
      <c r="H1326" s="312"/>
      <c r="I1326" s="312"/>
      <c r="J1326" s="248">
        <f t="shared" si="148"/>
        <v>0</v>
      </c>
      <c r="K1326" s="330">
        <f t="shared" si="149"/>
        <v>-102</v>
      </c>
      <c r="L1326" s="313"/>
      <c r="M1326" s="228">
        <f t="shared" si="150"/>
        <v>0</v>
      </c>
      <c r="N1326" s="228">
        <f t="shared" si="153"/>
        <v>0</v>
      </c>
      <c r="O1326" s="228">
        <f t="shared" si="154"/>
        <v>0</v>
      </c>
      <c r="P1326" s="228">
        <f t="shared" si="154"/>
        <v>0</v>
      </c>
      <c r="Q1326" s="228">
        <f t="shared" si="151"/>
        <v>0</v>
      </c>
      <c r="R1326" s="343">
        <f t="shared" si="152"/>
        <v>-102</v>
      </c>
      <c r="S1326" s="240"/>
      <c r="T1326" s="201"/>
      <c r="U1326" s="201"/>
      <c r="V1326" s="201"/>
    </row>
    <row r="1327" spans="1:22" ht="15.75" x14ac:dyDescent="0.25">
      <c r="A1327" s="234" t="s">
        <v>4010</v>
      </c>
      <c r="B1327" s="235" t="s">
        <v>4011</v>
      </c>
      <c r="C1327" s="234" t="s">
        <v>9</v>
      </c>
      <c r="D1327" s="312">
        <v>50</v>
      </c>
      <c r="E1327" s="312"/>
      <c r="F1327" s="248"/>
      <c r="G1327" s="312"/>
      <c r="H1327" s="312"/>
      <c r="I1327" s="312"/>
      <c r="J1327" s="248">
        <f t="shared" si="148"/>
        <v>0</v>
      </c>
      <c r="K1327" s="330">
        <f t="shared" si="149"/>
        <v>-50</v>
      </c>
      <c r="L1327" s="313"/>
      <c r="M1327" s="228">
        <f t="shared" si="150"/>
        <v>0</v>
      </c>
      <c r="N1327" s="228">
        <f t="shared" si="153"/>
        <v>0</v>
      </c>
      <c r="O1327" s="228">
        <f t="shared" si="154"/>
        <v>0</v>
      </c>
      <c r="P1327" s="228">
        <f t="shared" si="154"/>
        <v>0</v>
      </c>
      <c r="Q1327" s="228">
        <f t="shared" si="151"/>
        <v>0</v>
      </c>
      <c r="R1327" s="343">
        <f t="shared" si="152"/>
        <v>-50</v>
      </c>
      <c r="S1327" s="240"/>
      <c r="T1327" s="201"/>
      <c r="U1327" s="201"/>
      <c r="V1327" s="201"/>
    </row>
    <row r="1328" spans="1:22" ht="15.75" x14ac:dyDescent="0.25">
      <c r="A1328" s="234" t="s">
        <v>4012</v>
      </c>
      <c r="B1328" s="235" t="s">
        <v>4013</v>
      </c>
      <c r="C1328" s="234" t="s">
        <v>9</v>
      </c>
      <c r="D1328" s="312">
        <v>25</v>
      </c>
      <c r="E1328" s="312"/>
      <c r="F1328" s="248"/>
      <c r="G1328" s="312"/>
      <c r="H1328" s="312"/>
      <c r="I1328" s="312"/>
      <c r="J1328" s="248">
        <f t="shared" si="148"/>
        <v>0</v>
      </c>
      <c r="K1328" s="330">
        <f t="shared" si="149"/>
        <v>-25</v>
      </c>
      <c r="L1328" s="313"/>
      <c r="M1328" s="228">
        <f t="shared" si="150"/>
        <v>0</v>
      </c>
      <c r="N1328" s="228">
        <f t="shared" si="153"/>
        <v>0</v>
      </c>
      <c r="O1328" s="228">
        <f t="shared" si="154"/>
        <v>0</v>
      </c>
      <c r="P1328" s="228">
        <f t="shared" si="154"/>
        <v>0</v>
      </c>
      <c r="Q1328" s="228">
        <f t="shared" si="151"/>
        <v>0</v>
      </c>
      <c r="R1328" s="343">
        <f t="shared" si="152"/>
        <v>-25</v>
      </c>
      <c r="S1328" s="240"/>
      <c r="T1328" s="201"/>
      <c r="U1328" s="201"/>
      <c r="V1328" s="201"/>
    </row>
    <row r="1329" spans="1:22" ht="15.75" x14ac:dyDescent="0.25">
      <c r="A1329" s="234" t="s">
        <v>4014</v>
      </c>
      <c r="B1329" s="235" t="s">
        <v>4015</v>
      </c>
      <c r="C1329" s="234" t="s">
        <v>9</v>
      </c>
      <c r="D1329" s="312">
        <v>25</v>
      </c>
      <c r="E1329" s="312"/>
      <c r="F1329" s="248"/>
      <c r="G1329" s="312"/>
      <c r="H1329" s="312"/>
      <c r="I1329" s="312"/>
      <c r="J1329" s="248">
        <f t="shared" si="148"/>
        <v>0</v>
      </c>
      <c r="K1329" s="330">
        <f t="shared" si="149"/>
        <v>-25</v>
      </c>
      <c r="L1329" s="313"/>
      <c r="M1329" s="228">
        <f t="shared" si="150"/>
        <v>0</v>
      </c>
      <c r="N1329" s="228">
        <f t="shared" si="153"/>
        <v>0</v>
      </c>
      <c r="O1329" s="228">
        <f t="shared" si="154"/>
        <v>0</v>
      </c>
      <c r="P1329" s="228">
        <f t="shared" si="154"/>
        <v>0</v>
      </c>
      <c r="Q1329" s="228">
        <f t="shared" si="151"/>
        <v>0</v>
      </c>
      <c r="R1329" s="343">
        <f t="shared" si="152"/>
        <v>-25</v>
      </c>
      <c r="S1329" s="240"/>
      <c r="T1329" s="201"/>
      <c r="U1329" s="201"/>
      <c r="V1329" s="201"/>
    </row>
    <row r="1330" spans="1:22" ht="15.75" x14ac:dyDescent="0.25">
      <c r="A1330" s="234" t="s">
        <v>4016</v>
      </c>
      <c r="B1330" s="235" t="s">
        <v>4017</v>
      </c>
      <c r="C1330" s="234" t="s">
        <v>9</v>
      </c>
      <c r="D1330" s="312">
        <v>129</v>
      </c>
      <c r="E1330" s="312"/>
      <c r="F1330" s="248"/>
      <c r="G1330" s="312"/>
      <c r="H1330" s="312"/>
      <c r="I1330" s="312"/>
      <c r="J1330" s="248">
        <f t="shared" si="148"/>
        <v>0</v>
      </c>
      <c r="K1330" s="330">
        <f t="shared" si="149"/>
        <v>-129</v>
      </c>
      <c r="L1330" s="313"/>
      <c r="M1330" s="228">
        <f t="shared" si="150"/>
        <v>0</v>
      </c>
      <c r="N1330" s="228">
        <f t="shared" si="153"/>
        <v>0</v>
      </c>
      <c r="O1330" s="228">
        <f t="shared" si="154"/>
        <v>0</v>
      </c>
      <c r="P1330" s="228">
        <f t="shared" si="154"/>
        <v>0</v>
      </c>
      <c r="Q1330" s="228">
        <f t="shared" si="151"/>
        <v>0</v>
      </c>
      <c r="R1330" s="343">
        <f t="shared" si="152"/>
        <v>-129</v>
      </c>
      <c r="S1330" s="240"/>
      <c r="T1330" s="201"/>
      <c r="U1330" s="201"/>
      <c r="V1330" s="201"/>
    </row>
    <row r="1331" spans="1:22" ht="15.75" x14ac:dyDescent="0.25">
      <c r="A1331" s="234" t="s">
        <v>4018</v>
      </c>
      <c r="B1331" s="235" t="s">
        <v>4019</v>
      </c>
      <c r="C1331" s="234" t="s">
        <v>9</v>
      </c>
      <c r="D1331" s="312">
        <v>100</v>
      </c>
      <c r="E1331" s="312"/>
      <c r="F1331" s="248"/>
      <c r="G1331" s="312"/>
      <c r="H1331" s="312"/>
      <c r="I1331" s="312"/>
      <c r="J1331" s="248">
        <f t="shared" si="148"/>
        <v>0</v>
      </c>
      <c r="K1331" s="330">
        <f t="shared" si="149"/>
        <v>-100</v>
      </c>
      <c r="L1331" s="313"/>
      <c r="M1331" s="228">
        <f t="shared" si="150"/>
        <v>0</v>
      </c>
      <c r="N1331" s="228">
        <f t="shared" si="153"/>
        <v>0</v>
      </c>
      <c r="O1331" s="228">
        <f t="shared" si="154"/>
        <v>0</v>
      </c>
      <c r="P1331" s="228">
        <f t="shared" si="154"/>
        <v>0</v>
      </c>
      <c r="Q1331" s="228">
        <f t="shared" si="151"/>
        <v>0</v>
      </c>
      <c r="R1331" s="343">
        <f t="shared" si="152"/>
        <v>-100</v>
      </c>
      <c r="S1331" s="240"/>
      <c r="T1331" s="201"/>
      <c r="U1331" s="201"/>
      <c r="V1331" s="201"/>
    </row>
    <row r="1332" spans="1:22" ht="15.75" x14ac:dyDescent="0.25">
      <c r="A1332" s="234" t="s">
        <v>4020</v>
      </c>
      <c r="B1332" s="235" t="s">
        <v>4021</v>
      </c>
      <c r="C1332" s="234" t="s">
        <v>9</v>
      </c>
      <c r="D1332" s="312">
        <v>50</v>
      </c>
      <c r="E1332" s="312"/>
      <c r="F1332" s="248"/>
      <c r="G1332" s="312"/>
      <c r="H1332" s="312"/>
      <c r="I1332" s="312"/>
      <c r="J1332" s="248">
        <f t="shared" si="148"/>
        <v>0</v>
      </c>
      <c r="K1332" s="330">
        <f t="shared" si="149"/>
        <v>-50</v>
      </c>
      <c r="L1332" s="313"/>
      <c r="M1332" s="228">
        <f t="shared" si="150"/>
        <v>0</v>
      </c>
      <c r="N1332" s="228">
        <f t="shared" si="153"/>
        <v>0</v>
      </c>
      <c r="O1332" s="228">
        <f t="shared" si="154"/>
        <v>0</v>
      </c>
      <c r="P1332" s="228">
        <f t="shared" si="154"/>
        <v>0</v>
      </c>
      <c r="Q1332" s="228">
        <f t="shared" si="151"/>
        <v>0</v>
      </c>
      <c r="R1332" s="343">
        <f t="shared" si="152"/>
        <v>-50</v>
      </c>
      <c r="S1332" s="240"/>
      <c r="T1332" s="201"/>
      <c r="U1332" s="201"/>
      <c r="V1332" s="201"/>
    </row>
    <row r="1333" spans="1:22" ht="15.75" x14ac:dyDescent="0.25">
      <c r="A1333" s="234" t="s">
        <v>4022</v>
      </c>
      <c r="B1333" s="235" t="s">
        <v>4023</v>
      </c>
      <c r="C1333" s="234" t="s">
        <v>9</v>
      </c>
      <c r="D1333" s="312">
        <v>129</v>
      </c>
      <c r="E1333" s="312"/>
      <c r="F1333" s="248"/>
      <c r="G1333" s="312"/>
      <c r="H1333" s="312"/>
      <c r="I1333" s="312"/>
      <c r="J1333" s="248">
        <f t="shared" si="148"/>
        <v>0</v>
      </c>
      <c r="K1333" s="330">
        <f t="shared" si="149"/>
        <v>-129</v>
      </c>
      <c r="L1333" s="313"/>
      <c r="M1333" s="228">
        <f t="shared" si="150"/>
        <v>0</v>
      </c>
      <c r="N1333" s="228">
        <f t="shared" si="153"/>
        <v>0</v>
      </c>
      <c r="O1333" s="228">
        <f t="shared" si="154"/>
        <v>0</v>
      </c>
      <c r="P1333" s="228">
        <f t="shared" si="154"/>
        <v>0</v>
      </c>
      <c r="Q1333" s="228">
        <f t="shared" si="151"/>
        <v>0</v>
      </c>
      <c r="R1333" s="343">
        <f t="shared" si="152"/>
        <v>-129</v>
      </c>
      <c r="S1333" s="240"/>
      <c r="T1333" s="201"/>
      <c r="U1333" s="201"/>
      <c r="V1333" s="201"/>
    </row>
    <row r="1334" spans="1:22" ht="15.75" x14ac:dyDescent="0.25">
      <c r="A1334" s="234" t="s">
        <v>4024</v>
      </c>
      <c r="B1334" s="235" t="s">
        <v>4025</v>
      </c>
      <c r="C1334" s="234" t="s">
        <v>9</v>
      </c>
      <c r="D1334" s="312">
        <v>100</v>
      </c>
      <c r="E1334" s="312"/>
      <c r="F1334" s="248"/>
      <c r="G1334" s="312"/>
      <c r="H1334" s="312"/>
      <c r="I1334" s="312"/>
      <c r="J1334" s="248">
        <f t="shared" si="148"/>
        <v>0</v>
      </c>
      <c r="K1334" s="330">
        <f t="shared" si="149"/>
        <v>-100</v>
      </c>
      <c r="L1334" s="313"/>
      <c r="M1334" s="228">
        <f t="shared" si="150"/>
        <v>0</v>
      </c>
      <c r="N1334" s="228">
        <f t="shared" si="153"/>
        <v>0</v>
      </c>
      <c r="O1334" s="228">
        <f t="shared" si="154"/>
        <v>0</v>
      </c>
      <c r="P1334" s="228">
        <f t="shared" si="154"/>
        <v>0</v>
      </c>
      <c r="Q1334" s="228">
        <f t="shared" si="151"/>
        <v>0</v>
      </c>
      <c r="R1334" s="343">
        <f t="shared" si="152"/>
        <v>-100</v>
      </c>
      <c r="S1334" s="240"/>
      <c r="T1334" s="201"/>
      <c r="U1334" s="201"/>
      <c r="V1334" s="201"/>
    </row>
    <row r="1335" spans="1:22" ht="15.75" x14ac:dyDescent="0.25">
      <c r="A1335" s="234" t="s">
        <v>4026</v>
      </c>
      <c r="B1335" s="235" t="s">
        <v>4027</v>
      </c>
      <c r="C1335" s="234" t="s">
        <v>9</v>
      </c>
      <c r="D1335" s="312">
        <v>50</v>
      </c>
      <c r="E1335" s="312"/>
      <c r="F1335" s="248"/>
      <c r="G1335" s="312"/>
      <c r="H1335" s="312"/>
      <c r="I1335" s="312"/>
      <c r="J1335" s="248">
        <f t="shared" si="148"/>
        <v>0</v>
      </c>
      <c r="K1335" s="330">
        <f t="shared" si="149"/>
        <v>-50</v>
      </c>
      <c r="L1335" s="313"/>
      <c r="M1335" s="228">
        <f t="shared" si="150"/>
        <v>0</v>
      </c>
      <c r="N1335" s="228">
        <f t="shared" si="153"/>
        <v>0</v>
      </c>
      <c r="O1335" s="228">
        <f t="shared" si="154"/>
        <v>0</v>
      </c>
      <c r="P1335" s="228">
        <f t="shared" si="154"/>
        <v>0</v>
      </c>
      <c r="Q1335" s="228">
        <f t="shared" si="151"/>
        <v>0</v>
      </c>
      <c r="R1335" s="343">
        <f t="shared" si="152"/>
        <v>-50</v>
      </c>
      <c r="S1335" s="240"/>
      <c r="T1335" s="201"/>
      <c r="U1335" s="201"/>
      <c r="V1335" s="201"/>
    </row>
    <row r="1336" spans="1:22" ht="15.75" x14ac:dyDescent="0.25">
      <c r="A1336" s="234" t="s">
        <v>4028</v>
      </c>
      <c r="B1336" s="235" t="s">
        <v>4029</v>
      </c>
      <c r="C1336" s="234" t="s">
        <v>248</v>
      </c>
      <c r="D1336" s="312">
        <v>170</v>
      </c>
      <c r="E1336" s="312"/>
      <c r="F1336" s="248"/>
      <c r="G1336" s="312"/>
      <c r="H1336" s="312"/>
      <c r="I1336" s="312"/>
      <c r="J1336" s="248">
        <f t="shared" si="148"/>
        <v>0</v>
      </c>
      <c r="K1336" s="330">
        <f t="shared" si="149"/>
        <v>-170</v>
      </c>
      <c r="L1336" s="313"/>
      <c r="M1336" s="228">
        <f t="shared" si="150"/>
        <v>0</v>
      </c>
      <c r="N1336" s="228">
        <f t="shared" si="153"/>
        <v>0</v>
      </c>
      <c r="O1336" s="228">
        <f t="shared" si="154"/>
        <v>0</v>
      </c>
      <c r="P1336" s="228">
        <f t="shared" si="154"/>
        <v>0</v>
      </c>
      <c r="Q1336" s="228">
        <f t="shared" si="151"/>
        <v>0</v>
      </c>
      <c r="R1336" s="343">
        <f t="shared" si="152"/>
        <v>-170</v>
      </c>
      <c r="S1336" s="240"/>
      <c r="T1336" s="201"/>
      <c r="U1336" s="201"/>
      <c r="V1336" s="201"/>
    </row>
    <row r="1337" spans="1:22" ht="15.75" x14ac:dyDescent="0.25">
      <c r="A1337" s="234" t="s">
        <v>4030</v>
      </c>
      <c r="B1337" s="235" t="s">
        <v>4031</v>
      </c>
      <c r="C1337" s="234" t="s">
        <v>248</v>
      </c>
      <c r="D1337" s="312">
        <v>150</v>
      </c>
      <c r="E1337" s="312"/>
      <c r="F1337" s="248"/>
      <c r="G1337" s="312"/>
      <c r="H1337" s="312"/>
      <c r="I1337" s="312"/>
      <c r="J1337" s="248">
        <f t="shared" si="148"/>
        <v>0</v>
      </c>
      <c r="K1337" s="330">
        <f t="shared" si="149"/>
        <v>-150</v>
      </c>
      <c r="L1337" s="313"/>
      <c r="M1337" s="228">
        <f t="shared" si="150"/>
        <v>0</v>
      </c>
      <c r="N1337" s="228">
        <f t="shared" si="153"/>
        <v>0</v>
      </c>
      <c r="O1337" s="228">
        <f t="shared" si="154"/>
        <v>0</v>
      </c>
      <c r="P1337" s="228">
        <f t="shared" si="154"/>
        <v>0</v>
      </c>
      <c r="Q1337" s="228">
        <f t="shared" si="151"/>
        <v>0</v>
      </c>
      <c r="R1337" s="343">
        <f t="shared" si="152"/>
        <v>-150</v>
      </c>
      <c r="S1337" s="240"/>
      <c r="T1337" s="201"/>
      <c r="U1337" s="201"/>
      <c r="V1337" s="201"/>
    </row>
    <row r="1338" spans="1:22" ht="15.75" x14ac:dyDescent="0.25">
      <c r="A1338" s="234" t="s">
        <v>4032</v>
      </c>
      <c r="B1338" s="235" t="s">
        <v>4033</v>
      </c>
      <c r="C1338" s="234" t="s">
        <v>248</v>
      </c>
      <c r="D1338" s="312">
        <v>75</v>
      </c>
      <c r="E1338" s="312"/>
      <c r="F1338" s="248"/>
      <c r="G1338" s="312"/>
      <c r="H1338" s="312"/>
      <c r="I1338" s="312"/>
      <c r="J1338" s="248">
        <f t="shared" ref="J1338:J1510" si="155">F1338+G1338+H1338+I1338</f>
        <v>0</v>
      </c>
      <c r="K1338" s="330">
        <f t="shared" ref="K1338:K1510" si="156">J1338-D1338</f>
        <v>-75</v>
      </c>
      <c r="L1338" s="313"/>
      <c r="M1338" s="228">
        <f t="shared" ref="M1338:M1510" si="157">F1338</f>
        <v>0</v>
      </c>
      <c r="N1338" s="228">
        <f t="shared" si="153"/>
        <v>0</v>
      </c>
      <c r="O1338" s="228">
        <f t="shared" si="154"/>
        <v>0</v>
      </c>
      <c r="P1338" s="228">
        <f t="shared" si="154"/>
        <v>0</v>
      </c>
      <c r="Q1338" s="228">
        <f t="shared" ref="Q1338:Q1510" si="158">M1338+N1338+O1338+P1338</f>
        <v>0</v>
      </c>
      <c r="R1338" s="343">
        <f t="shared" ref="R1338:R1510" si="159">Q1338-D1338</f>
        <v>-75</v>
      </c>
      <c r="S1338" s="240"/>
      <c r="T1338" s="201"/>
      <c r="U1338" s="201"/>
      <c r="V1338" s="201"/>
    </row>
    <row r="1339" spans="1:22" ht="15.75" x14ac:dyDescent="0.25">
      <c r="A1339" s="234" t="s">
        <v>4034</v>
      </c>
      <c r="B1339" s="235" t="s">
        <v>4035</v>
      </c>
      <c r="C1339" s="234" t="s">
        <v>248</v>
      </c>
      <c r="D1339" s="312">
        <v>50</v>
      </c>
      <c r="E1339" s="312"/>
      <c r="F1339" s="248"/>
      <c r="G1339" s="312"/>
      <c r="H1339" s="312"/>
      <c r="I1339" s="312"/>
      <c r="J1339" s="248">
        <f t="shared" si="155"/>
        <v>0</v>
      </c>
      <c r="K1339" s="330">
        <f t="shared" si="156"/>
        <v>-50</v>
      </c>
      <c r="L1339" s="313"/>
      <c r="M1339" s="228">
        <f t="shared" si="157"/>
        <v>0</v>
      </c>
      <c r="N1339" s="228">
        <f t="shared" si="153"/>
        <v>0</v>
      </c>
      <c r="O1339" s="228">
        <f t="shared" si="154"/>
        <v>0</v>
      </c>
      <c r="P1339" s="228">
        <f t="shared" si="154"/>
        <v>0</v>
      </c>
      <c r="Q1339" s="228">
        <f t="shared" si="158"/>
        <v>0</v>
      </c>
      <c r="R1339" s="343">
        <f t="shared" si="159"/>
        <v>-50</v>
      </c>
      <c r="S1339" s="240"/>
      <c r="T1339" s="201"/>
      <c r="U1339" s="201"/>
      <c r="V1339" s="201"/>
    </row>
    <row r="1340" spans="1:22" ht="15.75" x14ac:dyDescent="0.25">
      <c r="A1340" s="234" t="s">
        <v>4036</v>
      </c>
      <c r="B1340" s="235" t="s">
        <v>4037</v>
      </c>
      <c r="C1340" s="234" t="s">
        <v>248</v>
      </c>
      <c r="D1340" s="312">
        <v>96</v>
      </c>
      <c r="E1340" s="312"/>
      <c r="F1340" s="248"/>
      <c r="G1340" s="312"/>
      <c r="H1340" s="312"/>
      <c r="I1340" s="312"/>
      <c r="J1340" s="248">
        <f t="shared" si="155"/>
        <v>0</v>
      </c>
      <c r="K1340" s="330">
        <f t="shared" si="156"/>
        <v>-96</v>
      </c>
      <c r="L1340" s="313"/>
      <c r="M1340" s="228">
        <f t="shared" si="157"/>
        <v>0</v>
      </c>
      <c r="N1340" s="228">
        <f t="shared" si="153"/>
        <v>0</v>
      </c>
      <c r="O1340" s="228">
        <f t="shared" si="154"/>
        <v>0</v>
      </c>
      <c r="P1340" s="228">
        <f t="shared" si="154"/>
        <v>0</v>
      </c>
      <c r="Q1340" s="228">
        <f t="shared" si="158"/>
        <v>0</v>
      </c>
      <c r="R1340" s="343">
        <f t="shared" si="159"/>
        <v>-96</v>
      </c>
      <c r="S1340" s="240"/>
      <c r="T1340" s="201"/>
      <c r="U1340" s="201"/>
      <c r="V1340" s="201"/>
    </row>
    <row r="1341" spans="1:22" ht="30" x14ac:dyDescent="0.25">
      <c r="A1341" s="234" t="s">
        <v>4038</v>
      </c>
      <c r="B1341" s="235" t="s">
        <v>4039</v>
      </c>
      <c r="C1341" s="234" t="s">
        <v>14</v>
      </c>
      <c r="D1341" s="312">
        <v>3.4</v>
      </c>
      <c r="E1341" s="312"/>
      <c r="F1341" s="248"/>
      <c r="G1341" s="312"/>
      <c r="H1341" s="312"/>
      <c r="I1341" s="312"/>
      <c r="J1341" s="248">
        <f t="shared" si="155"/>
        <v>0</v>
      </c>
      <c r="K1341" s="330">
        <f t="shared" si="156"/>
        <v>-3.4</v>
      </c>
      <c r="L1341" s="313"/>
      <c r="M1341" s="228">
        <f t="shared" si="157"/>
        <v>0</v>
      </c>
      <c r="N1341" s="228">
        <f t="shared" si="153"/>
        <v>0</v>
      </c>
      <c r="O1341" s="228">
        <f t="shared" si="154"/>
        <v>0</v>
      </c>
      <c r="P1341" s="228">
        <f t="shared" si="154"/>
        <v>0</v>
      </c>
      <c r="Q1341" s="228">
        <f t="shared" si="158"/>
        <v>0</v>
      </c>
      <c r="R1341" s="343">
        <f t="shared" si="159"/>
        <v>-3.4</v>
      </c>
      <c r="S1341" s="240"/>
      <c r="T1341" s="201"/>
      <c r="U1341" s="201"/>
      <c r="V1341" s="201"/>
    </row>
    <row r="1342" spans="1:22" ht="30" x14ac:dyDescent="0.25">
      <c r="A1342" s="234" t="s">
        <v>4040</v>
      </c>
      <c r="B1342" s="235" t="s">
        <v>4041</v>
      </c>
      <c r="C1342" s="234" t="s">
        <v>14</v>
      </c>
      <c r="D1342" s="312">
        <v>3</v>
      </c>
      <c r="E1342" s="312"/>
      <c r="F1342" s="248"/>
      <c r="G1342" s="312"/>
      <c r="H1342" s="312"/>
      <c r="I1342" s="312"/>
      <c r="J1342" s="248">
        <f t="shared" si="155"/>
        <v>0</v>
      </c>
      <c r="K1342" s="330">
        <f t="shared" si="156"/>
        <v>-3</v>
      </c>
      <c r="L1342" s="313"/>
      <c r="M1342" s="228">
        <f t="shared" si="157"/>
        <v>0</v>
      </c>
      <c r="N1342" s="228">
        <f t="shared" si="153"/>
        <v>0</v>
      </c>
      <c r="O1342" s="228">
        <f t="shared" si="154"/>
        <v>0</v>
      </c>
      <c r="P1342" s="228">
        <f t="shared" si="154"/>
        <v>0</v>
      </c>
      <c r="Q1342" s="228">
        <f t="shared" si="158"/>
        <v>0</v>
      </c>
      <c r="R1342" s="343">
        <f t="shared" si="159"/>
        <v>-3</v>
      </c>
      <c r="S1342" s="240"/>
      <c r="T1342" s="201"/>
      <c r="U1342" s="201"/>
      <c r="V1342" s="201"/>
    </row>
    <row r="1343" spans="1:22" ht="30" x14ac:dyDescent="0.25">
      <c r="A1343" s="234" t="s">
        <v>4042</v>
      </c>
      <c r="B1343" s="235" t="s">
        <v>4043</v>
      </c>
      <c r="C1343" s="234" t="s">
        <v>14</v>
      </c>
      <c r="D1343" s="312">
        <v>1.5</v>
      </c>
      <c r="E1343" s="312"/>
      <c r="F1343" s="248"/>
      <c r="G1343" s="312"/>
      <c r="H1343" s="312"/>
      <c r="I1343" s="312"/>
      <c r="J1343" s="248">
        <f t="shared" si="155"/>
        <v>0</v>
      </c>
      <c r="K1343" s="330">
        <f t="shared" si="156"/>
        <v>-1.5</v>
      </c>
      <c r="L1343" s="313"/>
      <c r="M1343" s="228">
        <f t="shared" si="157"/>
        <v>0</v>
      </c>
      <c r="N1343" s="228">
        <f t="shared" si="153"/>
        <v>0</v>
      </c>
      <c r="O1343" s="228">
        <f t="shared" si="154"/>
        <v>0</v>
      </c>
      <c r="P1343" s="228">
        <f t="shared" si="154"/>
        <v>0</v>
      </c>
      <c r="Q1343" s="228">
        <f t="shared" si="158"/>
        <v>0</v>
      </c>
      <c r="R1343" s="343">
        <f t="shared" si="159"/>
        <v>-1.5</v>
      </c>
      <c r="S1343" s="240"/>
      <c r="T1343" s="201"/>
      <c r="U1343" s="201"/>
      <c r="V1343" s="201"/>
    </row>
    <row r="1344" spans="1:22" ht="30" x14ac:dyDescent="0.25">
      <c r="A1344" s="234" t="s">
        <v>4044</v>
      </c>
      <c r="B1344" s="235" t="s">
        <v>4045</v>
      </c>
      <c r="C1344" s="234" t="s">
        <v>14</v>
      </c>
      <c r="D1344" s="312">
        <v>1</v>
      </c>
      <c r="E1344" s="312"/>
      <c r="F1344" s="248"/>
      <c r="G1344" s="312"/>
      <c r="H1344" s="312"/>
      <c r="I1344" s="312"/>
      <c r="J1344" s="248">
        <f t="shared" si="155"/>
        <v>0</v>
      </c>
      <c r="K1344" s="330">
        <f t="shared" si="156"/>
        <v>-1</v>
      </c>
      <c r="L1344" s="313"/>
      <c r="M1344" s="228">
        <f t="shared" si="157"/>
        <v>0</v>
      </c>
      <c r="N1344" s="228">
        <f t="shared" si="153"/>
        <v>0</v>
      </c>
      <c r="O1344" s="228">
        <f t="shared" si="154"/>
        <v>0</v>
      </c>
      <c r="P1344" s="228">
        <f t="shared" si="154"/>
        <v>0</v>
      </c>
      <c r="Q1344" s="228">
        <f t="shared" si="158"/>
        <v>0</v>
      </c>
      <c r="R1344" s="343">
        <f t="shared" si="159"/>
        <v>-1</v>
      </c>
      <c r="S1344" s="240"/>
      <c r="T1344" s="201"/>
      <c r="U1344" s="201"/>
      <c r="V1344" s="201"/>
    </row>
    <row r="1345" spans="1:22" ht="30" x14ac:dyDescent="0.25">
      <c r="A1345" s="234" t="s">
        <v>4046</v>
      </c>
      <c r="B1345" s="235" t="s">
        <v>4047</v>
      </c>
      <c r="C1345" s="234" t="s">
        <v>14</v>
      </c>
      <c r="D1345" s="312">
        <v>1</v>
      </c>
      <c r="E1345" s="312"/>
      <c r="F1345" s="248"/>
      <c r="G1345" s="312"/>
      <c r="H1345" s="312"/>
      <c r="I1345" s="312"/>
      <c r="J1345" s="248">
        <f t="shared" si="155"/>
        <v>0</v>
      </c>
      <c r="K1345" s="330">
        <f t="shared" si="156"/>
        <v>-1</v>
      </c>
      <c r="L1345" s="313"/>
      <c r="M1345" s="228">
        <f t="shared" si="157"/>
        <v>0</v>
      </c>
      <c r="N1345" s="228">
        <f t="shared" si="153"/>
        <v>0</v>
      </c>
      <c r="O1345" s="228">
        <f t="shared" si="154"/>
        <v>0</v>
      </c>
      <c r="P1345" s="228">
        <f t="shared" si="154"/>
        <v>0</v>
      </c>
      <c r="Q1345" s="228">
        <f t="shared" si="158"/>
        <v>0</v>
      </c>
      <c r="R1345" s="343">
        <f t="shared" si="159"/>
        <v>-1</v>
      </c>
      <c r="S1345" s="240"/>
      <c r="T1345" s="201"/>
      <c r="U1345" s="201"/>
      <c r="V1345" s="201"/>
    </row>
    <row r="1346" spans="1:22" ht="30" x14ac:dyDescent="0.25">
      <c r="A1346" s="234" t="s">
        <v>4048</v>
      </c>
      <c r="B1346" s="235" t="s">
        <v>4049</v>
      </c>
      <c r="C1346" s="234" t="s">
        <v>14</v>
      </c>
      <c r="D1346" s="312">
        <v>0.92</v>
      </c>
      <c r="E1346" s="312"/>
      <c r="F1346" s="248"/>
      <c r="G1346" s="312"/>
      <c r="H1346" s="312"/>
      <c r="I1346" s="312"/>
      <c r="J1346" s="248">
        <f t="shared" si="155"/>
        <v>0</v>
      </c>
      <c r="K1346" s="330">
        <f t="shared" si="156"/>
        <v>-0.92</v>
      </c>
      <c r="L1346" s="313"/>
      <c r="M1346" s="228">
        <f t="shared" si="157"/>
        <v>0</v>
      </c>
      <c r="N1346" s="228">
        <f t="shared" si="153"/>
        <v>0</v>
      </c>
      <c r="O1346" s="228">
        <f t="shared" si="154"/>
        <v>0</v>
      </c>
      <c r="P1346" s="228">
        <f t="shared" si="154"/>
        <v>0</v>
      </c>
      <c r="Q1346" s="228">
        <f t="shared" si="158"/>
        <v>0</v>
      </c>
      <c r="R1346" s="343">
        <f t="shared" si="159"/>
        <v>-0.92</v>
      </c>
      <c r="S1346" s="240"/>
      <c r="T1346" s="201"/>
      <c r="U1346" s="201"/>
      <c r="V1346" s="201"/>
    </row>
    <row r="1347" spans="1:22" ht="15.75" x14ac:dyDescent="0.25">
      <c r="A1347" s="230" t="s">
        <v>4050</v>
      </c>
      <c r="B1347" s="231" t="s">
        <v>4051</v>
      </c>
      <c r="C1347" s="234"/>
      <c r="D1347" s="312"/>
      <c r="E1347" s="312"/>
      <c r="F1347" s="248"/>
      <c r="G1347" s="312"/>
      <c r="H1347" s="312"/>
      <c r="I1347" s="312"/>
      <c r="J1347" s="248">
        <f t="shared" si="155"/>
        <v>0</v>
      </c>
      <c r="K1347" s="330">
        <f t="shared" si="156"/>
        <v>0</v>
      </c>
      <c r="L1347" s="313"/>
      <c r="M1347" s="228">
        <f t="shared" si="157"/>
        <v>0</v>
      </c>
      <c r="N1347" s="228">
        <f t="shared" si="153"/>
        <v>0</v>
      </c>
      <c r="O1347" s="228">
        <f t="shared" si="154"/>
        <v>0</v>
      </c>
      <c r="P1347" s="228">
        <f t="shared" si="154"/>
        <v>0</v>
      </c>
      <c r="Q1347" s="228">
        <f t="shared" si="158"/>
        <v>0</v>
      </c>
      <c r="R1347" s="343">
        <f t="shared" si="159"/>
        <v>0</v>
      </c>
      <c r="S1347" s="240"/>
      <c r="T1347" s="201"/>
      <c r="U1347" s="201"/>
      <c r="V1347" s="201"/>
    </row>
    <row r="1348" spans="1:22" ht="30" x14ac:dyDescent="0.25">
      <c r="A1348" s="234" t="s">
        <v>4052</v>
      </c>
      <c r="B1348" s="235" t="s">
        <v>4053</v>
      </c>
      <c r="C1348" s="234" t="s">
        <v>14</v>
      </c>
      <c r="D1348" s="312">
        <v>35.57</v>
      </c>
      <c r="E1348" s="312"/>
      <c r="F1348" s="248"/>
      <c r="G1348" s="312"/>
      <c r="H1348" s="312"/>
      <c r="I1348" s="312"/>
      <c r="J1348" s="248">
        <f t="shared" si="155"/>
        <v>0</v>
      </c>
      <c r="K1348" s="330">
        <f t="shared" si="156"/>
        <v>-35.57</v>
      </c>
      <c r="L1348" s="313"/>
      <c r="M1348" s="228">
        <f t="shared" si="157"/>
        <v>0</v>
      </c>
      <c r="N1348" s="228">
        <f t="shared" si="153"/>
        <v>0</v>
      </c>
      <c r="O1348" s="228">
        <f t="shared" si="154"/>
        <v>0</v>
      </c>
      <c r="P1348" s="228">
        <f t="shared" si="154"/>
        <v>0</v>
      </c>
      <c r="Q1348" s="228">
        <f t="shared" si="158"/>
        <v>0</v>
      </c>
      <c r="R1348" s="343">
        <f t="shared" si="159"/>
        <v>-35.57</v>
      </c>
      <c r="S1348" s="240"/>
      <c r="T1348" s="201"/>
      <c r="U1348" s="201"/>
      <c r="V1348" s="201"/>
    </row>
    <row r="1349" spans="1:22" ht="30" x14ac:dyDescent="0.25">
      <c r="A1349" s="234" t="s">
        <v>4054</v>
      </c>
      <c r="B1349" s="235" t="s">
        <v>4055</v>
      </c>
      <c r="C1349" s="234" t="s">
        <v>14</v>
      </c>
      <c r="D1349" s="312">
        <v>0.26</v>
      </c>
      <c r="E1349" s="312"/>
      <c r="F1349" s="248"/>
      <c r="G1349" s="312"/>
      <c r="H1349" s="312"/>
      <c r="I1349" s="312"/>
      <c r="J1349" s="248">
        <f t="shared" si="155"/>
        <v>0</v>
      </c>
      <c r="K1349" s="330">
        <f t="shared" si="156"/>
        <v>-0.26</v>
      </c>
      <c r="L1349" s="313"/>
      <c r="M1349" s="228">
        <f t="shared" si="157"/>
        <v>0</v>
      </c>
      <c r="N1349" s="228">
        <f t="shared" si="153"/>
        <v>0</v>
      </c>
      <c r="O1349" s="228">
        <f t="shared" si="154"/>
        <v>0</v>
      </c>
      <c r="P1349" s="228">
        <f t="shared" si="154"/>
        <v>0</v>
      </c>
      <c r="Q1349" s="228">
        <f t="shared" si="158"/>
        <v>0</v>
      </c>
      <c r="R1349" s="343">
        <f t="shared" si="159"/>
        <v>-0.26</v>
      </c>
      <c r="S1349" s="240"/>
      <c r="T1349" s="201"/>
      <c r="U1349" s="201"/>
      <c r="V1349" s="201"/>
    </row>
    <row r="1350" spans="1:22" ht="30" x14ac:dyDescent="0.25">
      <c r="A1350" s="234" t="s">
        <v>4056</v>
      </c>
      <c r="B1350" s="235" t="s">
        <v>4057</v>
      </c>
      <c r="C1350" s="234" t="s">
        <v>14</v>
      </c>
      <c r="D1350" s="312">
        <v>35.86</v>
      </c>
      <c r="E1350" s="312"/>
      <c r="F1350" s="248"/>
      <c r="G1350" s="312"/>
      <c r="H1350" s="312"/>
      <c r="I1350" s="312"/>
      <c r="J1350" s="248">
        <f t="shared" si="155"/>
        <v>0</v>
      </c>
      <c r="K1350" s="330">
        <f t="shared" si="156"/>
        <v>-35.86</v>
      </c>
      <c r="L1350" s="313"/>
      <c r="M1350" s="228">
        <f t="shared" si="157"/>
        <v>0</v>
      </c>
      <c r="N1350" s="228">
        <f t="shared" si="153"/>
        <v>0</v>
      </c>
      <c r="O1350" s="228">
        <f t="shared" si="154"/>
        <v>0</v>
      </c>
      <c r="P1350" s="228">
        <f t="shared" si="154"/>
        <v>0</v>
      </c>
      <c r="Q1350" s="228">
        <f t="shared" si="158"/>
        <v>0</v>
      </c>
      <c r="R1350" s="343">
        <f t="shared" si="159"/>
        <v>-35.86</v>
      </c>
      <c r="S1350" s="240"/>
      <c r="T1350" s="201"/>
      <c r="U1350" s="201"/>
      <c r="V1350" s="201"/>
    </row>
    <row r="1351" spans="1:22" ht="30" x14ac:dyDescent="0.25">
      <c r="A1351" s="234" t="s">
        <v>4058</v>
      </c>
      <c r="B1351" s="235" t="s">
        <v>4059</v>
      </c>
      <c r="C1351" s="234" t="s">
        <v>14</v>
      </c>
      <c r="D1351" s="312">
        <v>11.79</v>
      </c>
      <c r="E1351" s="312"/>
      <c r="F1351" s="248"/>
      <c r="G1351" s="312"/>
      <c r="H1351" s="312"/>
      <c r="I1351" s="312"/>
      <c r="J1351" s="248">
        <f t="shared" si="155"/>
        <v>0</v>
      </c>
      <c r="K1351" s="330">
        <f t="shared" si="156"/>
        <v>-11.79</v>
      </c>
      <c r="L1351" s="313"/>
      <c r="M1351" s="228">
        <f t="shared" si="157"/>
        <v>0</v>
      </c>
      <c r="N1351" s="228">
        <f t="shared" si="153"/>
        <v>0</v>
      </c>
      <c r="O1351" s="228">
        <f t="shared" si="154"/>
        <v>0</v>
      </c>
      <c r="P1351" s="228">
        <f t="shared" si="154"/>
        <v>0</v>
      </c>
      <c r="Q1351" s="228">
        <f t="shared" si="158"/>
        <v>0</v>
      </c>
      <c r="R1351" s="343">
        <f t="shared" si="159"/>
        <v>-11.79</v>
      </c>
      <c r="S1351" s="240"/>
      <c r="T1351" s="201"/>
      <c r="U1351" s="201"/>
      <c r="V1351" s="201"/>
    </row>
    <row r="1352" spans="1:22" ht="30" x14ac:dyDescent="0.25">
      <c r="A1352" s="234" t="s">
        <v>4060</v>
      </c>
      <c r="B1352" s="235" t="s">
        <v>4061</v>
      </c>
      <c r="C1352" s="234" t="s">
        <v>14</v>
      </c>
      <c r="D1352" s="312">
        <v>21.73</v>
      </c>
      <c r="E1352" s="312"/>
      <c r="F1352" s="248"/>
      <c r="G1352" s="312"/>
      <c r="H1352" s="312"/>
      <c r="I1352" s="312"/>
      <c r="J1352" s="248">
        <f t="shared" si="155"/>
        <v>0</v>
      </c>
      <c r="K1352" s="330">
        <f t="shared" si="156"/>
        <v>-21.73</v>
      </c>
      <c r="L1352" s="313"/>
      <c r="M1352" s="228">
        <f t="shared" si="157"/>
        <v>0</v>
      </c>
      <c r="N1352" s="228">
        <f t="shared" si="153"/>
        <v>0</v>
      </c>
      <c r="O1352" s="228">
        <f t="shared" si="154"/>
        <v>0</v>
      </c>
      <c r="P1352" s="228">
        <f t="shared" si="154"/>
        <v>0</v>
      </c>
      <c r="Q1352" s="228">
        <f t="shared" si="158"/>
        <v>0</v>
      </c>
      <c r="R1352" s="343">
        <f t="shared" si="159"/>
        <v>-21.73</v>
      </c>
      <c r="S1352" s="240"/>
      <c r="T1352" s="201"/>
      <c r="U1352" s="201"/>
      <c r="V1352" s="201"/>
    </row>
    <row r="1353" spans="1:22" ht="30" x14ac:dyDescent="0.25">
      <c r="A1353" s="234" t="s">
        <v>4062</v>
      </c>
      <c r="B1353" s="235" t="s">
        <v>4063</v>
      </c>
      <c r="C1353" s="234" t="s">
        <v>14</v>
      </c>
      <c r="D1353" s="312">
        <v>3.61</v>
      </c>
      <c r="E1353" s="312"/>
      <c r="F1353" s="248"/>
      <c r="G1353" s="312"/>
      <c r="H1353" s="312"/>
      <c r="I1353" s="312"/>
      <c r="J1353" s="248">
        <f t="shared" si="155"/>
        <v>0</v>
      </c>
      <c r="K1353" s="330">
        <f t="shared" si="156"/>
        <v>-3.61</v>
      </c>
      <c r="L1353" s="313"/>
      <c r="M1353" s="228">
        <f t="shared" si="157"/>
        <v>0</v>
      </c>
      <c r="N1353" s="228">
        <f t="shared" ref="N1353:N1525" si="160">G1353</f>
        <v>0</v>
      </c>
      <c r="O1353" s="228">
        <f t="shared" ref="O1353:P1525" si="161">H1353</f>
        <v>0</v>
      </c>
      <c r="P1353" s="228">
        <f t="shared" si="161"/>
        <v>0</v>
      </c>
      <c r="Q1353" s="228">
        <f t="shared" si="158"/>
        <v>0</v>
      </c>
      <c r="R1353" s="343">
        <f t="shared" si="159"/>
        <v>-3.61</v>
      </c>
      <c r="S1353" s="240"/>
      <c r="T1353" s="201"/>
      <c r="U1353" s="201"/>
      <c r="V1353" s="201"/>
    </row>
    <row r="1354" spans="1:22" ht="30" x14ac:dyDescent="0.25">
      <c r="A1354" s="234" t="s">
        <v>4064</v>
      </c>
      <c r="B1354" s="235" t="s">
        <v>4065</v>
      </c>
      <c r="C1354" s="234" t="s">
        <v>14</v>
      </c>
      <c r="D1354" s="312">
        <v>5.58</v>
      </c>
      <c r="E1354" s="312"/>
      <c r="F1354" s="248"/>
      <c r="G1354" s="312"/>
      <c r="H1354" s="312"/>
      <c r="I1354" s="312"/>
      <c r="J1354" s="248">
        <f t="shared" si="155"/>
        <v>0</v>
      </c>
      <c r="K1354" s="330">
        <f t="shared" si="156"/>
        <v>-5.58</v>
      </c>
      <c r="L1354" s="313"/>
      <c r="M1354" s="228">
        <f t="shared" si="157"/>
        <v>0</v>
      </c>
      <c r="N1354" s="228">
        <f t="shared" si="160"/>
        <v>0</v>
      </c>
      <c r="O1354" s="228">
        <f t="shared" si="161"/>
        <v>0</v>
      </c>
      <c r="P1354" s="228">
        <f t="shared" si="161"/>
        <v>0</v>
      </c>
      <c r="Q1354" s="228">
        <f t="shared" si="158"/>
        <v>0</v>
      </c>
      <c r="R1354" s="343">
        <f t="shared" si="159"/>
        <v>-5.58</v>
      </c>
      <c r="S1354" s="240"/>
      <c r="T1354" s="201"/>
      <c r="U1354" s="201"/>
      <c r="V1354" s="201"/>
    </row>
    <row r="1355" spans="1:22" ht="30" x14ac:dyDescent="0.25">
      <c r="A1355" s="234" t="s">
        <v>4066</v>
      </c>
      <c r="B1355" s="235" t="s">
        <v>4067</v>
      </c>
      <c r="C1355" s="234" t="s">
        <v>14</v>
      </c>
      <c r="D1355" s="312">
        <v>11.2</v>
      </c>
      <c r="E1355" s="312"/>
      <c r="F1355" s="248"/>
      <c r="G1355" s="312"/>
      <c r="H1355" s="312"/>
      <c r="I1355" s="312"/>
      <c r="J1355" s="248">
        <f t="shared" si="155"/>
        <v>0</v>
      </c>
      <c r="K1355" s="330">
        <f t="shared" si="156"/>
        <v>-11.2</v>
      </c>
      <c r="L1355" s="313"/>
      <c r="M1355" s="228">
        <f t="shared" si="157"/>
        <v>0</v>
      </c>
      <c r="N1355" s="228">
        <f t="shared" si="160"/>
        <v>0</v>
      </c>
      <c r="O1355" s="228">
        <f t="shared" si="161"/>
        <v>0</v>
      </c>
      <c r="P1355" s="228">
        <f t="shared" si="161"/>
        <v>0</v>
      </c>
      <c r="Q1355" s="228">
        <f t="shared" si="158"/>
        <v>0</v>
      </c>
      <c r="R1355" s="343">
        <f t="shared" si="159"/>
        <v>-11.2</v>
      </c>
      <c r="S1355" s="240"/>
      <c r="T1355" s="201"/>
      <c r="U1355" s="201"/>
      <c r="V1355" s="201"/>
    </row>
    <row r="1356" spans="1:22" ht="30" x14ac:dyDescent="0.25">
      <c r="A1356" s="234" t="s">
        <v>4068</v>
      </c>
      <c r="B1356" s="235" t="s">
        <v>4069</v>
      </c>
      <c r="C1356" s="234" t="s">
        <v>14</v>
      </c>
      <c r="D1356" s="312">
        <v>9.3699999999999992</v>
      </c>
      <c r="E1356" s="312"/>
      <c r="F1356" s="248"/>
      <c r="G1356" s="312"/>
      <c r="H1356" s="312"/>
      <c r="I1356" s="312"/>
      <c r="J1356" s="248">
        <f t="shared" si="155"/>
        <v>0</v>
      </c>
      <c r="K1356" s="330">
        <f t="shared" si="156"/>
        <v>-9.3699999999999992</v>
      </c>
      <c r="L1356" s="313"/>
      <c r="M1356" s="228">
        <f t="shared" si="157"/>
        <v>0</v>
      </c>
      <c r="N1356" s="228">
        <f t="shared" si="160"/>
        <v>0</v>
      </c>
      <c r="O1356" s="228">
        <f t="shared" si="161"/>
        <v>0</v>
      </c>
      <c r="P1356" s="228">
        <f t="shared" si="161"/>
        <v>0</v>
      </c>
      <c r="Q1356" s="228">
        <f t="shared" si="158"/>
        <v>0</v>
      </c>
      <c r="R1356" s="343">
        <f t="shared" si="159"/>
        <v>-9.3699999999999992</v>
      </c>
      <c r="S1356" s="240"/>
      <c r="T1356" s="201"/>
      <c r="U1356" s="201"/>
      <c r="V1356" s="201"/>
    </row>
    <row r="1357" spans="1:22" ht="15.75" x14ac:dyDescent="0.25">
      <c r="A1357" s="234" t="s">
        <v>4070</v>
      </c>
      <c r="B1357" s="235" t="s">
        <v>4071</v>
      </c>
      <c r="C1357" s="234" t="s">
        <v>1898</v>
      </c>
      <c r="D1357" s="312">
        <v>1</v>
      </c>
      <c r="E1357" s="312"/>
      <c r="F1357" s="248"/>
      <c r="G1357" s="312"/>
      <c r="H1357" s="312"/>
      <c r="I1357" s="312"/>
      <c r="J1357" s="248">
        <f t="shared" si="155"/>
        <v>0</v>
      </c>
      <c r="K1357" s="330">
        <f t="shared" si="156"/>
        <v>-1</v>
      </c>
      <c r="L1357" s="313"/>
      <c r="M1357" s="228">
        <f t="shared" si="157"/>
        <v>0</v>
      </c>
      <c r="N1357" s="228">
        <f t="shared" si="160"/>
        <v>0</v>
      </c>
      <c r="O1357" s="228">
        <f t="shared" si="161"/>
        <v>0</v>
      </c>
      <c r="P1357" s="228">
        <f t="shared" si="161"/>
        <v>0</v>
      </c>
      <c r="Q1357" s="228">
        <f t="shared" si="158"/>
        <v>0</v>
      </c>
      <c r="R1357" s="343">
        <f t="shared" si="159"/>
        <v>-1</v>
      </c>
      <c r="S1357" s="240"/>
      <c r="T1357" s="201"/>
      <c r="U1357" s="201"/>
      <c r="V1357" s="201"/>
    </row>
    <row r="1358" spans="1:22" ht="15.75" x14ac:dyDescent="0.25">
      <c r="A1358" s="230" t="s">
        <v>4072</v>
      </c>
      <c r="B1358" s="231" t="s">
        <v>4073</v>
      </c>
      <c r="C1358" s="234"/>
      <c r="D1358" s="312"/>
      <c r="E1358" s="312"/>
      <c r="F1358" s="248"/>
      <c r="G1358" s="312"/>
      <c r="H1358" s="312"/>
      <c r="I1358" s="312"/>
      <c r="J1358" s="248">
        <f t="shared" si="155"/>
        <v>0</v>
      </c>
      <c r="K1358" s="330">
        <f t="shared" si="156"/>
        <v>0</v>
      </c>
      <c r="L1358" s="313"/>
      <c r="M1358" s="228">
        <f t="shared" si="157"/>
        <v>0</v>
      </c>
      <c r="N1358" s="228">
        <f t="shared" si="160"/>
        <v>0</v>
      </c>
      <c r="O1358" s="228">
        <f t="shared" si="161"/>
        <v>0</v>
      </c>
      <c r="P1358" s="228">
        <f t="shared" si="161"/>
        <v>0</v>
      </c>
      <c r="Q1358" s="228">
        <f t="shared" si="158"/>
        <v>0</v>
      </c>
      <c r="R1358" s="343">
        <f t="shared" si="159"/>
        <v>0</v>
      </c>
      <c r="S1358" s="240"/>
      <c r="T1358" s="201"/>
      <c r="U1358" s="201"/>
      <c r="V1358" s="201"/>
    </row>
    <row r="1359" spans="1:22" ht="30" x14ac:dyDescent="0.25">
      <c r="A1359" s="234" t="s">
        <v>4074</v>
      </c>
      <c r="B1359" s="235" t="s">
        <v>4075</v>
      </c>
      <c r="C1359" s="234" t="s">
        <v>6</v>
      </c>
      <c r="D1359" s="312">
        <v>1160</v>
      </c>
      <c r="E1359" s="312"/>
      <c r="F1359" s="248"/>
      <c r="G1359" s="312"/>
      <c r="H1359" s="312"/>
      <c r="I1359" s="312"/>
      <c r="J1359" s="248">
        <f t="shared" si="155"/>
        <v>0</v>
      </c>
      <c r="K1359" s="330">
        <f t="shared" si="156"/>
        <v>-1160</v>
      </c>
      <c r="L1359" s="313"/>
      <c r="M1359" s="228">
        <f t="shared" si="157"/>
        <v>0</v>
      </c>
      <c r="N1359" s="228">
        <f t="shared" si="160"/>
        <v>0</v>
      </c>
      <c r="O1359" s="228">
        <f t="shared" si="161"/>
        <v>0</v>
      </c>
      <c r="P1359" s="228">
        <f t="shared" si="161"/>
        <v>0</v>
      </c>
      <c r="Q1359" s="228">
        <f t="shared" si="158"/>
        <v>0</v>
      </c>
      <c r="R1359" s="343">
        <f t="shared" si="159"/>
        <v>-1160</v>
      </c>
      <c r="S1359" s="240"/>
      <c r="T1359" s="201"/>
      <c r="U1359" s="201"/>
      <c r="V1359" s="201"/>
    </row>
    <row r="1360" spans="1:22" ht="30" x14ac:dyDescent="0.25">
      <c r="A1360" s="234" t="s">
        <v>4076</v>
      </c>
      <c r="B1360" s="235" t="s">
        <v>4077</v>
      </c>
      <c r="C1360" s="234" t="s">
        <v>6</v>
      </c>
      <c r="D1360" s="312">
        <v>3586</v>
      </c>
      <c r="E1360" s="312"/>
      <c r="F1360" s="248"/>
      <c r="G1360" s="312"/>
      <c r="H1360" s="312"/>
      <c r="I1360" s="312"/>
      <c r="J1360" s="248">
        <f t="shared" si="155"/>
        <v>0</v>
      </c>
      <c r="K1360" s="330">
        <f t="shared" si="156"/>
        <v>-3586</v>
      </c>
      <c r="L1360" s="313"/>
      <c r="M1360" s="228">
        <f t="shared" si="157"/>
        <v>0</v>
      </c>
      <c r="N1360" s="228">
        <f t="shared" si="160"/>
        <v>0</v>
      </c>
      <c r="O1360" s="228">
        <f t="shared" si="161"/>
        <v>0</v>
      </c>
      <c r="P1360" s="228">
        <f t="shared" si="161"/>
        <v>0</v>
      </c>
      <c r="Q1360" s="228">
        <f t="shared" si="158"/>
        <v>0</v>
      </c>
      <c r="R1360" s="343">
        <f t="shared" si="159"/>
        <v>-3586</v>
      </c>
      <c r="S1360" s="240"/>
      <c r="T1360" s="201"/>
      <c r="U1360" s="201"/>
      <c r="V1360" s="201"/>
    </row>
    <row r="1361" spans="1:22" ht="15.75" x14ac:dyDescent="0.25">
      <c r="A1361" s="234" t="s">
        <v>4078</v>
      </c>
      <c r="B1361" s="235" t="s">
        <v>4079</v>
      </c>
      <c r="C1361" s="234" t="s">
        <v>6</v>
      </c>
      <c r="D1361" s="312">
        <v>5600</v>
      </c>
      <c r="E1361" s="312"/>
      <c r="F1361" s="248"/>
      <c r="G1361" s="312"/>
      <c r="H1361" s="312"/>
      <c r="I1361" s="312"/>
      <c r="J1361" s="248">
        <f t="shared" si="155"/>
        <v>0</v>
      </c>
      <c r="K1361" s="330">
        <f t="shared" si="156"/>
        <v>-5600</v>
      </c>
      <c r="L1361" s="313"/>
      <c r="M1361" s="228">
        <f t="shared" si="157"/>
        <v>0</v>
      </c>
      <c r="N1361" s="228">
        <f t="shared" si="160"/>
        <v>0</v>
      </c>
      <c r="O1361" s="228">
        <f t="shared" si="161"/>
        <v>0</v>
      </c>
      <c r="P1361" s="228">
        <f t="shared" si="161"/>
        <v>0</v>
      </c>
      <c r="Q1361" s="228">
        <f t="shared" si="158"/>
        <v>0</v>
      </c>
      <c r="R1361" s="343">
        <f t="shared" si="159"/>
        <v>-5600</v>
      </c>
      <c r="S1361" s="240"/>
      <c r="T1361" s="201"/>
      <c r="U1361" s="201"/>
      <c r="V1361" s="201"/>
    </row>
    <row r="1362" spans="1:22" ht="30" x14ac:dyDescent="0.25">
      <c r="A1362" s="234" t="s">
        <v>4080</v>
      </c>
      <c r="B1362" s="235" t="s">
        <v>4081</v>
      </c>
      <c r="C1362" s="234" t="s">
        <v>6</v>
      </c>
      <c r="D1362" s="312">
        <v>2500</v>
      </c>
      <c r="E1362" s="312"/>
      <c r="F1362" s="248"/>
      <c r="G1362" s="312"/>
      <c r="H1362" s="312"/>
      <c r="I1362" s="312"/>
      <c r="J1362" s="248">
        <f t="shared" si="155"/>
        <v>0</v>
      </c>
      <c r="K1362" s="330">
        <f t="shared" si="156"/>
        <v>-2500</v>
      </c>
      <c r="L1362" s="313"/>
      <c r="M1362" s="228">
        <f t="shared" si="157"/>
        <v>0</v>
      </c>
      <c r="N1362" s="228">
        <f t="shared" si="160"/>
        <v>0</v>
      </c>
      <c r="O1362" s="228">
        <f t="shared" si="161"/>
        <v>0</v>
      </c>
      <c r="P1362" s="228">
        <f t="shared" si="161"/>
        <v>0</v>
      </c>
      <c r="Q1362" s="228">
        <f t="shared" si="158"/>
        <v>0</v>
      </c>
      <c r="R1362" s="343">
        <f t="shared" si="159"/>
        <v>-2500</v>
      </c>
      <c r="S1362" s="240"/>
      <c r="T1362" s="201"/>
      <c r="U1362" s="201"/>
      <c r="V1362" s="201"/>
    </row>
    <row r="1363" spans="1:22" ht="15.75" x14ac:dyDescent="0.25">
      <c r="A1363" s="234" t="s">
        <v>4082</v>
      </c>
      <c r="B1363" s="235" t="s">
        <v>4083</v>
      </c>
      <c r="C1363" s="234" t="s">
        <v>6</v>
      </c>
      <c r="D1363" s="312">
        <v>2080</v>
      </c>
      <c r="E1363" s="312"/>
      <c r="F1363" s="248"/>
      <c r="G1363" s="312"/>
      <c r="H1363" s="312"/>
      <c r="I1363" s="312"/>
      <c r="J1363" s="248">
        <f t="shared" si="155"/>
        <v>0</v>
      </c>
      <c r="K1363" s="330">
        <f t="shared" si="156"/>
        <v>-2080</v>
      </c>
      <c r="L1363" s="313"/>
      <c r="M1363" s="228">
        <f t="shared" si="157"/>
        <v>0</v>
      </c>
      <c r="N1363" s="228">
        <f t="shared" si="160"/>
        <v>0</v>
      </c>
      <c r="O1363" s="228">
        <f t="shared" si="161"/>
        <v>0</v>
      </c>
      <c r="P1363" s="228">
        <f t="shared" si="161"/>
        <v>0</v>
      </c>
      <c r="Q1363" s="228">
        <f t="shared" si="158"/>
        <v>0</v>
      </c>
      <c r="R1363" s="343">
        <f t="shared" si="159"/>
        <v>-2080</v>
      </c>
      <c r="S1363" s="240"/>
      <c r="T1363" s="201"/>
      <c r="U1363" s="201"/>
      <c r="V1363" s="201"/>
    </row>
    <row r="1364" spans="1:22" ht="15.75" x14ac:dyDescent="0.25">
      <c r="A1364" s="234" t="s">
        <v>4084</v>
      </c>
      <c r="B1364" s="235" t="s">
        <v>4085</v>
      </c>
      <c r="C1364" s="234" t="s">
        <v>6</v>
      </c>
      <c r="D1364" s="312">
        <v>4580</v>
      </c>
      <c r="E1364" s="312"/>
      <c r="F1364" s="248"/>
      <c r="G1364" s="312"/>
      <c r="H1364" s="312"/>
      <c r="I1364" s="312"/>
      <c r="J1364" s="248">
        <f t="shared" si="155"/>
        <v>0</v>
      </c>
      <c r="K1364" s="330">
        <f t="shared" si="156"/>
        <v>-4580</v>
      </c>
      <c r="L1364" s="313"/>
      <c r="M1364" s="228">
        <f t="shared" si="157"/>
        <v>0</v>
      </c>
      <c r="N1364" s="228">
        <f t="shared" si="160"/>
        <v>0</v>
      </c>
      <c r="O1364" s="228">
        <f t="shared" si="161"/>
        <v>0</v>
      </c>
      <c r="P1364" s="228">
        <f t="shared" si="161"/>
        <v>0</v>
      </c>
      <c r="Q1364" s="228">
        <f t="shared" si="158"/>
        <v>0</v>
      </c>
      <c r="R1364" s="343">
        <f t="shared" si="159"/>
        <v>-4580</v>
      </c>
      <c r="S1364" s="240"/>
      <c r="T1364" s="201"/>
      <c r="U1364" s="201"/>
      <c r="V1364" s="201"/>
    </row>
    <row r="1365" spans="1:22" ht="15.75" x14ac:dyDescent="0.25">
      <c r="A1365" s="234" t="s">
        <v>4086</v>
      </c>
      <c r="B1365" s="235" t="s">
        <v>4087</v>
      </c>
      <c r="C1365" s="234" t="s">
        <v>6</v>
      </c>
      <c r="D1365" s="312">
        <v>650</v>
      </c>
      <c r="E1365" s="312"/>
      <c r="F1365" s="248"/>
      <c r="G1365" s="312"/>
      <c r="H1365" s="312"/>
      <c r="I1365" s="312"/>
      <c r="J1365" s="248">
        <f t="shared" si="155"/>
        <v>0</v>
      </c>
      <c r="K1365" s="330">
        <f t="shared" si="156"/>
        <v>-650</v>
      </c>
      <c r="L1365" s="313"/>
      <c r="M1365" s="228">
        <f t="shared" si="157"/>
        <v>0</v>
      </c>
      <c r="N1365" s="228">
        <f t="shared" si="160"/>
        <v>0</v>
      </c>
      <c r="O1365" s="228">
        <f t="shared" si="161"/>
        <v>0</v>
      </c>
      <c r="P1365" s="228">
        <f t="shared" si="161"/>
        <v>0</v>
      </c>
      <c r="Q1365" s="228">
        <f t="shared" si="158"/>
        <v>0</v>
      </c>
      <c r="R1365" s="343">
        <f t="shared" si="159"/>
        <v>-650</v>
      </c>
      <c r="S1365" s="240"/>
      <c r="T1365" s="201"/>
      <c r="U1365" s="201"/>
      <c r="V1365" s="201"/>
    </row>
    <row r="1366" spans="1:22" ht="15.75" x14ac:dyDescent="0.25">
      <c r="A1366" s="234" t="s">
        <v>4088</v>
      </c>
      <c r="B1366" s="235" t="s">
        <v>4089</v>
      </c>
      <c r="C1366" s="234" t="s">
        <v>6</v>
      </c>
      <c r="D1366" s="312">
        <v>7171</v>
      </c>
      <c r="E1366" s="316"/>
      <c r="F1366" s="317"/>
      <c r="G1366" s="316"/>
      <c r="H1366" s="316"/>
      <c r="I1366" s="316"/>
      <c r="J1366" s="248">
        <f t="shared" si="155"/>
        <v>0</v>
      </c>
      <c r="K1366" s="330">
        <f t="shared" si="156"/>
        <v>-7171</v>
      </c>
      <c r="L1366" s="318"/>
      <c r="M1366" s="228">
        <f t="shared" si="157"/>
        <v>0</v>
      </c>
      <c r="N1366" s="228">
        <f t="shared" si="160"/>
        <v>0</v>
      </c>
      <c r="O1366" s="228">
        <f t="shared" si="161"/>
        <v>0</v>
      </c>
      <c r="P1366" s="228">
        <f t="shared" si="161"/>
        <v>0</v>
      </c>
      <c r="Q1366" s="228">
        <f t="shared" si="158"/>
        <v>0</v>
      </c>
      <c r="R1366" s="343">
        <f t="shared" si="159"/>
        <v>-7171</v>
      </c>
      <c r="S1366" s="240"/>
      <c r="T1366" s="201"/>
      <c r="U1366" s="201"/>
      <c r="V1366" s="201"/>
    </row>
    <row r="1367" spans="1:22" ht="15.75" x14ac:dyDescent="0.25">
      <c r="A1367" s="2" t="s">
        <v>4503</v>
      </c>
      <c r="B1367" s="3" t="s">
        <v>4504</v>
      </c>
      <c r="C1367" s="2"/>
      <c r="D1367" s="4" t="s">
        <v>3</v>
      </c>
      <c r="E1367" s="316"/>
      <c r="F1367" s="317"/>
      <c r="G1367" s="316"/>
      <c r="H1367" s="316"/>
      <c r="I1367" s="316"/>
      <c r="J1367" s="248"/>
      <c r="K1367" s="330"/>
      <c r="L1367" s="318"/>
      <c r="M1367" s="228"/>
      <c r="N1367" s="228"/>
      <c r="O1367" s="228"/>
      <c r="P1367" s="228"/>
      <c r="Q1367" s="228"/>
      <c r="R1367" s="343"/>
      <c r="S1367" s="240"/>
      <c r="T1367" s="201"/>
      <c r="U1367" s="201"/>
      <c r="V1367" s="201"/>
    </row>
    <row r="1368" spans="1:22" ht="15.75" x14ac:dyDescent="0.25">
      <c r="A1368" s="2" t="s">
        <v>4505</v>
      </c>
      <c r="B1368" s="3" t="s">
        <v>4506</v>
      </c>
      <c r="C1368" s="2"/>
      <c r="D1368" s="4" t="s">
        <v>3</v>
      </c>
      <c r="E1368" s="316"/>
      <c r="F1368" s="317"/>
      <c r="G1368" s="316"/>
      <c r="H1368" s="316"/>
      <c r="I1368" s="316"/>
      <c r="J1368" s="248"/>
      <c r="K1368" s="330"/>
      <c r="L1368" s="318"/>
      <c r="M1368" s="228"/>
      <c r="N1368" s="228"/>
      <c r="O1368" s="228"/>
      <c r="P1368" s="228"/>
      <c r="Q1368" s="228"/>
      <c r="R1368" s="343"/>
      <c r="S1368" s="240"/>
      <c r="T1368" s="201"/>
      <c r="U1368" s="201"/>
      <c r="V1368" s="201"/>
    </row>
    <row r="1369" spans="1:22" ht="15.75" x14ac:dyDescent="0.25">
      <c r="A1369" s="6" t="s">
        <v>4507</v>
      </c>
      <c r="B1369" s="7" t="s">
        <v>4508</v>
      </c>
      <c r="C1369" s="6" t="s">
        <v>499</v>
      </c>
      <c r="D1369" s="8">
        <v>2</v>
      </c>
      <c r="E1369" s="316"/>
      <c r="F1369" s="317"/>
      <c r="G1369" s="316"/>
      <c r="H1369" s="316"/>
      <c r="I1369" s="316"/>
      <c r="J1369" s="248"/>
      <c r="K1369" s="330"/>
      <c r="L1369" s="318"/>
      <c r="M1369" s="228"/>
      <c r="N1369" s="228"/>
      <c r="O1369" s="228"/>
      <c r="P1369" s="228"/>
      <c r="Q1369" s="228"/>
      <c r="R1369" s="343"/>
      <c r="S1369" s="240"/>
      <c r="T1369" s="201"/>
      <c r="U1369" s="201"/>
      <c r="V1369" s="201"/>
    </row>
    <row r="1370" spans="1:22" ht="15.75" x14ac:dyDescent="0.25">
      <c r="A1370" s="6" t="s">
        <v>4509</v>
      </c>
      <c r="B1370" s="7" t="s">
        <v>4510</v>
      </c>
      <c r="C1370" s="6" t="s">
        <v>4714</v>
      </c>
      <c r="D1370" s="8">
        <v>11.8</v>
      </c>
      <c r="E1370" s="316"/>
      <c r="F1370" s="317"/>
      <c r="G1370" s="316"/>
      <c r="H1370" s="316"/>
      <c r="I1370" s="316"/>
      <c r="J1370" s="248"/>
      <c r="K1370" s="330"/>
      <c r="L1370" s="318"/>
      <c r="M1370" s="228"/>
      <c r="N1370" s="228"/>
      <c r="O1370" s="228"/>
      <c r="P1370" s="228"/>
      <c r="Q1370" s="228"/>
      <c r="R1370" s="343"/>
      <c r="S1370" s="240"/>
      <c r="T1370" s="201"/>
      <c r="U1370" s="201"/>
      <c r="V1370" s="201"/>
    </row>
    <row r="1371" spans="1:22" ht="15.75" x14ac:dyDescent="0.25">
      <c r="A1371" s="6" t="s">
        <v>4511</v>
      </c>
      <c r="B1371" s="7" t="s">
        <v>4512</v>
      </c>
      <c r="C1371" s="6" t="s">
        <v>4714</v>
      </c>
      <c r="D1371" s="8">
        <v>92.9</v>
      </c>
      <c r="E1371" s="316"/>
      <c r="F1371" s="317"/>
      <c r="G1371" s="316"/>
      <c r="H1371" s="316"/>
      <c r="I1371" s="316"/>
      <c r="J1371" s="248"/>
      <c r="K1371" s="330"/>
      <c r="L1371" s="318"/>
      <c r="M1371" s="228"/>
      <c r="N1371" s="228"/>
      <c r="O1371" s="228"/>
      <c r="P1371" s="228"/>
      <c r="Q1371" s="228"/>
      <c r="R1371" s="343"/>
      <c r="S1371" s="240"/>
      <c r="T1371" s="201"/>
      <c r="U1371" s="201"/>
      <c r="V1371" s="201"/>
    </row>
    <row r="1372" spans="1:22" ht="15.75" x14ac:dyDescent="0.25">
      <c r="A1372" s="6" t="s">
        <v>4513</v>
      </c>
      <c r="B1372" s="7" t="s">
        <v>4514</v>
      </c>
      <c r="C1372" s="6" t="s">
        <v>4714</v>
      </c>
      <c r="D1372" s="8">
        <v>57.9</v>
      </c>
      <c r="E1372" s="316"/>
      <c r="F1372" s="317"/>
      <c r="G1372" s="316"/>
      <c r="H1372" s="316"/>
      <c r="I1372" s="316"/>
      <c r="J1372" s="248"/>
      <c r="K1372" s="330"/>
      <c r="L1372" s="318"/>
      <c r="M1372" s="228"/>
      <c r="N1372" s="228"/>
      <c r="O1372" s="228"/>
      <c r="P1372" s="228"/>
      <c r="Q1372" s="228"/>
      <c r="R1372" s="343"/>
      <c r="S1372" s="240"/>
      <c r="T1372" s="201"/>
      <c r="U1372" s="201"/>
      <c r="V1372" s="201"/>
    </row>
    <row r="1373" spans="1:22" ht="15.75" x14ac:dyDescent="0.25">
      <c r="A1373" s="6" t="s">
        <v>4515</v>
      </c>
      <c r="B1373" s="7" t="s">
        <v>4516</v>
      </c>
      <c r="C1373" s="6" t="s">
        <v>4715</v>
      </c>
      <c r="D1373" s="8">
        <v>8</v>
      </c>
      <c r="E1373" s="316"/>
      <c r="F1373" s="317"/>
      <c r="G1373" s="316"/>
      <c r="H1373" s="316"/>
      <c r="I1373" s="316"/>
      <c r="J1373" s="248"/>
      <c r="K1373" s="330"/>
      <c r="L1373" s="318"/>
      <c r="M1373" s="228"/>
      <c r="N1373" s="228"/>
      <c r="O1373" s="228"/>
      <c r="P1373" s="228"/>
      <c r="Q1373" s="228"/>
      <c r="R1373" s="343"/>
      <c r="S1373" s="240"/>
      <c r="T1373" s="201"/>
      <c r="U1373" s="201"/>
      <c r="V1373" s="201"/>
    </row>
    <row r="1374" spans="1:22" ht="15.75" x14ac:dyDescent="0.25">
      <c r="A1374" s="6" t="s">
        <v>4517</v>
      </c>
      <c r="B1374" s="7" t="s">
        <v>4518</v>
      </c>
      <c r="C1374" s="6" t="s">
        <v>4716</v>
      </c>
      <c r="D1374" s="8">
        <v>8</v>
      </c>
      <c r="E1374" s="316"/>
      <c r="F1374" s="317"/>
      <c r="G1374" s="316"/>
      <c r="H1374" s="316"/>
      <c r="I1374" s="316"/>
      <c r="J1374" s="248"/>
      <c r="K1374" s="330"/>
      <c r="L1374" s="318"/>
      <c r="M1374" s="228"/>
      <c r="N1374" s="228"/>
      <c r="O1374" s="228"/>
      <c r="P1374" s="228"/>
      <c r="Q1374" s="228"/>
      <c r="R1374" s="343"/>
      <c r="S1374" s="240"/>
      <c r="T1374" s="201"/>
      <c r="U1374" s="201"/>
      <c r="V1374" s="201"/>
    </row>
    <row r="1375" spans="1:22" ht="15.75" x14ac:dyDescent="0.25">
      <c r="A1375" s="6" t="s">
        <v>4519</v>
      </c>
      <c r="B1375" s="7" t="s">
        <v>4520</v>
      </c>
      <c r="C1375" s="6" t="s">
        <v>4716</v>
      </c>
      <c r="D1375" s="8">
        <v>72</v>
      </c>
      <c r="E1375" s="316"/>
      <c r="F1375" s="317"/>
      <c r="G1375" s="316"/>
      <c r="H1375" s="316"/>
      <c r="I1375" s="316"/>
      <c r="J1375" s="248"/>
      <c r="K1375" s="330"/>
      <c r="L1375" s="318"/>
      <c r="M1375" s="228"/>
      <c r="N1375" s="228"/>
      <c r="O1375" s="228"/>
      <c r="P1375" s="228"/>
      <c r="Q1375" s="228"/>
      <c r="R1375" s="343"/>
      <c r="S1375" s="240"/>
      <c r="T1375" s="201"/>
      <c r="U1375" s="201"/>
      <c r="V1375" s="201"/>
    </row>
    <row r="1376" spans="1:22" ht="15.75" x14ac:dyDescent="0.25">
      <c r="A1376" s="6" t="s">
        <v>4521</v>
      </c>
      <c r="B1376" s="7" t="s">
        <v>4522</v>
      </c>
      <c r="C1376" s="6" t="s">
        <v>4714</v>
      </c>
      <c r="D1376" s="8">
        <v>4</v>
      </c>
      <c r="E1376" s="316"/>
      <c r="F1376" s="317"/>
      <c r="G1376" s="316"/>
      <c r="H1376" s="316"/>
      <c r="I1376" s="316"/>
      <c r="J1376" s="248"/>
      <c r="K1376" s="330"/>
      <c r="L1376" s="318"/>
      <c r="M1376" s="228"/>
      <c r="N1376" s="228"/>
      <c r="O1376" s="228"/>
      <c r="P1376" s="228"/>
      <c r="Q1376" s="228"/>
      <c r="R1376" s="343"/>
      <c r="S1376" s="240"/>
      <c r="T1376" s="201"/>
      <c r="U1376" s="201"/>
      <c r="V1376" s="201"/>
    </row>
    <row r="1377" spans="1:22" ht="15.75" x14ac:dyDescent="0.25">
      <c r="A1377" s="6" t="s">
        <v>4523</v>
      </c>
      <c r="B1377" s="7" t="s">
        <v>4524</v>
      </c>
      <c r="C1377" s="6" t="s">
        <v>4714</v>
      </c>
      <c r="D1377" s="8">
        <v>9.1</v>
      </c>
      <c r="E1377" s="316"/>
      <c r="F1377" s="317"/>
      <c r="G1377" s="316"/>
      <c r="H1377" s="316"/>
      <c r="I1377" s="316"/>
      <c r="J1377" s="248"/>
      <c r="K1377" s="330"/>
      <c r="L1377" s="318"/>
      <c r="M1377" s="228"/>
      <c r="N1377" s="228"/>
      <c r="O1377" s="228"/>
      <c r="P1377" s="228"/>
      <c r="Q1377" s="228"/>
      <c r="R1377" s="343"/>
      <c r="S1377" s="240"/>
      <c r="T1377" s="201"/>
      <c r="U1377" s="201"/>
      <c r="V1377" s="201"/>
    </row>
    <row r="1378" spans="1:22" ht="15.75" x14ac:dyDescent="0.25">
      <c r="A1378" s="6" t="s">
        <v>4525</v>
      </c>
      <c r="B1378" s="7" t="s">
        <v>4526</v>
      </c>
      <c r="C1378" s="6" t="s">
        <v>4714</v>
      </c>
      <c r="D1378" s="8">
        <v>2</v>
      </c>
      <c r="E1378" s="316"/>
      <c r="F1378" s="317"/>
      <c r="G1378" s="316"/>
      <c r="H1378" s="316"/>
      <c r="I1378" s="316"/>
      <c r="J1378" s="248"/>
      <c r="K1378" s="330"/>
      <c r="L1378" s="318"/>
      <c r="M1378" s="228"/>
      <c r="N1378" s="228"/>
      <c r="O1378" s="228"/>
      <c r="P1378" s="228"/>
      <c r="Q1378" s="228"/>
      <c r="R1378" s="343"/>
      <c r="S1378" s="240"/>
      <c r="T1378" s="201"/>
      <c r="U1378" s="201"/>
      <c r="V1378" s="201"/>
    </row>
    <row r="1379" spans="1:22" ht="15.75" x14ac:dyDescent="0.25">
      <c r="A1379" s="6" t="s">
        <v>4527</v>
      </c>
      <c r="B1379" s="7" t="s">
        <v>4528</v>
      </c>
      <c r="C1379" s="6" t="s">
        <v>4714</v>
      </c>
      <c r="D1379" s="8">
        <v>3.6</v>
      </c>
      <c r="E1379" s="316"/>
      <c r="F1379" s="317"/>
      <c r="G1379" s="316"/>
      <c r="H1379" s="316"/>
      <c r="I1379" s="316"/>
      <c r="J1379" s="248"/>
      <c r="K1379" s="330"/>
      <c r="L1379" s="318"/>
      <c r="M1379" s="228"/>
      <c r="N1379" s="228"/>
      <c r="O1379" s="228"/>
      <c r="P1379" s="228"/>
      <c r="Q1379" s="228"/>
      <c r="R1379" s="343"/>
      <c r="S1379" s="240"/>
      <c r="T1379" s="201"/>
      <c r="U1379" s="201"/>
      <c r="V1379" s="201"/>
    </row>
    <row r="1380" spans="1:22" ht="15.75" x14ac:dyDescent="0.25">
      <c r="A1380" s="6" t="s">
        <v>4529</v>
      </c>
      <c r="B1380" s="7" t="s">
        <v>4530</v>
      </c>
      <c r="C1380" s="6" t="s">
        <v>4714</v>
      </c>
      <c r="D1380" s="8">
        <v>7.6</v>
      </c>
      <c r="E1380" s="316"/>
      <c r="F1380" s="317"/>
      <c r="G1380" s="316"/>
      <c r="H1380" s="316"/>
      <c r="I1380" s="316"/>
      <c r="J1380" s="248"/>
      <c r="K1380" s="330"/>
      <c r="L1380" s="318"/>
      <c r="M1380" s="228"/>
      <c r="N1380" s="228"/>
      <c r="O1380" s="228"/>
      <c r="P1380" s="228"/>
      <c r="Q1380" s="228"/>
      <c r="R1380" s="343"/>
      <c r="S1380" s="240"/>
      <c r="T1380" s="201"/>
      <c r="U1380" s="201"/>
      <c r="V1380" s="201"/>
    </row>
    <row r="1381" spans="1:22" ht="31.5" x14ac:dyDescent="0.25">
      <c r="A1381" s="6" t="s">
        <v>4531</v>
      </c>
      <c r="B1381" s="7" t="s">
        <v>4532</v>
      </c>
      <c r="C1381" s="6" t="s">
        <v>6</v>
      </c>
      <c r="D1381" s="8">
        <v>9410</v>
      </c>
      <c r="E1381" s="316"/>
      <c r="F1381" s="317"/>
      <c r="G1381" s="316"/>
      <c r="H1381" s="316"/>
      <c r="I1381" s="316"/>
      <c r="J1381" s="248"/>
      <c r="K1381" s="330"/>
      <c r="L1381" s="318"/>
      <c r="M1381" s="228"/>
      <c r="N1381" s="228"/>
      <c r="O1381" s="228"/>
      <c r="P1381" s="228"/>
      <c r="Q1381" s="228"/>
      <c r="R1381" s="343"/>
      <c r="S1381" s="240"/>
      <c r="T1381" s="201"/>
      <c r="U1381" s="201"/>
      <c r="V1381" s="201"/>
    </row>
    <row r="1382" spans="1:22" ht="15.75" x14ac:dyDescent="0.25">
      <c r="A1382" s="6" t="s">
        <v>4533</v>
      </c>
      <c r="B1382" s="7" t="s">
        <v>4534</v>
      </c>
      <c r="C1382" s="6" t="s">
        <v>6</v>
      </c>
      <c r="D1382" s="8">
        <v>2171</v>
      </c>
      <c r="E1382" s="316"/>
      <c r="F1382" s="317"/>
      <c r="G1382" s="316"/>
      <c r="H1382" s="316"/>
      <c r="I1382" s="316"/>
      <c r="J1382" s="248"/>
      <c r="K1382" s="330"/>
      <c r="L1382" s="318"/>
      <c r="M1382" s="228"/>
      <c r="N1382" s="228"/>
      <c r="O1382" s="228"/>
      <c r="P1382" s="228"/>
      <c r="Q1382" s="228"/>
      <c r="R1382" s="343"/>
      <c r="S1382" s="240"/>
      <c r="T1382" s="201"/>
      <c r="U1382" s="201"/>
      <c r="V1382" s="201"/>
    </row>
    <row r="1383" spans="1:22" ht="31.5" x14ac:dyDescent="0.25">
      <c r="A1383" s="6" t="s">
        <v>4535</v>
      </c>
      <c r="B1383" s="7" t="s">
        <v>4536</v>
      </c>
      <c r="C1383" s="6" t="s">
        <v>6</v>
      </c>
      <c r="D1383" s="8">
        <v>9030</v>
      </c>
      <c r="E1383" s="316"/>
      <c r="F1383" s="317"/>
      <c r="G1383" s="316"/>
      <c r="H1383" s="316"/>
      <c r="I1383" s="316"/>
      <c r="J1383" s="248"/>
      <c r="K1383" s="330"/>
      <c r="L1383" s="318"/>
      <c r="M1383" s="228"/>
      <c r="N1383" s="228"/>
      <c r="O1383" s="228"/>
      <c r="P1383" s="228"/>
      <c r="Q1383" s="228"/>
      <c r="R1383" s="343"/>
      <c r="S1383" s="240"/>
      <c r="T1383" s="201"/>
      <c r="U1383" s="201"/>
      <c r="V1383" s="201"/>
    </row>
    <row r="1384" spans="1:22" ht="15.75" x14ac:dyDescent="0.25">
      <c r="A1384" s="6" t="s">
        <v>4537</v>
      </c>
      <c r="B1384" s="7" t="s">
        <v>4538</v>
      </c>
      <c r="C1384" s="6" t="s">
        <v>6</v>
      </c>
      <c r="D1384" s="8">
        <v>1600</v>
      </c>
      <c r="E1384" s="316"/>
      <c r="F1384" s="317"/>
      <c r="G1384" s="316"/>
      <c r="H1384" s="316"/>
      <c r="I1384" s="316"/>
      <c r="J1384" s="248"/>
      <c r="K1384" s="330"/>
      <c r="L1384" s="318"/>
      <c r="M1384" s="228"/>
      <c r="N1384" s="228"/>
      <c r="O1384" s="228"/>
      <c r="P1384" s="228"/>
      <c r="Q1384" s="228"/>
      <c r="R1384" s="343"/>
      <c r="S1384" s="240"/>
      <c r="T1384" s="201"/>
      <c r="U1384" s="201"/>
      <c r="V1384" s="201"/>
    </row>
    <row r="1385" spans="1:22" ht="15.75" x14ac:dyDescent="0.25">
      <c r="A1385" s="6" t="s">
        <v>4539</v>
      </c>
      <c r="B1385" s="7" t="s">
        <v>4540</v>
      </c>
      <c r="C1385" s="6" t="s">
        <v>9</v>
      </c>
      <c r="D1385" s="8">
        <v>3620</v>
      </c>
      <c r="E1385" s="316"/>
      <c r="F1385" s="317"/>
      <c r="G1385" s="316"/>
      <c r="H1385" s="316"/>
      <c r="I1385" s="316"/>
      <c r="J1385" s="248"/>
      <c r="K1385" s="330"/>
      <c r="L1385" s="318"/>
      <c r="M1385" s="228"/>
      <c r="N1385" s="228"/>
      <c r="O1385" s="228"/>
      <c r="P1385" s="228"/>
      <c r="Q1385" s="228"/>
      <c r="R1385" s="343"/>
      <c r="S1385" s="240"/>
      <c r="T1385" s="201"/>
      <c r="U1385" s="201"/>
      <c r="V1385" s="201"/>
    </row>
    <row r="1386" spans="1:22" ht="15.75" x14ac:dyDescent="0.25">
      <c r="A1386" s="6" t="s">
        <v>4541</v>
      </c>
      <c r="B1386" s="7" t="s">
        <v>4542</v>
      </c>
      <c r="C1386" s="6" t="s">
        <v>1429</v>
      </c>
      <c r="D1386" s="8">
        <v>1603</v>
      </c>
      <c r="E1386" s="316"/>
      <c r="F1386" s="317"/>
      <c r="G1386" s="316"/>
      <c r="H1386" s="316"/>
      <c r="I1386" s="316"/>
      <c r="J1386" s="248"/>
      <c r="K1386" s="330"/>
      <c r="L1386" s="318"/>
      <c r="M1386" s="228"/>
      <c r="N1386" s="228"/>
      <c r="O1386" s="228"/>
      <c r="P1386" s="228"/>
      <c r="Q1386" s="228"/>
      <c r="R1386" s="343"/>
      <c r="S1386" s="240"/>
      <c r="T1386" s="201"/>
      <c r="U1386" s="201"/>
      <c r="V1386" s="201"/>
    </row>
    <row r="1387" spans="1:22" ht="15.75" x14ac:dyDescent="0.25">
      <c r="A1387" s="6" t="s">
        <v>4543</v>
      </c>
      <c r="B1387" s="7" t="s">
        <v>4544</v>
      </c>
      <c r="C1387" s="6" t="s">
        <v>9</v>
      </c>
      <c r="D1387" s="8">
        <v>1430</v>
      </c>
      <c r="E1387" s="316"/>
      <c r="F1387" s="317"/>
      <c r="G1387" s="316"/>
      <c r="H1387" s="316"/>
      <c r="I1387" s="316"/>
      <c r="J1387" s="248"/>
      <c r="K1387" s="330"/>
      <c r="L1387" s="318"/>
      <c r="M1387" s="228"/>
      <c r="N1387" s="228"/>
      <c r="O1387" s="228"/>
      <c r="P1387" s="228"/>
      <c r="Q1387" s="228"/>
      <c r="R1387" s="343"/>
      <c r="S1387" s="240"/>
      <c r="T1387" s="201"/>
      <c r="U1387" s="201"/>
      <c r="V1387" s="201"/>
    </row>
    <row r="1388" spans="1:22" ht="31.5" x14ac:dyDescent="0.25">
      <c r="A1388" s="2" t="s">
        <v>4545</v>
      </c>
      <c r="B1388" s="3" t="s">
        <v>4546</v>
      </c>
      <c r="C1388" s="2"/>
      <c r="D1388" s="4" t="s">
        <v>3</v>
      </c>
      <c r="E1388" s="316"/>
      <c r="F1388" s="317"/>
      <c r="G1388" s="316"/>
      <c r="H1388" s="316"/>
      <c r="I1388" s="316"/>
      <c r="J1388" s="248"/>
      <c r="K1388" s="330"/>
      <c r="L1388" s="318"/>
      <c r="M1388" s="228"/>
      <c r="N1388" s="228"/>
      <c r="O1388" s="228"/>
      <c r="P1388" s="228"/>
      <c r="Q1388" s="228"/>
      <c r="R1388" s="343"/>
      <c r="S1388" s="240"/>
      <c r="T1388" s="201"/>
      <c r="U1388" s="201"/>
      <c r="V1388" s="201"/>
    </row>
    <row r="1389" spans="1:22" ht="31.5" x14ac:dyDescent="0.25">
      <c r="A1389" s="6" t="s">
        <v>4547</v>
      </c>
      <c r="B1389" s="7" t="s">
        <v>4548</v>
      </c>
      <c r="C1389" s="6" t="s">
        <v>4717</v>
      </c>
      <c r="D1389" s="8">
        <v>58.4</v>
      </c>
      <c r="E1389" s="316"/>
      <c r="F1389" s="317"/>
      <c r="G1389" s="316"/>
      <c r="H1389" s="316"/>
      <c r="I1389" s="316"/>
      <c r="J1389" s="248"/>
      <c r="K1389" s="330"/>
      <c r="L1389" s="318"/>
      <c r="M1389" s="228"/>
      <c r="N1389" s="228"/>
      <c r="O1389" s="228"/>
      <c r="P1389" s="228"/>
      <c r="Q1389" s="228"/>
      <c r="R1389" s="343"/>
      <c r="S1389" s="240"/>
      <c r="T1389" s="201"/>
      <c r="U1389" s="201"/>
      <c r="V1389" s="201"/>
    </row>
    <row r="1390" spans="1:22" ht="15.75" x14ac:dyDescent="0.25">
      <c r="A1390" s="6" t="s">
        <v>4549</v>
      </c>
      <c r="B1390" s="7" t="s">
        <v>4550</v>
      </c>
      <c r="C1390" s="6" t="s">
        <v>4717</v>
      </c>
      <c r="D1390" s="8">
        <v>22</v>
      </c>
      <c r="E1390" s="316"/>
      <c r="F1390" s="317"/>
      <c r="G1390" s="316"/>
      <c r="H1390" s="316"/>
      <c r="I1390" s="316"/>
      <c r="J1390" s="248"/>
      <c r="K1390" s="330"/>
      <c r="L1390" s="318"/>
      <c r="M1390" s="228"/>
      <c r="N1390" s="228"/>
      <c r="O1390" s="228"/>
      <c r="P1390" s="228"/>
      <c r="Q1390" s="228"/>
      <c r="R1390" s="343"/>
      <c r="S1390" s="240"/>
      <c r="T1390" s="201"/>
      <c r="U1390" s="201"/>
      <c r="V1390" s="201"/>
    </row>
    <row r="1391" spans="1:22" ht="31.5" x14ac:dyDescent="0.25">
      <c r="A1391" s="6" t="s">
        <v>4551</v>
      </c>
      <c r="B1391" s="7" t="s">
        <v>4552</v>
      </c>
      <c r="C1391" s="6" t="s">
        <v>4717</v>
      </c>
      <c r="D1391" s="8">
        <v>22</v>
      </c>
      <c r="E1391" s="316"/>
      <c r="F1391" s="317"/>
      <c r="G1391" s="316"/>
      <c r="H1391" s="316"/>
      <c r="I1391" s="316"/>
      <c r="J1391" s="248"/>
      <c r="K1391" s="330"/>
      <c r="L1391" s="318"/>
      <c r="M1391" s="228"/>
      <c r="N1391" s="228"/>
      <c r="O1391" s="228"/>
      <c r="P1391" s="228"/>
      <c r="Q1391" s="228"/>
      <c r="R1391" s="343"/>
      <c r="S1391" s="240"/>
      <c r="T1391" s="201"/>
      <c r="U1391" s="201"/>
      <c r="V1391" s="201"/>
    </row>
    <row r="1392" spans="1:22" ht="15.75" x14ac:dyDescent="0.25">
      <c r="A1392" s="6" t="s">
        <v>4553</v>
      </c>
      <c r="B1392" s="7" t="s">
        <v>4554</v>
      </c>
      <c r="C1392" s="6" t="s">
        <v>4717</v>
      </c>
      <c r="D1392" s="8">
        <v>14</v>
      </c>
      <c r="E1392" s="316"/>
      <c r="F1392" s="317"/>
      <c r="G1392" s="316"/>
      <c r="H1392" s="316"/>
      <c r="I1392" s="316"/>
      <c r="J1392" s="248"/>
      <c r="K1392" s="330"/>
      <c r="L1392" s="318"/>
      <c r="M1392" s="228"/>
      <c r="N1392" s="228"/>
      <c r="O1392" s="228"/>
      <c r="P1392" s="228"/>
      <c r="Q1392" s="228"/>
      <c r="R1392" s="343"/>
      <c r="S1392" s="240"/>
      <c r="T1392" s="201"/>
      <c r="U1392" s="201"/>
      <c r="V1392" s="201"/>
    </row>
    <row r="1393" spans="1:22" ht="15.75" x14ac:dyDescent="0.25">
      <c r="A1393" s="6" t="s">
        <v>4555</v>
      </c>
      <c r="B1393" s="7" t="s">
        <v>4556</v>
      </c>
      <c r="C1393" s="6" t="s">
        <v>1867</v>
      </c>
      <c r="D1393" s="8">
        <v>86</v>
      </c>
      <c r="E1393" s="316"/>
      <c r="F1393" s="317"/>
      <c r="G1393" s="316"/>
      <c r="H1393" s="316"/>
      <c r="I1393" s="316"/>
      <c r="J1393" s="248"/>
      <c r="K1393" s="330"/>
      <c r="L1393" s="318"/>
      <c r="M1393" s="228"/>
      <c r="N1393" s="228"/>
      <c r="O1393" s="228"/>
      <c r="P1393" s="228"/>
      <c r="Q1393" s="228"/>
      <c r="R1393" s="343"/>
      <c r="S1393" s="240"/>
      <c r="T1393" s="201"/>
      <c r="U1393" s="201"/>
      <c r="V1393" s="201"/>
    </row>
    <row r="1394" spans="1:22" ht="15.75" x14ac:dyDescent="0.25">
      <c r="A1394" s="6" t="s">
        <v>4557</v>
      </c>
      <c r="B1394" s="7" t="s">
        <v>4558</v>
      </c>
      <c r="C1394" s="6" t="s">
        <v>4717</v>
      </c>
      <c r="D1394" s="8">
        <v>0.4</v>
      </c>
      <c r="E1394" s="316"/>
      <c r="F1394" s="317"/>
      <c r="G1394" s="316"/>
      <c r="H1394" s="316"/>
      <c r="I1394" s="316"/>
      <c r="J1394" s="248"/>
      <c r="K1394" s="330"/>
      <c r="L1394" s="318"/>
      <c r="M1394" s="228"/>
      <c r="N1394" s="228"/>
      <c r="O1394" s="228"/>
      <c r="P1394" s="228"/>
      <c r="Q1394" s="228"/>
      <c r="R1394" s="343"/>
      <c r="S1394" s="240"/>
      <c r="T1394" s="201"/>
      <c r="U1394" s="201"/>
      <c r="V1394" s="201"/>
    </row>
    <row r="1395" spans="1:22" ht="15.75" x14ac:dyDescent="0.25">
      <c r="A1395" s="6" t="s">
        <v>4559</v>
      </c>
      <c r="B1395" s="7" t="s">
        <v>4534</v>
      </c>
      <c r="C1395" s="6" t="s">
        <v>6</v>
      </c>
      <c r="D1395" s="8">
        <v>2840</v>
      </c>
      <c r="E1395" s="316"/>
      <c r="F1395" s="317"/>
      <c r="G1395" s="316"/>
      <c r="H1395" s="316"/>
      <c r="I1395" s="316"/>
      <c r="J1395" s="248"/>
      <c r="K1395" s="330"/>
      <c r="L1395" s="318"/>
      <c r="M1395" s="228"/>
      <c r="N1395" s="228"/>
      <c r="O1395" s="228"/>
      <c r="P1395" s="228"/>
      <c r="Q1395" s="228"/>
      <c r="R1395" s="343"/>
      <c r="S1395" s="240"/>
      <c r="T1395" s="201"/>
      <c r="U1395" s="201"/>
      <c r="V1395" s="201"/>
    </row>
    <row r="1396" spans="1:22" ht="31.5" x14ac:dyDescent="0.25">
      <c r="A1396" s="6" t="s">
        <v>4560</v>
      </c>
      <c r="B1396" s="7" t="s">
        <v>4536</v>
      </c>
      <c r="C1396" s="6" t="s">
        <v>6</v>
      </c>
      <c r="D1396" s="8">
        <v>2840</v>
      </c>
      <c r="E1396" s="316"/>
      <c r="F1396" s="317"/>
      <c r="G1396" s="316"/>
      <c r="H1396" s="316"/>
      <c r="I1396" s="316"/>
      <c r="J1396" s="248"/>
      <c r="K1396" s="330"/>
      <c r="L1396" s="318"/>
      <c r="M1396" s="228"/>
      <c r="N1396" s="228"/>
      <c r="O1396" s="228"/>
      <c r="P1396" s="228"/>
      <c r="Q1396" s="228"/>
      <c r="R1396" s="343"/>
      <c r="S1396" s="240"/>
      <c r="T1396" s="201"/>
      <c r="U1396" s="201"/>
      <c r="V1396" s="201"/>
    </row>
    <row r="1397" spans="1:22" ht="15.75" x14ac:dyDescent="0.25">
      <c r="A1397" s="6" t="s">
        <v>4561</v>
      </c>
      <c r="B1397" s="7" t="s">
        <v>4538</v>
      </c>
      <c r="C1397" s="6" t="s">
        <v>6</v>
      </c>
      <c r="D1397" s="8">
        <v>210</v>
      </c>
      <c r="E1397" s="316"/>
      <c r="F1397" s="317"/>
      <c r="G1397" s="316"/>
      <c r="H1397" s="316"/>
      <c r="I1397" s="316"/>
      <c r="J1397" s="248"/>
      <c r="K1397" s="330"/>
      <c r="L1397" s="318"/>
      <c r="M1397" s="228"/>
      <c r="N1397" s="228"/>
      <c r="O1397" s="228"/>
      <c r="P1397" s="228"/>
      <c r="Q1397" s="228"/>
      <c r="R1397" s="343"/>
      <c r="S1397" s="240"/>
      <c r="T1397" s="201"/>
      <c r="U1397" s="201"/>
      <c r="V1397" s="201"/>
    </row>
    <row r="1398" spans="1:22" ht="15.75" x14ac:dyDescent="0.25">
      <c r="A1398" s="6" t="s">
        <v>4562</v>
      </c>
      <c r="B1398" s="7" t="s">
        <v>4540</v>
      </c>
      <c r="C1398" s="6" t="s">
        <v>9</v>
      </c>
      <c r="D1398" s="8">
        <v>1550</v>
      </c>
      <c r="E1398" s="316"/>
      <c r="F1398" s="317"/>
      <c r="G1398" s="316"/>
      <c r="H1398" s="316"/>
      <c r="I1398" s="316"/>
      <c r="J1398" s="248"/>
      <c r="K1398" s="330"/>
      <c r="L1398" s="318"/>
      <c r="M1398" s="228"/>
      <c r="N1398" s="228"/>
      <c r="O1398" s="228"/>
      <c r="P1398" s="228"/>
      <c r="Q1398" s="228"/>
      <c r="R1398" s="343"/>
      <c r="S1398" s="240"/>
      <c r="T1398" s="201"/>
      <c r="U1398" s="201"/>
      <c r="V1398" s="201"/>
    </row>
    <row r="1399" spans="1:22" ht="15.75" x14ac:dyDescent="0.25">
      <c r="A1399" s="2" t="s">
        <v>4563</v>
      </c>
      <c r="B1399" s="3" t="s">
        <v>4564</v>
      </c>
      <c r="C1399" s="2"/>
      <c r="D1399" s="4" t="s">
        <v>3</v>
      </c>
      <c r="E1399" s="316"/>
      <c r="F1399" s="317"/>
      <c r="G1399" s="316"/>
      <c r="H1399" s="316"/>
      <c r="I1399" s="316"/>
      <c r="J1399" s="248"/>
      <c r="K1399" s="330"/>
      <c r="L1399" s="318"/>
      <c r="M1399" s="228"/>
      <c r="N1399" s="228"/>
      <c r="O1399" s="228"/>
      <c r="P1399" s="228"/>
      <c r="Q1399" s="228"/>
      <c r="R1399" s="343"/>
      <c r="S1399" s="240"/>
      <c r="T1399" s="201"/>
      <c r="U1399" s="201"/>
      <c r="V1399" s="201"/>
    </row>
    <row r="1400" spans="1:22" ht="15.75" x14ac:dyDescent="0.25">
      <c r="A1400" s="6" t="s">
        <v>4565</v>
      </c>
      <c r="B1400" s="7" t="s">
        <v>4566</v>
      </c>
      <c r="C1400" s="6" t="s">
        <v>6</v>
      </c>
      <c r="D1400" s="8">
        <v>9</v>
      </c>
      <c r="E1400" s="316"/>
      <c r="F1400" s="317"/>
      <c r="G1400" s="316"/>
      <c r="H1400" s="316"/>
      <c r="I1400" s="316"/>
      <c r="J1400" s="248"/>
      <c r="K1400" s="330"/>
      <c r="L1400" s="318"/>
      <c r="M1400" s="228"/>
      <c r="N1400" s="228"/>
      <c r="O1400" s="228"/>
      <c r="P1400" s="228"/>
      <c r="Q1400" s="228"/>
      <c r="R1400" s="343"/>
      <c r="S1400" s="240"/>
      <c r="T1400" s="201"/>
      <c r="U1400" s="201"/>
      <c r="V1400" s="201"/>
    </row>
    <row r="1401" spans="1:22" ht="15.75" x14ac:dyDescent="0.25">
      <c r="A1401" s="6" t="s">
        <v>4567</v>
      </c>
      <c r="B1401" s="7" t="s">
        <v>4568</v>
      </c>
      <c r="C1401" s="6" t="s">
        <v>6</v>
      </c>
      <c r="D1401" s="8">
        <v>90</v>
      </c>
      <c r="E1401" s="316"/>
      <c r="F1401" s="317"/>
      <c r="G1401" s="316"/>
      <c r="H1401" s="316"/>
      <c r="I1401" s="316"/>
      <c r="J1401" s="248"/>
      <c r="K1401" s="330"/>
      <c r="L1401" s="318"/>
      <c r="M1401" s="228"/>
      <c r="N1401" s="228"/>
      <c r="O1401" s="228"/>
      <c r="P1401" s="228"/>
      <c r="Q1401" s="228"/>
      <c r="R1401" s="343"/>
      <c r="S1401" s="240"/>
      <c r="T1401" s="201"/>
      <c r="U1401" s="201"/>
      <c r="V1401" s="201"/>
    </row>
    <row r="1402" spans="1:22" ht="15.75" x14ac:dyDescent="0.25">
      <c r="A1402" s="6" t="s">
        <v>4569</v>
      </c>
      <c r="B1402" s="7" t="s">
        <v>4570</v>
      </c>
      <c r="C1402" s="6" t="s">
        <v>6</v>
      </c>
      <c r="D1402" s="8">
        <v>75</v>
      </c>
      <c r="E1402" s="316"/>
      <c r="F1402" s="317"/>
      <c r="G1402" s="316"/>
      <c r="H1402" s="316"/>
      <c r="I1402" s="316"/>
      <c r="J1402" s="248"/>
      <c r="K1402" s="330"/>
      <c r="L1402" s="318"/>
      <c r="M1402" s="228"/>
      <c r="N1402" s="228"/>
      <c r="O1402" s="228"/>
      <c r="P1402" s="228"/>
      <c r="Q1402" s="228"/>
      <c r="R1402" s="343"/>
      <c r="S1402" s="240"/>
      <c r="T1402" s="201"/>
      <c r="U1402" s="201"/>
      <c r="V1402" s="201"/>
    </row>
    <row r="1403" spans="1:22" ht="15.75" x14ac:dyDescent="0.25">
      <c r="A1403" s="6" t="s">
        <v>4571</v>
      </c>
      <c r="B1403" s="7" t="s">
        <v>4572</v>
      </c>
      <c r="C1403" s="6" t="s">
        <v>6</v>
      </c>
      <c r="D1403" s="8">
        <v>52</v>
      </c>
      <c r="E1403" s="316"/>
      <c r="F1403" s="317"/>
      <c r="G1403" s="316"/>
      <c r="H1403" s="316"/>
      <c r="I1403" s="316"/>
      <c r="J1403" s="248"/>
      <c r="K1403" s="330"/>
      <c r="L1403" s="318"/>
      <c r="M1403" s="228"/>
      <c r="N1403" s="228"/>
      <c r="O1403" s="228"/>
      <c r="P1403" s="228"/>
      <c r="Q1403" s="228"/>
      <c r="R1403" s="343"/>
      <c r="S1403" s="240"/>
      <c r="T1403" s="201"/>
      <c r="U1403" s="201"/>
      <c r="V1403" s="201"/>
    </row>
    <row r="1404" spans="1:22" ht="15.75" x14ac:dyDescent="0.25">
      <c r="A1404" s="6" t="s">
        <v>4573</v>
      </c>
      <c r="B1404" s="7" t="s">
        <v>4574</v>
      </c>
      <c r="C1404" s="6" t="s">
        <v>6</v>
      </c>
      <c r="D1404" s="8">
        <v>5</v>
      </c>
      <c r="E1404" s="316"/>
      <c r="F1404" s="317"/>
      <c r="G1404" s="316"/>
      <c r="H1404" s="316"/>
      <c r="I1404" s="316"/>
      <c r="J1404" s="248"/>
      <c r="K1404" s="330"/>
      <c r="L1404" s="318"/>
      <c r="M1404" s="228"/>
      <c r="N1404" s="228"/>
      <c r="O1404" s="228"/>
      <c r="P1404" s="228"/>
      <c r="Q1404" s="228"/>
      <c r="R1404" s="343"/>
      <c r="S1404" s="240"/>
      <c r="T1404" s="201"/>
      <c r="U1404" s="201"/>
      <c r="V1404" s="201"/>
    </row>
    <row r="1405" spans="1:22" ht="15.75" x14ac:dyDescent="0.25">
      <c r="A1405" s="6" t="s">
        <v>4575</v>
      </c>
      <c r="B1405" s="7" t="s">
        <v>4576</v>
      </c>
      <c r="C1405" s="6" t="s">
        <v>6</v>
      </c>
      <c r="D1405" s="8">
        <v>47</v>
      </c>
      <c r="E1405" s="316"/>
      <c r="F1405" s="317"/>
      <c r="G1405" s="316"/>
      <c r="H1405" s="316"/>
      <c r="I1405" s="316"/>
      <c r="J1405" s="248"/>
      <c r="K1405" s="330"/>
      <c r="L1405" s="318"/>
      <c r="M1405" s="228"/>
      <c r="N1405" s="228"/>
      <c r="O1405" s="228"/>
      <c r="P1405" s="228"/>
      <c r="Q1405" s="228"/>
      <c r="R1405" s="343"/>
      <c r="S1405" s="240"/>
      <c r="T1405" s="201"/>
      <c r="U1405" s="201"/>
      <c r="V1405" s="201"/>
    </row>
    <row r="1406" spans="1:22" ht="15.75" x14ac:dyDescent="0.25">
      <c r="A1406" s="6" t="s">
        <v>4577</v>
      </c>
      <c r="B1406" s="7" t="s">
        <v>4578</v>
      </c>
      <c r="C1406" s="6" t="s">
        <v>6</v>
      </c>
      <c r="D1406" s="8">
        <v>51</v>
      </c>
      <c r="E1406" s="316"/>
      <c r="F1406" s="317"/>
      <c r="G1406" s="316"/>
      <c r="H1406" s="316"/>
      <c r="I1406" s="316"/>
      <c r="J1406" s="248"/>
      <c r="K1406" s="330"/>
      <c r="L1406" s="318"/>
      <c r="M1406" s="228"/>
      <c r="N1406" s="228"/>
      <c r="O1406" s="228"/>
      <c r="P1406" s="228"/>
      <c r="Q1406" s="228"/>
      <c r="R1406" s="343"/>
      <c r="S1406" s="240"/>
      <c r="T1406" s="201"/>
      <c r="U1406" s="201"/>
      <c r="V1406" s="201"/>
    </row>
    <row r="1407" spans="1:22" ht="15.75" x14ac:dyDescent="0.25">
      <c r="A1407" s="6" t="s">
        <v>4579</v>
      </c>
      <c r="B1407" s="7" t="s">
        <v>4580</v>
      </c>
      <c r="C1407" s="6" t="s">
        <v>6</v>
      </c>
      <c r="D1407" s="8">
        <v>556</v>
      </c>
      <c r="E1407" s="316"/>
      <c r="F1407" s="317"/>
      <c r="G1407" s="316"/>
      <c r="H1407" s="316"/>
      <c r="I1407" s="316"/>
      <c r="J1407" s="248"/>
      <c r="K1407" s="330"/>
      <c r="L1407" s="318"/>
      <c r="M1407" s="228"/>
      <c r="N1407" s="228"/>
      <c r="O1407" s="228"/>
      <c r="P1407" s="228"/>
      <c r="Q1407" s="228"/>
      <c r="R1407" s="343"/>
      <c r="S1407" s="240"/>
      <c r="T1407" s="201"/>
      <c r="U1407" s="201"/>
      <c r="V1407" s="201"/>
    </row>
    <row r="1408" spans="1:22" ht="15.75" x14ac:dyDescent="0.25">
      <c r="A1408" s="6" t="s">
        <v>4581</v>
      </c>
      <c r="B1408" s="7" t="s">
        <v>4582</v>
      </c>
      <c r="C1408" s="6" t="s">
        <v>6</v>
      </c>
      <c r="D1408" s="8">
        <v>36</v>
      </c>
      <c r="E1408" s="316"/>
      <c r="F1408" s="317"/>
      <c r="G1408" s="316"/>
      <c r="H1408" s="316"/>
      <c r="I1408" s="316"/>
      <c r="J1408" s="248"/>
      <c r="K1408" s="330"/>
      <c r="L1408" s="318"/>
      <c r="M1408" s="228"/>
      <c r="N1408" s="228"/>
      <c r="O1408" s="228"/>
      <c r="P1408" s="228"/>
      <c r="Q1408" s="228"/>
      <c r="R1408" s="343"/>
      <c r="S1408" s="240"/>
      <c r="T1408" s="201"/>
      <c r="U1408" s="201"/>
      <c r="V1408" s="201"/>
    </row>
    <row r="1409" spans="1:22" ht="15.75" x14ac:dyDescent="0.25">
      <c r="A1409" s="6" t="s">
        <v>4583</v>
      </c>
      <c r="B1409" s="7" t="s">
        <v>4584</v>
      </c>
      <c r="C1409" s="6" t="s">
        <v>6</v>
      </c>
      <c r="D1409" s="8">
        <v>10</v>
      </c>
      <c r="E1409" s="316"/>
      <c r="F1409" s="317"/>
      <c r="G1409" s="316"/>
      <c r="H1409" s="316"/>
      <c r="I1409" s="316"/>
      <c r="J1409" s="248"/>
      <c r="K1409" s="330"/>
      <c r="L1409" s="318"/>
      <c r="M1409" s="228"/>
      <c r="N1409" s="228"/>
      <c r="O1409" s="228"/>
      <c r="P1409" s="228"/>
      <c r="Q1409" s="228"/>
      <c r="R1409" s="343"/>
      <c r="S1409" s="240"/>
      <c r="T1409" s="201"/>
      <c r="U1409" s="201"/>
      <c r="V1409" s="201"/>
    </row>
    <row r="1410" spans="1:22" ht="15.75" x14ac:dyDescent="0.25">
      <c r="A1410" s="6" t="s">
        <v>4585</v>
      </c>
      <c r="B1410" s="7" t="s">
        <v>4586</v>
      </c>
      <c r="C1410" s="6" t="s">
        <v>6</v>
      </c>
      <c r="D1410" s="8">
        <v>63</v>
      </c>
      <c r="E1410" s="316"/>
      <c r="F1410" s="317"/>
      <c r="G1410" s="316"/>
      <c r="H1410" s="316"/>
      <c r="I1410" s="316"/>
      <c r="J1410" s="248"/>
      <c r="K1410" s="330"/>
      <c r="L1410" s="318"/>
      <c r="M1410" s="228"/>
      <c r="N1410" s="228"/>
      <c r="O1410" s="228"/>
      <c r="P1410" s="228"/>
      <c r="Q1410" s="228"/>
      <c r="R1410" s="343"/>
      <c r="S1410" s="240"/>
      <c r="T1410" s="201"/>
      <c r="U1410" s="201"/>
      <c r="V1410" s="201"/>
    </row>
    <row r="1411" spans="1:22" ht="15.75" x14ac:dyDescent="0.25">
      <c r="A1411" s="6" t="s">
        <v>4587</v>
      </c>
      <c r="B1411" s="7" t="s">
        <v>4588</v>
      </c>
      <c r="C1411" s="6" t="s">
        <v>6</v>
      </c>
      <c r="D1411" s="8">
        <v>62</v>
      </c>
      <c r="E1411" s="316"/>
      <c r="F1411" s="317"/>
      <c r="G1411" s="316"/>
      <c r="H1411" s="316"/>
      <c r="I1411" s="316"/>
      <c r="J1411" s="248"/>
      <c r="K1411" s="330"/>
      <c r="L1411" s="318"/>
      <c r="M1411" s="228"/>
      <c r="N1411" s="228"/>
      <c r="O1411" s="228"/>
      <c r="P1411" s="228"/>
      <c r="Q1411" s="228"/>
      <c r="R1411" s="343"/>
      <c r="S1411" s="240"/>
      <c r="T1411" s="201"/>
      <c r="U1411" s="201"/>
      <c r="V1411" s="201"/>
    </row>
    <row r="1412" spans="1:22" ht="15.75" x14ac:dyDescent="0.25">
      <c r="A1412" s="6" t="s">
        <v>4589</v>
      </c>
      <c r="B1412" s="7" t="s">
        <v>4590</v>
      </c>
      <c r="C1412" s="6" t="s">
        <v>6</v>
      </c>
      <c r="D1412" s="8">
        <v>158</v>
      </c>
      <c r="E1412" s="316"/>
      <c r="F1412" s="317"/>
      <c r="G1412" s="316"/>
      <c r="H1412" s="316"/>
      <c r="I1412" s="316"/>
      <c r="J1412" s="248"/>
      <c r="K1412" s="330"/>
      <c r="L1412" s="318"/>
      <c r="M1412" s="228"/>
      <c r="N1412" s="228"/>
      <c r="O1412" s="228"/>
      <c r="P1412" s="228"/>
      <c r="Q1412" s="228"/>
      <c r="R1412" s="343"/>
      <c r="S1412" s="240"/>
      <c r="T1412" s="201"/>
      <c r="U1412" s="201"/>
      <c r="V1412" s="201"/>
    </row>
    <row r="1413" spans="1:22" ht="15.75" x14ac:dyDescent="0.25">
      <c r="A1413" s="6" t="s">
        <v>4591</v>
      </c>
      <c r="B1413" s="7" t="s">
        <v>4592</v>
      </c>
      <c r="C1413" s="6" t="s">
        <v>6</v>
      </c>
      <c r="D1413" s="8">
        <v>144</v>
      </c>
      <c r="E1413" s="316"/>
      <c r="F1413" s="317"/>
      <c r="G1413" s="316"/>
      <c r="H1413" s="316"/>
      <c r="I1413" s="316"/>
      <c r="J1413" s="248"/>
      <c r="K1413" s="330"/>
      <c r="L1413" s="318"/>
      <c r="M1413" s="228"/>
      <c r="N1413" s="228"/>
      <c r="O1413" s="228"/>
      <c r="P1413" s="228"/>
      <c r="Q1413" s="228"/>
      <c r="R1413" s="343"/>
      <c r="S1413" s="240"/>
      <c r="T1413" s="201"/>
      <c r="U1413" s="201"/>
      <c r="V1413" s="201"/>
    </row>
    <row r="1414" spans="1:22" ht="15.75" x14ac:dyDescent="0.25">
      <c r="A1414" s="6" t="s">
        <v>4593</v>
      </c>
      <c r="B1414" s="7" t="s">
        <v>4594</v>
      </c>
      <c r="C1414" s="6" t="s">
        <v>6</v>
      </c>
      <c r="D1414" s="8">
        <v>22</v>
      </c>
      <c r="E1414" s="316"/>
      <c r="F1414" s="317"/>
      <c r="G1414" s="316"/>
      <c r="H1414" s="316"/>
      <c r="I1414" s="316"/>
      <c r="J1414" s="248"/>
      <c r="K1414" s="330"/>
      <c r="L1414" s="318"/>
      <c r="M1414" s="228"/>
      <c r="N1414" s="228"/>
      <c r="O1414" s="228"/>
      <c r="P1414" s="228"/>
      <c r="Q1414" s="228"/>
      <c r="R1414" s="343"/>
      <c r="S1414" s="240"/>
      <c r="T1414" s="201"/>
      <c r="U1414" s="201"/>
      <c r="V1414" s="201"/>
    </row>
    <row r="1415" spans="1:22" ht="15.75" x14ac:dyDescent="0.25">
      <c r="A1415" s="6" t="s">
        <v>4595</v>
      </c>
      <c r="B1415" s="7" t="s">
        <v>4596</v>
      </c>
      <c r="C1415" s="6" t="s">
        <v>9</v>
      </c>
      <c r="D1415" s="8">
        <v>2</v>
      </c>
      <c r="E1415" s="316"/>
      <c r="F1415" s="317"/>
      <c r="G1415" s="316"/>
      <c r="H1415" s="316"/>
      <c r="I1415" s="316"/>
      <c r="J1415" s="248"/>
      <c r="K1415" s="330"/>
      <c r="L1415" s="318"/>
      <c r="M1415" s="228"/>
      <c r="N1415" s="228"/>
      <c r="O1415" s="228"/>
      <c r="P1415" s="228"/>
      <c r="Q1415" s="228"/>
      <c r="R1415" s="343"/>
      <c r="S1415" s="240"/>
      <c r="T1415" s="201"/>
      <c r="U1415" s="201"/>
      <c r="V1415" s="201"/>
    </row>
    <row r="1416" spans="1:22" ht="15.75" x14ac:dyDescent="0.25">
      <c r="A1416" s="6" t="s">
        <v>4597</v>
      </c>
      <c r="B1416" s="7" t="s">
        <v>4598</v>
      </c>
      <c r="C1416" s="6" t="s">
        <v>9</v>
      </c>
      <c r="D1416" s="8">
        <v>4</v>
      </c>
      <c r="E1416" s="316"/>
      <c r="F1416" s="317"/>
      <c r="G1416" s="316"/>
      <c r="H1416" s="316"/>
      <c r="I1416" s="316"/>
      <c r="J1416" s="248"/>
      <c r="K1416" s="330"/>
      <c r="L1416" s="318"/>
      <c r="M1416" s="228"/>
      <c r="N1416" s="228"/>
      <c r="O1416" s="228"/>
      <c r="P1416" s="228"/>
      <c r="Q1416" s="228"/>
      <c r="R1416" s="343"/>
      <c r="S1416" s="240"/>
      <c r="T1416" s="201"/>
      <c r="U1416" s="201"/>
      <c r="V1416" s="201"/>
    </row>
    <row r="1417" spans="1:22" ht="15.75" x14ac:dyDescent="0.25">
      <c r="A1417" s="6" t="s">
        <v>4599</v>
      </c>
      <c r="B1417" s="7" t="s">
        <v>4600</v>
      </c>
      <c r="C1417" s="6" t="s">
        <v>9</v>
      </c>
      <c r="D1417" s="8">
        <v>2</v>
      </c>
      <c r="E1417" s="316"/>
      <c r="F1417" s="317"/>
      <c r="G1417" s="316"/>
      <c r="H1417" s="316"/>
      <c r="I1417" s="316"/>
      <c r="J1417" s="248"/>
      <c r="K1417" s="330"/>
      <c r="L1417" s="318"/>
      <c r="M1417" s="228"/>
      <c r="N1417" s="228"/>
      <c r="O1417" s="228"/>
      <c r="P1417" s="228"/>
      <c r="Q1417" s="228"/>
      <c r="R1417" s="343"/>
      <c r="S1417" s="240"/>
      <c r="T1417" s="201"/>
      <c r="U1417" s="201"/>
      <c r="V1417" s="201"/>
    </row>
    <row r="1418" spans="1:22" ht="15.75" x14ac:dyDescent="0.25">
      <c r="A1418" s="6" t="s">
        <v>4601</v>
      </c>
      <c r="B1418" s="7" t="s">
        <v>4602</v>
      </c>
      <c r="C1418" s="6" t="s">
        <v>9</v>
      </c>
      <c r="D1418" s="8">
        <v>7</v>
      </c>
      <c r="E1418" s="316"/>
      <c r="F1418" s="317"/>
      <c r="G1418" s="316"/>
      <c r="H1418" s="316"/>
      <c r="I1418" s="316"/>
      <c r="J1418" s="248"/>
      <c r="K1418" s="330"/>
      <c r="L1418" s="318"/>
      <c r="M1418" s="228"/>
      <c r="N1418" s="228"/>
      <c r="O1418" s="228"/>
      <c r="P1418" s="228"/>
      <c r="Q1418" s="228"/>
      <c r="R1418" s="343"/>
      <c r="S1418" s="240"/>
      <c r="T1418" s="201"/>
      <c r="U1418" s="201"/>
      <c r="V1418" s="201"/>
    </row>
    <row r="1419" spans="1:22" ht="15.75" x14ac:dyDescent="0.25">
      <c r="A1419" s="6" t="s">
        <v>4603</v>
      </c>
      <c r="B1419" s="7" t="s">
        <v>4604</v>
      </c>
      <c r="C1419" s="6" t="s">
        <v>9</v>
      </c>
      <c r="D1419" s="8">
        <v>3</v>
      </c>
      <c r="E1419" s="316"/>
      <c r="F1419" s="317"/>
      <c r="G1419" s="316"/>
      <c r="H1419" s="316"/>
      <c r="I1419" s="316"/>
      <c r="J1419" s="248"/>
      <c r="K1419" s="330"/>
      <c r="L1419" s="318"/>
      <c r="M1419" s="228"/>
      <c r="N1419" s="228"/>
      <c r="O1419" s="228"/>
      <c r="P1419" s="228"/>
      <c r="Q1419" s="228"/>
      <c r="R1419" s="343"/>
      <c r="S1419" s="240"/>
      <c r="T1419" s="201"/>
      <c r="U1419" s="201"/>
      <c r="V1419" s="201"/>
    </row>
    <row r="1420" spans="1:22" ht="15.75" x14ac:dyDescent="0.25">
      <c r="A1420" s="6" t="s">
        <v>4605</v>
      </c>
      <c r="B1420" s="7" t="s">
        <v>4606</v>
      </c>
      <c r="C1420" s="6" t="s">
        <v>9</v>
      </c>
      <c r="D1420" s="8">
        <v>3</v>
      </c>
      <c r="E1420" s="316"/>
      <c r="F1420" s="317"/>
      <c r="G1420" s="316"/>
      <c r="H1420" s="316"/>
      <c r="I1420" s="316"/>
      <c r="J1420" s="248"/>
      <c r="K1420" s="330"/>
      <c r="L1420" s="318"/>
      <c r="M1420" s="228"/>
      <c r="N1420" s="228"/>
      <c r="O1420" s="228"/>
      <c r="P1420" s="228"/>
      <c r="Q1420" s="228"/>
      <c r="R1420" s="343"/>
      <c r="S1420" s="240"/>
      <c r="T1420" s="201"/>
      <c r="U1420" s="201"/>
      <c r="V1420" s="201"/>
    </row>
    <row r="1421" spans="1:22" ht="15.75" x14ac:dyDescent="0.25">
      <c r="A1421" s="6" t="s">
        <v>4607</v>
      </c>
      <c r="B1421" s="7" t="s">
        <v>4608</v>
      </c>
      <c r="C1421" s="6" t="s">
        <v>9</v>
      </c>
      <c r="D1421" s="8">
        <v>24</v>
      </c>
      <c r="E1421" s="316"/>
      <c r="F1421" s="317"/>
      <c r="G1421" s="316"/>
      <c r="H1421" s="316"/>
      <c r="I1421" s="316"/>
      <c r="J1421" s="248"/>
      <c r="K1421" s="330"/>
      <c r="L1421" s="318"/>
      <c r="M1421" s="228"/>
      <c r="N1421" s="228"/>
      <c r="O1421" s="228"/>
      <c r="P1421" s="228"/>
      <c r="Q1421" s="228"/>
      <c r="R1421" s="343"/>
      <c r="S1421" s="240"/>
      <c r="T1421" s="201"/>
      <c r="U1421" s="201"/>
      <c r="V1421" s="201"/>
    </row>
    <row r="1422" spans="1:22" ht="15.75" x14ac:dyDescent="0.25">
      <c r="A1422" s="6" t="s">
        <v>4609</v>
      </c>
      <c r="B1422" s="7" t="s">
        <v>4608</v>
      </c>
      <c r="C1422" s="6" t="s">
        <v>9</v>
      </c>
      <c r="D1422" s="8">
        <v>3</v>
      </c>
      <c r="E1422" s="316"/>
      <c r="F1422" s="317"/>
      <c r="G1422" s="316"/>
      <c r="H1422" s="316"/>
      <c r="I1422" s="316"/>
      <c r="J1422" s="248"/>
      <c r="K1422" s="330"/>
      <c r="L1422" s="318"/>
      <c r="M1422" s="228"/>
      <c r="N1422" s="228"/>
      <c r="O1422" s="228"/>
      <c r="P1422" s="228"/>
      <c r="Q1422" s="228"/>
      <c r="R1422" s="343"/>
      <c r="S1422" s="240"/>
      <c r="T1422" s="201"/>
      <c r="U1422" s="201"/>
      <c r="V1422" s="201"/>
    </row>
    <row r="1423" spans="1:22" ht="15.75" x14ac:dyDescent="0.25">
      <c r="A1423" s="6" t="s">
        <v>4610</v>
      </c>
      <c r="B1423" s="7" t="s">
        <v>4611</v>
      </c>
      <c r="C1423" s="6" t="s">
        <v>9</v>
      </c>
      <c r="D1423" s="8">
        <v>1</v>
      </c>
      <c r="E1423" s="316"/>
      <c r="F1423" s="317"/>
      <c r="G1423" s="316"/>
      <c r="H1423" s="316"/>
      <c r="I1423" s="316"/>
      <c r="J1423" s="248"/>
      <c r="K1423" s="330"/>
      <c r="L1423" s="318"/>
      <c r="M1423" s="228"/>
      <c r="N1423" s="228"/>
      <c r="O1423" s="228"/>
      <c r="P1423" s="228"/>
      <c r="Q1423" s="228"/>
      <c r="R1423" s="343"/>
      <c r="S1423" s="240"/>
      <c r="T1423" s="201"/>
      <c r="U1423" s="201"/>
      <c r="V1423" s="201"/>
    </row>
    <row r="1424" spans="1:22" ht="15.75" x14ac:dyDescent="0.25">
      <c r="A1424" s="6" t="s">
        <v>4612</v>
      </c>
      <c r="B1424" s="7" t="s">
        <v>4613</v>
      </c>
      <c r="C1424" s="6" t="s">
        <v>9</v>
      </c>
      <c r="D1424" s="8">
        <v>3</v>
      </c>
      <c r="E1424" s="316"/>
      <c r="F1424" s="317"/>
      <c r="G1424" s="316"/>
      <c r="H1424" s="316"/>
      <c r="I1424" s="316"/>
      <c r="J1424" s="248"/>
      <c r="K1424" s="330"/>
      <c r="L1424" s="318"/>
      <c r="M1424" s="228"/>
      <c r="N1424" s="228"/>
      <c r="O1424" s="228"/>
      <c r="P1424" s="228"/>
      <c r="Q1424" s="228"/>
      <c r="R1424" s="343"/>
      <c r="S1424" s="240"/>
      <c r="T1424" s="201"/>
      <c r="U1424" s="201"/>
      <c r="V1424" s="201"/>
    </row>
    <row r="1425" spans="1:22" ht="15.75" x14ac:dyDescent="0.25">
      <c r="A1425" s="6" t="s">
        <v>4614</v>
      </c>
      <c r="B1425" s="7" t="s">
        <v>4615</v>
      </c>
      <c r="C1425" s="6" t="s">
        <v>9</v>
      </c>
      <c r="D1425" s="8">
        <v>1</v>
      </c>
      <c r="E1425" s="316"/>
      <c r="F1425" s="317"/>
      <c r="G1425" s="316"/>
      <c r="H1425" s="316"/>
      <c r="I1425" s="316"/>
      <c r="J1425" s="248"/>
      <c r="K1425" s="330"/>
      <c r="L1425" s="318"/>
      <c r="M1425" s="228"/>
      <c r="N1425" s="228"/>
      <c r="O1425" s="228"/>
      <c r="P1425" s="228"/>
      <c r="Q1425" s="228"/>
      <c r="R1425" s="343"/>
      <c r="S1425" s="240"/>
      <c r="T1425" s="201"/>
      <c r="U1425" s="201"/>
      <c r="V1425" s="201"/>
    </row>
    <row r="1426" spans="1:22" ht="15.75" x14ac:dyDescent="0.25">
      <c r="A1426" s="6" t="s">
        <v>4616</v>
      </c>
      <c r="B1426" s="7" t="s">
        <v>4615</v>
      </c>
      <c r="C1426" s="6" t="s">
        <v>9</v>
      </c>
      <c r="D1426" s="8">
        <v>2</v>
      </c>
      <c r="E1426" s="316"/>
      <c r="F1426" s="317"/>
      <c r="G1426" s="316"/>
      <c r="H1426" s="316"/>
      <c r="I1426" s="316"/>
      <c r="J1426" s="248"/>
      <c r="K1426" s="330"/>
      <c r="L1426" s="318"/>
      <c r="M1426" s="228"/>
      <c r="N1426" s="228"/>
      <c r="O1426" s="228"/>
      <c r="P1426" s="228"/>
      <c r="Q1426" s="228"/>
      <c r="R1426" s="343"/>
      <c r="S1426" s="240"/>
      <c r="T1426" s="201"/>
      <c r="U1426" s="201"/>
      <c r="V1426" s="201"/>
    </row>
    <row r="1427" spans="1:22" ht="15.75" x14ac:dyDescent="0.25">
      <c r="A1427" s="6" t="s">
        <v>4617</v>
      </c>
      <c r="B1427" s="7" t="s">
        <v>4618</v>
      </c>
      <c r="C1427" s="6" t="s">
        <v>9</v>
      </c>
      <c r="D1427" s="8">
        <v>1</v>
      </c>
      <c r="E1427" s="316"/>
      <c r="F1427" s="317"/>
      <c r="G1427" s="316"/>
      <c r="H1427" s="316"/>
      <c r="I1427" s="316"/>
      <c r="J1427" s="248"/>
      <c r="K1427" s="330"/>
      <c r="L1427" s="318"/>
      <c r="M1427" s="228"/>
      <c r="N1427" s="228"/>
      <c r="O1427" s="228"/>
      <c r="P1427" s="228"/>
      <c r="Q1427" s="228"/>
      <c r="R1427" s="343"/>
      <c r="S1427" s="240"/>
      <c r="T1427" s="201"/>
      <c r="U1427" s="201"/>
      <c r="V1427" s="201"/>
    </row>
    <row r="1428" spans="1:22" ht="15.75" x14ac:dyDescent="0.25">
      <c r="A1428" s="6" t="s">
        <v>4619</v>
      </c>
      <c r="B1428" s="7" t="s">
        <v>4620</v>
      </c>
      <c r="C1428" s="6" t="s">
        <v>9</v>
      </c>
      <c r="D1428" s="8">
        <v>46</v>
      </c>
      <c r="E1428" s="316"/>
      <c r="F1428" s="317"/>
      <c r="G1428" s="316"/>
      <c r="H1428" s="316"/>
      <c r="I1428" s="316"/>
      <c r="J1428" s="248"/>
      <c r="K1428" s="330"/>
      <c r="L1428" s="318"/>
      <c r="M1428" s="228"/>
      <c r="N1428" s="228"/>
      <c r="O1428" s="228"/>
      <c r="P1428" s="228"/>
      <c r="Q1428" s="228"/>
      <c r="R1428" s="343"/>
      <c r="S1428" s="240"/>
      <c r="T1428" s="201"/>
      <c r="U1428" s="201"/>
      <c r="V1428" s="201"/>
    </row>
    <row r="1429" spans="1:22" ht="15.75" x14ac:dyDescent="0.25">
      <c r="A1429" s="6" t="s">
        <v>4621</v>
      </c>
      <c r="B1429" s="7" t="s">
        <v>4622</v>
      </c>
      <c r="C1429" s="6" t="s">
        <v>9</v>
      </c>
      <c r="D1429" s="8">
        <v>1</v>
      </c>
      <c r="E1429" s="316"/>
      <c r="F1429" s="317"/>
      <c r="G1429" s="316"/>
      <c r="H1429" s="316"/>
      <c r="I1429" s="316"/>
      <c r="J1429" s="248"/>
      <c r="K1429" s="330"/>
      <c r="L1429" s="318"/>
      <c r="M1429" s="228"/>
      <c r="N1429" s="228"/>
      <c r="O1429" s="228"/>
      <c r="P1429" s="228"/>
      <c r="Q1429" s="228"/>
      <c r="R1429" s="343"/>
      <c r="S1429" s="240"/>
      <c r="T1429" s="201"/>
      <c r="U1429" s="201"/>
      <c r="V1429" s="201"/>
    </row>
    <row r="1430" spans="1:22" ht="15.75" x14ac:dyDescent="0.25">
      <c r="A1430" s="6" t="s">
        <v>4623</v>
      </c>
      <c r="B1430" s="7" t="s">
        <v>4624</v>
      </c>
      <c r="C1430" s="6" t="s">
        <v>9</v>
      </c>
      <c r="D1430" s="8">
        <v>2</v>
      </c>
      <c r="E1430" s="316"/>
      <c r="F1430" s="317"/>
      <c r="G1430" s="316"/>
      <c r="H1430" s="316"/>
      <c r="I1430" s="316"/>
      <c r="J1430" s="248"/>
      <c r="K1430" s="330"/>
      <c r="L1430" s="318"/>
      <c r="M1430" s="228"/>
      <c r="N1430" s="228"/>
      <c r="O1430" s="228"/>
      <c r="P1430" s="228"/>
      <c r="Q1430" s="228"/>
      <c r="R1430" s="343"/>
      <c r="S1430" s="240"/>
      <c r="T1430" s="201"/>
      <c r="U1430" s="201"/>
      <c r="V1430" s="201"/>
    </row>
    <row r="1431" spans="1:22" ht="15.75" x14ac:dyDescent="0.25">
      <c r="A1431" s="6" t="s">
        <v>4625</v>
      </c>
      <c r="B1431" s="7" t="s">
        <v>4626</v>
      </c>
      <c r="C1431" s="6" t="s">
        <v>9</v>
      </c>
      <c r="D1431" s="8">
        <v>4</v>
      </c>
      <c r="E1431" s="316"/>
      <c r="F1431" s="317"/>
      <c r="G1431" s="316"/>
      <c r="H1431" s="316"/>
      <c r="I1431" s="316"/>
      <c r="J1431" s="248"/>
      <c r="K1431" s="330"/>
      <c r="L1431" s="318"/>
      <c r="M1431" s="228"/>
      <c r="N1431" s="228"/>
      <c r="O1431" s="228"/>
      <c r="P1431" s="228"/>
      <c r="Q1431" s="228"/>
      <c r="R1431" s="343"/>
      <c r="S1431" s="240"/>
      <c r="T1431" s="201"/>
      <c r="U1431" s="201"/>
      <c r="V1431" s="201"/>
    </row>
    <row r="1432" spans="1:22" ht="15.75" x14ac:dyDescent="0.25">
      <c r="A1432" s="6" t="s">
        <v>4627</v>
      </c>
      <c r="B1432" s="7" t="s">
        <v>4628</v>
      </c>
      <c r="C1432" s="6" t="s">
        <v>9</v>
      </c>
      <c r="D1432" s="8">
        <v>4</v>
      </c>
      <c r="E1432" s="316"/>
      <c r="F1432" s="317"/>
      <c r="G1432" s="316"/>
      <c r="H1432" s="316"/>
      <c r="I1432" s="316"/>
      <c r="J1432" s="248"/>
      <c r="K1432" s="330"/>
      <c r="L1432" s="318"/>
      <c r="M1432" s="228"/>
      <c r="N1432" s="228"/>
      <c r="O1432" s="228"/>
      <c r="P1432" s="228"/>
      <c r="Q1432" s="228"/>
      <c r="R1432" s="343"/>
      <c r="S1432" s="240"/>
      <c r="T1432" s="201"/>
      <c r="U1432" s="201"/>
      <c r="V1432" s="201"/>
    </row>
    <row r="1433" spans="1:22" ht="15.75" x14ac:dyDescent="0.25">
      <c r="A1433" s="6" t="s">
        <v>4629</v>
      </c>
      <c r="B1433" s="7" t="s">
        <v>4630</v>
      </c>
      <c r="C1433" s="6" t="s">
        <v>9</v>
      </c>
      <c r="D1433" s="8">
        <v>4</v>
      </c>
      <c r="E1433" s="316"/>
      <c r="F1433" s="317"/>
      <c r="G1433" s="316"/>
      <c r="H1433" s="316"/>
      <c r="I1433" s="316"/>
      <c r="J1433" s="248"/>
      <c r="K1433" s="330"/>
      <c r="L1433" s="318"/>
      <c r="M1433" s="228"/>
      <c r="N1433" s="228"/>
      <c r="O1433" s="228"/>
      <c r="P1433" s="228"/>
      <c r="Q1433" s="228"/>
      <c r="R1433" s="343"/>
      <c r="S1433" s="240"/>
      <c r="T1433" s="201"/>
      <c r="U1433" s="201"/>
      <c r="V1433" s="201"/>
    </row>
    <row r="1434" spans="1:22" ht="15.75" x14ac:dyDescent="0.25">
      <c r="A1434" s="6" t="s">
        <v>4631</v>
      </c>
      <c r="B1434" s="7" t="s">
        <v>4632</v>
      </c>
      <c r="C1434" s="6" t="s">
        <v>9</v>
      </c>
      <c r="D1434" s="8">
        <v>2</v>
      </c>
      <c r="E1434" s="316"/>
      <c r="F1434" s="317"/>
      <c r="G1434" s="316"/>
      <c r="H1434" s="316"/>
      <c r="I1434" s="316"/>
      <c r="J1434" s="248"/>
      <c r="K1434" s="330"/>
      <c r="L1434" s="318"/>
      <c r="M1434" s="228"/>
      <c r="N1434" s="228"/>
      <c r="O1434" s="228"/>
      <c r="P1434" s="228"/>
      <c r="Q1434" s="228"/>
      <c r="R1434" s="343"/>
      <c r="S1434" s="240"/>
      <c r="T1434" s="201"/>
      <c r="U1434" s="201"/>
      <c r="V1434" s="201"/>
    </row>
    <row r="1435" spans="1:22" ht="15.75" x14ac:dyDescent="0.25">
      <c r="A1435" s="6" t="s">
        <v>4633</v>
      </c>
      <c r="B1435" s="7" t="s">
        <v>4634</v>
      </c>
      <c r="C1435" s="6" t="s">
        <v>9</v>
      </c>
      <c r="D1435" s="8">
        <v>2</v>
      </c>
      <c r="E1435" s="316"/>
      <c r="F1435" s="317"/>
      <c r="G1435" s="316"/>
      <c r="H1435" s="316"/>
      <c r="I1435" s="316"/>
      <c r="J1435" s="248"/>
      <c r="K1435" s="330"/>
      <c r="L1435" s="318"/>
      <c r="M1435" s="228"/>
      <c r="N1435" s="228"/>
      <c r="O1435" s="228"/>
      <c r="P1435" s="228"/>
      <c r="Q1435" s="228"/>
      <c r="R1435" s="343"/>
      <c r="S1435" s="240"/>
      <c r="T1435" s="201"/>
      <c r="U1435" s="201"/>
      <c r="V1435" s="201"/>
    </row>
    <row r="1436" spans="1:22" ht="15.75" x14ac:dyDescent="0.25">
      <c r="A1436" s="6" t="s">
        <v>4635</v>
      </c>
      <c r="B1436" s="7" t="s">
        <v>4636</v>
      </c>
      <c r="C1436" s="6" t="s">
        <v>9</v>
      </c>
      <c r="D1436" s="8">
        <v>72</v>
      </c>
      <c r="E1436" s="316"/>
      <c r="F1436" s="317"/>
      <c r="G1436" s="316"/>
      <c r="H1436" s="316"/>
      <c r="I1436" s="316"/>
      <c r="J1436" s="248"/>
      <c r="K1436" s="330"/>
      <c r="L1436" s="318"/>
      <c r="M1436" s="228"/>
      <c r="N1436" s="228"/>
      <c r="O1436" s="228"/>
      <c r="P1436" s="228"/>
      <c r="Q1436" s="228"/>
      <c r="R1436" s="343"/>
      <c r="S1436" s="240"/>
      <c r="T1436" s="201"/>
      <c r="U1436" s="201"/>
      <c r="V1436" s="201"/>
    </row>
    <row r="1437" spans="1:22" ht="15.75" x14ac:dyDescent="0.25">
      <c r="A1437" s="6" t="s">
        <v>4637</v>
      </c>
      <c r="B1437" s="7" t="s">
        <v>4638</v>
      </c>
      <c r="C1437" s="6" t="s">
        <v>9</v>
      </c>
      <c r="D1437" s="8">
        <v>76</v>
      </c>
      <c r="E1437" s="316"/>
      <c r="F1437" s="317"/>
      <c r="G1437" s="316"/>
      <c r="H1437" s="316"/>
      <c r="I1437" s="316"/>
      <c r="J1437" s="248"/>
      <c r="K1437" s="330"/>
      <c r="L1437" s="318"/>
      <c r="M1437" s="228"/>
      <c r="N1437" s="228"/>
      <c r="O1437" s="228"/>
      <c r="P1437" s="228"/>
      <c r="Q1437" s="228"/>
      <c r="R1437" s="343"/>
      <c r="S1437" s="240"/>
      <c r="T1437" s="201"/>
      <c r="U1437" s="201"/>
      <c r="V1437" s="201"/>
    </row>
    <row r="1438" spans="1:22" ht="31.5" x14ac:dyDescent="0.25">
      <c r="A1438" s="6" t="s">
        <v>4639</v>
      </c>
      <c r="B1438" s="7" t="s">
        <v>4447</v>
      </c>
      <c r="C1438" s="6" t="s">
        <v>9</v>
      </c>
      <c r="D1438" s="8">
        <v>1</v>
      </c>
      <c r="E1438" s="316"/>
      <c r="F1438" s="317"/>
      <c r="G1438" s="316"/>
      <c r="H1438" s="316"/>
      <c r="I1438" s="316"/>
      <c r="J1438" s="248"/>
      <c r="K1438" s="330"/>
      <c r="L1438" s="318"/>
      <c r="M1438" s="228"/>
      <c r="N1438" s="228"/>
      <c r="O1438" s="228"/>
      <c r="P1438" s="228"/>
      <c r="Q1438" s="228"/>
      <c r="R1438" s="343"/>
      <c r="S1438" s="240"/>
      <c r="T1438" s="201"/>
      <c r="U1438" s="201"/>
      <c r="V1438" s="201"/>
    </row>
    <row r="1439" spans="1:22" ht="31.5" x14ac:dyDescent="0.25">
      <c r="A1439" s="6" t="s">
        <v>4640</v>
      </c>
      <c r="B1439" s="7" t="s">
        <v>4449</v>
      </c>
      <c r="C1439" s="6" t="s">
        <v>9</v>
      </c>
      <c r="D1439" s="8">
        <v>1</v>
      </c>
      <c r="E1439" s="316"/>
      <c r="F1439" s="317"/>
      <c r="G1439" s="316"/>
      <c r="H1439" s="316"/>
      <c r="I1439" s="316"/>
      <c r="J1439" s="248"/>
      <c r="K1439" s="330"/>
      <c r="L1439" s="318"/>
      <c r="M1439" s="228"/>
      <c r="N1439" s="228"/>
      <c r="O1439" s="228"/>
      <c r="P1439" s="228"/>
      <c r="Q1439" s="228"/>
      <c r="R1439" s="343"/>
      <c r="S1439" s="240"/>
      <c r="T1439" s="201"/>
      <c r="U1439" s="201"/>
      <c r="V1439" s="201"/>
    </row>
    <row r="1440" spans="1:22" ht="31.5" x14ac:dyDescent="0.25">
      <c r="A1440" s="6" t="s">
        <v>4641</v>
      </c>
      <c r="B1440" s="7" t="s">
        <v>4451</v>
      </c>
      <c r="C1440" s="6" t="s">
        <v>9</v>
      </c>
      <c r="D1440" s="8">
        <v>1</v>
      </c>
      <c r="E1440" s="316"/>
      <c r="F1440" s="317"/>
      <c r="G1440" s="316"/>
      <c r="H1440" s="316"/>
      <c r="I1440" s="316"/>
      <c r="J1440" s="248"/>
      <c r="K1440" s="330"/>
      <c r="L1440" s="318"/>
      <c r="M1440" s="228"/>
      <c r="N1440" s="228"/>
      <c r="O1440" s="228"/>
      <c r="P1440" s="228"/>
      <c r="Q1440" s="228"/>
      <c r="R1440" s="343"/>
      <c r="S1440" s="240"/>
      <c r="T1440" s="201"/>
      <c r="U1440" s="201"/>
      <c r="V1440" s="201"/>
    </row>
    <row r="1441" spans="1:22" ht="31.5" x14ac:dyDescent="0.25">
      <c r="A1441" s="6" t="s">
        <v>4642</v>
      </c>
      <c r="B1441" s="7" t="s">
        <v>4453</v>
      </c>
      <c r="C1441" s="6" t="s">
        <v>9</v>
      </c>
      <c r="D1441" s="8">
        <v>2</v>
      </c>
      <c r="E1441" s="316"/>
      <c r="F1441" s="317"/>
      <c r="G1441" s="316"/>
      <c r="H1441" s="316"/>
      <c r="I1441" s="316"/>
      <c r="J1441" s="248"/>
      <c r="K1441" s="330"/>
      <c r="L1441" s="318"/>
      <c r="M1441" s="228"/>
      <c r="N1441" s="228"/>
      <c r="O1441" s="228"/>
      <c r="P1441" s="228"/>
      <c r="Q1441" s="228"/>
      <c r="R1441" s="343"/>
      <c r="S1441" s="240"/>
      <c r="T1441" s="201"/>
      <c r="U1441" s="201"/>
      <c r="V1441" s="201"/>
    </row>
    <row r="1442" spans="1:22" ht="31.5" x14ac:dyDescent="0.25">
      <c r="A1442" s="6" t="s">
        <v>4643</v>
      </c>
      <c r="B1442" s="7" t="s">
        <v>4455</v>
      </c>
      <c r="C1442" s="6" t="s">
        <v>9</v>
      </c>
      <c r="D1442" s="8">
        <v>1</v>
      </c>
      <c r="E1442" s="316"/>
      <c r="F1442" s="317"/>
      <c r="G1442" s="316"/>
      <c r="H1442" s="316"/>
      <c r="I1442" s="316"/>
      <c r="J1442" s="248"/>
      <c r="K1442" s="330"/>
      <c r="L1442" s="318"/>
      <c r="M1442" s="228"/>
      <c r="N1442" s="228"/>
      <c r="O1442" s="228"/>
      <c r="P1442" s="228"/>
      <c r="Q1442" s="228"/>
      <c r="R1442" s="343"/>
      <c r="S1442" s="240"/>
      <c r="T1442" s="201"/>
      <c r="U1442" s="201"/>
      <c r="V1442" s="201"/>
    </row>
    <row r="1443" spans="1:22" ht="31.5" x14ac:dyDescent="0.25">
      <c r="A1443" s="6" t="s">
        <v>4644</v>
      </c>
      <c r="B1443" s="7" t="s">
        <v>4457</v>
      </c>
      <c r="C1443" s="6" t="s">
        <v>9</v>
      </c>
      <c r="D1443" s="8">
        <v>1</v>
      </c>
      <c r="E1443" s="316"/>
      <c r="F1443" s="317"/>
      <c r="G1443" s="316"/>
      <c r="H1443" s="316"/>
      <c r="I1443" s="316"/>
      <c r="J1443" s="248"/>
      <c r="K1443" s="330"/>
      <c r="L1443" s="318"/>
      <c r="M1443" s="228"/>
      <c r="N1443" s="228"/>
      <c r="O1443" s="228"/>
      <c r="P1443" s="228"/>
      <c r="Q1443" s="228"/>
      <c r="R1443" s="343"/>
      <c r="S1443" s="240"/>
      <c r="T1443" s="201"/>
      <c r="U1443" s="201"/>
      <c r="V1443" s="201"/>
    </row>
    <row r="1444" spans="1:22" ht="31.5" x14ac:dyDescent="0.25">
      <c r="A1444" s="6" t="s">
        <v>4645</v>
      </c>
      <c r="B1444" s="7" t="s">
        <v>4459</v>
      </c>
      <c r="C1444" s="6" t="s">
        <v>9</v>
      </c>
      <c r="D1444" s="8">
        <v>2</v>
      </c>
      <c r="E1444" s="316"/>
      <c r="F1444" s="317"/>
      <c r="G1444" s="316"/>
      <c r="H1444" s="316"/>
      <c r="I1444" s="316"/>
      <c r="J1444" s="248"/>
      <c r="K1444" s="330"/>
      <c r="L1444" s="318"/>
      <c r="M1444" s="228"/>
      <c r="N1444" s="228"/>
      <c r="O1444" s="228"/>
      <c r="P1444" s="228"/>
      <c r="Q1444" s="228"/>
      <c r="R1444" s="343"/>
      <c r="S1444" s="240"/>
      <c r="T1444" s="201"/>
      <c r="U1444" s="201"/>
      <c r="V1444" s="201"/>
    </row>
    <row r="1445" spans="1:22" ht="31.5" x14ac:dyDescent="0.25">
      <c r="A1445" s="6" t="s">
        <v>4646</v>
      </c>
      <c r="B1445" s="7" t="s">
        <v>4461</v>
      </c>
      <c r="C1445" s="6" t="s">
        <v>9</v>
      </c>
      <c r="D1445" s="8">
        <v>1</v>
      </c>
      <c r="E1445" s="316"/>
      <c r="F1445" s="317"/>
      <c r="G1445" s="316"/>
      <c r="H1445" s="316"/>
      <c r="I1445" s="316"/>
      <c r="J1445" s="248"/>
      <c r="K1445" s="330"/>
      <c r="L1445" s="318"/>
      <c r="M1445" s="228"/>
      <c r="N1445" s="228"/>
      <c r="O1445" s="228"/>
      <c r="P1445" s="228"/>
      <c r="Q1445" s="228"/>
      <c r="R1445" s="343"/>
      <c r="S1445" s="240"/>
      <c r="T1445" s="201"/>
      <c r="U1445" s="201"/>
      <c r="V1445" s="201"/>
    </row>
    <row r="1446" spans="1:22" ht="31.5" x14ac:dyDescent="0.25">
      <c r="A1446" s="6" t="s">
        <v>4647</v>
      </c>
      <c r="B1446" s="7" t="s">
        <v>4463</v>
      </c>
      <c r="C1446" s="6" t="s">
        <v>9</v>
      </c>
      <c r="D1446" s="8">
        <v>1</v>
      </c>
      <c r="E1446" s="316"/>
      <c r="F1446" s="317"/>
      <c r="G1446" s="316"/>
      <c r="H1446" s="316"/>
      <c r="I1446" s="316"/>
      <c r="J1446" s="248"/>
      <c r="K1446" s="330"/>
      <c r="L1446" s="318"/>
      <c r="M1446" s="228"/>
      <c r="N1446" s="228"/>
      <c r="O1446" s="228"/>
      <c r="P1446" s="228"/>
      <c r="Q1446" s="228"/>
      <c r="R1446" s="343"/>
      <c r="S1446" s="240"/>
      <c r="T1446" s="201"/>
      <c r="U1446" s="201"/>
      <c r="V1446" s="201"/>
    </row>
    <row r="1447" spans="1:22" ht="31.5" x14ac:dyDescent="0.25">
      <c r="A1447" s="6" t="s">
        <v>4648</v>
      </c>
      <c r="B1447" s="7" t="s">
        <v>4465</v>
      </c>
      <c r="C1447" s="6" t="s">
        <v>9</v>
      </c>
      <c r="D1447" s="8">
        <v>1</v>
      </c>
      <c r="E1447" s="316"/>
      <c r="F1447" s="317"/>
      <c r="G1447" s="316"/>
      <c r="H1447" s="316"/>
      <c r="I1447" s="316"/>
      <c r="J1447" s="248"/>
      <c r="K1447" s="330"/>
      <c r="L1447" s="318"/>
      <c r="M1447" s="228"/>
      <c r="N1447" s="228"/>
      <c r="O1447" s="228"/>
      <c r="P1447" s="228"/>
      <c r="Q1447" s="228"/>
      <c r="R1447" s="343"/>
      <c r="S1447" s="240"/>
      <c r="T1447" s="201"/>
      <c r="U1447" s="201"/>
      <c r="V1447" s="201"/>
    </row>
    <row r="1448" spans="1:22" ht="31.5" x14ac:dyDescent="0.25">
      <c r="A1448" s="6" t="s">
        <v>4649</v>
      </c>
      <c r="B1448" s="7" t="s">
        <v>4467</v>
      </c>
      <c r="C1448" s="6" t="s">
        <v>9</v>
      </c>
      <c r="D1448" s="8">
        <v>1</v>
      </c>
      <c r="E1448" s="316"/>
      <c r="F1448" s="317"/>
      <c r="G1448" s="316"/>
      <c r="H1448" s="316"/>
      <c r="I1448" s="316"/>
      <c r="J1448" s="248"/>
      <c r="K1448" s="330"/>
      <c r="L1448" s="318"/>
      <c r="M1448" s="228"/>
      <c r="N1448" s="228"/>
      <c r="O1448" s="228"/>
      <c r="P1448" s="228"/>
      <c r="Q1448" s="228"/>
      <c r="R1448" s="343"/>
      <c r="S1448" s="240"/>
      <c r="T1448" s="201"/>
      <c r="U1448" s="201"/>
      <c r="V1448" s="201"/>
    </row>
    <row r="1449" spans="1:22" ht="31.5" x14ac:dyDescent="0.25">
      <c r="A1449" s="6" t="s">
        <v>4650</v>
      </c>
      <c r="B1449" s="7" t="s">
        <v>4469</v>
      </c>
      <c r="C1449" s="6" t="s">
        <v>9</v>
      </c>
      <c r="D1449" s="8">
        <v>2</v>
      </c>
      <c r="E1449" s="316"/>
      <c r="F1449" s="317"/>
      <c r="G1449" s="316"/>
      <c r="H1449" s="316"/>
      <c r="I1449" s="316"/>
      <c r="J1449" s="248"/>
      <c r="K1449" s="330"/>
      <c r="L1449" s="318"/>
      <c r="M1449" s="228"/>
      <c r="N1449" s="228"/>
      <c r="O1449" s="228"/>
      <c r="P1449" s="228"/>
      <c r="Q1449" s="228"/>
      <c r="R1449" s="343"/>
      <c r="S1449" s="240"/>
      <c r="T1449" s="201"/>
      <c r="U1449" s="201"/>
      <c r="V1449" s="201"/>
    </row>
    <row r="1450" spans="1:22" ht="31.5" x14ac:dyDescent="0.25">
      <c r="A1450" s="6" t="s">
        <v>4651</v>
      </c>
      <c r="B1450" s="7" t="s">
        <v>4471</v>
      </c>
      <c r="C1450" s="6" t="s">
        <v>9</v>
      </c>
      <c r="D1450" s="8">
        <v>3</v>
      </c>
      <c r="E1450" s="316"/>
      <c r="F1450" s="317"/>
      <c r="G1450" s="316"/>
      <c r="H1450" s="316"/>
      <c r="I1450" s="316"/>
      <c r="J1450" s="248"/>
      <c r="K1450" s="330"/>
      <c r="L1450" s="318"/>
      <c r="M1450" s="228"/>
      <c r="N1450" s="228"/>
      <c r="O1450" s="228"/>
      <c r="P1450" s="228"/>
      <c r="Q1450" s="228"/>
      <c r="R1450" s="343"/>
      <c r="S1450" s="240"/>
      <c r="T1450" s="201"/>
      <c r="U1450" s="201"/>
      <c r="V1450" s="201"/>
    </row>
    <row r="1451" spans="1:22" ht="31.5" x14ac:dyDescent="0.25">
      <c r="A1451" s="6" t="s">
        <v>4652</v>
      </c>
      <c r="B1451" s="7" t="s">
        <v>4473</v>
      </c>
      <c r="C1451" s="6" t="s">
        <v>9</v>
      </c>
      <c r="D1451" s="8">
        <v>1</v>
      </c>
      <c r="E1451" s="316"/>
      <c r="F1451" s="317"/>
      <c r="G1451" s="316"/>
      <c r="H1451" s="316"/>
      <c r="I1451" s="316"/>
      <c r="J1451" s="248"/>
      <c r="K1451" s="330"/>
      <c r="L1451" s="318"/>
      <c r="M1451" s="228"/>
      <c r="N1451" s="228"/>
      <c r="O1451" s="228"/>
      <c r="P1451" s="228"/>
      <c r="Q1451" s="228"/>
      <c r="R1451" s="343"/>
      <c r="S1451" s="240"/>
      <c r="T1451" s="201"/>
      <c r="U1451" s="201"/>
      <c r="V1451" s="201"/>
    </row>
    <row r="1452" spans="1:22" ht="31.5" x14ac:dyDescent="0.25">
      <c r="A1452" s="6" t="s">
        <v>4653</v>
      </c>
      <c r="B1452" s="7" t="s">
        <v>4475</v>
      </c>
      <c r="C1452" s="6" t="s">
        <v>9</v>
      </c>
      <c r="D1452" s="8">
        <v>2</v>
      </c>
      <c r="E1452" s="316"/>
      <c r="F1452" s="317"/>
      <c r="G1452" s="316"/>
      <c r="H1452" s="316"/>
      <c r="I1452" s="316"/>
      <c r="J1452" s="248"/>
      <c r="K1452" s="330"/>
      <c r="L1452" s="318"/>
      <c r="M1452" s="228"/>
      <c r="N1452" s="228"/>
      <c r="O1452" s="228"/>
      <c r="P1452" s="228"/>
      <c r="Q1452" s="228"/>
      <c r="R1452" s="343"/>
      <c r="S1452" s="240"/>
      <c r="T1452" s="201"/>
      <c r="U1452" s="201"/>
      <c r="V1452" s="201"/>
    </row>
    <row r="1453" spans="1:22" ht="31.5" x14ac:dyDescent="0.25">
      <c r="A1453" s="6" t="s">
        <v>4654</v>
      </c>
      <c r="B1453" s="7" t="s">
        <v>4477</v>
      </c>
      <c r="C1453" s="6" t="s">
        <v>9</v>
      </c>
      <c r="D1453" s="8">
        <v>1</v>
      </c>
      <c r="E1453" s="316"/>
      <c r="F1453" s="317"/>
      <c r="G1453" s="316"/>
      <c r="H1453" s="316"/>
      <c r="I1453" s="316"/>
      <c r="J1453" s="248"/>
      <c r="K1453" s="330"/>
      <c r="L1453" s="318"/>
      <c r="M1453" s="228"/>
      <c r="N1453" s="228"/>
      <c r="O1453" s="228"/>
      <c r="P1453" s="228"/>
      <c r="Q1453" s="228"/>
      <c r="R1453" s="343"/>
      <c r="S1453" s="240"/>
      <c r="T1453" s="201"/>
      <c r="U1453" s="201"/>
      <c r="V1453" s="201"/>
    </row>
    <row r="1454" spans="1:22" ht="31.5" x14ac:dyDescent="0.25">
      <c r="A1454" s="6" t="s">
        <v>4655</v>
      </c>
      <c r="B1454" s="7" t="s">
        <v>4479</v>
      </c>
      <c r="C1454" s="6" t="s">
        <v>9</v>
      </c>
      <c r="D1454" s="8">
        <v>1</v>
      </c>
      <c r="E1454" s="316"/>
      <c r="F1454" s="317"/>
      <c r="G1454" s="316"/>
      <c r="H1454" s="316"/>
      <c r="I1454" s="316"/>
      <c r="J1454" s="248"/>
      <c r="K1454" s="330"/>
      <c r="L1454" s="318"/>
      <c r="M1454" s="228"/>
      <c r="N1454" s="228"/>
      <c r="O1454" s="228"/>
      <c r="P1454" s="228"/>
      <c r="Q1454" s="228"/>
      <c r="R1454" s="343"/>
      <c r="S1454" s="240"/>
      <c r="T1454" s="201"/>
      <c r="U1454" s="201"/>
      <c r="V1454" s="201"/>
    </row>
    <row r="1455" spans="1:22" ht="31.5" x14ac:dyDescent="0.25">
      <c r="A1455" s="6" t="s">
        <v>4656</v>
      </c>
      <c r="B1455" s="7" t="s">
        <v>4481</v>
      </c>
      <c r="C1455" s="6" t="s">
        <v>9</v>
      </c>
      <c r="D1455" s="8">
        <v>2</v>
      </c>
      <c r="E1455" s="316"/>
      <c r="F1455" s="317"/>
      <c r="G1455" s="316"/>
      <c r="H1455" s="316"/>
      <c r="I1455" s="316"/>
      <c r="J1455" s="248"/>
      <c r="K1455" s="330"/>
      <c r="L1455" s="318"/>
      <c r="M1455" s="228"/>
      <c r="N1455" s="228"/>
      <c r="O1455" s="228"/>
      <c r="P1455" s="228"/>
      <c r="Q1455" s="228"/>
      <c r="R1455" s="343"/>
      <c r="S1455" s="240"/>
      <c r="T1455" s="201"/>
      <c r="U1455" s="201"/>
      <c r="V1455" s="201"/>
    </row>
    <row r="1456" spans="1:22" ht="15.75" x14ac:dyDescent="0.25">
      <c r="A1456" s="6" t="s">
        <v>4657</v>
      </c>
      <c r="B1456" s="7" t="s">
        <v>4658</v>
      </c>
      <c r="C1456" s="6" t="s">
        <v>9</v>
      </c>
      <c r="D1456" s="8">
        <v>3</v>
      </c>
      <c r="E1456" s="316"/>
      <c r="F1456" s="317"/>
      <c r="G1456" s="316"/>
      <c r="H1456" s="316"/>
      <c r="I1456" s="316"/>
      <c r="J1456" s="248"/>
      <c r="K1456" s="330"/>
      <c r="L1456" s="318"/>
      <c r="M1456" s="228"/>
      <c r="N1456" s="228"/>
      <c r="O1456" s="228"/>
      <c r="P1456" s="228"/>
      <c r="Q1456" s="228"/>
      <c r="R1456" s="343"/>
      <c r="S1456" s="240"/>
      <c r="T1456" s="201"/>
      <c r="U1456" s="201"/>
      <c r="V1456" s="201"/>
    </row>
    <row r="1457" spans="1:22" ht="15.75" x14ac:dyDescent="0.25">
      <c r="A1457" s="6" t="s">
        <v>4659</v>
      </c>
      <c r="B1457" s="7" t="s">
        <v>4660</v>
      </c>
      <c r="C1457" s="6" t="s">
        <v>9</v>
      </c>
      <c r="D1457" s="8">
        <v>18</v>
      </c>
      <c r="E1457" s="316"/>
      <c r="F1457" s="317"/>
      <c r="G1457" s="316"/>
      <c r="H1457" s="316"/>
      <c r="I1457" s="316"/>
      <c r="J1457" s="248"/>
      <c r="K1457" s="330"/>
      <c r="L1457" s="318"/>
      <c r="M1457" s="228"/>
      <c r="N1457" s="228"/>
      <c r="O1457" s="228"/>
      <c r="P1457" s="228"/>
      <c r="Q1457" s="228"/>
      <c r="R1457" s="343"/>
      <c r="S1457" s="240"/>
      <c r="T1457" s="201"/>
      <c r="U1457" s="201"/>
      <c r="V1457" s="201"/>
    </row>
    <row r="1458" spans="1:22" ht="15.75" x14ac:dyDescent="0.25">
      <c r="A1458" s="6" t="s">
        <v>4661</v>
      </c>
      <c r="B1458" s="7" t="s">
        <v>4662</v>
      </c>
      <c r="C1458" s="6" t="s">
        <v>9</v>
      </c>
      <c r="D1458" s="8">
        <v>4</v>
      </c>
      <c r="E1458" s="316"/>
      <c r="F1458" s="317"/>
      <c r="G1458" s="316"/>
      <c r="H1458" s="316"/>
      <c r="I1458" s="316"/>
      <c r="J1458" s="248"/>
      <c r="K1458" s="330"/>
      <c r="L1458" s="318"/>
      <c r="M1458" s="228"/>
      <c r="N1458" s="228"/>
      <c r="O1458" s="228"/>
      <c r="P1458" s="228"/>
      <c r="Q1458" s="228"/>
      <c r="R1458" s="343"/>
      <c r="S1458" s="240"/>
      <c r="T1458" s="201"/>
      <c r="U1458" s="201"/>
      <c r="V1458" s="201"/>
    </row>
    <row r="1459" spans="1:22" ht="15.75" x14ac:dyDescent="0.25">
      <c r="A1459" s="6" t="s">
        <v>4663</v>
      </c>
      <c r="B1459" s="7" t="s">
        <v>4664</v>
      </c>
      <c r="C1459" s="6" t="s">
        <v>9</v>
      </c>
      <c r="D1459" s="8">
        <v>3</v>
      </c>
      <c r="E1459" s="316"/>
      <c r="F1459" s="317"/>
      <c r="G1459" s="316"/>
      <c r="H1459" s="316"/>
      <c r="I1459" s="316"/>
      <c r="J1459" s="248"/>
      <c r="K1459" s="330"/>
      <c r="L1459" s="318"/>
      <c r="M1459" s="228"/>
      <c r="N1459" s="228"/>
      <c r="O1459" s="228"/>
      <c r="P1459" s="228"/>
      <c r="Q1459" s="228"/>
      <c r="R1459" s="343"/>
      <c r="S1459" s="240"/>
      <c r="T1459" s="201"/>
      <c r="U1459" s="201"/>
      <c r="V1459" s="201"/>
    </row>
    <row r="1460" spans="1:22" ht="15.75" x14ac:dyDescent="0.25">
      <c r="A1460" s="6" t="s">
        <v>4665</v>
      </c>
      <c r="B1460" s="7" t="s">
        <v>4666</v>
      </c>
      <c r="C1460" s="6" t="s">
        <v>9</v>
      </c>
      <c r="D1460" s="8">
        <v>1</v>
      </c>
      <c r="E1460" s="316"/>
      <c r="F1460" s="317"/>
      <c r="G1460" s="316"/>
      <c r="H1460" s="316"/>
      <c r="I1460" s="316"/>
      <c r="J1460" s="248"/>
      <c r="K1460" s="330"/>
      <c r="L1460" s="318"/>
      <c r="M1460" s="228"/>
      <c r="N1460" s="228"/>
      <c r="O1460" s="228"/>
      <c r="P1460" s="228"/>
      <c r="Q1460" s="228"/>
      <c r="R1460" s="343"/>
      <c r="S1460" s="240"/>
      <c r="T1460" s="201"/>
      <c r="U1460" s="201"/>
      <c r="V1460" s="201"/>
    </row>
    <row r="1461" spans="1:22" ht="15.75" x14ac:dyDescent="0.25">
      <c r="A1461" s="6" t="s">
        <v>4667</v>
      </c>
      <c r="B1461" s="7" t="s">
        <v>4668</v>
      </c>
      <c r="C1461" s="6" t="s">
        <v>9</v>
      </c>
      <c r="D1461" s="8">
        <v>18</v>
      </c>
      <c r="E1461" s="316"/>
      <c r="F1461" s="317"/>
      <c r="G1461" s="316"/>
      <c r="H1461" s="316"/>
      <c r="I1461" s="316"/>
      <c r="J1461" s="248"/>
      <c r="K1461" s="330"/>
      <c r="L1461" s="318"/>
      <c r="M1461" s="228"/>
      <c r="N1461" s="228"/>
      <c r="O1461" s="228"/>
      <c r="P1461" s="228"/>
      <c r="Q1461" s="228"/>
      <c r="R1461" s="343"/>
      <c r="S1461" s="240"/>
      <c r="T1461" s="201"/>
      <c r="U1461" s="201"/>
      <c r="V1461" s="201"/>
    </row>
    <row r="1462" spans="1:22" ht="15.75" x14ac:dyDescent="0.25">
      <c r="A1462" s="6" t="s">
        <v>4669</v>
      </c>
      <c r="B1462" s="7" t="s">
        <v>4670</v>
      </c>
      <c r="C1462" s="6" t="s">
        <v>9</v>
      </c>
      <c r="D1462" s="8">
        <v>1</v>
      </c>
      <c r="E1462" s="316"/>
      <c r="F1462" s="317"/>
      <c r="G1462" s="316"/>
      <c r="H1462" s="316"/>
      <c r="I1462" s="316"/>
      <c r="J1462" s="248"/>
      <c r="K1462" s="330"/>
      <c r="L1462" s="318"/>
      <c r="M1462" s="228"/>
      <c r="N1462" s="228"/>
      <c r="O1462" s="228"/>
      <c r="P1462" s="228"/>
      <c r="Q1462" s="228"/>
      <c r="R1462" s="343"/>
      <c r="S1462" s="240"/>
      <c r="T1462" s="201"/>
      <c r="U1462" s="201"/>
      <c r="V1462" s="201"/>
    </row>
    <row r="1463" spans="1:22" ht="15.75" x14ac:dyDescent="0.25">
      <c r="A1463" s="6" t="s">
        <v>4671</v>
      </c>
      <c r="B1463" s="7" t="s">
        <v>4672</v>
      </c>
      <c r="C1463" s="6" t="s">
        <v>9</v>
      </c>
      <c r="D1463" s="8">
        <v>3</v>
      </c>
      <c r="E1463" s="316"/>
      <c r="F1463" s="317"/>
      <c r="G1463" s="316"/>
      <c r="H1463" s="316"/>
      <c r="I1463" s="316"/>
      <c r="J1463" s="248"/>
      <c r="K1463" s="330"/>
      <c r="L1463" s="318"/>
      <c r="M1463" s="228"/>
      <c r="N1463" s="228"/>
      <c r="O1463" s="228"/>
      <c r="P1463" s="228"/>
      <c r="Q1463" s="228"/>
      <c r="R1463" s="343"/>
      <c r="S1463" s="240"/>
      <c r="T1463" s="201"/>
      <c r="U1463" s="201"/>
      <c r="V1463" s="201"/>
    </row>
    <row r="1464" spans="1:22" ht="15.75" x14ac:dyDescent="0.25">
      <c r="A1464" s="6" t="s">
        <v>4673</v>
      </c>
      <c r="B1464" s="7" t="s">
        <v>4674</v>
      </c>
      <c r="C1464" s="6" t="s">
        <v>9</v>
      </c>
      <c r="D1464" s="8">
        <v>4</v>
      </c>
      <c r="E1464" s="316"/>
      <c r="F1464" s="317"/>
      <c r="G1464" s="316"/>
      <c r="H1464" s="316"/>
      <c r="I1464" s="316"/>
      <c r="J1464" s="248"/>
      <c r="K1464" s="330"/>
      <c r="L1464" s="318"/>
      <c r="M1464" s="228"/>
      <c r="N1464" s="228"/>
      <c r="O1464" s="228"/>
      <c r="P1464" s="228"/>
      <c r="Q1464" s="228"/>
      <c r="R1464" s="343"/>
      <c r="S1464" s="240"/>
      <c r="T1464" s="201"/>
      <c r="U1464" s="201"/>
      <c r="V1464" s="201"/>
    </row>
    <row r="1465" spans="1:22" ht="15.75" x14ac:dyDescent="0.25">
      <c r="A1465" s="6" t="s">
        <v>4675</v>
      </c>
      <c r="B1465" s="7" t="s">
        <v>4676</v>
      </c>
      <c r="C1465" s="6" t="s">
        <v>9</v>
      </c>
      <c r="D1465" s="8">
        <v>1</v>
      </c>
      <c r="E1465" s="316"/>
      <c r="F1465" s="317"/>
      <c r="G1465" s="316"/>
      <c r="H1465" s="316"/>
      <c r="I1465" s="316"/>
      <c r="J1465" s="248"/>
      <c r="K1465" s="330"/>
      <c r="L1465" s="318"/>
      <c r="M1465" s="228"/>
      <c r="N1465" s="228"/>
      <c r="O1465" s="228"/>
      <c r="P1465" s="228"/>
      <c r="Q1465" s="228"/>
      <c r="R1465" s="343"/>
      <c r="S1465" s="240"/>
      <c r="T1465" s="201"/>
      <c r="U1465" s="201"/>
      <c r="V1465" s="201"/>
    </row>
    <row r="1466" spans="1:22" ht="15.75" x14ac:dyDescent="0.25">
      <c r="A1466" s="6" t="s">
        <v>4677</v>
      </c>
      <c r="B1466" s="7" t="s">
        <v>4483</v>
      </c>
      <c r="C1466" s="6" t="s">
        <v>499</v>
      </c>
      <c r="D1466" s="8">
        <v>1</v>
      </c>
      <c r="E1466" s="316"/>
      <c r="F1466" s="317"/>
      <c r="G1466" s="316"/>
      <c r="H1466" s="316"/>
      <c r="I1466" s="316"/>
      <c r="J1466" s="248"/>
      <c r="K1466" s="330"/>
      <c r="L1466" s="318"/>
      <c r="M1466" s="228"/>
      <c r="N1466" s="228"/>
      <c r="O1466" s="228"/>
      <c r="P1466" s="228"/>
      <c r="Q1466" s="228"/>
      <c r="R1466" s="343"/>
      <c r="S1466" s="240"/>
      <c r="T1466" s="201"/>
      <c r="U1466" s="201"/>
      <c r="V1466" s="201"/>
    </row>
    <row r="1467" spans="1:22" ht="31.5" x14ac:dyDescent="0.25">
      <c r="A1467" s="6" t="s">
        <v>4678</v>
      </c>
      <c r="B1467" s="7" t="s">
        <v>4679</v>
      </c>
      <c r="C1467" s="6" t="s">
        <v>499</v>
      </c>
      <c r="D1467" s="8">
        <v>1</v>
      </c>
      <c r="E1467" s="316"/>
      <c r="F1467" s="317"/>
      <c r="G1467" s="316"/>
      <c r="H1467" s="316"/>
      <c r="I1467" s="316"/>
      <c r="J1467" s="248"/>
      <c r="K1467" s="330"/>
      <c r="L1467" s="318"/>
      <c r="M1467" s="228"/>
      <c r="N1467" s="228"/>
      <c r="O1467" s="228"/>
      <c r="P1467" s="228"/>
      <c r="Q1467" s="228"/>
      <c r="R1467" s="343"/>
      <c r="S1467" s="240"/>
      <c r="T1467" s="201"/>
      <c r="U1467" s="201"/>
      <c r="V1467" s="201"/>
    </row>
    <row r="1468" spans="1:22" ht="31.5" x14ac:dyDescent="0.25">
      <c r="A1468" s="6" t="s">
        <v>4680</v>
      </c>
      <c r="B1468" s="7" t="s">
        <v>4681</v>
      </c>
      <c r="C1468" s="6" t="s">
        <v>499</v>
      </c>
      <c r="D1468" s="8">
        <v>1</v>
      </c>
      <c r="E1468" s="316"/>
      <c r="F1468" s="317"/>
      <c r="G1468" s="316"/>
      <c r="H1468" s="316"/>
      <c r="I1468" s="316"/>
      <c r="J1468" s="248"/>
      <c r="K1468" s="330"/>
      <c r="L1468" s="318"/>
      <c r="M1468" s="228"/>
      <c r="N1468" s="228"/>
      <c r="O1468" s="228"/>
      <c r="P1468" s="228"/>
      <c r="Q1468" s="228"/>
      <c r="R1468" s="343"/>
      <c r="S1468" s="240"/>
      <c r="T1468" s="201"/>
      <c r="U1468" s="201"/>
      <c r="V1468" s="201"/>
    </row>
    <row r="1469" spans="1:22" ht="31.5" x14ac:dyDescent="0.25">
      <c r="A1469" s="6" t="s">
        <v>4682</v>
      </c>
      <c r="B1469" s="7" t="s">
        <v>4683</v>
      </c>
      <c r="C1469" s="6" t="s">
        <v>499</v>
      </c>
      <c r="D1469" s="8">
        <v>1</v>
      </c>
      <c r="E1469" s="316"/>
      <c r="F1469" s="317"/>
      <c r="G1469" s="316"/>
      <c r="H1469" s="316"/>
      <c r="I1469" s="316"/>
      <c r="J1469" s="248"/>
      <c r="K1469" s="330"/>
      <c r="L1469" s="318"/>
      <c r="M1469" s="228"/>
      <c r="N1469" s="228"/>
      <c r="O1469" s="228"/>
      <c r="P1469" s="228"/>
      <c r="Q1469" s="228"/>
      <c r="R1469" s="343"/>
      <c r="S1469" s="240"/>
      <c r="T1469" s="201"/>
      <c r="U1469" s="201"/>
      <c r="V1469" s="201"/>
    </row>
    <row r="1470" spans="1:22" ht="31.5" x14ac:dyDescent="0.25">
      <c r="A1470" s="6" t="s">
        <v>4684</v>
      </c>
      <c r="B1470" s="7" t="s">
        <v>4685</v>
      </c>
      <c r="C1470" s="6" t="s">
        <v>499</v>
      </c>
      <c r="D1470" s="8">
        <v>1</v>
      </c>
      <c r="E1470" s="316"/>
      <c r="F1470" s="317"/>
      <c r="G1470" s="316"/>
      <c r="H1470" s="316"/>
      <c r="I1470" s="316"/>
      <c r="J1470" s="248"/>
      <c r="K1470" s="330"/>
      <c r="L1470" s="318"/>
      <c r="M1470" s="228"/>
      <c r="N1470" s="228"/>
      <c r="O1470" s="228"/>
      <c r="P1470" s="228"/>
      <c r="Q1470" s="228"/>
      <c r="R1470" s="343"/>
      <c r="S1470" s="240"/>
      <c r="T1470" s="201"/>
      <c r="U1470" s="201"/>
      <c r="V1470" s="201"/>
    </row>
    <row r="1471" spans="1:22" ht="31.5" x14ac:dyDescent="0.25">
      <c r="A1471" s="6" t="s">
        <v>4686</v>
      </c>
      <c r="B1471" s="7" t="s">
        <v>4687</v>
      </c>
      <c r="C1471" s="6" t="s">
        <v>6</v>
      </c>
      <c r="D1471" s="8">
        <v>345</v>
      </c>
      <c r="E1471" s="316"/>
      <c r="F1471" s="317"/>
      <c r="G1471" s="316"/>
      <c r="H1471" s="316"/>
      <c r="I1471" s="316"/>
      <c r="J1471" s="248"/>
      <c r="K1471" s="330"/>
      <c r="L1471" s="318"/>
      <c r="M1471" s="228"/>
      <c r="N1471" s="228"/>
      <c r="O1471" s="228"/>
      <c r="P1471" s="228"/>
      <c r="Q1471" s="228"/>
      <c r="R1471" s="343"/>
      <c r="S1471" s="240"/>
      <c r="T1471" s="201"/>
      <c r="U1471" s="201"/>
      <c r="V1471" s="201"/>
    </row>
    <row r="1472" spans="1:22" ht="31.5" x14ac:dyDescent="0.25">
      <c r="A1472" s="6" t="s">
        <v>4688</v>
      </c>
      <c r="B1472" s="7" t="s">
        <v>4689</v>
      </c>
      <c r="C1472" s="6" t="s">
        <v>6</v>
      </c>
      <c r="D1472" s="8">
        <v>1000</v>
      </c>
      <c r="E1472" s="316"/>
      <c r="F1472" s="317"/>
      <c r="G1472" s="316"/>
      <c r="H1472" s="316"/>
      <c r="I1472" s="316"/>
      <c r="J1472" s="248"/>
      <c r="K1472" s="330"/>
      <c r="L1472" s="318"/>
      <c r="M1472" s="228"/>
      <c r="N1472" s="228"/>
      <c r="O1472" s="228"/>
      <c r="P1472" s="228"/>
      <c r="Q1472" s="228"/>
      <c r="R1472" s="343"/>
      <c r="S1472" s="240"/>
      <c r="T1472" s="201"/>
      <c r="U1472" s="201"/>
      <c r="V1472" s="201"/>
    </row>
    <row r="1473" spans="1:22" ht="15.75" x14ac:dyDescent="0.25">
      <c r="A1473" s="6" t="s">
        <v>4690</v>
      </c>
      <c r="B1473" s="7" t="s">
        <v>4691</v>
      </c>
      <c r="C1473" s="6" t="s">
        <v>6</v>
      </c>
      <c r="D1473" s="8">
        <v>1000</v>
      </c>
      <c r="E1473" s="316"/>
      <c r="F1473" s="317"/>
      <c r="G1473" s="316"/>
      <c r="H1473" s="316"/>
      <c r="I1473" s="316"/>
      <c r="J1473" s="248"/>
      <c r="K1473" s="330"/>
      <c r="L1473" s="318"/>
      <c r="M1473" s="228"/>
      <c r="N1473" s="228"/>
      <c r="O1473" s="228"/>
      <c r="P1473" s="228"/>
      <c r="Q1473" s="228"/>
      <c r="R1473" s="343"/>
      <c r="S1473" s="240"/>
      <c r="T1473" s="201"/>
      <c r="U1473" s="201"/>
      <c r="V1473" s="201"/>
    </row>
    <row r="1474" spans="1:22" ht="15.75" x14ac:dyDescent="0.25">
      <c r="A1474" s="6" t="s">
        <v>4692</v>
      </c>
      <c r="B1474" s="7" t="s">
        <v>4693</v>
      </c>
      <c r="C1474" s="6" t="s">
        <v>6</v>
      </c>
      <c r="D1474" s="8">
        <v>1800</v>
      </c>
      <c r="E1474" s="316"/>
      <c r="F1474" s="317"/>
      <c r="G1474" s="316"/>
      <c r="H1474" s="316"/>
      <c r="I1474" s="316"/>
      <c r="J1474" s="248"/>
      <c r="K1474" s="330"/>
      <c r="L1474" s="318"/>
      <c r="M1474" s="228"/>
      <c r="N1474" s="228"/>
      <c r="O1474" s="228"/>
      <c r="P1474" s="228"/>
      <c r="Q1474" s="228"/>
      <c r="R1474" s="343"/>
      <c r="S1474" s="240"/>
      <c r="T1474" s="201"/>
      <c r="U1474" s="201"/>
      <c r="V1474" s="201"/>
    </row>
    <row r="1475" spans="1:22" ht="15.75" x14ac:dyDescent="0.25">
      <c r="A1475" s="6" t="s">
        <v>4694</v>
      </c>
      <c r="B1475" s="7" t="s">
        <v>4695</v>
      </c>
      <c r="C1475" s="6" t="s">
        <v>248</v>
      </c>
      <c r="D1475" s="8">
        <v>1</v>
      </c>
      <c r="E1475" s="316"/>
      <c r="F1475" s="317"/>
      <c r="G1475" s="316"/>
      <c r="H1475" s="316"/>
      <c r="I1475" s="316"/>
      <c r="J1475" s="248"/>
      <c r="K1475" s="330"/>
      <c r="L1475" s="318"/>
      <c r="M1475" s="228"/>
      <c r="N1475" s="228"/>
      <c r="O1475" s="228"/>
      <c r="P1475" s="228"/>
      <c r="Q1475" s="228"/>
      <c r="R1475" s="343"/>
      <c r="S1475" s="240"/>
      <c r="T1475" s="201"/>
      <c r="U1475" s="201"/>
      <c r="V1475" s="201"/>
    </row>
    <row r="1476" spans="1:22" ht="15.75" x14ac:dyDescent="0.25">
      <c r="A1476" s="230" t="s">
        <v>4090</v>
      </c>
      <c r="B1476" s="231" t="s">
        <v>4091</v>
      </c>
      <c r="C1476" s="230"/>
      <c r="D1476" s="316"/>
      <c r="E1476" s="316"/>
      <c r="F1476" s="317"/>
      <c r="G1476" s="316"/>
      <c r="H1476" s="316"/>
      <c r="I1476" s="316"/>
      <c r="J1476" s="248">
        <f t="shared" si="155"/>
        <v>0</v>
      </c>
      <c r="K1476" s="330">
        <f t="shared" si="156"/>
        <v>0</v>
      </c>
      <c r="L1476" s="318"/>
      <c r="M1476" s="228">
        <f t="shared" si="157"/>
        <v>0</v>
      </c>
      <c r="N1476" s="228">
        <f t="shared" si="160"/>
        <v>0</v>
      </c>
      <c r="O1476" s="228">
        <f t="shared" si="161"/>
        <v>0</v>
      </c>
      <c r="P1476" s="228">
        <f t="shared" si="161"/>
        <v>0</v>
      </c>
      <c r="Q1476" s="228">
        <f t="shared" si="158"/>
        <v>0</v>
      </c>
      <c r="R1476" s="343">
        <f t="shared" si="159"/>
        <v>0</v>
      </c>
      <c r="S1476" s="240"/>
      <c r="T1476" s="201"/>
      <c r="U1476" s="201"/>
      <c r="V1476" s="201"/>
    </row>
    <row r="1477" spans="1:22" ht="30" x14ac:dyDescent="0.25">
      <c r="A1477" s="234" t="s">
        <v>4092</v>
      </c>
      <c r="B1477" s="235" t="s">
        <v>4093</v>
      </c>
      <c r="C1477" s="234" t="s">
        <v>1911</v>
      </c>
      <c r="D1477" s="312">
        <v>1</v>
      </c>
      <c r="E1477" s="316"/>
      <c r="F1477" s="317"/>
      <c r="G1477" s="316"/>
      <c r="H1477" s="316"/>
      <c r="I1477" s="316"/>
      <c r="J1477" s="248">
        <f t="shared" si="155"/>
        <v>0</v>
      </c>
      <c r="K1477" s="330">
        <f t="shared" si="156"/>
        <v>-1</v>
      </c>
      <c r="L1477" s="318"/>
      <c r="M1477" s="228">
        <f t="shared" si="157"/>
        <v>0</v>
      </c>
      <c r="N1477" s="228">
        <f t="shared" si="160"/>
        <v>0</v>
      </c>
      <c r="O1477" s="228">
        <f t="shared" si="161"/>
        <v>0</v>
      </c>
      <c r="P1477" s="228">
        <f t="shared" si="161"/>
        <v>0</v>
      </c>
      <c r="Q1477" s="228">
        <f t="shared" si="158"/>
        <v>0</v>
      </c>
      <c r="R1477" s="343">
        <f t="shared" si="159"/>
        <v>-1</v>
      </c>
      <c r="S1477" s="240"/>
      <c r="T1477" s="201"/>
      <c r="U1477" s="201"/>
      <c r="V1477" s="201"/>
    </row>
    <row r="1478" spans="1:22" ht="30" x14ac:dyDescent="0.25">
      <c r="A1478" s="234" t="s">
        <v>4094</v>
      </c>
      <c r="B1478" s="235" t="s">
        <v>4095</v>
      </c>
      <c r="C1478" s="234" t="s">
        <v>1911</v>
      </c>
      <c r="D1478" s="312">
        <v>1</v>
      </c>
      <c r="E1478" s="316"/>
      <c r="F1478" s="317"/>
      <c r="G1478" s="316"/>
      <c r="H1478" s="316"/>
      <c r="I1478" s="316"/>
      <c r="J1478" s="248">
        <f t="shared" si="155"/>
        <v>0</v>
      </c>
      <c r="K1478" s="330">
        <f t="shared" si="156"/>
        <v>-1</v>
      </c>
      <c r="L1478" s="318"/>
      <c r="M1478" s="228">
        <f t="shared" si="157"/>
        <v>0</v>
      </c>
      <c r="N1478" s="228">
        <f t="shared" si="160"/>
        <v>0</v>
      </c>
      <c r="O1478" s="228">
        <f t="shared" si="161"/>
        <v>0</v>
      </c>
      <c r="P1478" s="228">
        <f t="shared" si="161"/>
        <v>0</v>
      </c>
      <c r="Q1478" s="228">
        <f t="shared" si="158"/>
        <v>0</v>
      </c>
      <c r="R1478" s="343">
        <f t="shared" si="159"/>
        <v>-1</v>
      </c>
      <c r="S1478" s="240"/>
      <c r="T1478" s="201"/>
      <c r="U1478" s="201"/>
      <c r="V1478" s="201"/>
    </row>
    <row r="1479" spans="1:22" ht="30" x14ac:dyDescent="0.25">
      <c r="A1479" s="234" t="s">
        <v>4096</v>
      </c>
      <c r="B1479" s="235" t="s">
        <v>4097</v>
      </c>
      <c r="C1479" s="234" t="s">
        <v>1911</v>
      </c>
      <c r="D1479" s="312">
        <v>1</v>
      </c>
      <c r="E1479" s="316"/>
      <c r="F1479" s="317"/>
      <c r="G1479" s="316"/>
      <c r="H1479" s="316"/>
      <c r="I1479" s="316"/>
      <c r="J1479" s="248">
        <f t="shared" si="155"/>
        <v>0</v>
      </c>
      <c r="K1479" s="330">
        <f t="shared" si="156"/>
        <v>-1</v>
      </c>
      <c r="L1479" s="318"/>
      <c r="M1479" s="228">
        <f t="shared" si="157"/>
        <v>0</v>
      </c>
      <c r="N1479" s="228">
        <f t="shared" si="160"/>
        <v>0</v>
      </c>
      <c r="O1479" s="228">
        <f t="shared" si="161"/>
        <v>0</v>
      </c>
      <c r="P1479" s="228">
        <f t="shared" si="161"/>
        <v>0</v>
      </c>
      <c r="Q1479" s="228">
        <f t="shared" si="158"/>
        <v>0</v>
      </c>
      <c r="R1479" s="343">
        <f t="shared" si="159"/>
        <v>-1</v>
      </c>
      <c r="S1479" s="240"/>
      <c r="T1479" s="201"/>
      <c r="U1479" s="201"/>
      <c r="V1479" s="201"/>
    </row>
    <row r="1480" spans="1:22" ht="30" x14ac:dyDescent="0.25">
      <c r="A1480" s="234" t="s">
        <v>4098</v>
      </c>
      <c r="B1480" s="235" t="s">
        <v>4099</v>
      </c>
      <c r="C1480" s="234" t="s">
        <v>499</v>
      </c>
      <c r="D1480" s="312">
        <v>1</v>
      </c>
      <c r="E1480" s="316"/>
      <c r="F1480" s="317"/>
      <c r="G1480" s="316"/>
      <c r="H1480" s="316"/>
      <c r="I1480" s="316"/>
      <c r="J1480" s="248">
        <f t="shared" si="155"/>
        <v>0</v>
      </c>
      <c r="K1480" s="330">
        <f t="shared" si="156"/>
        <v>-1</v>
      </c>
      <c r="L1480" s="318"/>
      <c r="M1480" s="228">
        <f t="shared" si="157"/>
        <v>0</v>
      </c>
      <c r="N1480" s="228">
        <f t="shared" si="160"/>
        <v>0</v>
      </c>
      <c r="O1480" s="228">
        <f t="shared" si="161"/>
        <v>0</v>
      </c>
      <c r="P1480" s="228">
        <f t="shared" si="161"/>
        <v>0</v>
      </c>
      <c r="Q1480" s="228">
        <f t="shared" si="158"/>
        <v>0</v>
      </c>
      <c r="R1480" s="343">
        <f t="shared" si="159"/>
        <v>-1</v>
      </c>
      <c r="S1480" s="240"/>
      <c r="T1480" s="201"/>
      <c r="U1480" s="201"/>
      <c r="V1480" s="201"/>
    </row>
    <row r="1481" spans="1:22" ht="30" x14ac:dyDescent="0.25">
      <c r="A1481" s="234" t="s">
        <v>4100</v>
      </c>
      <c r="B1481" s="235" t="s">
        <v>4101</v>
      </c>
      <c r="C1481" s="234" t="s">
        <v>499</v>
      </c>
      <c r="D1481" s="312">
        <v>1</v>
      </c>
      <c r="E1481" s="316"/>
      <c r="F1481" s="317"/>
      <c r="G1481" s="316"/>
      <c r="H1481" s="316"/>
      <c r="I1481" s="316"/>
      <c r="J1481" s="248">
        <f t="shared" si="155"/>
        <v>0</v>
      </c>
      <c r="K1481" s="330">
        <f t="shared" si="156"/>
        <v>-1</v>
      </c>
      <c r="L1481" s="318"/>
      <c r="M1481" s="228">
        <f t="shared" si="157"/>
        <v>0</v>
      </c>
      <c r="N1481" s="228">
        <f t="shared" si="160"/>
        <v>0</v>
      </c>
      <c r="O1481" s="228">
        <f t="shared" si="161"/>
        <v>0</v>
      </c>
      <c r="P1481" s="228">
        <f t="shared" si="161"/>
        <v>0</v>
      </c>
      <c r="Q1481" s="228">
        <f t="shared" si="158"/>
        <v>0</v>
      </c>
      <c r="R1481" s="343">
        <f t="shared" si="159"/>
        <v>-1</v>
      </c>
      <c r="S1481" s="240"/>
      <c r="T1481" s="201"/>
      <c r="U1481" s="201"/>
      <c r="V1481" s="201"/>
    </row>
    <row r="1482" spans="1:22" ht="15.75" x14ac:dyDescent="0.25">
      <c r="A1482" s="234" t="s">
        <v>4102</v>
      </c>
      <c r="B1482" s="235" t="s">
        <v>4103</v>
      </c>
      <c r="C1482" s="234" t="s">
        <v>499</v>
      </c>
      <c r="D1482" s="312">
        <v>1</v>
      </c>
      <c r="E1482" s="316"/>
      <c r="F1482" s="317"/>
      <c r="G1482" s="316"/>
      <c r="H1482" s="316"/>
      <c r="I1482" s="316"/>
      <c r="J1482" s="248">
        <f t="shared" si="155"/>
        <v>0</v>
      </c>
      <c r="K1482" s="330">
        <f t="shared" si="156"/>
        <v>-1</v>
      </c>
      <c r="L1482" s="318"/>
      <c r="M1482" s="228">
        <f t="shared" si="157"/>
        <v>0</v>
      </c>
      <c r="N1482" s="228">
        <f t="shared" si="160"/>
        <v>0</v>
      </c>
      <c r="O1482" s="228">
        <f t="shared" si="161"/>
        <v>0</v>
      </c>
      <c r="P1482" s="228">
        <f t="shared" si="161"/>
        <v>0</v>
      </c>
      <c r="Q1482" s="228">
        <f t="shared" si="158"/>
        <v>0</v>
      </c>
      <c r="R1482" s="343">
        <f t="shared" si="159"/>
        <v>-1</v>
      </c>
      <c r="S1482" s="240"/>
      <c r="T1482" s="201"/>
      <c r="U1482" s="201"/>
      <c r="V1482" s="201"/>
    </row>
    <row r="1483" spans="1:22" ht="15.75" x14ac:dyDescent="0.25">
      <c r="A1483" s="234" t="s">
        <v>4104</v>
      </c>
      <c r="B1483" s="235" t="s">
        <v>4105</v>
      </c>
      <c r="C1483" s="234" t="s">
        <v>9</v>
      </c>
      <c r="D1483" s="312">
        <v>1</v>
      </c>
      <c r="E1483" s="316"/>
      <c r="F1483" s="317"/>
      <c r="G1483" s="316"/>
      <c r="H1483" s="316"/>
      <c r="I1483" s="316"/>
      <c r="J1483" s="248">
        <f t="shared" si="155"/>
        <v>0</v>
      </c>
      <c r="K1483" s="330">
        <f t="shared" si="156"/>
        <v>-1</v>
      </c>
      <c r="L1483" s="318"/>
      <c r="M1483" s="228">
        <f t="shared" si="157"/>
        <v>0</v>
      </c>
      <c r="N1483" s="228">
        <f t="shared" si="160"/>
        <v>0</v>
      </c>
      <c r="O1483" s="228">
        <f t="shared" si="161"/>
        <v>0</v>
      </c>
      <c r="P1483" s="228">
        <f t="shared" si="161"/>
        <v>0</v>
      </c>
      <c r="Q1483" s="228">
        <f t="shared" si="158"/>
        <v>0</v>
      </c>
      <c r="R1483" s="343">
        <f t="shared" si="159"/>
        <v>-1</v>
      </c>
      <c r="S1483" s="240"/>
      <c r="T1483" s="201"/>
      <c r="U1483" s="201"/>
      <c r="V1483" s="201"/>
    </row>
    <row r="1484" spans="1:22" ht="15.75" x14ac:dyDescent="0.25">
      <c r="A1484" s="234" t="s">
        <v>4106</v>
      </c>
      <c r="B1484" s="235" t="s">
        <v>4107</v>
      </c>
      <c r="C1484" s="234" t="s">
        <v>9</v>
      </c>
      <c r="D1484" s="312">
        <v>1</v>
      </c>
      <c r="E1484" s="316"/>
      <c r="F1484" s="317"/>
      <c r="G1484" s="316"/>
      <c r="H1484" s="316"/>
      <c r="I1484" s="316"/>
      <c r="J1484" s="248">
        <f t="shared" si="155"/>
        <v>0</v>
      </c>
      <c r="K1484" s="330">
        <f t="shared" si="156"/>
        <v>-1</v>
      </c>
      <c r="L1484" s="318"/>
      <c r="M1484" s="228">
        <f t="shared" si="157"/>
        <v>0</v>
      </c>
      <c r="N1484" s="228">
        <f t="shared" si="160"/>
        <v>0</v>
      </c>
      <c r="O1484" s="228">
        <f t="shared" si="161"/>
        <v>0</v>
      </c>
      <c r="P1484" s="228">
        <f t="shared" si="161"/>
        <v>0</v>
      </c>
      <c r="Q1484" s="228">
        <f t="shared" si="158"/>
        <v>0</v>
      </c>
      <c r="R1484" s="343">
        <f t="shared" si="159"/>
        <v>-1</v>
      </c>
      <c r="S1484" s="240"/>
      <c r="T1484" s="201"/>
      <c r="U1484" s="201"/>
      <c r="V1484" s="201"/>
    </row>
    <row r="1485" spans="1:22" ht="15.75" x14ac:dyDescent="0.25">
      <c r="A1485" s="234" t="s">
        <v>4108</v>
      </c>
      <c r="B1485" s="235" t="s">
        <v>4109</v>
      </c>
      <c r="C1485" s="234" t="s">
        <v>9</v>
      </c>
      <c r="D1485" s="312">
        <v>3</v>
      </c>
      <c r="E1485" s="316"/>
      <c r="F1485" s="317"/>
      <c r="G1485" s="316"/>
      <c r="H1485" s="316"/>
      <c r="I1485" s="316"/>
      <c r="J1485" s="248">
        <f t="shared" si="155"/>
        <v>0</v>
      </c>
      <c r="K1485" s="330">
        <f t="shared" si="156"/>
        <v>-3</v>
      </c>
      <c r="L1485" s="318"/>
      <c r="M1485" s="228">
        <f t="shared" si="157"/>
        <v>0</v>
      </c>
      <c r="N1485" s="228">
        <f t="shared" si="160"/>
        <v>0</v>
      </c>
      <c r="O1485" s="228">
        <f t="shared" si="161"/>
        <v>0</v>
      </c>
      <c r="P1485" s="228">
        <f t="shared" si="161"/>
        <v>0</v>
      </c>
      <c r="Q1485" s="228">
        <f t="shared" si="158"/>
        <v>0</v>
      </c>
      <c r="R1485" s="343">
        <f t="shared" si="159"/>
        <v>-3</v>
      </c>
      <c r="S1485" s="240"/>
      <c r="T1485" s="201"/>
      <c r="U1485" s="201"/>
      <c r="V1485" s="201"/>
    </row>
    <row r="1486" spans="1:22" ht="15.75" x14ac:dyDescent="0.25">
      <c r="A1486" s="234" t="s">
        <v>4110</v>
      </c>
      <c r="B1486" s="235" t="s">
        <v>4111</v>
      </c>
      <c r="C1486" s="234" t="s">
        <v>9</v>
      </c>
      <c r="D1486" s="312">
        <v>2</v>
      </c>
      <c r="E1486" s="316"/>
      <c r="F1486" s="317"/>
      <c r="G1486" s="316"/>
      <c r="H1486" s="316"/>
      <c r="I1486" s="316"/>
      <c r="J1486" s="248">
        <f t="shared" si="155"/>
        <v>0</v>
      </c>
      <c r="K1486" s="330">
        <f t="shared" si="156"/>
        <v>-2</v>
      </c>
      <c r="L1486" s="318"/>
      <c r="M1486" s="228">
        <f t="shared" si="157"/>
        <v>0</v>
      </c>
      <c r="N1486" s="228">
        <f t="shared" si="160"/>
        <v>0</v>
      </c>
      <c r="O1486" s="228">
        <f t="shared" si="161"/>
        <v>0</v>
      </c>
      <c r="P1486" s="228">
        <f t="shared" si="161"/>
        <v>0</v>
      </c>
      <c r="Q1486" s="228">
        <f t="shared" si="158"/>
        <v>0</v>
      </c>
      <c r="R1486" s="343">
        <f t="shared" si="159"/>
        <v>-2</v>
      </c>
      <c r="S1486" s="240"/>
      <c r="T1486" s="201"/>
      <c r="U1486" s="201"/>
      <c r="V1486" s="201"/>
    </row>
    <row r="1487" spans="1:22" ht="15.75" x14ac:dyDescent="0.25">
      <c r="A1487" s="234" t="s">
        <v>4112</v>
      </c>
      <c r="B1487" s="235" t="s">
        <v>4113</v>
      </c>
      <c r="C1487" s="234" t="s">
        <v>9</v>
      </c>
      <c r="D1487" s="312">
        <v>2</v>
      </c>
      <c r="E1487" s="316"/>
      <c r="F1487" s="317"/>
      <c r="G1487" s="316"/>
      <c r="H1487" s="316"/>
      <c r="I1487" s="316"/>
      <c r="J1487" s="248">
        <f t="shared" si="155"/>
        <v>0</v>
      </c>
      <c r="K1487" s="330">
        <f t="shared" si="156"/>
        <v>-2</v>
      </c>
      <c r="L1487" s="318"/>
      <c r="M1487" s="228">
        <f t="shared" si="157"/>
        <v>0</v>
      </c>
      <c r="N1487" s="228">
        <f t="shared" si="160"/>
        <v>0</v>
      </c>
      <c r="O1487" s="228">
        <f t="shared" si="161"/>
        <v>0</v>
      </c>
      <c r="P1487" s="228">
        <f t="shared" si="161"/>
        <v>0</v>
      </c>
      <c r="Q1487" s="228">
        <f t="shared" si="158"/>
        <v>0</v>
      </c>
      <c r="R1487" s="343">
        <f t="shared" si="159"/>
        <v>-2</v>
      </c>
      <c r="S1487" s="240"/>
      <c r="T1487" s="201"/>
      <c r="U1487" s="201"/>
      <c r="V1487" s="201"/>
    </row>
    <row r="1488" spans="1:22" ht="15.75" x14ac:dyDescent="0.25">
      <c r="A1488" s="234" t="s">
        <v>4114</v>
      </c>
      <c r="B1488" s="235" t="s">
        <v>4115</v>
      </c>
      <c r="C1488" s="234" t="s">
        <v>9</v>
      </c>
      <c r="D1488" s="312">
        <v>2</v>
      </c>
      <c r="E1488" s="316"/>
      <c r="F1488" s="317"/>
      <c r="G1488" s="316"/>
      <c r="H1488" s="316"/>
      <c r="I1488" s="316"/>
      <c r="J1488" s="248">
        <f t="shared" si="155"/>
        <v>0</v>
      </c>
      <c r="K1488" s="330">
        <f t="shared" si="156"/>
        <v>-2</v>
      </c>
      <c r="L1488" s="318"/>
      <c r="M1488" s="228">
        <f t="shared" si="157"/>
        <v>0</v>
      </c>
      <c r="N1488" s="228">
        <f t="shared" si="160"/>
        <v>0</v>
      </c>
      <c r="O1488" s="228">
        <f t="shared" si="161"/>
        <v>0</v>
      </c>
      <c r="P1488" s="228">
        <f t="shared" si="161"/>
        <v>0</v>
      </c>
      <c r="Q1488" s="228">
        <f t="shared" si="158"/>
        <v>0</v>
      </c>
      <c r="R1488" s="343">
        <f t="shared" si="159"/>
        <v>-2</v>
      </c>
      <c r="S1488" s="240"/>
      <c r="T1488" s="201"/>
      <c r="U1488" s="201"/>
      <c r="V1488" s="201"/>
    </row>
    <row r="1489" spans="1:22" ht="15.75" x14ac:dyDescent="0.25">
      <c r="A1489" s="234" t="s">
        <v>4116</v>
      </c>
      <c r="B1489" s="235" t="s">
        <v>4117</v>
      </c>
      <c r="C1489" s="234" t="s">
        <v>9</v>
      </c>
      <c r="D1489" s="312">
        <v>3</v>
      </c>
      <c r="E1489" s="316"/>
      <c r="F1489" s="317"/>
      <c r="G1489" s="316"/>
      <c r="H1489" s="316"/>
      <c r="I1489" s="316"/>
      <c r="J1489" s="248">
        <f t="shared" si="155"/>
        <v>0</v>
      </c>
      <c r="K1489" s="330">
        <f t="shared" si="156"/>
        <v>-3</v>
      </c>
      <c r="L1489" s="318"/>
      <c r="M1489" s="228">
        <f t="shared" si="157"/>
        <v>0</v>
      </c>
      <c r="N1489" s="228">
        <f t="shared" si="160"/>
        <v>0</v>
      </c>
      <c r="O1489" s="228">
        <f t="shared" si="161"/>
        <v>0</v>
      </c>
      <c r="P1489" s="228">
        <f t="shared" si="161"/>
        <v>0</v>
      </c>
      <c r="Q1489" s="228">
        <f t="shared" si="158"/>
        <v>0</v>
      </c>
      <c r="R1489" s="343">
        <f t="shared" si="159"/>
        <v>-3</v>
      </c>
      <c r="S1489" s="240"/>
      <c r="T1489" s="201"/>
      <c r="U1489" s="201"/>
      <c r="V1489" s="201"/>
    </row>
    <row r="1490" spans="1:22" ht="15.75" x14ac:dyDescent="0.25">
      <c r="A1490" s="234" t="s">
        <v>4118</v>
      </c>
      <c r="B1490" s="235" t="s">
        <v>4119</v>
      </c>
      <c r="C1490" s="234" t="s">
        <v>9</v>
      </c>
      <c r="D1490" s="312">
        <v>2</v>
      </c>
      <c r="E1490" s="316"/>
      <c r="F1490" s="317"/>
      <c r="G1490" s="316"/>
      <c r="H1490" s="316"/>
      <c r="I1490" s="316"/>
      <c r="J1490" s="248">
        <f t="shared" si="155"/>
        <v>0</v>
      </c>
      <c r="K1490" s="330">
        <f t="shared" si="156"/>
        <v>-2</v>
      </c>
      <c r="L1490" s="318"/>
      <c r="M1490" s="228">
        <f t="shared" si="157"/>
        <v>0</v>
      </c>
      <c r="N1490" s="228">
        <f t="shared" si="160"/>
        <v>0</v>
      </c>
      <c r="O1490" s="228">
        <f t="shared" si="161"/>
        <v>0</v>
      </c>
      <c r="P1490" s="228">
        <f t="shared" si="161"/>
        <v>0</v>
      </c>
      <c r="Q1490" s="228">
        <f t="shared" si="158"/>
        <v>0</v>
      </c>
      <c r="R1490" s="343">
        <f t="shared" si="159"/>
        <v>-2</v>
      </c>
      <c r="S1490" s="240"/>
      <c r="T1490" s="201"/>
      <c r="U1490" s="201"/>
      <c r="V1490" s="201"/>
    </row>
    <row r="1491" spans="1:22" ht="15.75" x14ac:dyDescent="0.25">
      <c r="A1491" s="234" t="s">
        <v>4120</v>
      </c>
      <c r="B1491" s="235" t="s">
        <v>4121</v>
      </c>
      <c r="C1491" s="234" t="s">
        <v>9</v>
      </c>
      <c r="D1491" s="312">
        <v>2</v>
      </c>
      <c r="E1491" s="316"/>
      <c r="F1491" s="317"/>
      <c r="G1491" s="316"/>
      <c r="H1491" s="316"/>
      <c r="I1491" s="316"/>
      <c r="J1491" s="248">
        <f t="shared" si="155"/>
        <v>0</v>
      </c>
      <c r="K1491" s="330">
        <f t="shared" si="156"/>
        <v>-2</v>
      </c>
      <c r="L1491" s="318"/>
      <c r="M1491" s="228">
        <f t="shared" si="157"/>
        <v>0</v>
      </c>
      <c r="N1491" s="228">
        <f t="shared" si="160"/>
        <v>0</v>
      </c>
      <c r="O1491" s="228">
        <f t="shared" si="161"/>
        <v>0</v>
      </c>
      <c r="P1491" s="228">
        <f t="shared" si="161"/>
        <v>0</v>
      </c>
      <c r="Q1491" s="228">
        <f t="shared" si="158"/>
        <v>0</v>
      </c>
      <c r="R1491" s="343">
        <f t="shared" si="159"/>
        <v>-2</v>
      </c>
      <c r="S1491" s="240"/>
      <c r="T1491" s="201"/>
      <c r="U1491" s="201"/>
      <c r="V1491" s="201"/>
    </row>
    <row r="1492" spans="1:22" ht="15.75" x14ac:dyDescent="0.25">
      <c r="A1492" s="234" t="s">
        <v>4122</v>
      </c>
      <c r="B1492" s="235" t="s">
        <v>4123</v>
      </c>
      <c r="C1492" s="234" t="s">
        <v>9</v>
      </c>
      <c r="D1492" s="312">
        <v>1</v>
      </c>
      <c r="E1492" s="316"/>
      <c r="F1492" s="317"/>
      <c r="G1492" s="316"/>
      <c r="H1492" s="316"/>
      <c r="I1492" s="316"/>
      <c r="J1492" s="248">
        <f t="shared" si="155"/>
        <v>0</v>
      </c>
      <c r="K1492" s="330">
        <f t="shared" si="156"/>
        <v>-1</v>
      </c>
      <c r="L1492" s="318"/>
      <c r="M1492" s="228">
        <f t="shared" si="157"/>
        <v>0</v>
      </c>
      <c r="N1492" s="228">
        <f t="shared" si="160"/>
        <v>0</v>
      </c>
      <c r="O1492" s="228">
        <f t="shared" si="161"/>
        <v>0</v>
      </c>
      <c r="P1492" s="228">
        <f t="shared" si="161"/>
        <v>0</v>
      </c>
      <c r="Q1492" s="228">
        <f t="shared" si="158"/>
        <v>0</v>
      </c>
      <c r="R1492" s="343">
        <f t="shared" si="159"/>
        <v>-1</v>
      </c>
      <c r="S1492" s="240"/>
      <c r="T1492" s="201"/>
      <c r="U1492" s="201"/>
      <c r="V1492" s="201"/>
    </row>
    <row r="1493" spans="1:22" ht="15.75" x14ac:dyDescent="0.25">
      <c r="A1493" s="234" t="s">
        <v>4124</v>
      </c>
      <c r="B1493" s="235" t="s">
        <v>4125</v>
      </c>
      <c r="C1493" s="234" t="s">
        <v>9</v>
      </c>
      <c r="D1493" s="312">
        <v>2</v>
      </c>
      <c r="E1493" s="316"/>
      <c r="F1493" s="317"/>
      <c r="G1493" s="316"/>
      <c r="H1493" s="316"/>
      <c r="I1493" s="316"/>
      <c r="J1493" s="248">
        <f t="shared" si="155"/>
        <v>0</v>
      </c>
      <c r="K1493" s="330">
        <f t="shared" si="156"/>
        <v>-2</v>
      </c>
      <c r="L1493" s="318"/>
      <c r="M1493" s="228">
        <f t="shared" si="157"/>
        <v>0</v>
      </c>
      <c r="N1493" s="228">
        <f t="shared" si="160"/>
        <v>0</v>
      </c>
      <c r="O1493" s="228">
        <f t="shared" si="161"/>
        <v>0</v>
      </c>
      <c r="P1493" s="228">
        <f t="shared" si="161"/>
        <v>0</v>
      </c>
      <c r="Q1493" s="228">
        <f t="shared" si="158"/>
        <v>0</v>
      </c>
      <c r="R1493" s="343">
        <f t="shared" si="159"/>
        <v>-2</v>
      </c>
      <c r="S1493" s="240"/>
      <c r="T1493" s="201"/>
      <c r="U1493" s="201"/>
      <c r="V1493" s="201"/>
    </row>
    <row r="1494" spans="1:22" ht="15.75" x14ac:dyDescent="0.25">
      <c r="A1494" s="234" t="s">
        <v>4126</v>
      </c>
      <c r="B1494" s="235" t="s">
        <v>4127</v>
      </c>
      <c r="C1494" s="234" t="s">
        <v>9</v>
      </c>
      <c r="D1494" s="312">
        <v>1</v>
      </c>
      <c r="E1494" s="316"/>
      <c r="F1494" s="317"/>
      <c r="G1494" s="316"/>
      <c r="H1494" s="316"/>
      <c r="I1494" s="316"/>
      <c r="J1494" s="248">
        <f t="shared" si="155"/>
        <v>0</v>
      </c>
      <c r="K1494" s="330">
        <f t="shared" si="156"/>
        <v>-1</v>
      </c>
      <c r="L1494" s="318"/>
      <c r="M1494" s="228">
        <f t="shared" si="157"/>
        <v>0</v>
      </c>
      <c r="N1494" s="228">
        <f t="shared" si="160"/>
        <v>0</v>
      </c>
      <c r="O1494" s="228">
        <f t="shared" si="161"/>
        <v>0</v>
      </c>
      <c r="P1494" s="228">
        <f t="shared" si="161"/>
        <v>0</v>
      </c>
      <c r="Q1494" s="228">
        <f t="shared" si="158"/>
        <v>0</v>
      </c>
      <c r="R1494" s="343">
        <f t="shared" si="159"/>
        <v>-1</v>
      </c>
      <c r="S1494" s="240"/>
      <c r="T1494" s="201"/>
      <c r="U1494" s="201"/>
      <c r="V1494" s="201"/>
    </row>
    <row r="1495" spans="1:22" ht="15.75" x14ac:dyDescent="0.25">
      <c r="A1495" s="234" t="s">
        <v>4128</v>
      </c>
      <c r="B1495" s="235" t="s">
        <v>4129</v>
      </c>
      <c r="C1495" s="234" t="s">
        <v>9</v>
      </c>
      <c r="D1495" s="312">
        <v>2</v>
      </c>
      <c r="E1495" s="316"/>
      <c r="F1495" s="317"/>
      <c r="G1495" s="316"/>
      <c r="H1495" s="316"/>
      <c r="I1495" s="316"/>
      <c r="J1495" s="248">
        <f t="shared" si="155"/>
        <v>0</v>
      </c>
      <c r="K1495" s="330">
        <f t="shared" si="156"/>
        <v>-2</v>
      </c>
      <c r="L1495" s="318"/>
      <c r="M1495" s="228">
        <f t="shared" si="157"/>
        <v>0</v>
      </c>
      <c r="N1495" s="228">
        <f t="shared" si="160"/>
        <v>0</v>
      </c>
      <c r="O1495" s="228">
        <f t="shared" si="161"/>
        <v>0</v>
      </c>
      <c r="P1495" s="228">
        <f t="shared" si="161"/>
        <v>0</v>
      </c>
      <c r="Q1495" s="228">
        <f t="shared" si="158"/>
        <v>0</v>
      </c>
      <c r="R1495" s="343">
        <f t="shared" si="159"/>
        <v>-2</v>
      </c>
      <c r="S1495" s="240"/>
      <c r="T1495" s="201"/>
      <c r="U1495" s="201"/>
      <c r="V1495" s="201"/>
    </row>
    <row r="1496" spans="1:22" ht="15.75" x14ac:dyDescent="0.25">
      <c r="A1496" s="234" t="s">
        <v>4130</v>
      </c>
      <c r="B1496" s="235" t="s">
        <v>4131</v>
      </c>
      <c r="C1496" s="234" t="s">
        <v>9</v>
      </c>
      <c r="D1496" s="312">
        <v>2</v>
      </c>
      <c r="E1496" s="316"/>
      <c r="F1496" s="317"/>
      <c r="G1496" s="316"/>
      <c r="H1496" s="316"/>
      <c r="I1496" s="316"/>
      <c r="J1496" s="248">
        <f t="shared" si="155"/>
        <v>0</v>
      </c>
      <c r="K1496" s="330">
        <f t="shared" si="156"/>
        <v>-2</v>
      </c>
      <c r="L1496" s="318"/>
      <c r="M1496" s="228">
        <f t="shared" si="157"/>
        <v>0</v>
      </c>
      <c r="N1496" s="228">
        <f t="shared" si="160"/>
        <v>0</v>
      </c>
      <c r="O1496" s="228">
        <f t="shared" si="161"/>
        <v>0</v>
      </c>
      <c r="P1496" s="228">
        <f t="shared" si="161"/>
        <v>0</v>
      </c>
      <c r="Q1496" s="228">
        <f t="shared" si="158"/>
        <v>0</v>
      </c>
      <c r="R1496" s="343">
        <f t="shared" si="159"/>
        <v>-2</v>
      </c>
      <c r="S1496" s="240"/>
      <c r="T1496" s="201"/>
      <c r="U1496" s="201"/>
      <c r="V1496" s="201"/>
    </row>
    <row r="1497" spans="1:22" ht="15.75" x14ac:dyDescent="0.25">
      <c r="A1497" s="234" t="s">
        <v>4132</v>
      </c>
      <c r="B1497" s="235" t="s">
        <v>4133</v>
      </c>
      <c r="C1497" s="234" t="s">
        <v>9</v>
      </c>
      <c r="D1497" s="312">
        <v>2</v>
      </c>
      <c r="E1497" s="316"/>
      <c r="F1497" s="317"/>
      <c r="G1497" s="316"/>
      <c r="H1497" s="316"/>
      <c r="I1497" s="316"/>
      <c r="J1497" s="248">
        <f t="shared" si="155"/>
        <v>0</v>
      </c>
      <c r="K1497" s="330">
        <f t="shared" si="156"/>
        <v>-2</v>
      </c>
      <c r="L1497" s="318"/>
      <c r="M1497" s="228">
        <f t="shared" si="157"/>
        <v>0</v>
      </c>
      <c r="N1497" s="228">
        <f t="shared" si="160"/>
        <v>0</v>
      </c>
      <c r="O1497" s="228">
        <f t="shared" si="161"/>
        <v>0</v>
      </c>
      <c r="P1497" s="228">
        <f t="shared" si="161"/>
        <v>0</v>
      </c>
      <c r="Q1497" s="228">
        <f t="shared" si="158"/>
        <v>0</v>
      </c>
      <c r="R1497" s="343">
        <f t="shared" si="159"/>
        <v>-2</v>
      </c>
      <c r="S1497" s="240"/>
      <c r="T1497" s="201"/>
      <c r="U1497" s="201"/>
      <c r="V1497" s="201"/>
    </row>
    <row r="1498" spans="1:22" ht="15.75" x14ac:dyDescent="0.25">
      <c r="A1498" s="234" t="s">
        <v>4134</v>
      </c>
      <c r="B1498" s="235" t="s">
        <v>4135</v>
      </c>
      <c r="C1498" s="234" t="s">
        <v>9</v>
      </c>
      <c r="D1498" s="312">
        <v>3</v>
      </c>
      <c r="E1498" s="316"/>
      <c r="F1498" s="317"/>
      <c r="G1498" s="316"/>
      <c r="H1498" s="316"/>
      <c r="I1498" s="316"/>
      <c r="J1498" s="248">
        <f t="shared" si="155"/>
        <v>0</v>
      </c>
      <c r="K1498" s="330">
        <f t="shared" si="156"/>
        <v>-3</v>
      </c>
      <c r="L1498" s="318"/>
      <c r="M1498" s="228">
        <f t="shared" si="157"/>
        <v>0</v>
      </c>
      <c r="N1498" s="228">
        <f t="shared" si="160"/>
        <v>0</v>
      </c>
      <c r="O1498" s="228">
        <f t="shared" si="161"/>
        <v>0</v>
      </c>
      <c r="P1498" s="228">
        <f t="shared" si="161"/>
        <v>0</v>
      </c>
      <c r="Q1498" s="228">
        <f t="shared" si="158"/>
        <v>0</v>
      </c>
      <c r="R1498" s="343">
        <f t="shared" si="159"/>
        <v>-3</v>
      </c>
      <c r="S1498" s="240"/>
      <c r="T1498" s="201"/>
      <c r="U1498" s="201"/>
      <c r="V1498" s="201"/>
    </row>
    <row r="1499" spans="1:22" ht="15.75" x14ac:dyDescent="0.25">
      <c r="A1499" s="234" t="s">
        <v>4136</v>
      </c>
      <c r="B1499" s="235" t="s">
        <v>4137</v>
      </c>
      <c r="C1499" s="234" t="s">
        <v>9</v>
      </c>
      <c r="D1499" s="312">
        <v>9</v>
      </c>
      <c r="E1499" s="316"/>
      <c r="F1499" s="317"/>
      <c r="G1499" s="316"/>
      <c r="H1499" s="316"/>
      <c r="I1499" s="316"/>
      <c r="J1499" s="248">
        <f t="shared" si="155"/>
        <v>0</v>
      </c>
      <c r="K1499" s="330">
        <f t="shared" si="156"/>
        <v>-9</v>
      </c>
      <c r="L1499" s="318"/>
      <c r="M1499" s="228">
        <f t="shared" si="157"/>
        <v>0</v>
      </c>
      <c r="N1499" s="228">
        <f t="shared" si="160"/>
        <v>0</v>
      </c>
      <c r="O1499" s="228">
        <f t="shared" si="161"/>
        <v>0</v>
      </c>
      <c r="P1499" s="228">
        <f t="shared" si="161"/>
        <v>0</v>
      </c>
      <c r="Q1499" s="228">
        <f t="shared" si="158"/>
        <v>0</v>
      </c>
      <c r="R1499" s="343">
        <f t="shared" si="159"/>
        <v>-9</v>
      </c>
      <c r="S1499" s="240"/>
      <c r="T1499" s="201"/>
      <c r="U1499" s="201"/>
      <c r="V1499" s="201"/>
    </row>
    <row r="1500" spans="1:22" ht="15.75" x14ac:dyDescent="0.25">
      <c r="A1500" s="234" t="s">
        <v>4138</v>
      </c>
      <c r="B1500" s="235" t="s">
        <v>4139</v>
      </c>
      <c r="C1500" s="234" t="s">
        <v>9</v>
      </c>
      <c r="D1500" s="312">
        <v>1</v>
      </c>
      <c r="E1500" s="316"/>
      <c r="F1500" s="317"/>
      <c r="G1500" s="316"/>
      <c r="H1500" s="316"/>
      <c r="I1500" s="316"/>
      <c r="J1500" s="248">
        <f t="shared" si="155"/>
        <v>0</v>
      </c>
      <c r="K1500" s="330">
        <f t="shared" si="156"/>
        <v>-1</v>
      </c>
      <c r="L1500" s="318"/>
      <c r="M1500" s="228">
        <f t="shared" si="157"/>
        <v>0</v>
      </c>
      <c r="N1500" s="228">
        <f t="shared" si="160"/>
        <v>0</v>
      </c>
      <c r="O1500" s="228">
        <f t="shared" si="161"/>
        <v>0</v>
      </c>
      <c r="P1500" s="228">
        <f t="shared" si="161"/>
        <v>0</v>
      </c>
      <c r="Q1500" s="228">
        <f t="shared" si="158"/>
        <v>0</v>
      </c>
      <c r="R1500" s="343">
        <f t="shared" si="159"/>
        <v>-1</v>
      </c>
      <c r="S1500" s="240"/>
      <c r="T1500" s="201"/>
      <c r="U1500" s="201"/>
      <c r="V1500" s="201"/>
    </row>
    <row r="1501" spans="1:22" ht="15.75" x14ac:dyDescent="0.25">
      <c r="A1501" s="234" t="s">
        <v>4140</v>
      </c>
      <c r="B1501" s="235" t="s">
        <v>4141</v>
      </c>
      <c r="C1501" s="234" t="s">
        <v>9</v>
      </c>
      <c r="D1501" s="312">
        <v>1</v>
      </c>
      <c r="E1501" s="316"/>
      <c r="F1501" s="317"/>
      <c r="G1501" s="316"/>
      <c r="H1501" s="316"/>
      <c r="I1501" s="316"/>
      <c r="J1501" s="248">
        <f t="shared" si="155"/>
        <v>0</v>
      </c>
      <c r="K1501" s="330">
        <f t="shared" si="156"/>
        <v>-1</v>
      </c>
      <c r="L1501" s="318"/>
      <c r="M1501" s="228">
        <f t="shared" si="157"/>
        <v>0</v>
      </c>
      <c r="N1501" s="228">
        <f t="shared" si="160"/>
        <v>0</v>
      </c>
      <c r="O1501" s="228">
        <f t="shared" si="161"/>
        <v>0</v>
      </c>
      <c r="P1501" s="228">
        <f t="shared" si="161"/>
        <v>0</v>
      </c>
      <c r="Q1501" s="228">
        <f t="shared" si="158"/>
        <v>0</v>
      </c>
      <c r="R1501" s="343">
        <f t="shared" si="159"/>
        <v>-1</v>
      </c>
      <c r="S1501" s="240"/>
      <c r="T1501" s="201"/>
      <c r="U1501" s="201"/>
      <c r="V1501" s="201"/>
    </row>
    <row r="1502" spans="1:22" ht="15.75" x14ac:dyDescent="0.25">
      <c r="A1502" s="234" t="s">
        <v>4142</v>
      </c>
      <c r="B1502" s="235" t="s">
        <v>4143</v>
      </c>
      <c r="C1502" s="234" t="s">
        <v>9</v>
      </c>
      <c r="D1502" s="312">
        <v>2</v>
      </c>
      <c r="E1502" s="316"/>
      <c r="F1502" s="317"/>
      <c r="G1502" s="316"/>
      <c r="H1502" s="316"/>
      <c r="I1502" s="316"/>
      <c r="J1502" s="248">
        <f t="shared" si="155"/>
        <v>0</v>
      </c>
      <c r="K1502" s="330">
        <f t="shared" si="156"/>
        <v>-2</v>
      </c>
      <c r="L1502" s="318"/>
      <c r="M1502" s="228">
        <f t="shared" si="157"/>
        <v>0</v>
      </c>
      <c r="N1502" s="228">
        <f t="shared" si="160"/>
        <v>0</v>
      </c>
      <c r="O1502" s="228">
        <f t="shared" si="161"/>
        <v>0</v>
      </c>
      <c r="P1502" s="228">
        <f t="shared" si="161"/>
        <v>0</v>
      </c>
      <c r="Q1502" s="228">
        <f t="shared" si="158"/>
        <v>0</v>
      </c>
      <c r="R1502" s="343">
        <f t="shared" si="159"/>
        <v>-2</v>
      </c>
      <c r="S1502" s="240"/>
      <c r="T1502" s="201"/>
      <c r="U1502" s="201"/>
      <c r="V1502" s="201"/>
    </row>
    <row r="1503" spans="1:22" ht="15.75" x14ac:dyDescent="0.25">
      <c r="A1503" s="234" t="s">
        <v>4144</v>
      </c>
      <c r="B1503" s="235" t="s">
        <v>4145</v>
      </c>
      <c r="C1503" s="234" t="s">
        <v>9</v>
      </c>
      <c r="D1503" s="312">
        <v>1</v>
      </c>
      <c r="E1503" s="316"/>
      <c r="F1503" s="317"/>
      <c r="G1503" s="316"/>
      <c r="H1503" s="316"/>
      <c r="I1503" s="316"/>
      <c r="J1503" s="248">
        <f t="shared" si="155"/>
        <v>0</v>
      </c>
      <c r="K1503" s="330">
        <f t="shared" si="156"/>
        <v>-1</v>
      </c>
      <c r="L1503" s="318"/>
      <c r="M1503" s="228">
        <f t="shared" si="157"/>
        <v>0</v>
      </c>
      <c r="N1503" s="228">
        <f t="shared" si="160"/>
        <v>0</v>
      </c>
      <c r="O1503" s="228">
        <f t="shared" si="161"/>
        <v>0</v>
      </c>
      <c r="P1503" s="228">
        <f t="shared" si="161"/>
        <v>0</v>
      </c>
      <c r="Q1503" s="228">
        <f t="shared" si="158"/>
        <v>0</v>
      </c>
      <c r="R1503" s="343">
        <f t="shared" si="159"/>
        <v>-1</v>
      </c>
      <c r="S1503" s="240"/>
      <c r="T1503" s="201"/>
      <c r="U1503" s="201"/>
      <c r="V1503" s="201"/>
    </row>
    <row r="1504" spans="1:22" ht="15.75" x14ac:dyDescent="0.25">
      <c r="A1504" s="234" t="s">
        <v>4146</v>
      </c>
      <c r="B1504" s="235" t="s">
        <v>4147</v>
      </c>
      <c r="C1504" s="234" t="s">
        <v>9</v>
      </c>
      <c r="D1504" s="312">
        <v>6</v>
      </c>
      <c r="E1504" s="316"/>
      <c r="F1504" s="317"/>
      <c r="G1504" s="316"/>
      <c r="H1504" s="316"/>
      <c r="I1504" s="316"/>
      <c r="J1504" s="248">
        <f t="shared" si="155"/>
        <v>0</v>
      </c>
      <c r="K1504" s="330">
        <f t="shared" si="156"/>
        <v>-6</v>
      </c>
      <c r="L1504" s="318"/>
      <c r="M1504" s="228">
        <f t="shared" si="157"/>
        <v>0</v>
      </c>
      <c r="N1504" s="228">
        <f t="shared" si="160"/>
        <v>0</v>
      </c>
      <c r="O1504" s="228">
        <f t="shared" si="161"/>
        <v>0</v>
      </c>
      <c r="P1504" s="228">
        <f t="shared" si="161"/>
        <v>0</v>
      </c>
      <c r="Q1504" s="228">
        <f t="shared" si="158"/>
        <v>0</v>
      </c>
      <c r="R1504" s="343">
        <f t="shared" si="159"/>
        <v>-6</v>
      </c>
      <c r="S1504" s="240"/>
      <c r="T1504" s="201"/>
      <c r="U1504" s="201"/>
      <c r="V1504" s="201"/>
    </row>
    <row r="1505" spans="1:22" ht="15.75" x14ac:dyDescent="0.25">
      <c r="A1505" s="246" t="s">
        <v>4148</v>
      </c>
      <c r="B1505" s="247" t="s">
        <v>4149</v>
      </c>
      <c r="C1505" s="246" t="s">
        <v>9</v>
      </c>
      <c r="D1505" s="322">
        <v>3</v>
      </c>
      <c r="E1505" s="316"/>
      <c r="F1505" s="317"/>
      <c r="G1505" s="316"/>
      <c r="H1505" s="316"/>
      <c r="I1505" s="316"/>
      <c r="J1505" s="248">
        <f t="shared" si="155"/>
        <v>0</v>
      </c>
      <c r="K1505" s="330">
        <f t="shared" si="156"/>
        <v>-3</v>
      </c>
      <c r="L1505" s="318"/>
      <c r="M1505" s="228">
        <f t="shared" si="157"/>
        <v>0</v>
      </c>
      <c r="N1505" s="228">
        <f t="shared" si="160"/>
        <v>0</v>
      </c>
      <c r="O1505" s="228">
        <f t="shared" si="161"/>
        <v>0</v>
      </c>
      <c r="P1505" s="228">
        <f t="shared" si="161"/>
        <v>0</v>
      </c>
      <c r="Q1505" s="228">
        <f t="shared" si="158"/>
        <v>0</v>
      </c>
      <c r="R1505" s="343">
        <f t="shared" si="159"/>
        <v>-3</v>
      </c>
      <c r="S1505" s="240"/>
      <c r="T1505" s="201"/>
      <c r="U1505" s="201"/>
      <c r="V1505" s="201"/>
    </row>
    <row r="1506" spans="1:22" ht="15.75" x14ac:dyDescent="0.25">
      <c r="A1506" s="234" t="s">
        <v>4150</v>
      </c>
      <c r="B1506" s="235" t="s">
        <v>4151</v>
      </c>
      <c r="C1506" s="234" t="s">
        <v>9</v>
      </c>
      <c r="D1506" s="312">
        <v>1</v>
      </c>
      <c r="E1506" s="316"/>
      <c r="F1506" s="317"/>
      <c r="G1506" s="316"/>
      <c r="H1506" s="316"/>
      <c r="I1506" s="316"/>
      <c r="J1506" s="248">
        <f t="shared" si="155"/>
        <v>0</v>
      </c>
      <c r="K1506" s="330">
        <f t="shared" si="156"/>
        <v>-1</v>
      </c>
      <c r="L1506" s="318"/>
      <c r="M1506" s="228">
        <f t="shared" si="157"/>
        <v>0</v>
      </c>
      <c r="N1506" s="228">
        <f t="shared" si="160"/>
        <v>0</v>
      </c>
      <c r="O1506" s="228">
        <f t="shared" si="161"/>
        <v>0</v>
      </c>
      <c r="P1506" s="228">
        <f t="shared" si="161"/>
        <v>0</v>
      </c>
      <c r="Q1506" s="228">
        <f t="shared" si="158"/>
        <v>0</v>
      </c>
      <c r="R1506" s="343">
        <f t="shared" si="159"/>
        <v>-1</v>
      </c>
      <c r="S1506" s="240"/>
      <c r="T1506" s="201"/>
      <c r="U1506" s="201"/>
      <c r="V1506" s="201"/>
    </row>
    <row r="1507" spans="1:22" ht="15.75" x14ac:dyDescent="0.25">
      <c r="A1507" s="234" t="s">
        <v>4152</v>
      </c>
      <c r="B1507" s="235" t="s">
        <v>4153</v>
      </c>
      <c r="C1507" s="234" t="s">
        <v>9</v>
      </c>
      <c r="D1507" s="312">
        <v>1</v>
      </c>
      <c r="E1507" s="316"/>
      <c r="F1507" s="317"/>
      <c r="G1507" s="316"/>
      <c r="H1507" s="316"/>
      <c r="I1507" s="316"/>
      <c r="J1507" s="248">
        <f t="shared" si="155"/>
        <v>0</v>
      </c>
      <c r="K1507" s="330">
        <f t="shared" si="156"/>
        <v>-1</v>
      </c>
      <c r="L1507" s="318"/>
      <c r="M1507" s="228">
        <f t="shared" si="157"/>
        <v>0</v>
      </c>
      <c r="N1507" s="228">
        <f t="shared" si="160"/>
        <v>0</v>
      </c>
      <c r="O1507" s="228">
        <f t="shared" si="161"/>
        <v>0</v>
      </c>
      <c r="P1507" s="228">
        <f t="shared" si="161"/>
        <v>0</v>
      </c>
      <c r="Q1507" s="228">
        <f t="shared" si="158"/>
        <v>0</v>
      </c>
      <c r="R1507" s="343">
        <f t="shared" si="159"/>
        <v>-1</v>
      </c>
      <c r="S1507" s="240"/>
      <c r="T1507" s="201"/>
      <c r="U1507" s="201"/>
      <c r="V1507" s="201"/>
    </row>
    <row r="1508" spans="1:22" ht="15.75" x14ac:dyDescent="0.25">
      <c r="A1508" s="234" t="s">
        <v>4154</v>
      </c>
      <c r="B1508" s="235" t="s">
        <v>4155</v>
      </c>
      <c r="C1508" s="234" t="s">
        <v>9</v>
      </c>
      <c r="D1508" s="312">
        <v>19</v>
      </c>
      <c r="E1508" s="316"/>
      <c r="F1508" s="317"/>
      <c r="G1508" s="316"/>
      <c r="H1508" s="316"/>
      <c r="I1508" s="316"/>
      <c r="J1508" s="248">
        <f t="shared" si="155"/>
        <v>0</v>
      </c>
      <c r="K1508" s="330">
        <f t="shared" si="156"/>
        <v>-19</v>
      </c>
      <c r="L1508" s="318"/>
      <c r="M1508" s="228">
        <f t="shared" si="157"/>
        <v>0</v>
      </c>
      <c r="N1508" s="228">
        <f t="shared" si="160"/>
        <v>0</v>
      </c>
      <c r="O1508" s="228">
        <f t="shared" si="161"/>
        <v>0</v>
      </c>
      <c r="P1508" s="228">
        <f t="shared" si="161"/>
        <v>0</v>
      </c>
      <c r="Q1508" s="228">
        <f t="shared" si="158"/>
        <v>0</v>
      </c>
      <c r="R1508" s="343">
        <f t="shared" si="159"/>
        <v>-19</v>
      </c>
      <c r="S1508" s="240"/>
      <c r="T1508" s="201"/>
      <c r="U1508" s="201"/>
      <c r="V1508" s="201"/>
    </row>
    <row r="1509" spans="1:22" ht="15.75" x14ac:dyDescent="0.25">
      <c r="A1509" s="234" t="s">
        <v>4156</v>
      </c>
      <c r="B1509" s="235" t="s">
        <v>4157</v>
      </c>
      <c r="C1509" s="234" t="s">
        <v>9</v>
      </c>
      <c r="D1509" s="312">
        <v>1</v>
      </c>
      <c r="E1509" s="316"/>
      <c r="F1509" s="317"/>
      <c r="G1509" s="316"/>
      <c r="H1509" s="316"/>
      <c r="I1509" s="316"/>
      <c r="J1509" s="248">
        <f t="shared" si="155"/>
        <v>0</v>
      </c>
      <c r="K1509" s="330">
        <f t="shared" si="156"/>
        <v>-1</v>
      </c>
      <c r="L1509" s="318"/>
      <c r="M1509" s="228">
        <f t="shared" si="157"/>
        <v>0</v>
      </c>
      <c r="N1509" s="228">
        <f t="shared" si="160"/>
        <v>0</v>
      </c>
      <c r="O1509" s="228">
        <f t="shared" si="161"/>
        <v>0</v>
      </c>
      <c r="P1509" s="228">
        <f t="shared" si="161"/>
        <v>0</v>
      </c>
      <c r="Q1509" s="228">
        <f t="shared" si="158"/>
        <v>0</v>
      </c>
      <c r="R1509" s="343">
        <f t="shared" si="159"/>
        <v>-1</v>
      </c>
      <c r="S1509" s="240"/>
      <c r="T1509" s="201"/>
      <c r="U1509" s="201"/>
      <c r="V1509" s="201"/>
    </row>
    <row r="1510" spans="1:22" ht="15.75" x14ac:dyDescent="0.25">
      <c r="A1510" s="234" t="s">
        <v>4158</v>
      </c>
      <c r="B1510" s="235" t="s">
        <v>4159</v>
      </c>
      <c r="C1510" s="234" t="s">
        <v>9</v>
      </c>
      <c r="D1510" s="312">
        <v>2</v>
      </c>
      <c r="E1510" s="316"/>
      <c r="F1510" s="317"/>
      <c r="G1510" s="316"/>
      <c r="H1510" s="316"/>
      <c r="I1510" s="316"/>
      <c r="J1510" s="248">
        <f t="shared" si="155"/>
        <v>0</v>
      </c>
      <c r="K1510" s="330">
        <f t="shared" si="156"/>
        <v>-2</v>
      </c>
      <c r="L1510" s="318"/>
      <c r="M1510" s="228">
        <f t="shared" si="157"/>
        <v>0</v>
      </c>
      <c r="N1510" s="228">
        <f t="shared" si="160"/>
        <v>0</v>
      </c>
      <c r="O1510" s="228">
        <f t="shared" si="161"/>
        <v>0</v>
      </c>
      <c r="P1510" s="228">
        <f t="shared" si="161"/>
        <v>0</v>
      </c>
      <c r="Q1510" s="228">
        <f t="shared" si="158"/>
        <v>0</v>
      </c>
      <c r="R1510" s="343">
        <f t="shared" si="159"/>
        <v>-2</v>
      </c>
      <c r="S1510" s="240"/>
      <c r="T1510" s="201"/>
      <c r="U1510" s="201"/>
      <c r="V1510" s="201"/>
    </row>
    <row r="1511" spans="1:22" ht="15.75" x14ac:dyDescent="0.25">
      <c r="A1511" s="234" t="s">
        <v>4160</v>
      </c>
      <c r="B1511" s="235" t="s">
        <v>4161</v>
      </c>
      <c r="C1511" s="234" t="s">
        <v>9</v>
      </c>
      <c r="D1511" s="312">
        <v>2</v>
      </c>
      <c r="E1511" s="316"/>
      <c r="F1511" s="317"/>
      <c r="G1511" s="316"/>
      <c r="H1511" s="316"/>
      <c r="I1511" s="316"/>
      <c r="J1511" s="248">
        <f t="shared" ref="J1511:J1574" si="162">F1511+G1511+H1511+I1511</f>
        <v>0</v>
      </c>
      <c r="K1511" s="330">
        <f t="shared" ref="K1511:K1574" si="163">J1511-D1511</f>
        <v>-2</v>
      </c>
      <c r="L1511" s="318"/>
      <c r="M1511" s="228">
        <f t="shared" ref="M1511:M1574" si="164">F1511</f>
        <v>0</v>
      </c>
      <c r="N1511" s="228">
        <f t="shared" si="160"/>
        <v>0</v>
      </c>
      <c r="O1511" s="228">
        <f t="shared" si="161"/>
        <v>0</v>
      </c>
      <c r="P1511" s="228">
        <f t="shared" si="161"/>
        <v>0</v>
      </c>
      <c r="Q1511" s="228">
        <f t="shared" ref="Q1511:Q1574" si="165">M1511+N1511+O1511+P1511</f>
        <v>0</v>
      </c>
      <c r="R1511" s="343">
        <f t="shared" ref="R1511:R1574" si="166">Q1511-D1511</f>
        <v>-2</v>
      </c>
      <c r="S1511" s="240"/>
      <c r="T1511" s="201"/>
      <c r="U1511" s="201"/>
      <c r="V1511" s="201"/>
    </row>
    <row r="1512" spans="1:22" ht="15.75" x14ac:dyDescent="0.25">
      <c r="A1512" s="234" t="s">
        <v>4162</v>
      </c>
      <c r="B1512" s="235" t="s">
        <v>4163</v>
      </c>
      <c r="C1512" s="234" t="s">
        <v>9</v>
      </c>
      <c r="D1512" s="312">
        <v>4</v>
      </c>
      <c r="E1512" s="316"/>
      <c r="F1512" s="317"/>
      <c r="G1512" s="316"/>
      <c r="H1512" s="316"/>
      <c r="I1512" s="316"/>
      <c r="J1512" s="248">
        <f t="shared" si="162"/>
        <v>0</v>
      </c>
      <c r="K1512" s="330">
        <f t="shared" si="163"/>
        <v>-4</v>
      </c>
      <c r="L1512" s="318"/>
      <c r="M1512" s="228">
        <f t="shared" si="164"/>
        <v>0</v>
      </c>
      <c r="N1512" s="228">
        <f t="shared" si="160"/>
        <v>0</v>
      </c>
      <c r="O1512" s="228">
        <f t="shared" si="161"/>
        <v>0</v>
      </c>
      <c r="P1512" s="228">
        <f t="shared" si="161"/>
        <v>0</v>
      </c>
      <c r="Q1512" s="228">
        <f t="shared" si="165"/>
        <v>0</v>
      </c>
      <c r="R1512" s="343">
        <f t="shared" si="166"/>
        <v>-4</v>
      </c>
      <c r="S1512" s="240"/>
      <c r="T1512" s="201"/>
      <c r="U1512" s="201"/>
      <c r="V1512" s="201"/>
    </row>
    <row r="1513" spans="1:22" ht="15.75" x14ac:dyDescent="0.25">
      <c r="A1513" s="234" t="s">
        <v>4164</v>
      </c>
      <c r="B1513" s="235" t="s">
        <v>4165</v>
      </c>
      <c r="C1513" s="234" t="s">
        <v>9</v>
      </c>
      <c r="D1513" s="312">
        <v>2</v>
      </c>
      <c r="E1513" s="316"/>
      <c r="F1513" s="317"/>
      <c r="G1513" s="316"/>
      <c r="H1513" s="316"/>
      <c r="I1513" s="316"/>
      <c r="J1513" s="248">
        <f t="shared" si="162"/>
        <v>0</v>
      </c>
      <c r="K1513" s="330">
        <f t="shared" si="163"/>
        <v>-2</v>
      </c>
      <c r="L1513" s="318"/>
      <c r="M1513" s="228">
        <f t="shared" si="164"/>
        <v>0</v>
      </c>
      <c r="N1513" s="228">
        <f t="shared" si="160"/>
        <v>0</v>
      </c>
      <c r="O1513" s="228">
        <f t="shared" si="161"/>
        <v>0</v>
      </c>
      <c r="P1513" s="228">
        <f t="shared" si="161"/>
        <v>0</v>
      </c>
      <c r="Q1513" s="228">
        <f t="shared" si="165"/>
        <v>0</v>
      </c>
      <c r="R1513" s="343">
        <f t="shared" si="166"/>
        <v>-2</v>
      </c>
      <c r="S1513" s="240"/>
      <c r="T1513" s="201"/>
      <c r="U1513" s="201"/>
      <c r="V1513" s="201"/>
    </row>
    <row r="1514" spans="1:22" ht="15.75" x14ac:dyDescent="0.25">
      <c r="A1514" s="234" t="s">
        <v>4166</v>
      </c>
      <c r="B1514" s="235" t="s">
        <v>4167</v>
      </c>
      <c r="C1514" s="234" t="s">
        <v>9</v>
      </c>
      <c r="D1514" s="312">
        <v>3</v>
      </c>
      <c r="E1514" s="316"/>
      <c r="F1514" s="317"/>
      <c r="G1514" s="316"/>
      <c r="H1514" s="316"/>
      <c r="I1514" s="316"/>
      <c r="J1514" s="248">
        <f t="shared" si="162"/>
        <v>0</v>
      </c>
      <c r="K1514" s="330">
        <f t="shared" si="163"/>
        <v>-3</v>
      </c>
      <c r="L1514" s="318"/>
      <c r="M1514" s="228">
        <f t="shared" si="164"/>
        <v>0</v>
      </c>
      <c r="N1514" s="228">
        <f t="shared" si="160"/>
        <v>0</v>
      </c>
      <c r="O1514" s="228">
        <f t="shared" si="161"/>
        <v>0</v>
      </c>
      <c r="P1514" s="228">
        <f t="shared" si="161"/>
        <v>0</v>
      </c>
      <c r="Q1514" s="228">
        <f t="shared" si="165"/>
        <v>0</v>
      </c>
      <c r="R1514" s="343">
        <f t="shared" si="166"/>
        <v>-3</v>
      </c>
      <c r="S1514" s="240"/>
      <c r="T1514" s="201"/>
      <c r="U1514" s="201"/>
      <c r="V1514" s="201"/>
    </row>
    <row r="1515" spans="1:22" ht="15.75" x14ac:dyDescent="0.25">
      <c r="A1515" s="234" t="s">
        <v>4168</v>
      </c>
      <c r="B1515" s="235" t="s">
        <v>4169</v>
      </c>
      <c r="C1515" s="234" t="s">
        <v>9</v>
      </c>
      <c r="D1515" s="312">
        <v>3</v>
      </c>
      <c r="E1515" s="316"/>
      <c r="F1515" s="317"/>
      <c r="G1515" s="316"/>
      <c r="H1515" s="316"/>
      <c r="I1515" s="316"/>
      <c r="J1515" s="248">
        <f t="shared" si="162"/>
        <v>0</v>
      </c>
      <c r="K1515" s="330">
        <f t="shared" si="163"/>
        <v>-3</v>
      </c>
      <c r="L1515" s="318"/>
      <c r="M1515" s="228">
        <f t="shared" si="164"/>
        <v>0</v>
      </c>
      <c r="N1515" s="228">
        <f t="shared" si="160"/>
        <v>0</v>
      </c>
      <c r="O1515" s="228">
        <f t="shared" si="161"/>
        <v>0</v>
      </c>
      <c r="P1515" s="228">
        <f t="shared" si="161"/>
        <v>0</v>
      </c>
      <c r="Q1515" s="228">
        <f t="shared" si="165"/>
        <v>0</v>
      </c>
      <c r="R1515" s="343">
        <f t="shared" si="166"/>
        <v>-3</v>
      </c>
      <c r="S1515" s="240"/>
      <c r="T1515" s="201"/>
      <c r="U1515" s="201"/>
      <c r="V1515" s="201"/>
    </row>
    <row r="1516" spans="1:22" ht="15.75" x14ac:dyDescent="0.25">
      <c r="A1516" s="234" t="s">
        <v>4170</v>
      </c>
      <c r="B1516" s="235" t="s">
        <v>4171</v>
      </c>
      <c r="C1516" s="234" t="s">
        <v>9</v>
      </c>
      <c r="D1516" s="312">
        <v>2</v>
      </c>
      <c r="E1516" s="316"/>
      <c r="F1516" s="317"/>
      <c r="G1516" s="316"/>
      <c r="H1516" s="316"/>
      <c r="I1516" s="316"/>
      <c r="J1516" s="248">
        <f t="shared" si="162"/>
        <v>0</v>
      </c>
      <c r="K1516" s="330">
        <f t="shared" si="163"/>
        <v>-2</v>
      </c>
      <c r="L1516" s="318"/>
      <c r="M1516" s="228">
        <f t="shared" si="164"/>
        <v>0</v>
      </c>
      <c r="N1516" s="228">
        <f t="shared" si="160"/>
        <v>0</v>
      </c>
      <c r="O1516" s="228">
        <f t="shared" si="161"/>
        <v>0</v>
      </c>
      <c r="P1516" s="228">
        <f t="shared" si="161"/>
        <v>0</v>
      </c>
      <c r="Q1516" s="228">
        <f t="shared" si="165"/>
        <v>0</v>
      </c>
      <c r="R1516" s="343">
        <f t="shared" si="166"/>
        <v>-2</v>
      </c>
      <c r="S1516" s="240"/>
      <c r="T1516" s="201"/>
      <c r="U1516" s="201"/>
      <c r="V1516" s="201"/>
    </row>
    <row r="1517" spans="1:22" ht="15.75" x14ac:dyDescent="0.25">
      <c r="A1517" s="234" t="s">
        <v>4172</v>
      </c>
      <c r="B1517" s="235" t="s">
        <v>4173</v>
      </c>
      <c r="C1517" s="234" t="s">
        <v>9</v>
      </c>
      <c r="D1517" s="312">
        <v>3</v>
      </c>
      <c r="E1517" s="316"/>
      <c r="F1517" s="317"/>
      <c r="G1517" s="316"/>
      <c r="H1517" s="316"/>
      <c r="I1517" s="316"/>
      <c r="J1517" s="248">
        <f t="shared" si="162"/>
        <v>0</v>
      </c>
      <c r="K1517" s="330">
        <f t="shared" si="163"/>
        <v>-3</v>
      </c>
      <c r="L1517" s="318"/>
      <c r="M1517" s="228">
        <f t="shared" si="164"/>
        <v>0</v>
      </c>
      <c r="N1517" s="228">
        <f t="shared" si="160"/>
        <v>0</v>
      </c>
      <c r="O1517" s="228">
        <f t="shared" si="161"/>
        <v>0</v>
      </c>
      <c r="P1517" s="228">
        <f t="shared" si="161"/>
        <v>0</v>
      </c>
      <c r="Q1517" s="228">
        <f t="shared" si="165"/>
        <v>0</v>
      </c>
      <c r="R1517" s="343">
        <f t="shared" si="166"/>
        <v>-3</v>
      </c>
      <c r="S1517" s="240"/>
      <c r="T1517" s="201"/>
      <c r="U1517" s="201"/>
      <c r="V1517" s="201"/>
    </row>
    <row r="1518" spans="1:22" ht="15.75" x14ac:dyDescent="0.25">
      <c r="A1518" s="234" t="s">
        <v>4174</v>
      </c>
      <c r="B1518" s="235" t="s">
        <v>4175</v>
      </c>
      <c r="C1518" s="234" t="s">
        <v>9</v>
      </c>
      <c r="D1518" s="312">
        <v>3</v>
      </c>
      <c r="E1518" s="316"/>
      <c r="F1518" s="317"/>
      <c r="G1518" s="316"/>
      <c r="H1518" s="316"/>
      <c r="I1518" s="316"/>
      <c r="J1518" s="248">
        <f t="shared" si="162"/>
        <v>0</v>
      </c>
      <c r="K1518" s="330">
        <f t="shared" si="163"/>
        <v>-3</v>
      </c>
      <c r="L1518" s="318"/>
      <c r="M1518" s="228">
        <f t="shared" si="164"/>
        <v>0</v>
      </c>
      <c r="N1518" s="228">
        <f t="shared" si="160"/>
        <v>0</v>
      </c>
      <c r="O1518" s="228">
        <f t="shared" si="161"/>
        <v>0</v>
      </c>
      <c r="P1518" s="228">
        <f t="shared" si="161"/>
        <v>0</v>
      </c>
      <c r="Q1518" s="228">
        <f t="shared" si="165"/>
        <v>0</v>
      </c>
      <c r="R1518" s="343">
        <f t="shared" si="166"/>
        <v>-3</v>
      </c>
      <c r="S1518" s="240"/>
      <c r="T1518" s="201"/>
      <c r="U1518" s="201"/>
      <c r="V1518" s="201"/>
    </row>
    <row r="1519" spans="1:22" ht="15.75" x14ac:dyDescent="0.25">
      <c r="A1519" s="234" t="s">
        <v>4176</v>
      </c>
      <c r="B1519" s="235" t="s">
        <v>4177</v>
      </c>
      <c r="C1519" s="234" t="s">
        <v>9</v>
      </c>
      <c r="D1519" s="312">
        <v>1</v>
      </c>
      <c r="E1519" s="316"/>
      <c r="F1519" s="317"/>
      <c r="G1519" s="316"/>
      <c r="H1519" s="316"/>
      <c r="I1519" s="316"/>
      <c r="J1519" s="248">
        <f t="shared" si="162"/>
        <v>0</v>
      </c>
      <c r="K1519" s="330">
        <f t="shared" si="163"/>
        <v>-1</v>
      </c>
      <c r="L1519" s="318"/>
      <c r="M1519" s="228">
        <f t="shared" si="164"/>
        <v>0</v>
      </c>
      <c r="N1519" s="228">
        <f t="shared" si="160"/>
        <v>0</v>
      </c>
      <c r="O1519" s="228">
        <f t="shared" si="161"/>
        <v>0</v>
      </c>
      <c r="P1519" s="228">
        <f t="shared" si="161"/>
        <v>0</v>
      </c>
      <c r="Q1519" s="228">
        <f t="shared" si="165"/>
        <v>0</v>
      </c>
      <c r="R1519" s="343">
        <f t="shared" si="166"/>
        <v>-1</v>
      </c>
      <c r="S1519" s="240"/>
      <c r="T1519" s="201"/>
      <c r="U1519" s="201"/>
      <c r="V1519" s="201"/>
    </row>
    <row r="1520" spans="1:22" ht="15.75" x14ac:dyDescent="0.25">
      <c r="A1520" s="234" t="s">
        <v>4178</v>
      </c>
      <c r="B1520" s="235" t="s">
        <v>4179</v>
      </c>
      <c r="C1520" s="234" t="s">
        <v>9</v>
      </c>
      <c r="D1520" s="312">
        <v>2</v>
      </c>
      <c r="E1520" s="316"/>
      <c r="F1520" s="317"/>
      <c r="G1520" s="316"/>
      <c r="H1520" s="316"/>
      <c r="I1520" s="316"/>
      <c r="J1520" s="248">
        <f t="shared" si="162"/>
        <v>0</v>
      </c>
      <c r="K1520" s="330">
        <f t="shared" si="163"/>
        <v>-2</v>
      </c>
      <c r="L1520" s="318"/>
      <c r="M1520" s="228">
        <f t="shared" si="164"/>
        <v>0</v>
      </c>
      <c r="N1520" s="228">
        <f t="shared" si="160"/>
        <v>0</v>
      </c>
      <c r="O1520" s="228">
        <f t="shared" si="161"/>
        <v>0</v>
      </c>
      <c r="P1520" s="228">
        <f t="shared" si="161"/>
        <v>0</v>
      </c>
      <c r="Q1520" s="228">
        <f t="shared" si="165"/>
        <v>0</v>
      </c>
      <c r="R1520" s="343">
        <f t="shared" si="166"/>
        <v>-2</v>
      </c>
      <c r="S1520" s="240"/>
      <c r="T1520" s="201"/>
      <c r="U1520" s="201"/>
      <c r="V1520" s="201"/>
    </row>
    <row r="1521" spans="1:22" ht="15.75" x14ac:dyDescent="0.25">
      <c r="A1521" s="234" t="s">
        <v>4180</v>
      </c>
      <c r="B1521" s="235" t="s">
        <v>4181</v>
      </c>
      <c r="C1521" s="234" t="s">
        <v>9</v>
      </c>
      <c r="D1521" s="312">
        <v>6</v>
      </c>
      <c r="E1521" s="316"/>
      <c r="F1521" s="317"/>
      <c r="G1521" s="316"/>
      <c r="H1521" s="316"/>
      <c r="I1521" s="316"/>
      <c r="J1521" s="248">
        <f t="shared" si="162"/>
        <v>0</v>
      </c>
      <c r="K1521" s="330">
        <f t="shared" si="163"/>
        <v>-6</v>
      </c>
      <c r="L1521" s="318"/>
      <c r="M1521" s="228">
        <f t="shared" si="164"/>
        <v>0</v>
      </c>
      <c r="N1521" s="228">
        <f t="shared" si="160"/>
        <v>0</v>
      </c>
      <c r="O1521" s="228">
        <f t="shared" si="161"/>
        <v>0</v>
      </c>
      <c r="P1521" s="228">
        <f t="shared" si="161"/>
        <v>0</v>
      </c>
      <c r="Q1521" s="228">
        <f t="shared" si="165"/>
        <v>0</v>
      </c>
      <c r="R1521" s="343">
        <f t="shared" si="166"/>
        <v>-6</v>
      </c>
      <c r="S1521" s="240"/>
      <c r="T1521" s="201"/>
      <c r="U1521" s="201"/>
      <c r="V1521" s="201"/>
    </row>
    <row r="1522" spans="1:22" ht="15.75" x14ac:dyDescent="0.25">
      <c r="A1522" s="234" t="s">
        <v>4182</v>
      </c>
      <c r="B1522" s="235" t="s">
        <v>4183</v>
      </c>
      <c r="C1522" s="234" t="s">
        <v>4184</v>
      </c>
      <c r="D1522" s="312">
        <v>8</v>
      </c>
      <c r="E1522" s="316"/>
      <c r="F1522" s="317"/>
      <c r="G1522" s="316"/>
      <c r="H1522" s="316"/>
      <c r="I1522" s="316"/>
      <c r="J1522" s="248">
        <f t="shared" si="162"/>
        <v>0</v>
      </c>
      <c r="K1522" s="330">
        <f t="shared" si="163"/>
        <v>-8</v>
      </c>
      <c r="L1522" s="318"/>
      <c r="M1522" s="228">
        <f t="shared" si="164"/>
        <v>0</v>
      </c>
      <c r="N1522" s="228">
        <f t="shared" si="160"/>
        <v>0</v>
      </c>
      <c r="O1522" s="228">
        <f t="shared" si="161"/>
        <v>0</v>
      </c>
      <c r="P1522" s="228">
        <f t="shared" si="161"/>
        <v>0</v>
      </c>
      <c r="Q1522" s="228">
        <f t="shared" si="165"/>
        <v>0</v>
      </c>
      <c r="R1522" s="343">
        <f t="shared" si="166"/>
        <v>-8</v>
      </c>
      <c r="S1522" s="240"/>
      <c r="T1522" s="201"/>
      <c r="U1522" s="201"/>
      <c r="V1522" s="201"/>
    </row>
    <row r="1523" spans="1:22" ht="15.75" x14ac:dyDescent="0.25">
      <c r="A1523" s="234" t="s">
        <v>4185</v>
      </c>
      <c r="B1523" s="235" t="s">
        <v>4186</v>
      </c>
      <c r="C1523" s="234" t="s">
        <v>4184</v>
      </c>
      <c r="D1523" s="312">
        <v>11</v>
      </c>
      <c r="E1523" s="316"/>
      <c r="F1523" s="317"/>
      <c r="G1523" s="316"/>
      <c r="H1523" s="316"/>
      <c r="I1523" s="316"/>
      <c r="J1523" s="248">
        <f t="shared" si="162"/>
        <v>0</v>
      </c>
      <c r="K1523" s="330">
        <f t="shared" si="163"/>
        <v>-11</v>
      </c>
      <c r="L1523" s="318"/>
      <c r="M1523" s="228">
        <f t="shared" si="164"/>
        <v>0</v>
      </c>
      <c r="N1523" s="228">
        <f t="shared" si="160"/>
        <v>0</v>
      </c>
      <c r="O1523" s="228">
        <f t="shared" si="161"/>
        <v>0</v>
      </c>
      <c r="P1523" s="228">
        <f t="shared" si="161"/>
        <v>0</v>
      </c>
      <c r="Q1523" s="228">
        <f t="shared" si="165"/>
        <v>0</v>
      </c>
      <c r="R1523" s="343">
        <f t="shared" si="166"/>
        <v>-11</v>
      </c>
      <c r="S1523" s="240"/>
      <c r="T1523" s="201"/>
      <c r="U1523" s="201"/>
      <c r="V1523" s="201"/>
    </row>
    <row r="1524" spans="1:22" ht="15.75" x14ac:dyDescent="0.25">
      <c r="A1524" s="234" t="s">
        <v>4187</v>
      </c>
      <c r="B1524" s="235" t="s">
        <v>4188</v>
      </c>
      <c r="C1524" s="234" t="s">
        <v>4184</v>
      </c>
      <c r="D1524" s="312">
        <v>4</v>
      </c>
      <c r="E1524" s="316"/>
      <c r="F1524" s="317"/>
      <c r="G1524" s="316"/>
      <c r="H1524" s="316"/>
      <c r="I1524" s="316"/>
      <c r="J1524" s="248">
        <f t="shared" si="162"/>
        <v>0</v>
      </c>
      <c r="K1524" s="330">
        <f t="shared" si="163"/>
        <v>-4</v>
      </c>
      <c r="L1524" s="318"/>
      <c r="M1524" s="228">
        <f t="shared" si="164"/>
        <v>0</v>
      </c>
      <c r="N1524" s="228">
        <f t="shared" si="160"/>
        <v>0</v>
      </c>
      <c r="O1524" s="228">
        <f t="shared" si="161"/>
        <v>0</v>
      </c>
      <c r="P1524" s="228">
        <f t="shared" si="161"/>
        <v>0</v>
      </c>
      <c r="Q1524" s="228">
        <f t="shared" si="165"/>
        <v>0</v>
      </c>
      <c r="R1524" s="343">
        <f t="shared" si="166"/>
        <v>-4</v>
      </c>
      <c r="S1524" s="240"/>
      <c r="T1524" s="201"/>
      <c r="U1524" s="201"/>
      <c r="V1524" s="201"/>
    </row>
    <row r="1525" spans="1:22" ht="15.75" x14ac:dyDescent="0.25">
      <c r="A1525" s="234" t="s">
        <v>4189</v>
      </c>
      <c r="B1525" s="235" t="s">
        <v>4190</v>
      </c>
      <c r="C1525" s="234" t="s">
        <v>4184</v>
      </c>
      <c r="D1525" s="312">
        <v>3</v>
      </c>
      <c r="E1525" s="316"/>
      <c r="F1525" s="317"/>
      <c r="G1525" s="316"/>
      <c r="H1525" s="316"/>
      <c r="I1525" s="316"/>
      <c r="J1525" s="248">
        <f t="shared" si="162"/>
        <v>0</v>
      </c>
      <c r="K1525" s="330">
        <f t="shared" si="163"/>
        <v>-3</v>
      </c>
      <c r="L1525" s="318"/>
      <c r="M1525" s="228">
        <f t="shared" si="164"/>
        <v>0</v>
      </c>
      <c r="N1525" s="228">
        <f t="shared" si="160"/>
        <v>0</v>
      </c>
      <c r="O1525" s="228">
        <f t="shared" si="161"/>
        <v>0</v>
      </c>
      <c r="P1525" s="228">
        <f t="shared" si="161"/>
        <v>0</v>
      </c>
      <c r="Q1525" s="228">
        <f t="shared" si="165"/>
        <v>0</v>
      </c>
      <c r="R1525" s="343">
        <f t="shared" si="166"/>
        <v>-3</v>
      </c>
      <c r="S1525" s="240"/>
      <c r="T1525" s="201"/>
      <c r="U1525" s="201"/>
      <c r="V1525" s="201"/>
    </row>
    <row r="1526" spans="1:22" ht="15.75" x14ac:dyDescent="0.25">
      <c r="A1526" s="234" t="s">
        <v>4191</v>
      </c>
      <c r="B1526" s="235" t="s">
        <v>4192</v>
      </c>
      <c r="C1526" s="234" t="s">
        <v>14</v>
      </c>
      <c r="D1526" s="312">
        <v>0.12</v>
      </c>
      <c r="E1526" s="316"/>
      <c r="F1526" s="317"/>
      <c r="G1526" s="316"/>
      <c r="H1526" s="316"/>
      <c r="I1526" s="316"/>
      <c r="J1526" s="248">
        <f t="shared" si="162"/>
        <v>0</v>
      </c>
      <c r="K1526" s="330">
        <f t="shared" si="163"/>
        <v>-0.12</v>
      </c>
      <c r="L1526" s="318"/>
      <c r="M1526" s="228">
        <f t="shared" si="164"/>
        <v>0</v>
      </c>
      <c r="N1526" s="228">
        <f t="shared" ref="N1526:N1589" si="167">G1526</f>
        <v>0</v>
      </c>
      <c r="O1526" s="228">
        <f t="shared" ref="O1526:P1589" si="168">H1526</f>
        <v>0</v>
      </c>
      <c r="P1526" s="228">
        <f t="shared" si="168"/>
        <v>0</v>
      </c>
      <c r="Q1526" s="228">
        <f t="shared" si="165"/>
        <v>0</v>
      </c>
      <c r="R1526" s="343">
        <f t="shared" si="166"/>
        <v>-0.12</v>
      </c>
      <c r="S1526" s="240"/>
      <c r="T1526" s="201"/>
      <c r="U1526" s="201"/>
      <c r="V1526" s="201"/>
    </row>
    <row r="1527" spans="1:22" ht="15.75" x14ac:dyDescent="0.25">
      <c r="A1527" s="234" t="s">
        <v>4193</v>
      </c>
      <c r="B1527" s="235" t="s">
        <v>4194</v>
      </c>
      <c r="C1527" s="234" t="s">
        <v>14</v>
      </c>
      <c r="D1527" s="312">
        <v>0.12</v>
      </c>
      <c r="E1527" s="316"/>
      <c r="F1527" s="317"/>
      <c r="G1527" s="316"/>
      <c r="H1527" s="316"/>
      <c r="I1527" s="316"/>
      <c r="J1527" s="248">
        <f t="shared" si="162"/>
        <v>0</v>
      </c>
      <c r="K1527" s="330">
        <f t="shared" si="163"/>
        <v>-0.12</v>
      </c>
      <c r="L1527" s="318"/>
      <c r="M1527" s="228">
        <f t="shared" si="164"/>
        <v>0</v>
      </c>
      <c r="N1527" s="228">
        <f t="shared" si="167"/>
        <v>0</v>
      </c>
      <c r="O1527" s="228">
        <f t="shared" si="168"/>
        <v>0</v>
      </c>
      <c r="P1527" s="228">
        <f t="shared" si="168"/>
        <v>0</v>
      </c>
      <c r="Q1527" s="228">
        <f t="shared" si="165"/>
        <v>0</v>
      </c>
      <c r="R1527" s="343">
        <f t="shared" si="166"/>
        <v>-0.12</v>
      </c>
      <c r="S1527" s="240"/>
      <c r="T1527" s="201"/>
      <c r="U1527" s="201"/>
      <c r="V1527" s="201"/>
    </row>
    <row r="1528" spans="1:22" ht="15.75" x14ac:dyDescent="0.25">
      <c r="A1528" s="234" t="s">
        <v>4195</v>
      </c>
      <c r="B1528" s="235" t="s">
        <v>4196</v>
      </c>
      <c r="C1528" s="234" t="s">
        <v>14</v>
      </c>
      <c r="D1528" s="312">
        <v>0.06</v>
      </c>
      <c r="E1528" s="316"/>
      <c r="F1528" s="317"/>
      <c r="G1528" s="316"/>
      <c r="H1528" s="316"/>
      <c r="I1528" s="316"/>
      <c r="J1528" s="248">
        <f t="shared" si="162"/>
        <v>0</v>
      </c>
      <c r="K1528" s="330">
        <f t="shared" si="163"/>
        <v>-0.06</v>
      </c>
      <c r="L1528" s="318"/>
      <c r="M1528" s="228">
        <f t="shared" si="164"/>
        <v>0</v>
      </c>
      <c r="N1528" s="228">
        <f t="shared" si="167"/>
        <v>0</v>
      </c>
      <c r="O1528" s="228">
        <f t="shared" si="168"/>
        <v>0</v>
      </c>
      <c r="P1528" s="228">
        <f t="shared" si="168"/>
        <v>0</v>
      </c>
      <c r="Q1528" s="228">
        <f t="shared" si="165"/>
        <v>0</v>
      </c>
      <c r="R1528" s="343">
        <f t="shared" si="166"/>
        <v>-0.06</v>
      </c>
      <c r="S1528" s="240"/>
      <c r="T1528" s="201"/>
      <c r="U1528" s="201"/>
      <c r="V1528" s="201"/>
    </row>
    <row r="1529" spans="1:22" ht="15.75" x14ac:dyDescent="0.25">
      <c r="A1529" s="234" t="s">
        <v>4197</v>
      </c>
      <c r="B1529" s="235" t="s">
        <v>4198</v>
      </c>
      <c r="C1529" s="234" t="s">
        <v>14</v>
      </c>
      <c r="D1529" s="312">
        <v>0.12</v>
      </c>
      <c r="E1529" s="316"/>
      <c r="F1529" s="317"/>
      <c r="G1529" s="316"/>
      <c r="H1529" s="316"/>
      <c r="I1529" s="316"/>
      <c r="J1529" s="248">
        <f t="shared" si="162"/>
        <v>0</v>
      </c>
      <c r="K1529" s="330">
        <f t="shared" si="163"/>
        <v>-0.12</v>
      </c>
      <c r="L1529" s="318"/>
      <c r="M1529" s="228">
        <f t="shared" si="164"/>
        <v>0</v>
      </c>
      <c r="N1529" s="228">
        <f t="shared" si="167"/>
        <v>0</v>
      </c>
      <c r="O1529" s="228">
        <f t="shared" si="168"/>
        <v>0</v>
      </c>
      <c r="P1529" s="228">
        <f t="shared" si="168"/>
        <v>0</v>
      </c>
      <c r="Q1529" s="228">
        <f t="shared" si="165"/>
        <v>0</v>
      </c>
      <c r="R1529" s="343">
        <f t="shared" si="166"/>
        <v>-0.12</v>
      </c>
      <c r="S1529" s="240"/>
      <c r="T1529" s="201"/>
      <c r="U1529" s="201"/>
      <c r="V1529" s="201"/>
    </row>
    <row r="1530" spans="1:22" ht="15.75" x14ac:dyDescent="0.25">
      <c r="A1530" s="234" t="s">
        <v>4199</v>
      </c>
      <c r="B1530" s="235" t="s">
        <v>4200</v>
      </c>
      <c r="C1530" s="234" t="s">
        <v>14</v>
      </c>
      <c r="D1530" s="312">
        <v>0.12</v>
      </c>
      <c r="E1530" s="316"/>
      <c r="F1530" s="317"/>
      <c r="G1530" s="316"/>
      <c r="H1530" s="316"/>
      <c r="I1530" s="316"/>
      <c r="J1530" s="248">
        <f t="shared" si="162"/>
        <v>0</v>
      </c>
      <c r="K1530" s="330">
        <f t="shared" si="163"/>
        <v>-0.12</v>
      </c>
      <c r="L1530" s="318"/>
      <c r="M1530" s="228">
        <f t="shared" si="164"/>
        <v>0</v>
      </c>
      <c r="N1530" s="228">
        <f t="shared" si="167"/>
        <v>0</v>
      </c>
      <c r="O1530" s="228">
        <f t="shared" si="168"/>
        <v>0</v>
      </c>
      <c r="P1530" s="228">
        <f t="shared" si="168"/>
        <v>0</v>
      </c>
      <c r="Q1530" s="228">
        <f t="shared" si="165"/>
        <v>0</v>
      </c>
      <c r="R1530" s="343">
        <f t="shared" si="166"/>
        <v>-0.12</v>
      </c>
      <c r="S1530" s="240"/>
      <c r="T1530" s="201"/>
      <c r="U1530" s="201"/>
      <c r="V1530" s="201"/>
    </row>
    <row r="1531" spans="1:22" ht="24" customHeight="1" x14ac:dyDescent="0.25">
      <c r="A1531" s="234" t="s">
        <v>4201</v>
      </c>
      <c r="B1531" s="235" t="s">
        <v>4202</v>
      </c>
      <c r="C1531" s="234" t="s">
        <v>6</v>
      </c>
      <c r="D1531" s="312">
        <v>20</v>
      </c>
      <c r="E1531" s="316"/>
      <c r="F1531" s="317"/>
      <c r="G1531" s="316"/>
      <c r="H1531" s="316"/>
      <c r="I1531" s="316"/>
      <c r="J1531" s="248">
        <f t="shared" si="162"/>
        <v>0</v>
      </c>
      <c r="K1531" s="330">
        <f t="shared" si="163"/>
        <v>-20</v>
      </c>
      <c r="L1531" s="318"/>
      <c r="M1531" s="228">
        <f t="shared" si="164"/>
        <v>0</v>
      </c>
      <c r="N1531" s="228">
        <f t="shared" si="167"/>
        <v>0</v>
      </c>
      <c r="O1531" s="228">
        <f t="shared" si="168"/>
        <v>0</v>
      </c>
      <c r="P1531" s="228">
        <f t="shared" si="168"/>
        <v>0</v>
      </c>
      <c r="Q1531" s="228">
        <f t="shared" si="165"/>
        <v>0</v>
      </c>
      <c r="R1531" s="343">
        <f t="shared" si="166"/>
        <v>-20</v>
      </c>
      <c r="S1531" s="240"/>
      <c r="T1531" s="201"/>
      <c r="U1531" s="201"/>
      <c r="V1531" s="201"/>
    </row>
    <row r="1532" spans="1:22" ht="30" x14ac:dyDescent="0.25">
      <c r="A1532" s="234" t="s">
        <v>4203</v>
      </c>
      <c r="B1532" s="235" t="s">
        <v>4204</v>
      </c>
      <c r="C1532" s="234" t="s">
        <v>6</v>
      </c>
      <c r="D1532" s="312">
        <v>30</v>
      </c>
      <c r="E1532" s="316"/>
      <c r="F1532" s="317"/>
      <c r="G1532" s="316"/>
      <c r="H1532" s="316"/>
      <c r="I1532" s="316"/>
      <c r="J1532" s="248">
        <f t="shared" si="162"/>
        <v>0</v>
      </c>
      <c r="K1532" s="330">
        <f t="shared" si="163"/>
        <v>-30</v>
      </c>
      <c r="L1532" s="318"/>
      <c r="M1532" s="228">
        <f t="shared" si="164"/>
        <v>0</v>
      </c>
      <c r="N1532" s="228">
        <f t="shared" si="167"/>
        <v>0</v>
      </c>
      <c r="O1532" s="228">
        <f t="shared" si="168"/>
        <v>0</v>
      </c>
      <c r="P1532" s="228">
        <f t="shared" si="168"/>
        <v>0</v>
      </c>
      <c r="Q1532" s="228">
        <f t="shared" si="165"/>
        <v>0</v>
      </c>
      <c r="R1532" s="343">
        <f t="shared" si="166"/>
        <v>-30</v>
      </c>
      <c r="S1532" s="240"/>
      <c r="T1532" s="201"/>
      <c r="U1532" s="201"/>
      <c r="V1532" s="201"/>
    </row>
    <row r="1533" spans="1:22" ht="15.75" x14ac:dyDescent="0.25">
      <c r="A1533" s="234" t="s">
        <v>4205</v>
      </c>
      <c r="B1533" s="235" t="s">
        <v>4206</v>
      </c>
      <c r="C1533" s="234" t="s">
        <v>6</v>
      </c>
      <c r="D1533" s="312">
        <v>20</v>
      </c>
      <c r="E1533" s="316"/>
      <c r="F1533" s="317"/>
      <c r="G1533" s="316"/>
      <c r="H1533" s="316"/>
      <c r="I1533" s="316"/>
      <c r="J1533" s="248">
        <f t="shared" si="162"/>
        <v>0</v>
      </c>
      <c r="K1533" s="330">
        <f t="shared" si="163"/>
        <v>-20</v>
      </c>
      <c r="L1533" s="318"/>
      <c r="M1533" s="228">
        <f t="shared" si="164"/>
        <v>0</v>
      </c>
      <c r="N1533" s="228">
        <f t="shared" si="167"/>
        <v>0</v>
      </c>
      <c r="O1533" s="228">
        <f t="shared" si="168"/>
        <v>0</v>
      </c>
      <c r="P1533" s="228">
        <f t="shared" si="168"/>
        <v>0</v>
      </c>
      <c r="Q1533" s="228">
        <f t="shared" si="165"/>
        <v>0</v>
      </c>
      <c r="R1533" s="343">
        <f t="shared" si="166"/>
        <v>-20</v>
      </c>
      <c r="S1533" s="240"/>
      <c r="T1533" s="201"/>
      <c r="U1533" s="201"/>
      <c r="V1533" s="201"/>
    </row>
    <row r="1534" spans="1:22" ht="30" x14ac:dyDescent="0.25">
      <c r="A1534" s="234" t="s">
        <v>4207</v>
      </c>
      <c r="B1534" s="235" t="s">
        <v>4208</v>
      </c>
      <c r="C1534" s="234" t="s">
        <v>6</v>
      </c>
      <c r="D1534" s="312">
        <v>20</v>
      </c>
      <c r="E1534" s="316"/>
      <c r="F1534" s="317"/>
      <c r="G1534" s="316"/>
      <c r="H1534" s="316"/>
      <c r="I1534" s="316"/>
      <c r="J1534" s="248">
        <f t="shared" si="162"/>
        <v>0</v>
      </c>
      <c r="K1534" s="330">
        <f t="shared" si="163"/>
        <v>-20</v>
      </c>
      <c r="L1534" s="318"/>
      <c r="M1534" s="228">
        <f t="shared" si="164"/>
        <v>0</v>
      </c>
      <c r="N1534" s="228">
        <f t="shared" si="167"/>
        <v>0</v>
      </c>
      <c r="O1534" s="228">
        <f t="shared" si="168"/>
        <v>0</v>
      </c>
      <c r="P1534" s="228">
        <f t="shared" si="168"/>
        <v>0</v>
      </c>
      <c r="Q1534" s="228">
        <f t="shared" si="165"/>
        <v>0</v>
      </c>
      <c r="R1534" s="343">
        <f t="shared" si="166"/>
        <v>-20</v>
      </c>
      <c r="S1534" s="240"/>
      <c r="T1534" s="201"/>
      <c r="U1534" s="201"/>
      <c r="V1534" s="201"/>
    </row>
    <row r="1535" spans="1:22" ht="15.75" x14ac:dyDescent="0.25">
      <c r="A1535" s="234" t="s">
        <v>4209</v>
      </c>
      <c r="B1535" s="235" t="s">
        <v>4210</v>
      </c>
      <c r="C1535" s="234" t="s">
        <v>6</v>
      </c>
      <c r="D1535" s="312">
        <v>50</v>
      </c>
      <c r="E1535" s="316"/>
      <c r="F1535" s="317"/>
      <c r="G1535" s="316"/>
      <c r="H1535" s="316"/>
      <c r="I1535" s="316"/>
      <c r="J1535" s="248">
        <f t="shared" si="162"/>
        <v>0</v>
      </c>
      <c r="K1535" s="330">
        <f t="shared" si="163"/>
        <v>-50</v>
      </c>
      <c r="L1535" s="318"/>
      <c r="M1535" s="228">
        <f t="shared" si="164"/>
        <v>0</v>
      </c>
      <c r="N1535" s="228">
        <f t="shared" si="167"/>
        <v>0</v>
      </c>
      <c r="O1535" s="228">
        <f t="shared" si="168"/>
        <v>0</v>
      </c>
      <c r="P1535" s="228">
        <f t="shared" si="168"/>
        <v>0</v>
      </c>
      <c r="Q1535" s="228">
        <f t="shared" si="165"/>
        <v>0</v>
      </c>
      <c r="R1535" s="343">
        <f t="shared" si="166"/>
        <v>-50</v>
      </c>
      <c r="S1535" s="240"/>
      <c r="T1535" s="201"/>
      <c r="U1535" s="201"/>
      <c r="V1535" s="201"/>
    </row>
    <row r="1536" spans="1:22" ht="15.75" x14ac:dyDescent="0.25">
      <c r="A1536" s="234" t="s">
        <v>4211</v>
      </c>
      <c r="B1536" s="235" t="s">
        <v>4212</v>
      </c>
      <c r="C1536" s="234" t="s">
        <v>6</v>
      </c>
      <c r="D1536" s="312">
        <v>20</v>
      </c>
      <c r="E1536" s="316"/>
      <c r="F1536" s="317"/>
      <c r="G1536" s="316"/>
      <c r="H1536" s="316"/>
      <c r="I1536" s="316"/>
      <c r="J1536" s="248">
        <f t="shared" si="162"/>
        <v>0</v>
      </c>
      <c r="K1536" s="330">
        <f t="shared" si="163"/>
        <v>-20</v>
      </c>
      <c r="L1536" s="318"/>
      <c r="M1536" s="228">
        <f t="shared" si="164"/>
        <v>0</v>
      </c>
      <c r="N1536" s="228">
        <f t="shared" si="167"/>
        <v>0</v>
      </c>
      <c r="O1536" s="228">
        <f t="shared" si="168"/>
        <v>0</v>
      </c>
      <c r="P1536" s="228">
        <f t="shared" si="168"/>
        <v>0</v>
      </c>
      <c r="Q1536" s="228">
        <f t="shared" si="165"/>
        <v>0</v>
      </c>
      <c r="R1536" s="343">
        <f t="shared" si="166"/>
        <v>-20</v>
      </c>
      <c r="S1536" s="240"/>
      <c r="T1536" s="201"/>
      <c r="U1536" s="201"/>
      <c r="V1536" s="201"/>
    </row>
    <row r="1537" spans="1:22" ht="15.75" x14ac:dyDescent="0.25">
      <c r="A1537" s="234" t="s">
        <v>4213</v>
      </c>
      <c r="B1537" s="235" t="s">
        <v>4214</v>
      </c>
      <c r="C1537" s="234" t="s">
        <v>6</v>
      </c>
      <c r="D1537" s="312">
        <v>50</v>
      </c>
      <c r="E1537" s="316"/>
      <c r="F1537" s="317"/>
      <c r="G1537" s="316"/>
      <c r="H1537" s="316"/>
      <c r="I1537" s="316"/>
      <c r="J1537" s="248">
        <f t="shared" si="162"/>
        <v>0</v>
      </c>
      <c r="K1537" s="330">
        <f t="shared" si="163"/>
        <v>-50</v>
      </c>
      <c r="L1537" s="318"/>
      <c r="M1537" s="228">
        <f t="shared" si="164"/>
        <v>0</v>
      </c>
      <c r="N1537" s="228">
        <f t="shared" si="167"/>
        <v>0</v>
      </c>
      <c r="O1537" s="228">
        <f t="shared" si="168"/>
        <v>0</v>
      </c>
      <c r="P1537" s="228">
        <f t="shared" si="168"/>
        <v>0</v>
      </c>
      <c r="Q1537" s="228">
        <f t="shared" si="165"/>
        <v>0</v>
      </c>
      <c r="R1537" s="343">
        <f t="shared" si="166"/>
        <v>-50</v>
      </c>
      <c r="S1537" s="240"/>
      <c r="T1537" s="201"/>
      <c r="U1537" s="201"/>
      <c r="V1537" s="201"/>
    </row>
    <row r="1538" spans="1:22" ht="15.75" x14ac:dyDescent="0.25">
      <c r="A1538" s="234" t="s">
        <v>4215</v>
      </c>
      <c r="B1538" s="235" t="s">
        <v>4216</v>
      </c>
      <c r="C1538" s="234" t="s">
        <v>6</v>
      </c>
      <c r="D1538" s="312">
        <v>50</v>
      </c>
      <c r="E1538" s="316"/>
      <c r="F1538" s="317"/>
      <c r="G1538" s="316"/>
      <c r="H1538" s="316"/>
      <c r="I1538" s="316"/>
      <c r="J1538" s="248">
        <f t="shared" si="162"/>
        <v>0</v>
      </c>
      <c r="K1538" s="330">
        <f t="shared" si="163"/>
        <v>-50</v>
      </c>
      <c r="L1538" s="318"/>
      <c r="M1538" s="228">
        <f t="shared" si="164"/>
        <v>0</v>
      </c>
      <c r="N1538" s="228">
        <f t="shared" si="167"/>
        <v>0</v>
      </c>
      <c r="O1538" s="228">
        <f t="shared" si="168"/>
        <v>0</v>
      </c>
      <c r="P1538" s="228">
        <f t="shared" si="168"/>
        <v>0</v>
      </c>
      <c r="Q1538" s="228">
        <f t="shared" si="165"/>
        <v>0</v>
      </c>
      <c r="R1538" s="343">
        <f t="shared" si="166"/>
        <v>-50</v>
      </c>
      <c r="S1538" s="240"/>
      <c r="T1538" s="201"/>
      <c r="U1538" s="201"/>
      <c r="V1538" s="201"/>
    </row>
    <row r="1539" spans="1:22" ht="30" x14ac:dyDescent="0.25">
      <c r="A1539" s="234" t="s">
        <v>4217</v>
      </c>
      <c r="B1539" s="235" t="s">
        <v>4218</v>
      </c>
      <c r="C1539" s="234" t="s">
        <v>1911</v>
      </c>
      <c r="D1539" s="312">
        <v>1</v>
      </c>
      <c r="E1539" s="316"/>
      <c r="F1539" s="317"/>
      <c r="G1539" s="316"/>
      <c r="H1539" s="316"/>
      <c r="I1539" s="316"/>
      <c r="J1539" s="248">
        <f t="shared" si="162"/>
        <v>0</v>
      </c>
      <c r="K1539" s="330">
        <f t="shared" si="163"/>
        <v>-1</v>
      </c>
      <c r="L1539" s="318"/>
      <c r="M1539" s="228">
        <f t="shared" si="164"/>
        <v>0</v>
      </c>
      <c r="N1539" s="228">
        <f t="shared" si="167"/>
        <v>0</v>
      </c>
      <c r="O1539" s="228">
        <f t="shared" si="168"/>
        <v>0</v>
      </c>
      <c r="P1539" s="228">
        <f t="shared" si="168"/>
        <v>0</v>
      </c>
      <c r="Q1539" s="228">
        <f t="shared" si="165"/>
        <v>0</v>
      </c>
      <c r="R1539" s="343">
        <f t="shared" si="166"/>
        <v>-1</v>
      </c>
      <c r="S1539" s="240"/>
      <c r="T1539" s="201"/>
      <c r="U1539" s="201"/>
      <c r="V1539" s="201"/>
    </row>
    <row r="1540" spans="1:22" ht="30" x14ac:dyDescent="0.25">
      <c r="A1540" s="234" t="s">
        <v>4219</v>
      </c>
      <c r="B1540" s="235" t="s">
        <v>4220</v>
      </c>
      <c r="C1540" s="234" t="s">
        <v>1911</v>
      </c>
      <c r="D1540" s="312">
        <v>1</v>
      </c>
      <c r="E1540" s="316"/>
      <c r="F1540" s="317"/>
      <c r="G1540" s="316"/>
      <c r="H1540" s="316"/>
      <c r="I1540" s="316"/>
      <c r="J1540" s="248">
        <f t="shared" si="162"/>
        <v>0</v>
      </c>
      <c r="K1540" s="330">
        <f t="shared" si="163"/>
        <v>-1</v>
      </c>
      <c r="L1540" s="318"/>
      <c r="M1540" s="228">
        <f t="shared" si="164"/>
        <v>0</v>
      </c>
      <c r="N1540" s="228">
        <f t="shared" si="167"/>
        <v>0</v>
      </c>
      <c r="O1540" s="228">
        <f t="shared" si="168"/>
        <v>0</v>
      </c>
      <c r="P1540" s="228">
        <f t="shared" si="168"/>
        <v>0</v>
      </c>
      <c r="Q1540" s="228">
        <f t="shared" si="165"/>
        <v>0</v>
      </c>
      <c r="R1540" s="343">
        <f t="shared" si="166"/>
        <v>-1</v>
      </c>
      <c r="S1540" s="240"/>
      <c r="T1540" s="201"/>
      <c r="U1540" s="201"/>
      <c r="V1540" s="201"/>
    </row>
    <row r="1541" spans="1:22" ht="30" x14ac:dyDescent="0.25">
      <c r="A1541" s="234" t="s">
        <v>4221</v>
      </c>
      <c r="B1541" s="235" t="s">
        <v>4222</v>
      </c>
      <c r="C1541" s="234" t="s">
        <v>1911</v>
      </c>
      <c r="D1541" s="312">
        <v>1</v>
      </c>
      <c r="E1541" s="316"/>
      <c r="F1541" s="317"/>
      <c r="G1541" s="316"/>
      <c r="H1541" s="316"/>
      <c r="I1541" s="316"/>
      <c r="J1541" s="248">
        <f t="shared" si="162"/>
        <v>0</v>
      </c>
      <c r="K1541" s="330">
        <f t="shared" si="163"/>
        <v>-1</v>
      </c>
      <c r="L1541" s="318"/>
      <c r="M1541" s="228">
        <f t="shared" si="164"/>
        <v>0</v>
      </c>
      <c r="N1541" s="228">
        <f t="shared" si="167"/>
        <v>0</v>
      </c>
      <c r="O1541" s="228">
        <f t="shared" si="168"/>
        <v>0</v>
      </c>
      <c r="P1541" s="228">
        <f t="shared" si="168"/>
        <v>0</v>
      </c>
      <c r="Q1541" s="228">
        <f t="shared" si="165"/>
        <v>0</v>
      </c>
      <c r="R1541" s="343">
        <f t="shared" si="166"/>
        <v>-1</v>
      </c>
      <c r="S1541" s="240"/>
      <c r="T1541" s="201"/>
      <c r="U1541" s="201"/>
      <c r="V1541" s="201"/>
    </row>
    <row r="1542" spans="1:22" ht="30" x14ac:dyDescent="0.25">
      <c r="A1542" s="234" t="s">
        <v>4223</v>
      </c>
      <c r="B1542" s="235" t="s">
        <v>4099</v>
      </c>
      <c r="C1542" s="234" t="s">
        <v>499</v>
      </c>
      <c r="D1542" s="312">
        <v>1</v>
      </c>
      <c r="E1542" s="316"/>
      <c r="F1542" s="317"/>
      <c r="G1542" s="316"/>
      <c r="H1542" s="316"/>
      <c r="I1542" s="316"/>
      <c r="J1542" s="248">
        <f t="shared" si="162"/>
        <v>0</v>
      </c>
      <c r="K1542" s="330">
        <f t="shared" si="163"/>
        <v>-1</v>
      </c>
      <c r="L1542" s="318"/>
      <c r="M1542" s="228">
        <f t="shared" si="164"/>
        <v>0</v>
      </c>
      <c r="N1542" s="228">
        <f t="shared" si="167"/>
        <v>0</v>
      </c>
      <c r="O1542" s="228">
        <f t="shared" si="168"/>
        <v>0</v>
      </c>
      <c r="P1542" s="228">
        <f t="shared" si="168"/>
        <v>0</v>
      </c>
      <c r="Q1542" s="228">
        <f t="shared" si="165"/>
        <v>0</v>
      </c>
      <c r="R1542" s="343">
        <f t="shared" si="166"/>
        <v>-1</v>
      </c>
      <c r="S1542" s="240"/>
      <c r="T1542" s="201"/>
      <c r="U1542" s="201"/>
      <c r="V1542" s="201"/>
    </row>
    <row r="1543" spans="1:22" ht="30" x14ac:dyDescent="0.25">
      <c r="A1543" s="234" t="s">
        <v>4224</v>
      </c>
      <c r="B1543" s="235" t="s">
        <v>4101</v>
      </c>
      <c r="C1543" s="234" t="s">
        <v>499</v>
      </c>
      <c r="D1543" s="312">
        <v>1</v>
      </c>
      <c r="E1543" s="316"/>
      <c r="F1543" s="317"/>
      <c r="G1543" s="316"/>
      <c r="H1543" s="316"/>
      <c r="I1543" s="316"/>
      <c r="J1543" s="248">
        <f t="shared" si="162"/>
        <v>0</v>
      </c>
      <c r="K1543" s="330">
        <f t="shared" si="163"/>
        <v>-1</v>
      </c>
      <c r="L1543" s="318"/>
      <c r="M1543" s="228">
        <f t="shared" si="164"/>
        <v>0</v>
      </c>
      <c r="N1543" s="228">
        <f t="shared" si="167"/>
        <v>0</v>
      </c>
      <c r="O1543" s="228">
        <f t="shared" si="168"/>
        <v>0</v>
      </c>
      <c r="P1543" s="228">
        <f t="shared" si="168"/>
        <v>0</v>
      </c>
      <c r="Q1543" s="228">
        <f t="shared" si="165"/>
        <v>0</v>
      </c>
      <c r="R1543" s="343">
        <f t="shared" si="166"/>
        <v>-1</v>
      </c>
      <c r="S1543" s="240"/>
      <c r="T1543" s="201"/>
      <c r="U1543" s="201"/>
      <c r="V1543" s="201"/>
    </row>
    <row r="1544" spans="1:22" ht="15.75" x14ac:dyDescent="0.25">
      <c r="A1544" s="234" t="s">
        <v>4225</v>
      </c>
      <c r="B1544" s="235" t="s">
        <v>4103</v>
      </c>
      <c r="C1544" s="234" t="s">
        <v>499</v>
      </c>
      <c r="D1544" s="312">
        <v>1</v>
      </c>
      <c r="E1544" s="316"/>
      <c r="F1544" s="317"/>
      <c r="G1544" s="316"/>
      <c r="H1544" s="316"/>
      <c r="I1544" s="316"/>
      <c r="J1544" s="248">
        <f t="shared" si="162"/>
        <v>0</v>
      </c>
      <c r="K1544" s="330">
        <f t="shared" si="163"/>
        <v>-1</v>
      </c>
      <c r="L1544" s="318"/>
      <c r="M1544" s="228">
        <f t="shared" si="164"/>
        <v>0</v>
      </c>
      <c r="N1544" s="228">
        <f t="shared" si="167"/>
        <v>0</v>
      </c>
      <c r="O1544" s="228">
        <f t="shared" si="168"/>
        <v>0</v>
      </c>
      <c r="P1544" s="228">
        <f t="shared" si="168"/>
        <v>0</v>
      </c>
      <c r="Q1544" s="228">
        <f t="shared" si="165"/>
        <v>0</v>
      </c>
      <c r="R1544" s="343">
        <f t="shared" si="166"/>
        <v>-1</v>
      </c>
      <c r="S1544" s="240"/>
      <c r="T1544" s="201"/>
      <c r="U1544" s="201"/>
      <c r="V1544" s="201"/>
    </row>
    <row r="1545" spans="1:22" ht="15.75" x14ac:dyDescent="0.25">
      <c r="A1545" s="234" t="s">
        <v>4226</v>
      </c>
      <c r="B1545" s="235" t="s">
        <v>4105</v>
      </c>
      <c r="C1545" s="234" t="s">
        <v>9</v>
      </c>
      <c r="D1545" s="312">
        <v>1</v>
      </c>
      <c r="E1545" s="316"/>
      <c r="F1545" s="317"/>
      <c r="G1545" s="316"/>
      <c r="H1545" s="316"/>
      <c r="I1545" s="316"/>
      <c r="J1545" s="248">
        <f t="shared" si="162"/>
        <v>0</v>
      </c>
      <c r="K1545" s="330">
        <f t="shared" si="163"/>
        <v>-1</v>
      </c>
      <c r="L1545" s="318"/>
      <c r="M1545" s="228">
        <f t="shared" si="164"/>
        <v>0</v>
      </c>
      <c r="N1545" s="228">
        <f t="shared" si="167"/>
        <v>0</v>
      </c>
      <c r="O1545" s="228">
        <f t="shared" si="168"/>
        <v>0</v>
      </c>
      <c r="P1545" s="228">
        <f t="shared" si="168"/>
        <v>0</v>
      </c>
      <c r="Q1545" s="228">
        <f t="shared" si="165"/>
        <v>0</v>
      </c>
      <c r="R1545" s="343">
        <f t="shared" si="166"/>
        <v>-1</v>
      </c>
      <c r="S1545" s="240"/>
      <c r="T1545" s="201"/>
      <c r="U1545" s="201"/>
      <c r="V1545" s="201"/>
    </row>
    <row r="1546" spans="1:22" ht="15.75" x14ac:dyDescent="0.25">
      <c r="A1546" s="234" t="s">
        <v>4227</v>
      </c>
      <c r="B1546" s="235" t="s">
        <v>4107</v>
      </c>
      <c r="C1546" s="234" t="s">
        <v>9</v>
      </c>
      <c r="D1546" s="312">
        <v>1</v>
      </c>
      <c r="E1546" s="316"/>
      <c r="F1546" s="317"/>
      <c r="G1546" s="316"/>
      <c r="H1546" s="316"/>
      <c r="I1546" s="316"/>
      <c r="J1546" s="248">
        <f t="shared" si="162"/>
        <v>0</v>
      </c>
      <c r="K1546" s="330">
        <f t="shared" si="163"/>
        <v>-1</v>
      </c>
      <c r="L1546" s="318"/>
      <c r="M1546" s="228">
        <f t="shared" si="164"/>
        <v>0</v>
      </c>
      <c r="N1546" s="228">
        <f t="shared" si="167"/>
        <v>0</v>
      </c>
      <c r="O1546" s="228">
        <f t="shared" si="168"/>
        <v>0</v>
      </c>
      <c r="P1546" s="228">
        <f t="shared" si="168"/>
        <v>0</v>
      </c>
      <c r="Q1546" s="228">
        <f t="shared" si="165"/>
        <v>0</v>
      </c>
      <c r="R1546" s="343">
        <f t="shared" si="166"/>
        <v>-1</v>
      </c>
      <c r="S1546" s="240"/>
      <c r="T1546" s="201"/>
      <c r="U1546" s="201"/>
      <c r="V1546" s="201"/>
    </row>
    <row r="1547" spans="1:22" ht="15.75" x14ac:dyDescent="0.25">
      <c r="A1547" s="234" t="s">
        <v>4228</v>
      </c>
      <c r="B1547" s="235" t="s">
        <v>4229</v>
      </c>
      <c r="C1547" s="234" t="s">
        <v>9</v>
      </c>
      <c r="D1547" s="312">
        <v>5</v>
      </c>
      <c r="E1547" s="316"/>
      <c r="F1547" s="317"/>
      <c r="G1547" s="316"/>
      <c r="H1547" s="316"/>
      <c r="I1547" s="316"/>
      <c r="J1547" s="248">
        <f t="shared" si="162"/>
        <v>0</v>
      </c>
      <c r="K1547" s="330">
        <f t="shared" si="163"/>
        <v>-5</v>
      </c>
      <c r="L1547" s="318"/>
      <c r="M1547" s="228">
        <f t="shared" si="164"/>
        <v>0</v>
      </c>
      <c r="N1547" s="228">
        <f t="shared" si="167"/>
        <v>0</v>
      </c>
      <c r="O1547" s="228">
        <f t="shared" si="168"/>
        <v>0</v>
      </c>
      <c r="P1547" s="228">
        <f t="shared" si="168"/>
        <v>0</v>
      </c>
      <c r="Q1547" s="228">
        <f t="shared" si="165"/>
        <v>0</v>
      </c>
      <c r="R1547" s="343">
        <f t="shared" si="166"/>
        <v>-5</v>
      </c>
      <c r="S1547" s="240"/>
      <c r="T1547" s="201"/>
      <c r="U1547" s="201"/>
      <c r="V1547" s="201"/>
    </row>
    <row r="1548" spans="1:22" ht="15.75" x14ac:dyDescent="0.25">
      <c r="A1548" s="234" t="s">
        <v>4230</v>
      </c>
      <c r="B1548" s="235" t="s">
        <v>4231</v>
      </c>
      <c r="C1548" s="234" t="s">
        <v>9</v>
      </c>
      <c r="D1548" s="312">
        <v>2</v>
      </c>
      <c r="E1548" s="316"/>
      <c r="F1548" s="317"/>
      <c r="G1548" s="316"/>
      <c r="H1548" s="316"/>
      <c r="I1548" s="316"/>
      <c r="J1548" s="248">
        <f t="shared" si="162"/>
        <v>0</v>
      </c>
      <c r="K1548" s="330">
        <f t="shared" si="163"/>
        <v>-2</v>
      </c>
      <c r="L1548" s="318"/>
      <c r="M1548" s="228">
        <f t="shared" si="164"/>
        <v>0</v>
      </c>
      <c r="N1548" s="228">
        <f t="shared" si="167"/>
        <v>0</v>
      </c>
      <c r="O1548" s="228">
        <f t="shared" si="168"/>
        <v>0</v>
      </c>
      <c r="P1548" s="228">
        <f t="shared" si="168"/>
        <v>0</v>
      </c>
      <c r="Q1548" s="228">
        <f t="shared" si="165"/>
        <v>0</v>
      </c>
      <c r="R1548" s="343">
        <f t="shared" si="166"/>
        <v>-2</v>
      </c>
      <c r="S1548" s="240"/>
      <c r="T1548" s="201"/>
      <c r="U1548" s="201"/>
      <c r="V1548" s="201"/>
    </row>
    <row r="1549" spans="1:22" ht="15.75" x14ac:dyDescent="0.25">
      <c r="A1549" s="234" t="s">
        <v>4232</v>
      </c>
      <c r="B1549" s="235" t="s">
        <v>4117</v>
      </c>
      <c r="C1549" s="234" t="s">
        <v>9</v>
      </c>
      <c r="D1549" s="312">
        <v>4</v>
      </c>
      <c r="E1549" s="316"/>
      <c r="F1549" s="317"/>
      <c r="G1549" s="316"/>
      <c r="H1549" s="316"/>
      <c r="I1549" s="316"/>
      <c r="J1549" s="248">
        <f t="shared" si="162"/>
        <v>0</v>
      </c>
      <c r="K1549" s="330">
        <f t="shared" si="163"/>
        <v>-4</v>
      </c>
      <c r="L1549" s="318"/>
      <c r="M1549" s="228">
        <f t="shared" si="164"/>
        <v>0</v>
      </c>
      <c r="N1549" s="228">
        <f t="shared" si="167"/>
        <v>0</v>
      </c>
      <c r="O1549" s="228">
        <f t="shared" si="168"/>
        <v>0</v>
      </c>
      <c r="P1549" s="228">
        <f t="shared" si="168"/>
        <v>0</v>
      </c>
      <c r="Q1549" s="228">
        <f t="shared" si="165"/>
        <v>0</v>
      </c>
      <c r="R1549" s="343">
        <f t="shared" si="166"/>
        <v>-4</v>
      </c>
      <c r="S1549" s="240"/>
      <c r="T1549" s="201"/>
      <c r="U1549" s="201"/>
      <c r="V1549" s="201"/>
    </row>
    <row r="1550" spans="1:22" ht="15.75" x14ac:dyDescent="0.25">
      <c r="A1550" s="234" t="s">
        <v>4233</v>
      </c>
      <c r="B1550" s="235" t="s">
        <v>4119</v>
      </c>
      <c r="C1550" s="234" t="s">
        <v>9</v>
      </c>
      <c r="D1550" s="312">
        <v>4</v>
      </c>
      <c r="E1550" s="316"/>
      <c r="F1550" s="317"/>
      <c r="G1550" s="316"/>
      <c r="H1550" s="316"/>
      <c r="I1550" s="316"/>
      <c r="J1550" s="248">
        <f t="shared" si="162"/>
        <v>0</v>
      </c>
      <c r="K1550" s="330">
        <f t="shared" si="163"/>
        <v>-4</v>
      </c>
      <c r="L1550" s="318"/>
      <c r="M1550" s="228">
        <f t="shared" si="164"/>
        <v>0</v>
      </c>
      <c r="N1550" s="228">
        <f t="shared" si="167"/>
        <v>0</v>
      </c>
      <c r="O1550" s="228">
        <f t="shared" si="168"/>
        <v>0</v>
      </c>
      <c r="P1550" s="228">
        <f t="shared" si="168"/>
        <v>0</v>
      </c>
      <c r="Q1550" s="228">
        <f t="shared" si="165"/>
        <v>0</v>
      </c>
      <c r="R1550" s="343">
        <f t="shared" si="166"/>
        <v>-4</v>
      </c>
      <c r="S1550" s="240"/>
      <c r="T1550" s="201"/>
      <c r="U1550" s="201"/>
      <c r="V1550" s="201"/>
    </row>
    <row r="1551" spans="1:22" ht="15.75" x14ac:dyDescent="0.25">
      <c r="A1551" s="234" t="s">
        <v>4234</v>
      </c>
      <c r="B1551" s="235" t="s">
        <v>4235</v>
      </c>
      <c r="C1551" s="234" t="s">
        <v>9</v>
      </c>
      <c r="D1551" s="312">
        <v>2</v>
      </c>
      <c r="E1551" s="316"/>
      <c r="F1551" s="317"/>
      <c r="G1551" s="316"/>
      <c r="H1551" s="316"/>
      <c r="I1551" s="316"/>
      <c r="J1551" s="248">
        <f t="shared" si="162"/>
        <v>0</v>
      </c>
      <c r="K1551" s="330">
        <f t="shared" si="163"/>
        <v>-2</v>
      </c>
      <c r="L1551" s="318"/>
      <c r="M1551" s="228">
        <f t="shared" si="164"/>
        <v>0</v>
      </c>
      <c r="N1551" s="228">
        <f t="shared" si="167"/>
        <v>0</v>
      </c>
      <c r="O1551" s="228">
        <f t="shared" si="168"/>
        <v>0</v>
      </c>
      <c r="P1551" s="228">
        <f t="shared" si="168"/>
        <v>0</v>
      </c>
      <c r="Q1551" s="228">
        <f t="shared" si="165"/>
        <v>0</v>
      </c>
      <c r="R1551" s="343">
        <f t="shared" si="166"/>
        <v>-2</v>
      </c>
      <c r="S1551" s="240"/>
      <c r="T1551" s="201"/>
      <c r="U1551" s="201"/>
      <c r="V1551" s="201"/>
    </row>
    <row r="1552" spans="1:22" ht="15.75" x14ac:dyDescent="0.25">
      <c r="A1552" s="234" t="s">
        <v>4236</v>
      </c>
      <c r="B1552" s="235" t="s">
        <v>4123</v>
      </c>
      <c r="C1552" s="234" t="s">
        <v>9</v>
      </c>
      <c r="D1552" s="312">
        <v>1</v>
      </c>
      <c r="E1552" s="316"/>
      <c r="F1552" s="317"/>
      <c r="G1552" s="316"/>
      <c r="H1552" s="316"/>
      <c r="I1552" s="316"/>
      <c r="J1552" s="248">
        <f t="shared" si="162"/>
        <v>0</v>
      </c>
      <c r="K1552" s="330">
        <f t="shared" si="163"/>
        <v>-1</v>
      </c>
      <c r="L1552" s="318"/>
      <c r="M1552" s="228">
        <f t="shared" si="164"/>
        <v>0</v>
      </c>
      <c r="N1552" s="228">
        <f t="shared" si="167"/>
        <v>0</v>
      </c>
      <c r="O1552" s="228">
        <f t="shared" si="168"/>
        <v>0</v>
      </c>
      <c r="P1552" s="228">
        <f t="shared" si="168"/>
        <v>0</v>
      </c>
      <c r="Q1552" s="228">
        <f t="shared" si="165"/>
        <v>0</v>
      </c>
      <c r="R1552" s="343">
        <f t="shared" si="166"/>
        <v>-1</v>
      </c>
      <c r="S1552" s="240"/>
      <c r="T1552" s="201"/>
      <c r="U1552" s="201"/>
      <c r="V1552" s="201"/>
    </row>
    <row r="1553" spans="1:22" ht="15.75" x14ac:dyDescent="0.25">
      <c r="A1553" s="234" t="s">
        <v>4237</v>
      </c>
      <c r="B1553" s="235" t="s">
        <v>4238</v>
      </c>
      <c r="C1553" s="234" t="s">
        <v>9</v>
      </c>
      <c r="D1553" s="312">
        <v>2</v>
      </c>
      <c r="E1553" s="316"/>
      <c r="F1553" s="317"/>
      <c r="G1553" s="316"/>
      <c r="H1553" s="316"/>
      <c r="I1553" s="316"/>
      <c r="J1553" s="248">
        <f t="shared" si="162"/>
        <v>0</v>
      </c>
      <c r="K1553" s="330">
        <f t="shared" si="163"/>
        <v>-2</v>
      </c>
      <c r="L1553" s="318"/>
      <c r="M1553" s="228">
        <f t="shared" si="164"/>
        <v>0</v>
      </c>
      <c r="N1553" s="228">
        <f t="shared" si="167"/>
        <v>0</v>
      </c>
      <c r="O1553" s="228">
        <f t="shared" si="168"/>
        <v>0</v>
      </c>
      <c r="P1553" s="228">
        <f t="shared" si="168"/>
        <v>0</v>
      </c>
      <c r="Q1553" s="228">
        <f t="shared" si="165"/>
        <v>0</v>
      </c>
      <c r="R1553" s="343">
        <f t="shared" si="166"/>
        <v>-2</v>
      </c>
      <c r="S1553" s="240"/>
      <c r="T1553" s="201"/>
      <c r="U1553" s="201"/>
      <c r="V1553" s="201"/>
    </row>
    <row r="1554" spans="1:22" ht="15.75" x14ac:dyDescent="0.25">
      <c r="A1554" s="234" t="s">
        <v>4239</v>
      </c>
      <c r="B1554" s="235" t="s">
        <v>4127</v>
      </c>
      <c r="C1554" s="234" t="s">
        <v>9</v>
      </c>
      <c r="D1554" s="312">
        <v>1</v>
      </c>
      <c r="E1554" s="316"/>
      <c r="F1554" s="317"/>
      <c r="G1554" s="316"/>
      <c r="H1554" s="316"/>
      <c r="I1554" s="316"/>
      <c r="J1554" s="248">
        <f t="shared" si="162"/>
        <v>0</v>
      </c>
      <c r="K1554" s="330">
        <f t="shared" si="163"/>
        <v>-1</v>
      </c>
      <c r="L1554" s="318"/>
      <c r="M1554" s="228">
        <f t="shared" si="164"/>
        <v>0</v>
      </c>
      <c r="N1554" s="228">
        <f t="shared" si="167"/>
        <v>0</v>
      </c>
      <c r="O1554" s="228">
        <f t="shared" si="168"/>
        <v>0</v>
      </c>
      <c r="P1554" s="228">
        <f t="shared" si="168"/>
        <v>0</v>
      </c>
      <c r="Q1554" s="228">
        <f t="shared" si="165"/>
        <v>0</v>
      </c>
      <c r="R1554" s="343">
        <f t="shared" si="166"/>
        <v>-1</v>
      </c>
      <c r="S1554" s="240"/>
      <c r="T1554" s="201"/>
      <c r="U1554" s="201"/>
      <c r="V1554" s="201"/>
    </row>
    <row r="1555" spans="1:22" ht="15.75" x14ac:dyDescent="0.25">
      <c r="A1555" s="234" t="s">
        <v>4240</v>
      </c>
      <c r="B1555" s="235" t="s">
        <v>4241</v>
      </c>
      <c r="C1555" s="234" t="s">
        <v>9</v>
      </c>
      <c r="D1555" s="312">
        <v>4</v>
      </c>
      <c r="E1555" s="316"/>
      <c r="F1555" s="317"/>
      <c r="G1555" s="316"/>
      <c r="H1555" s="316"/>
      <c r="I1555" s="316"/>
      <c r="J1555" s="248">
        <f t="shared" si="162"/>
        <v>0</v>
      </c>
      <c r="K1555" s="330">
        <f t="shared" si="163"/>
        <v>-4</v>
      </c>
      <c r="L1555" s="318"/>
      <c r="M1555" s="228">
        <f t="shared" si="164"/>
        <v>0</v>
      </c>
      <c r="N1555" s="228">
        <f t="shared" si="167"/>
        <v>0</v>
      </c>
      <c r="O1555" s="228">
        <f t="shared" si="168"/>
        <v>0</v>
      </c>
      <c r="P1555" s="228">
        <f t="shared" si="168"/>
        <v>0</v>
      </c>
      <c r="Q1555" s="228">
        <f t="shared" si="165"/>
        <v>0</v>
      </c>
      <c r="R1555" s="343">
        <f t="shared" si="166"/>
        <v>-4</v>
      </c>
      <c r="S1555" s="240"/>
      <c r="T1555" s="201"/>
      <c r="U1555" s="201"/>
      <c r="V1555" s="201"/>
    </row>
    <row r="1556" spans="1:22" ht="15.75" x14ac:dyDescent="0.25">
      <c r="A1556" s="234" t="s">
        <v>4242</v>
      </c>
      <c r="B1556" s="235" t="s">
        <v>4133</v>
      </c>
      <c r="C1556" s="234" t="s">
        <v>9</v>
      </c>
      <c r="D1556" s="312">
        <v>2</v>
      </c>
      <c r="E1556" s="316"/>
      <c r="F1556" s="317"/>
      <c r="G1556" s="316"/>
      <c r="H1556" s="316"/>
      <c r="I1556" s="316"/>
      <c r="J1556" s="248">
        <f t="shared" si="162"/>
        <v>0</v>
      </c>
      <c r="K1556" s="330">
        <f t="shared" si="163"/>
        <v>-2</v>
      </c>
      <c r="L1556" s="318"/>
      <c r="M1556" s="228">
        <f t="shared" si="164"/>
        <v>0</v>
      </c>
      <c r="N1556" s="228">
        <f t="shared" si="167"/>
        <v>0</v>
      </c>
      <c r="O1556" s="228">
        <f t="shared" si="168"/>
        <v>0</v>
      </c>
      <c r="P1556" s="228">
        <f t="shared" si="168"/>
        <v>0</v>
      </c>
      <c r="Q1556" s="228">
        <f t="shared" si="165"/>
        <v>0</v>
      </c>
      <c r="R1556" s="343">
        <f t="shared" si="166"/>
        <v>-2</v>
      </c>
      <c r="S1556" s="240"/>
      <c r="T1556" s="201"/>
      <c r="U1556" s="201"/>
      <c r="V1556" s="201"/>
    </row>
    <row r="1557" spans="1:22" ht="15.75" x14ac:dyDescent="0.25">
      <c r="A1557" s="234" t="s">
        <v>4243</v>
      </c>
      <c r="B1557" s="235" t="s">
        <v>4135</v>
      </c>
      <c r="C1557" s="234" t="s">
        <v>9</v>
      </c>
      <c r="D1557" s="312">
        <v>3</v>
      </c>
      <c r="E1557" s="316"/>
      <c r="F1557" s="317"/>
      <c r="G1557" s="316"/>
      <c r="H1557" s="316"/>
      <c r="I1557" s="316"/>
      <c r="J1557" s="248">
        <f t="shared" si="162"/>
        <v>0</v>
      </c>
      <c r="K1557" s="330">
        <f t="shared" si="163"/>
        <v>-3</v>
      </c>
      <c r="L1557" s="318"/>
      <c r="M1557" s="228">
        <f t="shared" si="164"/>
        <v>0</v>
      </c>
      <c r="N1557" s="228">
        <f t="shared" si="167"/>
        <v>0</v>
      </c>
      <c r="O1557" s="228">
        <f t="shared" si="168"/>
        <v>0</v>
      </c>
      <c r="P1557" s="228">
        <f t="shared" si="168"/>
        <v>0</v>
      </c>
      <c r="Q1557" s="228">
        <f t="shared" si="165"/>
        <v>0</v>
      </c>
      <c r="R1557" s="343">
        <f t="shared" si="166"/>
        <v>-3</v>
      </c>
      <c r="S1557" s="240"/>
      <c r="T1557" s="201"/>
      <c r="U1557" s="201"/>
      <c r="V1557" s="201"/>
    </row>
    <row r="1558" spans="1:22" ht="15.75" x14ac:dyDescent="0.25">
      <c r="A1558" s="234" t="s">
        <v>4244</v>
      </c>
      <c r="B1558" s="235" t="s">
        <v>4137</v>
      </c>
      <c r="C1558" s="234" t="s">
        <v>9</v>
      </c>
      <c r="D1558" s="312">
        <v>9</v>
      </c>
      <c r="E1558" s="316"/>
      <c r="F1558" s="317"/>
      <c r="G1558" s="316"/>
      <c r="H1558" s="316"/>
      <c r="I1558" s="316"/>
      <c r="J1558" s="248">
        <f t="shared" si="162"/>
        <v>0</v>
      </c>
      <c r="K1558" s="330">
        <f t="shared" si="163"/>
        <v>-9</v>
      </c>
      <c r="L1558" s="318"/>
      <c r="M1558" s="228">
        <f t="shared" si="164"/>
        <v>0</v>
      </c>
      <c r="N1558" s="228">
        <f t="shared" si="167"/>
        <v>0</v>
      </c>
      <c r="O1558" s="228">
        <f t="shared" si="168"/>
        <v>0</v>
      </c>
      <c r="P1558" s="228">
        <f t="shared" si="168"/>
        <v>0</v>
      </c>
      <c r="Q1558" s="228">
        <f t="shared" si="165"/>
        <v>0</v>
      </c>
      <c r="R1558" s="343">
        <f t="shared" si="166"/>
        <v>-9</v>
      </c>
      <c r="S1558" s="240"/>
      <c r="T1558" s="201"/>
      <c r="U1558" s="201"/>
      <c r="V1558" s="201"/>
    </row>
    <row r="1559" spans="1:22" ht="15.75" x14ac:dyDescent="0.25">
      <c r="A1559" s="234" t="s">
        <v>4245</v>
      </c>
      <c r="B1559" s="235" t="s">
        <v>4246</v>
      </c>
      <c r="C1559" s="234" t="s">
        <v>9</v>
      </c>
      <c r="D1559" s="312">
        <v>1</v>
      </c>
      <c r="E1559" s="316"/>
      <c r="F1559" s="317"/>
      <c r="G1559" s="316"/>
      <c r="H1559" s="316"/>
      <c r="I1559" s="316"/>
      <c r="J1559" s="248">
        <f t="shared" si="162"/>
        <v>0</v>
      </c>
      <c r="K1559" s="330">
        <f t="shared" si="163"/>
        <v>-1</v>
      </c>
      <c r="L1559" s="318"/>
      <c r="M1559" s="228">
        <f t="shared" si="164"/>
        <v>0</v>
      </c>
      <c r="N1559" s="228">
        <f t="shared" si="167"/>
        <v>0</v>
      </c>
      <c r="O1559" s="228">
        <f t="shared" si="168"/>
        <v>0</v>
      </c>
      <c r="P1559" s="228">
        <f t="shared" si="168"/>
        <v>0</v>
      </c>
      <c r="Q1559" s="228">
        <f t="shared" si="165"/>
        <v>0</v>
      </c>
      <c r="R1559" s="343">
        <f t="shared" si="166"/>
        <v>-1</v>
      </c>
      <c r="S1559" s="240"/>
      <c r="T1559" s="201"/>
      <c r="U1559" s="201"/>
      <c r="V1559" s="201"/>
    </row>
    <row r="1560" spans="1:22" ht="15.75" x14ac:dyDescent="0.25">
      <c r="A1560" s="234" t="s">
        <v>4247</v>
      </c>
      <c r="B1560" s="235" t="s">
        <v>4141</v>
      </c>
      <c r="C1560" s="234" t="s">
        <v>9</v>
      </c>
      <c r="D1560" s="312">
        <v>2</v>
      </c>
      <c r="E1560" s="316"/>
      <c r="F1560" s="317"/>
      <c r="G1560" s="316"/>
      <c r="H1560" s="316"/>
      <c r="I1560" s="316"/>
      <c r="J1560" s="248">
        <f t="shared" si="162"/>
        <v>0</v>
      </c>
      <c r="K1560" s="330">
        <f t="shared" si="163"/>
        <v>-2</v>
      </c>
      <c r="L1560" s="318"/>
      <c r="M1560" s="228">
        <f t="shared" si="164"/>
        <v>0</v>
      </c>
      <c r="N1560" s="228">
        <f t="shared" si="167"/>
        <v>0</v>
      </c>
      <c r="O1560" s="228">
        <f t="shared" si="168"/>
        <v>0</v>
      </c>
      <c r="P1560" s="228">
        <f t="shared" si="168"/>
        <v>0</v>
      </c>
      <c r="Q1560" s="228">
        <f t="shared" si="165"/>
        <v>0</v>
      </c>
      <c r="R1560" s="343">
        <f t="shared" si="166"/>
        <v>-2</v>
      </c>
      <c r="S1560" s="240"/>
      <c r="T1560" s="201"/>
      <c r="U1560" s="201"/>
      <c r="V1560" s="201"/>
    </row>
    <row r="1561" spans="1:22" ht="15.75" x14ac:dyDescent="0.25">
      <c r="A1561" s="234" t="s">
        <v>4248</v>
      </c>
      <c r="B1561" s="235" t="s">
        <v>4249</v>
      </c>
      <c r="C1561" s="234" t="s">
        <v>9</v>
      </c>
      <c r="D1561" s="312">
        <v>2</v>
      </c>
      <c r="E1561" s="316"/>
      <c r="F1561" s="317"/>
      <c r="G1561" s="316"/>
      <c r="H1561" s="316"/>
      <c r="I1561" s="316"/>
      <c r="J1561" s="248">
        <f t="shared" si="162"/>
        <v>0</v>
      </c>
      <c r="K1561" s="330">
        <f t="shared" si="163"/>
        <v>-2</v>
      </c>
      <c r="L1561" s="318"/>
      <c r="M1561" s="228">
        <f t="shared" si="164"/>
        <v>0</v>
      </c>
      <c r="N1561" s="228">
        <f t="shared" si="167"/>
        <v>0</v>
      </c>
      <c r="O1561" s="228">
        <f t="shared" si="168"/>
        <v>0</v>
      </c>
      <c r="P1561" s="228">
        <f t="shared" si="168"/>
        <v>0</v>
      </c>
      <c r="Q1561" s="228">
        <f t="shared" si="165"/>
        <v>0</v>
      </c>
      <c r="R1561" s="343">
        <f t="shared" si="166"/>
        <v>-2</v>
      </c>
      <c r="S1561" s="240"/>
      <c r="T1561" s="201"/>
      <c r="U1561" s="201"/>
      <c r="V1561" s="201"/>
    </row>
    <row r="1562" spans="1:22" ht="15.75" x14ac:dyDescent="0.25">
      <c r="A1562" s="234" t="s">
        <v>4250</v>
      </c>
      <c r="B1562" s="235" t="s">
        <v>4145</v>
      </c>
      <c r="C1562" s="234" t="s">
        <v>9</v>
      </c>
      <c r="D1562" s="312">
        <v>1</v>
      </c>
      <c r="E1562" s="316"/>
      <c r="F1562" s="317"/>
      <c r="G1562" s="316"/>
      <c r="H1562" s="316"/>
      <c r="I1562" s="316"/>
      <c r="J1562" s="248">
        <f t="shared" si="162"/>
        <v>0</v>
      </c>
      <c r="K1562" s="330">
        <f t="shared" si="163"/>
        <v>-1</v>
      </c>
      <c r="L1562" s="318"/>
      <c r="M1562" s="228">
        <f t="shared" si="164"/>
        <v>0</v>
      </c>
      <c r="N1562" s="228">
        <f t="shared" si="167"/>
        <v>0</v>
      </c>
      <c r="O1562" s="228">
        <f t="shared" si="168"/>
        <v>0</v>
      </c>
      <c r="P1562" s="228">
        <f t="shared" si="168"/>
        <v>0</v>
      </c>
      <c r="Q1562" s="228">
        <f t="shared" si="165"/>
        <v>0</v>
      </c>
      <c r="R1562" s="343">
        <f t="shared" si="166"/>
        <v>-1</v>
      </c>
      <c r="S1562" s="240"/>
      <c r="T1562" s="201"/>
      <c r="U1562" s="201"/>
      <c r="V1562" s="201"/>
    </row>
    <row r="1563" spans="1:22" ht="15.75" x14ac:dyDescent="0.25">
      <c r="A1563" s="234" t="s">
        <v>4251</v>
      </c>
      <c r="B1563" s="235" t="s">
        <v>4147</v>
      </c>
      <c r="C1563" s="234" t="s">
        <v>9</v>
      </c>
      <c r="D1563" s="312">
        <v>6</v>
      </c>
      <c r="E1563" s="316"/>
      <c r="F1563" s="317"/>
      <c r="G1563" s="316"/>
      <c r="H1563" s="316"/>
      <c r="I1563" s="316"/>
      <c r="J1563" s="248">
        <f t="shared" si="162"/>
        <v>0</v>
      </c>
      <c r="K1563" s="330">
        <f t="shared" si="163"/>
        <v>-6</v>
      </c>
      <c r="L1563" s="318"/>
      <c r="M1563" s="228">
        <f t="shared" si="164"/>
        <v>0</v>
      </c>
      <c r="N1563" s="228">
        <f t="shared" si="167"/>
        <v>0</v>
      </c>
      <c r="O1563" s="228">
        <f t="shared" si="168"/>
        <v>0</v>
      </c>
      <c r="P1563" s="228">
        <f t="shared" si="168"/>
        <v>0</v>
      </c>
      <c r="Q1563" s="228">
        <f t="shared" si="165"/>
        <v>0</v>
      </c>
      <c r="R1563" s="343">
        <f t="shared" si="166"/>
        <v>-6</v>
      </c>
      <c r="S1563" s="240"/>
      <c r="T1563" s="201"/>
      <c r="U1563" s="201"/>
      <c r="V1563" s="201"/>
    </row>
    <row r="1564" spans="1:22" ht="15.75" x14ac:dyDescent="0.25">
      <c r="A1564" s="234" t="s">
        <v>4252</v>
      </c>
      <c r="B1564" s="235" t="s">
        <v>4151</v>
      </c>
      <c r="C1564" s="234" t="s">
        <v>9</v>
      </c>
      <c r="D1564" s="312">
        <v>1</v>
      </c>
      <c r="E1564" s="316"/>
      <c r="F1564" s="317"/>
      <c r="G1564" s="316"/>
      <c r="H1564" s="316"/>
      <c r="I1564" s="316"/>
      <c r="J1564" s="248">
        <f t="shared" si="162"/>
        <v>0</v>
      </c>
      <c r="K1564" s="330">
        <f t="shared" si="163"/>
        <v>-1</v>
      </c>
      <c r="L1564" s="318"/>
      <c r="M1564" s="228">
        <f t="shared" si="164"/>
        <v>0</v>
      </c>
      <c r="N1564" s="228">
        <f t="shared" si="167"/>
        <v>0</v>
      </c>
      <c r="O1564" s="228">
        <f t="shared" si="168"/>
        <v>0</v>
      </c>
      <c r="P1564" s="228">
        <f t="shared" si="168"/>
        <v>0</v>
      </c>
      <c r="Q1564" s="228">
        <f t="shared" si="165"/>
        <v>0</v>
      </c>
      <c r="R1564" s="343">
        <f t="shared" si="166"/>
        <v>-1</v>
      </c>
      <c r="S1564" s="240"/>
      <c r="T1564" s="201"/>
      <c r="U1564" s="201"/>
      <c r="V1564" s="201"/>
    </row>
    <row r="1565" spans="1:22" ht="15.75" x14ac:dyDescent="0.25">
      <c r="A1565" s="234" t="s">
        <v>4253</v>
      </c>
      <c r="B1565" s="235" t="s">
        <v>4155</v>
      </c>
      <c r="C1565" s="234" t="s">
        <v>9</v>
      </c>
      <c r="D1565" s="312">
        <v>19</v>
      </c>
      <c r="E1565" s="316"/>
      <c r="F1565" s="317"/>
      <c r="G1565" s="316"/>
      <c r="H1565" s="316"/>
      <c r="I1565" s="316"/>
      <c r="J1565" s="248">
        <f t="shared" si="162"/>
        <v>0</v>
      </c>
      <c r="K1565" s="330">
        <f t="shared" si="163"/>
        <v>-19</v>
      </c>
      <c r="L1565" s="318"/>
      <c r="M1565" s="228">
        <f t="shared" si="164"/>
        <v>0</v>
      </c>
      <c r="N1565" s="228">
        <f t="shared" si="167"/>
        <v>0</v>
      </c>
      <c r="O1565" s="228">
        <f t="shared" si="168"/>
        <v>0</v>
      </c>
      <c r="P1565" s="228">
        <f t="shared" si="168"/>
        <v>0</v>
      </c>
      <c r="Q1565" s="228">
        <f t="shared" si="165"/>
        <v>0</v>
      </c>
      <c r="R1565" s="343">
        <f t="shared" si="166"/>
        <v>-19</v>
      </c>
      <c r="S1565" s="240"/>
      <c r="T1565" s="201"/>
      <c r="U1565" s="201"/>
      <c r="V1565" s="201"/>
    </row>
    <row r="1566" spans="1:22" ht="15.75" x14ac:dyDescent="0.25">
      <c r="A1566" s="234" t="s">
        <v>4254</v>
      </c>
      <c r="B1566" s="235" t="s">
        <v>4255</v>
      </c>
      <c r="C1566" s="234" t="s">
        <v>9</v>
      </c>
      <c r="D1566" s="312">
        <v>1</v>
      </c>
      <c r="E1566" s="316"/>
      <c r="F1566" s="317"/>
      <c r="G1566" s="316"/>
      <c r="H1566" s="316"/>
      <c r="I1566" s="316"/>
      <c r="J1566" s="248">
        <f t="shared" si="162"/>
        <v>0</v>
      </c>
      <c r="K1566" s="330">
        <f t="shared" si="163"/>
        <v>-1</v>
      </c>
      <c r="L1566" s="318"/>
      <c r="M1566" s="228">
        <f t="shared" si="164"/>
        <v>0</v>
      </c>
      <c r="N1566" s="228">
        <f t="shared" si="167"/>
        <v>0</v>
      </c>
      <c r="O1566" s="228">
        <f t="shared" si="168"/>
        <v>0</v>
      </c>
      <c r="P1566" s="228">
        <f t="shared" si="168"/>
        <v>0</v>
      </c>
      <c r="Q1566" s="228">
        <f t="shared" si="165"/>
        <v>0</v>
      </c>
      <c r="R1566" s="343">
        <f t="shared" si="166"/>
        <v>-1</v>
      </c>
      <c r="S1566" s="240"/>
      <c r="T1566" s="201"/>
      <c r="U1566" s="201"/>
      <c r="V1566" s="201"/>
    </row>
    <row r="1567" spans="1:22" ht="15.75" x14ac:dyDescent="0.25">
      <c r="A1567" s="234" t="s">
        <v>4256</v>
      </c>
      <c r="B1567" s="235" t="s">
        <v>4257</v>
      </c>
      <c r="C1567" s="234" t="s">
        <v>9</v>
      </c>
      <c r="D1567" s="312">
        <v>5</v>
      </c>
      <c r="E1567" s="316"/>
      <c r="F1567" s="317"/>
      <c r="G1567" s="316"/>
      <c r="H1567" s="316"/>
      <c r="I1567" s="316"/>
      <c r="J1567" s="248">
        <f t="shared" si="162"/>
        <v>0</v>
      </c>
      <c r="K1567" s="330">
        <f t="shared" si="163"/>
        <v>-5</v>
      </c>
      <c r="L1567" s="318"/>
      <c r="M1567" s="228">
        <f t="shared" si="164"/>
        <v>0</v>
      </c>
      <c r="N1567" s="228">
        <f t="shared" si="167"/>
        <v>0</v>
      </c>
      <c r="O1567" s="228">
        <f t="shared" si="168"/>
        <v>0</v>
      </c>
      <c r="P1567" s="228">
        <f t="shared" si="168"/>
        <v>0</v>
      </c>
      <c r="Q1567" s="228">
        <f t="shared" si="165"/>
        <v>0</v>
      </c>
      <c r="R1567" s="343">
        <f t="shared" si="166"/>
        <v>-5</v>
      </c>
      <c r="S1567" s="240"/>
      <c r="T1567" s="201"/>
      <c r="U1567" s="201"/>
      <c r="V1567" s="201"/>
    </row>
    <row r="1568" spans="1:22" ht="15.75" x14ac:dyDescent="0.25">
      <c r="A1568" s="234" t="s">
        <v>4258</v>
      </c>
      <c r="B1568" s="235" t="s">
        <v>4163</v>
      </c>
      <c r="C1568" s="234" t="s">
        <v>9</v>
      </c>
      <c r="D1568" s="312">
        <v>8</v>
      </c>
      <c r="E1568" s="316"/>
      <c r="F1568" s="317"/>
      <c r="G1568" s="316"/>
      <c r="H1568" s="316"/>
      <c r="I1568" s="316"/>
      <c r="J1568" s="248">
        <f t="shared" si="162"/>
        <v>0</v>
      </c>
      <c r="K1568" s="330">
        <f t="shared" si="163"/>
        <v>-8</v>
      </c>
      <c r="L1568" s="318"/>
      <c r="M1568" s="228">
        <f t="shared" si="164"/>
        <v>0</v>
      </c>
      <c r="N1568" s="228">
        <f t="shared" si="167"/>
        <v>0</v>
      </c>
      <c r="O1568" s="228">
        <f t="shared" si="168"/>
        <v>0</v>
      </c>
      <c r="P1568" s="228">
        <f t="shared" si="168"/>
        <v>0</v>
      </c>
      <c r="Q1568" s="228">
        <f t="shared" si="165"/>
        <v>0</v>
      </c>
      <c r="R1568" s="343">
        <f t="shared" si="166"/>
        <v>-8</v>
      </c>
      <c r="S1568" s="240"/>
      <c r="T1568" s="201"/>
      <c r="U1568" s="201"/>
      <c r="V1568" s="201"/>
    </row>
    <row r="1569" spans="1:22" ht="15.75" x14ac:dyDescent="0.25">
      <c r="A1569" s="234" t="s">
        <v>4259</v>
      </c>
      <c r="B1569" s="235" t="s">
        <v>4165</v>
      </c>
      <c r="C1569" s="234" t="s">
        <v>9</v>
      </c>
      <c r="D1569" s="312">
        <v>2</v>
      </c>
      <c r="E1569" s="316"/>
      <c r="F1569" s="317"/>
      <c r="G1569" s="316"/>
      <c r="H1569" s="316"/>
      <c r="I1569" s="316"/>
      <c r="J1569" s="248">
        <f t="shared" si="162"/>
        <v>0</v>
      </c>
      <c r="K1569" s="330">
        <f t="shared" si="163"/>
        <v>-2</v>
      </c>
      <c r="L1569" s="318"/>
      <c r="M1569" s="228">
        <f t="shared" si="164"/>
        <v>0</v>
      </c>
      <c r="N1569" s="228">
        <f t="shared" si="167"/>
        <v>0</v>
      </c>
      <c r="O1569" s="228">
        <f t="shared" si="168"/>
        <v>0</v>
      </c>
      <c r="P1569" s="228">
        <f t="shared" si="168"/>
        <v>0</v>
      </c>
      <c r="Q1569" s="228">
        <f t="shared" si="165"/>
        <v>0</v>
      </c>
      <c r="R1569" s="343">
        <f t="shared" si="166"/>
        <v>-2</v>
      </c>
      <c r="S1569" s="240"/>
      <c r="T1569" s="201"/>
      <c r="U1569" s="201"/>
      <c r="V1569" s="201"/>
    </row>
    <row r="1570" spans="1:22" ht="15.75" x14ac:dyDescent="0.25">
      <c r="A1570" s="234" t="s">
        <v>4260</v>
      </c>
      <c r="B1570" s="235" t="s">
        <v>4167</v>
      </c>
      <c r="C1570" s="234" t="s">
        <v>9</v>
      </c>
      <c r="D1570" s="312">
        <v>3</v>
      </c>
      <c r="E1570" s="316"/>
      <c r="F1570" s="317"/>
      <c r="G1570" s="316"/>
      <c r="H1570" s="316"/>
      <c r="I1570" s="316"/>
      <c r="J1570" s="248">
        <f t="shared" si="162"/>
        <v>0</v>
      </c>
      <c r="K1570" s="330">
        <f t="shared" si="163"/>
        <v>-3</v>
      </c>
      <c r="L1570" s="318"/>
      <c r="M1570" s="228">
        <f t="shared" si="164"/>
        <v>0</v>
      </c>
      <c r="N1570" s="228">
        <f t="shared" si="167"/>
        <v>0</v>
      </c>
      <c r="O1570" s="228">
        <f t="shared" si="168"/>
        <v>0</v>
      </c>
      <c r="P1570" s="228">
        <f t="shared" si="168"/>
        <v>0</v>
      </c>
      <c r="Q1570" s="228">
        <f t="shared" si="165"/>
        <v>0</v>
      </c>
      <c r="R1570" s="343">
        <f t="shared" si="166"/>
        <v>-3</v>
      </c>
      <c r="S1570" s="240"/>
      <c r="T1570" s="201"/>
      <c r="U1570" s="201"/>
      <c r="V1570" s="201"/>
    </row>
    <row r="1571" spans="1:22" ht="15.75" x14ac:dyDescent="0.25">
      <c r="A1571" s="234" t="s">
        <v>4261</v>
      </c>
      <c r="B1571" s="235" t="s">
        <v>4169</v>
      </c>
      <c r="C1571" s="234" t="s">
        <v>9</v>
      </c>
      <c r="D1571" s="312">
        <v>3</v>
      </c>
      <c r="E1571" s="316"/>
      <c r="F1571" s="317"/>
      <c r="G1571" s="316"/>
      <c r="H1571" s="316"/>
      <c r="I1571" s="316"/>
      <c r="J1571" s="248">
        <f t="shared" si="162"/>
        <v>0</v>
      </c>
      <c r="K1571" s="330">
        <f t="shared" si="163"/>
        <v>-3</v>
      </c>
      <c r="L1571" s="318"/>
      <c r="M1571" s="228">
        <f t="shared" si="164"/>
        <v>0</v>
      </c>
      <c r="N1571" s="228">
        <f t="shared" si="167"/>
        <v>0</v>
      </c>
      <c r="O1571" s="228">
        <f t="shared" si="168"/>
        <v>0</v>
      </c>
      <c r="P1571" s="228">
        <f t="shared" si="168"/>
        <v>0</v>
      </c>
      <c r="Q1571" s="228">
        <f t="shared" si="165"/>
        <v>0</v>
      </c>
      <c r="R1571" s="343">
        <f t="shared" si="166"/>
        <v>-3</v>
      </c>
      <c r="S1571" s="240"/>
      <c r="T1571" s="201"/>
      <c r="U1571" s="201"/>
      <c r="V1571" s="201"/>
    </row>
    <row r="1572" spans="1:22" ht="15.75" x14ac:dyDescent="0.25">
      <c r="A1572" s="234" t="s">
        <v>4262</v>
      </c>
      <c r="B1572" s="235" t="s">
        <v>4263</v>
      </c>
      <c r="C1572" s="234" t="s">
        <v>9</v>
      </c>
      <c r="D1572" s="312">
        <v>7</v>
      </c>
      <c r="E1572" s="316"/>
      <c r="F1572" s="317"/>
      <c r="G1572" s="316"/>
      <c r="H1572" s="316"/>
      <c r="I1572" s="316"/>
      <c r="J1572" s="248">
        <f t="shared" si="162"/>
        <v>0</v>
      </c>
      <c r="K1572" s="330">
        <f t="shared" si="163"/>
        <v>-7</v>
      </c>
      <c r="L1572" s="318"/>
      <c r="M1572" s="228">
        <f t="shared" si="164"/>
        <v>0</v>
      </c>
      <c r="N1572" s="228">
        <f t="shared" si="167"/>
        <v>0</v>
      </c>
      <c r="O1572" s="228">
        <f t="shared" si="168"/>
        <v>0</v>
      </c>
      <c r="P1572" s="228">
        <f t="shared" si="168"/>
        <v>0</v>
      </c>
      <c r="Q1572" s="228">
        <f t="shared" si="165"/>
        <v>0</v>
      </c>
      <c r="R1572" s="343">
        <f t="shared" si="166"/>
        <v>-7</v>
      </c>
      <c r="S1572" s="240"/>
      <c r="T1572" s="201"/>
      <c r="U1572" s="201"/>
      <c r="V1572" s="201"/>
    </row>
    <row r="1573" spans="1:22" ht="15.75" x14ac:dyDescent="0.25">
      <c r="A1573" s="234" t="s">
        <v>4264</v>
      </c>
      <c r="B1573" s="235" t="s">
        <v>4265</v>
      </c>
      <c r="C1573" s="234" t="s">
        <v>9</v>
      </c>
      <c r="D1573" s="312">
        <v>2</v>
      </c>
      <c r="E1573" s="316"/>
      <c r="F1573" s="317"/>
      <c r="G1573" s="316"/>
      <c r="H1573" s="316"/>
      <c r="I1573" s="316"/>
      <c r="J1573" s="248">
        <f t="shared" si="162"/>
        <v>0</v>
      </c>
      <c r="K1573" s="330">
        <f t="shared" si="163"/>
        <v>-2</v>
      </c>
      <c r="L1573" s="318"/>
      <c r="M1573" s="228">
        <f t="shared" si="164"/>
        <v>0</v>
      </c>
      <c r="N1573" s="228">
        <f t="shared" si="167"/>
        <v>0</v>
      </c>
      <c r="O1573" s="228">
        <f t="shared" si="168"/>
        <v>0</v>
      </c>
      <c r="P1573" s="228">
        <f t="shared" si="168"/>
        <v>0</v>
      </c>
      <c r="Q1573" s="228">
        <f t="shared" si="165"/>
        <v>0</v>
      </c>
      <c r="R1573" s="343">
        <f t="shared" si="166"/>
        <v>-2</v>
      </c>
      <c r="S1573" s="240"/>
      <c r="T1573" s="201"/>
      <c r="U1573" s="201"/>
      <c r="V1573" s="201"/>
    </row>
    <row r="1574" spans="1:22" ht="15.75" x14ac:dyDescent="0.25">
      <c r="A1574" s="234" t="s">
        <v>4266</v>
      </c>
      <c r="B1574" s="235" t="s">
        <v>4179</v>
      </c>
      <c r="C1574" s="234" t="s">
        <v>9</v>
      </c>
      <c r="D1574" s="312">
        <v>4</v>
      </c>
      <c r="E1574" s="316"/>
      <c r="F1574" s="317"/>
      <c r="G1574" s="316"/>
      <c r="H1574" s="316"/>
      <c r="I1574" s="316"/>
      <c r="J1574" s="248">
        <f t="shared" si="162"/>
        <v>0</v>
      </c>
      <c r="K1574" s="330">
        <f t="shared" si="163"/>
        <v>-4</v>
      </c>
      <c r="L1574" s="318"/>
      <c r="M1574" s="228">
        <f t="shared" si="164"/>
        <v>0</v>
      </c>
      <c r="N1574" s="228">
        <f t="shared" si="167"/>
        <v>0</v>
      </c>
      <c r="O1574" s="228">
        <f t="shared" si="168"/>
        <v>0</v>
      </c>
      <c r="P1574" s="228">
        <f t="shared" si="168"/>
        <v>0</v>
      </c>
      <c r="Q1574" s="228">
        <f t="shared" si="165"/>
        <v>0</v>
      </c>
      <c r="R1574" s="343">
        <f t="shared" si="166"/>
        <v>-4</v>
      </c>
      <c r="S1574" s="240"/>
      <c r="T1574" s="201"/>
      <c r="U1574" s="201"/>
      <c r="V1574" s="201"/>
    </row>
    <row r="1575" spans="1:22" ht="15.75" x14ac:dyDescent="0.25">
      <c r="A1575" s="234" t="s">
        <v>4267</v>
      </c>
      <c r="B1575" s="235" t="s">
        <v>4181</v>
      </c>
      <c r="C1575" s="234" t="s">
        <v>9</v>
      </c>
      <c r="D1575" s="312">
        <v>6</v>
      </c>
      <c r="E1575" s="316"/>
      <c r="F1575" s="317"/>
      <c r="G1575" s="316"/>
      <c r="H1575" s="316"/>
      <c r="I1575" s="316"/>
      <c r="J1575" s="248">
        <f t="shared" ref="J1575:J1638" si="169">F1575+G1575+H1575+I1575</f>
        <v>0</v>
      </c>
      <c r="K1575" s="330">
        <f t="shared" ref="K1575:K1638" si="170">J1575-D1575</f>
        <v>-6</v>
      </c>
      <c r="L1575" s="318"/>
      <c r="M1575" s="228">
        <f t="shared" ref="M1575:M1638" si="171">F1575</f>
        <v>0</v>
      </c>
      <c r="N1575" s="228">
        <f t="shared" si="167"/>
        <v>0</v>
      </c>
      <c r="O1575" s="228">
        <f t="shared" si="168"/>
        <v>0</v>
      </c>
      <c r="P1575" s="228">
        <f t="shared" si="168"/>
        <v>0</v>
      </c>
      <c r="Q1575" s="228">
        <f t="shared" ref="Q1575:Q1638" si="172">M1575+N1575+O1575+P1575</f>
        <v>0</v>
      </c>
      <c r="R1575" s="343">
        <f t="shared" ref="R1575:R1638" si="173">Q1575-D1575</f>
        <v>-6</v>
      </c>
      <c r="S1575" s="240"/>
      <c r="T1575" s="201"/>
      <c r="U1575" s="201"/>
      <c r="V1575" s="201"/>
    </row>
    <row r="1576" spans="1:22" ht="15.75" x14ac:dyDescent="0.25">
      <c r="A1576" s="234" t="s">
        <v>4268</v>
      </c>
      <c r="B1576" s="235" t="s">
        <v>4186</v>
      </c>
      <c r="C1576" s="234" t="s">
        <v>4184</v>
      </c>
      <c r="D1576" s="312">
        <v>17</v>
      </c>
      <c r="E1576" s="316"/>
      <c r="F1576" s="317"/>
      <c r="G1576" s="316"/>
      <c r="H1576" s="316"/>
      <c r="I1576" s="316"/>
      <c r="J1576" s="248">
        <f t="shared" si="169"/>
        <v>0</v>
      </c>
      <c r="K1576" s="330">
        <f t="shared" si="170"/>
        <v>-17</v>
      </c>
      <c r="L1576" s="318"/>
      <c r="M1576" s="228">
        <f t="shared" si="171"/>
        <v>0</v>
      </c>
      <c r="N1576" s="228">
        <f t="shared" si="167"/>
        <v>0</v>
      </c>
      <c r="O1576" s="228">
        <f t="shared" si="168"/>
        <v>0</v>
      </c>
      <c r="P1576" s="228">
        <f t="shared" si="168"/>
        <v>0</v>
      </c>
      <c r="Q1576" s="228">
        <f t="shared" si="172"/>
        <v>0</v>
      </c>
      <c r="R1576" s="343">
        <f t="shared" si="173"/>
        <v>-17</v>
      </c>
      <c r="S1576" s="240"/>
      <c r="T1576" s="201"/>
      <c r="U1576" s="201"/>
      <c r="V1576" s="201"/>
    </row>
    <row r="1577" spans="1:22" ht="15.75" x14ac:dyDescent="0.25">
      <c r="A1577" s="234" t="s">
        <v>4269</v>
      </c>
      <c r="B1577" s="235" t="s">
        <v>4190</v>
      </c>
      <c r="C1577" s="234" t="s">
        <v>4184</v>
      </c>
      <c r="D1577" s="312">
        <v>3</v>
      </c>
      <c r="E1577" s="316"/>
      <c r="F1577" s="317"/>
      <c r="G1577" s="316"/>
      <c r="H1577" s="316"/>
      <c r="I1577" s="316"/>
      <c r="J1577" s="248">
        <f t="shared" si="169"/>
        <v>0</v>
      </c>
      <c r="K1577" s="330">
        <f t="shared" si="170"/>
        <v>-3</v>
      </c>
      <c r="L1577" s="318"/>
      <c r="M1577" s="228">
        <f t="shared" si="171"/>
        <v>0</v>
      </c>
      <c r="N1577" s="228">
        <f t="shared" si="167"/>
        <v>0</v>
      </c>
      <c r="O1577" s="228">
        <f t="shared" si="168"/>
        <v>0</v>
      </c>
      <c r="P1577" s="228">
        <f t="shared" si="168"/>
        <v>0</v>
      </c>
      <c r="Q1577" s="228">
        <f t="shared" si="172"/>
        <v>0</v>
      </c>
      <c r="R1577" s="343">
        <f t="shared" si="173"/>
        <v>-3</v>
      </c>
      <c r="S1577" s="240"/>
      <c r="T1577" s="201"/>
      <c r="U1577" s="201"/>
      <c r="V1577" s="201"/>
    </row>
    <row r="1578" spans="1:22" ht="15.75" x14ac:dyDescent="0.25">
      <c r="A1578" s="234" t="s">
        <v>4270</v>
      </c>
      <c r="B1578" s="235" t="s">
        <v>4271</v>
      </c>
      <c r="C1578" s="234" t="s">
        <v>14</v>
      </c>
      <c r="D1578" s="312">
        <v>0.3</v>
      </c>
      <c r="E1578" s="316"/>
      <c r="F1578" s="317"/>
      <c r="G1578" s="316"/>
      <c r="H1578" s="316"/>
      <c r="I1578" s="316"/>
      <c r="J1578" s="248">
        <f t="shared" si="169"/>
        <v>0</v>
      </c>
      <c r="K1578" s="330">
        <f t="shared" si="170"/>
        <v>-0.3</v>
      </c>
      <c r="L1578" s="318"/>
      <c r="M1578" s="228">
        <f t="shared" si="171"/>
        <v>0</v>
      </c>
      <c r="N1578" s="228">
        <f t="shared" si="167"/>
        <v>0</v>
      </c>
      <c r="O1578" s="228">
        <f t="shared" si="168"/>
        <v>0</v>
      </c>
      <c r="P1578" s="228">
        <f t="shared" si="168"/>
        <v>0</v>
      </c>
      <c r="Q1578" s="228">
        <f t="shared" si="172"/>
        <v>0</v>
      </c>
      <c r="R1578" s="343">
        <f t="shared" si="173"/>
        <v>-0.3</v>
      </c>
      <c r="S1578" s="240"/>
      <c r="T1578" s="201"/>
      <c r="U1578" s="201"/>
      <c r="V1578" s="201"/>
    </row>
    <row r="1579" spans="1:22" ht="15.75" x14ac:dyDescent="0.25">
      <c r="A1579" s="234" t="s">
        <v>4272</v>
      </c>
      <c r="B1579" s="235" t="s">
        <v>4196</v>
      </c>
      <c r="C1579" s="234" t="s">
        <v>14</v>
      </c>
      <c r="D1579" s="312">
        <v>0.12</v>
      </c>
      <c r="E1579" s="316"/>
      <c r="F1579" s="317"/>
      <c r="G1579" s="316"/>
      <c r="H1579" s="316"/>
      <c r="I1579" s="316"/>
      <c r="J1579" s="248">
        <f t="shared" si="169"/>
        <v>0</v>
      </c>
      <c r="K1579" s="330">
        <f t="shared" si="170"/>
        <v>-0.12</v>
      </c>
      <c r="L1579" s="318"/>
      <c r="M1579" s="228">
        <f t="shared" si="171"/>
        <v>0</v>
      </c>
      <c r="N1579" s="228">
        <f t="shared" si="167"/>
        <v>0</v>
      </c>
      <c r="O1579" s="228">
        <f t="shared" si="168"/>
        <v>0</v>
      </c>
      <c r="P1579" s="228">
        <f t="shared" si="168"/>
        <v>0</v>
      </c>
      <c r="Q1579" s="228">
        <f t="shared" si="172"/>
        <v>0</v>
      </c>
      <c r="R1579" s="343">
        <f t="shared" si="173"/>
        <v>-0.12</v>
      </c>
      <c r="S1579" s="240"/>
      <c r="T1579" s="201"/>
      <c r="U1579" s="201"/>
      <c r="V1579" s="201"/>
    </row>
    <row r="1580" spans="1:22" ht="15.75" x14ac:dyDescent="0.25">
      <c r="A1580" s="234" t="s">
        <v>4273</v>
      </c>
      <c r="B1580" s="235" t="s">
        <v>4198</v>
      </c>
      <c r="C1580" s="234" t="s">
        <v>14</v>
      </c>
      <c r="D1580" s="312">
        <v>0.12</v>
      </c>
      <c r="E1580" s="316"/>
      <c r="F1580" s="317"/>
      <c r="G1580" s="316"/>
      <c r="H1580" s="316"/>
      <c r="I1580" s="316"/>
      <c r="J1580" s="248">
        <f t="shared" si="169"/>
        <v>0</v>
      </c>
      <c r="K1580" s="330">
        <f t="shared" si="170"/>
        <v>-0.12</v>
      </c>
      <c r="L1580" s="318"/>
      <c r="M1580" s="228">
        <f t="shared" si="171"/>
        <v>0</v>
      </c>
      <c r="N1580" s="228">
        <f t="shared" si="167"/>
        <v>0</v>
      </c>
      <c r="O1580" s="228">
        <f t="shared" si="168"/>
        <v>0</v>
      </c>
      <c r="P1580" s="228">
        <f t="shared" si="168"/>
        <v>0</v>
      </c>
      <c r="Q1580" s="228">
        <f t="shared" si="172"/>
        <v>0</v>
      </c>
      <c r="R1580" s="343">
        <f t="shared" si="173"/>
        <v>-0.12</v>
      </c>
      <c r="S1580" s="240"/>
      <c r="T1580" s="201"/>
      <c r="U1580" s="201"/>
      <c r="V1580" s="201"/>
    </row>
    <row r="1581" spans="1:22" ht="15.75" x14ac:dyDescent="0.25">
      <c r="A1581" s="234" t="s">
        <v>4274</v>
      </c>
      <c r="B1581" s="235" t="s">
        <v>4275</v>
      </c>
      <c r="C1581" s="234" t="s">
        <v>14</v>
      </c>
      <c r="D1581" s="312">
        <v>0.02</v>
      </c>
      <c r="E1581" s="316"/>
      <c r="F1581" s="317"/>
      <c r="G1581" s="316"/>
      <c r="H1581" s="316"/>
      <c r="I1581" s="316"/>
      <c r="J1581" s="248">
        <f t="shared" si="169"/>
        <v>0</v>
      </c>
      <c r="K1581" s="330">
        <f t="shared" si="170"/>
        <v>-0.02</v>
      </c>
      <c r="L1581" s="318"/>
      <c r="M1581" s="228">
        <f t="shared" si="171"/>
        <v>0</v>
      </c>
      <c r="N1581" s="228">
        <f t="shared" si="167"/>
        <v>0</v>
      </c>
      <c r="O1581" s="228">
        <f t="shared" si="168"/>
        <v>0</v>
      </c>
      <c r="P1581" s="228">
        <f t="shared" si="168"/>
        <v>0</v>
      </c>
      <c r="Q1581" s="228">
        <f t="shared" si="172"/>
        <v>0</v>
      </c>
      <c r="R1581" s="343">
        <f t="shared" si="173"/>
        <v>-0.02</v>
      </c>
      <c r="S1581" s="240"/>
      <c r="T1581" s="201"/>
      <c r="U1581" s="201"/>
      <c r="V1581" s="201"/>
    </row>
    <row r="1582" spans="1:22" ht="15.75" x14ac:dyDescent="0.25">
      <c r="A1582" s="234" t="s">
        <v>4276</v>
      </c>
      <c r="B1582" s="235" t="s">
        <v>4200</v>
      </c>
      <c r="C1582" s="234" t="s">
        <v>14</v>
      </c>
      <c r="D1582" s="312">
        <v>0.12</v>
      </c>
      <c r="E1582" s="316"/>
      <c r="F1582" s="317"/>
      <c r="G1582" s="316"/>
      <c r="H1582" s="316"/>
      <c r="I1582" s="316"/>
      <c r="J1582" s="248">
        <f t="shared" si="169"/>
        <v>0</v>
      </c>
      <c r="K1582" s="330">
        <f t="shared" si="170"/>
        <v>-0.12</v>
      </c>
      <c r="L1582" s="318"/>
      <c r="M1582" s="228">
        <f t="shared" si="171"/>
        <v>0</v>
      </c>
      <c r="N1582" s="228">
        <f t="shared" si="167"/>
        <v>0</v>
      </c>
      <c r="O1582" s="228">
        <f t="shared" si="168"/>
        <v>0</v>
      </c>
      <c r="P1582" s="228">
        <f t="shared" si="168"/>
        <v>0</v>
      </c>
      <c r="Q1582" s="228">
        <f t="shared" si="172"/>
        <v>0</v>
      </c>
      <c r="R1582" s="343">
        <f t="shared" si="173"/>
        <v>-0.12</v>
      </c>
      <c r="S1582" s="240"/>
      <c r="T1582" s="201"/>
      <c r="U1582" s="201"/>
      <c r="V1582" s="201"/>
    </row>
    <row r="1583" spans="1:22" ht="30" customHeight="1" x14ac:dyDescent="0.25">
      <c r="A1583" s="234" t="s">
        <v>4277</v>
      </c>
      <c r="B1583" s="235" t="s">
        <v>4202</v>
      </c>
      <c r="C1583" s="234" t="s">
        <v>6</v>
      </c>
      <c r="D1583" s="312">
        <v>20</v>
      </c>
      <c r="E1583" s="316"/>
      <c r="F1583" s="317"/>
      <c r="G1583" s="316"/>
      <c r="H1583" s="316"/>
      <c r="I1583" s="316"/>
      <c r="J1583" s="248">
        <f t="shared" si="169"/>
        <v>0</v>
      </c>
      <c r="K1583" s="330">
        <f t="shared" si="170"/>
        <v>-20</v>
      </c>
      <c r="L1583" s="318"/>
      <c r="M1583" s="228">
        <f t="shared" si="171"/>
        <v>0</v>
      </c>
      <c r="N1583" s="228">
        <f t="shared" si="167"/>
        <v>0</v>
      </c>
      <c r="O1583" s="228">
        <f t="shared" si="168"/>
        <v>0</v>
      </c>
      <c r="P1583" s="228">
        <f t="shared" si="168"/>
        <v>0</v>
      </c>
      <c r="Q1583" s="228">
        <f t="shared" si="172"/>
        <v>0</v>
      </c>
      <c r="R1583" s="343">
        <f t="shared" si="173"/>
        <v>-20</v>
      </c>
      <c r="S1583" s="240"/>
      <c r="T1583" s="201"/>
      <c r="U1583" s="201"/>
      <c r="V1583" s="201"/>
    </row>
    <row r="1584" spans="1:22" ht="30" x14ac:dyDescent="0.25">
      <c r="A1584" s="234" t="s">
        <v>4278</v>
      </c>
      <c r="B1584" s="235" t="s">
        <v>4204</v>
      </c>
      <c r="C1584" s="234" t="s">
        <v>6</v>
      </c>
      <c r="D1584" s="312">
        <v>30</v>
      </c>
      <c r="E1584" s="316"/>
      <c r="F1584" s="317"/>
      <c r="G1584" s="316"/>
      <c r="H1584" s="316"/>
      <c r="I1584" s="316"/>
      <c r="J1584" s="248">
        <f t="shared" si="169"/>
        <v>0</v>
      </c>
      <c r="K1584" s="330">
        <f t="shared" si="170"/>
        <v>-30</v>
      </c>
      <c r="L1584" s="318"/>
      <c r="M1584" s="228">
        <f t="shared" si="171"/>
        <v>0</v>
      </c>
      <c r="N1584" s="228">
        <f t="shared" si="167"/>
        <v>0</v>
      </c>
      <c r="O1584" s="228">
        <f t="shared" si="168"/>
        <v>0</v>
      </c>
      <c r="P1584" s="228">
        <f t="shared" si="168"/>
        <v>0</v>
      </c>
      <c r="Q1584" s="228">
        <f t="shared" si="172"/>
        <v>0</v>
      </c>
      <c r="R1584" s="343">
        <f t="shared" si="173"/>
        <v>-30</v>
      </c>
      <c r="S1584" s="240"/>
      <c r="T1584" s="201"/>
      <c r="U1584" s="201"/>
      <c r="V1584" s="201"/>
    </row>
    <row r="1585" spans="1:22" ht="15.75" x14ac:dyDescent="0.25">
      <c r="A1585" s="234" t="s">
        <v>4279</v>
      </c>
      <c r="B1585" s="235" t="s">
        <v>4206</v>
      </c>
      <c r="C1585" s="234" t="s">
        <v>6</v>
      </c>
      <c r="D1585" s="312">
        <v>20</v>
      </c>
      <c r="E1585" s="316"/>
      <c r="F1585" s="317"/>
      <c r="G1585" s="316"/>
      <c r="H1585" s="316"/>
      <c r="I1585" s="316"/>
      <c r="J1585" s="248">
        <f t="shared" si="169"/>
        <v>0</v>
      </c>
      <c r="K1585" s="330">
        <f t="shared" si="170"/>
        <v>-20</v>
      </c>
      <c r="L1585" s="318"/>
      <c r="M1585" s="228">
        <f t="shared" si="171"/>
        <v>0</v>
      </c>
      <c r="N1585" s="228">
        <f t="shared" si="167"/>
        <v>0</v>
      </c>
      <c r="O1585" s="228">
        <f t="shared" si="168"/>
        <v>0</v>
      </c>
      <c r="P1585" s="228">
        <f t="shared" si="168"/>
        <v>0</v>
      </c>
      <c r="Q1585" s="228">
        <f t="shared" si="172"/>
        <v>0</v>
      </c>
      <c r="R1585" s="343">
        <f t="shared" si="173"/>
        <v>-20</v>
      </c>
      <c r="S1585" s="240"/>
      <c r="T1585" s="201"/>
      <c r="U1585" s="201"/>
      <c r="V1585" s="201"/>
    </row>
    <row r="1586" spans="1:22" ht="30" x14ac:dyDescent="0.25">
      <c r="A1586" s="234" t="s">
        <v>4280</v>
      </c>
      <c r="B1586" s="235" t="s">
        <v>4208</v>
      </c>
      <c r="C1586" s="234" t="s">
        <v>6</v>
      </c>
      <c r="D1586" s="312">
        <v>20</v>
      </c>
      <c r="E1586" s="316"/>
      <c r="F1586" s="317"/>
      <c r="G1586" s="316"/>
      <c r="H1586" s="316"/>
      <c r="I1586" s="316"/>
      <c r="J1586" s="248">
        <f t="shared" si="169"/>
        <v>0</v>
      </c>
      <c r="K1586" s="330">
        <f t="shared" si="170"/>
        <v>-20</v>
      </c>
      <c r="L1586" s="318"/>
      <c r="M1586" s="228">
        <f t="shared" si="171"/>
        <v>0</v>
      </c>
      <c r="N1586" s="228">
        <f t="shared" si="167"/>
        <v>0</v>
      </c>
      <c r="O1586" s="228">
        <f t="shared" si="168"/>
        <v>0</v>
      </c>
      <c r="P1586" s="228">
        <f t="shared" si="168"/>
        <v>0</v>
      </c>
      <c r="Q1586" s="228">
        <f t="shared" si="172"/>
        <v>0</v>
      </c>
      <c r="R1586" s="343">
        <f t="shared" si="173"/>
        <v>-20</v>
      </c>
      <c r="S1586" s="240"/>
      <c r="T1586" s="201"/>
      <c r="U1586" s="201"/>
      <c r="V1586" s="201"/>
    </row>
    <row r="1587" spans="1:22" ht="15.75" x14ac:dyDescent="0.25">
      <c r="A1587" s="234" t="s">
        <v>4281</v>
      </c>
      <c r="B1587" s="235" t="s">
        <v>4210</v>
      </c>
      <c r="C1587" s="234" t="s">
        <v>6</v>
      </c>
      <c r="D1587" s="312">
        <v>100</v>
      </c>
      <c r="E1587" s="316"/>
      <c r="F1587" s="317"/>
      <c r="G1587" s="316"/>
      <c r="H1587" s="316"/>
      <c r="I1587" s="316"/>
      <c r="J1587" s="248">
        <f t="shared" si="169"/>
        <v>0</v>
      </c>
      <c r="K1587" s="330">
        <f t="shared" si="170"/>
        <v>-100</v>
      </c>
      <c r="L1587" s="318"/>
      <c r="M1587" s="228">
        <f t="shared" si="171"/>
        <v>0</v>
      </c>
      <c r="N1587" s="228">
        <f t="shared" si="167"/>
        <v>0</v>
      </c>
      <c r="O1587" s="228">
        <f t="shared" si="168"/>
        <v>0</v>
      </c>
      <c r="P1587" s="228">
        <f t="shared" si="168"/>
        <v>0</v>
      </c>
      <c r="Q1587" s="228">
        <f t="shared" si="172"/>
        <v>0</v>
      </c>
      <c r="R1587" s="343">
        <f t="shared" si="173"/>
        <v>-100</v>
      </c>
      <c r="S1587" s="240"/>
      <c r="T1587" s="201"/>
      <c r="U1587" s="201"/>
      <c r="V1587" s="201"/>
    </row>
    <row r="1588" spans="1:22" ht="15.75" x14ac:dyDescent="0.25">
      <c r="A1588" s="234" t="s">
        <v>4282</v>
      </c>
      <c r="B1588" s="235" t="s">
        <v>4212</v>
      </c>
      <c r="C1588" s="234" t="s">
        <v>6</v>
      </c>
      <c r="D1588" s="312">
        <v>20</v>
      </c>
      <c r="E1588" s="316"/>
      <c r="F1588" s="317"/>
      <c r="G1588" s="316"/>
      <c r="H1588" s="316"/>
      <c r="I1588" s="316"/>
      <c r="J1588" s="248">
        <f t="shared" si="169"/>
        <v>0</v>
      </c>
      <c r="K1588" s="330">
        <f t="shared" si="170"/>
        <v>-20</v>
      </c>
      <c r="L1588" s="318"/>
      <c r="M1588" s="228">
        <f t="shared" si="171"/>
        <v>0</v>
      </c>
      <c r="N1588" s="228">
        <f t="shared" si="167"/>
        <v>0</v>
      </c>
      <c r="O1588" s="228">
        <f t="shared" si="168"/>
        <v>0</v>
      </c>
      <c r="P1588" s="228">
        <f t="shared" si="168"/>
        <v>0</v>
      </c>
      <c r="Q1588" s="228">
        <f t="shared" si="172"/>
        <v>0</v>
      </c>
      <c r="R1588" s="343">
        <f t="shared" si="173"/>
        <v>-20</v>
      </c>
      <c r="S1588" s="240"/>
      <c r="T1588" s="201"/>
      <c r="U1588" s="201"/>
      <c r="V1588" s="201"/>
    </row>
    <row r="1589" spans="1:22" ht="15.75" x14ac:dyDescent="0.25">
      <c r="A1589" s="234" t="s">
        <v>4283</v>
      </c>
      <c r="B1589" s="235" t="s">
        <v>4214</v>
      </c>
      <c r="C1589" s="234" t="s">
        <v>6</v>
      </c>
      <c r="D1589" s="312">
        <v>50</v>
      </c>
      <c r="E1589" s="316"/>
      <c r="F1589" s="317"/>
      <c r="G1589" s="316"/>
      <c r="H1589" s="316"/>
      <c r="I1589" s="316"/>
      <c r="J1589" s="248">
        <f t="shared" si="169"/>
        <v>0</v>
      </c>
      <c r="K1589" s="330">
        <f t="shared" si="170"/>
        <v>-50</v>
      </c>
      <c r="L1589" s="318"/>
      <c r="M1589" s="228">
        <f t="shared" si="171"/>
        <v>0</v>
      </c>
      <c r="N1589" s="228">
        <f t="shared" si="167"/>
        <v>0</v>
      </c>
      <c r="O1589" s="228">
        <f t="shared" si="168"/>
        <v>0</v>
      </c>
      <c r="P1589" s="228">
        <f t="shared" si="168"/>
        <v>0</v>
      </c>
      <c r="Q1589" s="228">
        <f t="shared" si="172"/>
        <v>0</v>
      </c>
      <c r="R1589" s="343">
        <f t="shared" si="173"/>
        <v>-50</v>
      </c>
      <c r="S1589" s="240"/>
      <c r="T1589" s="201"/>
      <c r="U1589" s="201"/>
      <c r="V1589" s="201"/>
    </row>
    <row r="1590" spans="1:22" ht="15.75" x14ac:dyDescent="0.25">
      <c r="A1590" s="234" t="s">
        <v>4284</v>
      </c>
      <c r="B1590" s="235" t="s">
        <v>4216</v>
      </c>
      <c r="C1590" s="234" t="s">
        <v>6</v>
      </c>
      <c r="D1590" s="312">
        <v>100</v>
      </c>
      <c r="E1590" s="316"/>
      <c r="F1590" s="317"/>
      <c r="G1590" s="316"/>
      <c r="H1590" s="316"/>
      <c r="I1590" s="316"/>
      <c r="J1590" s="248">
        <f t="shared" si="169"/>
        <v>0</v>
      </c>
      <c r="K1590" s="330">
        <f t="shared" si="170"/>
        <v>-100</v>
      </c>
      <c r="L1590" s="318"/>
      <c r="M1590" s="228">
        <f t="shared" si="171"/>
        <v>0</v>
      </c>
      <c r="N1590" s="228">
        <f t="shared" ref="N1590:N1653" si="174">G1590</f>
        <v>0</v>
      </c>
      <c r="O1590" s="228">
        <f t="shared" ref="O1590:P1653" si="175">H1590</f>
        <v>0</v>
      </c>
      <c r="P1590" s="228">
        <f t="shared" si="175"/>
        <v>0</v>
      </c>
      <c r="Q1590" s="228">
        <f t="shared" si="172"/>
        <v>0</v>
      </c>
      <c r="R1590" s="343">
        <f t="shared" si="173"/>
        <v>-100</v>
      </c>
      <c r="S1590" s="240"/>
      <c r="T1590" s="201"/>
      <c r="U1590" s="201"/>
      <c r="V1590" s="201"/>
    </row>
    <row r="1591" spans="1:22" ht="15.75" x14ac:dyDescent="0.25">
      <c r="A1591" s="234" t="s">
        <v>4285</v>
      </c>
      <c r="B1591" s="235" t="s">
        <v>4286</v>
      </c>
      <c r="C1591" s="234" t="s">
        <v>9</v>
      </c>
      <c r="D1591" s="312">
        <v>108</v>
      </c>
      <c r="E1591" s="316"/>
      <c r="F1591" s="317"/>
      <c r="G1591" s="316"/>
      <c r="H1591" s="316"/>
      <c r="I1591" s="316"/>
      <c r="J1591" s="248">
        <f t="shared" si="169"/>
        <v>0</v>
      </c>
      <c r="K1591" s="330">
        <f t="shared" si="170"/>
        <v>-108</v>
      </c>
      <c r="L1591" s="318"/>
      <c r="M1591" s="228">
        <f t="shared" si="171"/>
        <v>0</v>
      </c>
      <c r="N1591" s="228">
        <f t="shared" si="174"/>
        <v>0</v>
      </c>
      <c r="O1591" s="228">
        <f t="shared" si="175"/>
        <v>0</v>
      </c>
      <c r="P1591" s="228">
        <f t="shared" si="175"/>
        <v>0</v>
      </c>
      <c r="Q1591" s="228">
        <f t="shared" si="172"/>
        <v>0</v>
      </c>
      <c r="R1591" s="343">
        <f t="shared" si="173"/>
        <v>-108</v>
      </c>
      <c r="S1591" s="240"/>
      <c r="T1591" s="201"/>
      <c r="U1591" s="201"/>
      <c r="V1591" s="201"/>
    </row>
    <row r="1592" spans="1:22" ht="15.75" x14ac:dyDescent="0.25">
      <c r="A1592" s="234" t="s">
        <v>4287</v>
      </c>
      <c r="B1592" s="235" t="s">
        <v>4288</v>
      </c>
      <c r="C1592" s="234" t="s">
        <v>9</v>
      </c>
      <c r="D1592" s="312">
        <v>1284</v>
      </c>
      <c r="E1592" s="316"/>
      <c r="F1592" s="317"/>
      <c r="G1592" s="316"/>
      <c r="H1592" s="316"/>
      <c r="I1592" s="316"/>
      <c r="J1592" s="248">
        <f t="shared" si="169"/>
        <v>0</v>
      </c>
      <c r="K1592" s="330">
        <f t="shared" si="170"/>
        <v>-1284</v>
      </c>
      <c r="L1592" s="318"/>
      <c r="M1592" s="228">
        <f t="shared" si="171"/>
        <v>0</v>
      </c>
      <c r="N1592" s="228">
        <f t="shared" si="174"/>
        <v>0</v>
      </c>
      <c r="O1592" s="228">
        <f t="shared" si="175"/>
        <v>0</v>
      </c>
      <c r="P1592" s="228">
        <f t="shared" si="175"/>
        <v>0</v>
      </c>
      <c r="Q1592" s="228">
        <f t="shared" si="172"/>
        <v>0</v>
      </c>
      <c r="R1592" s="343">
        <f t="shared" si="173"/>
        <v>-1284</v>
      </c>
      <c r="S1592" s="240"/>
      <c r="T1592" s="201"/>
      <c r="U1592" s="201"/>
      <c r="V1592" s="201"/>
    </row>
    <row r="1593" spans="1:22" ht="15.75" x14ac:dyDescent="0.25">
      <c r="A1593" s="234" t="s">
        <v>4289</v>
      </c>
      <c r="B1593" s="235" t="s">
        <v>4290</v>
      </c>
      <c r="C1593" s="234" t="s">
        <v>9</v>
      </c>
      <c r="D1593" s="312">
        <v>1261</v>
      </c>
      <c r="E1593" s="316"/>
      <c r="F1593" s="317"/>
      <c r="G1593" s="316"/>
      <c r="H1593" s="316"/>
      <c r="I1593" s="316"/>
      <c r="J1593" s="248">
        <f t="shared" si="169"/>
        <v>0</v>
      </c>
      <c r="K1593" s="330">
        <f t="shared" si="170"/>
        <v>-1261</v>
      </c>
      <c r="L1593" s="318"/>
      <c r="M1593" s="228">
        <f t="shared" si="171"/>
        <v>0</v>
      </c>
      <c r="N1593" s="228">
        <f t="shared" si="174"/>
        <v>0</v>
      </c>
      <c r="O1593" s="228">
        <f t="shared" si="175"/>
        <v>0</v>
      </c>
      <c r="P1593" s="228">
        <f t="shared" si="175"/>
        <v>0</v>
      </c>
      <c r="Q1593" s="228">
        <f t="shared" si="172"/>
        <v>0</v>
      </c>
      <c r="R1593" s="343">
        <f t="shared" si="173"/>
        <v>-1261</v>
      </c>
      <c r="S1593" s="240"/>
      <c r="T1593" s="201"/>
      <c r="U1593" s="201"/>
      <c r="V1593" s="201"/>
    </row>
    <row r="1594" spans="1:22" ht="15.75" x14ac:dyDescent="0.25">
      <c r="A1594" s="234" t="s">
        <v>4291</v>
      </c>
      <c r="B1594" s="235" t="s">
        <v>4292</v>
      </c>
      <c r="C1594" s="234" t="s">
        <v>9</v>
      </c>
      <c r="D1594" s="312">
        <v>22</v>
      </c>
      <c r="E1594" s="316"/>
      <c r="F1594" s="317"/>
      <c r="G1594" s="316"/>
      <c r="H1594" s="316"/>
      <c r="I1594" s="316"/>
      <c r="J1594" s="248">
        <f t="shared" si="169"/>
        <v>0</v>
      </c>
      <c r="K1594" s="330">
        <f t="shared" si="170"/>
        <v>-22</v>
      </c>
      <c r="L1594" s="318"/>
      <c r="M1594" s="228">
        <f t="shared" si="171"/>
        <v>0</v>
      </c>
      <c r="N1594" s="228">
        <f t="shared" si="174"/>
        <v>0</v>
      </c>
      <c r="O1594" s="228">
        <f t="shared" si="175"/>
        <v>0</v>
      </c>
      <c r="P1594" s="228">
        <f t="shared" si="175"/>
        <v>0</v>
      </c>
      <c r="Q1594" s="228">
        <f t="shared" si="172"/>
        <v>0</v>
      </c>
      <c r="R1594" s="343">
        <f t="shared" si="173"/>
        <v>-22</v>
      </c>
      <c r="S1594" s="240"/>
      <c r="T1594" s="201"/>
      <c r="U1594" s="201"/>
      <c r="V1594" s="201"/>
    </row>
    <row r="1595" spans="1:22" ht="15.75" x14ac:dyDescent="0.25">
      <c r="A1595" s="234" t="s">
        <v>4293</v>
      </c>
      <c r="B1595" s="235" t="s">
        <v>4271</v>
      </c>
      <c r="C1595" s="234" t="s">
        <v>14</v>
      </c>
      <c r="D1595" s="312">
        <v>22.05</v>
      </c>
      <c r="E1595" s="316"/>
      <c r="F1595" s="317"/>
      <c r="G1595" s="316"/>
      <c r="H1595" s="316"/>
      <c r="I1595" s="316"/>
      <c r="J1595" s="248">
        <f t="shared" si="169"/>
        <v>0</v>
      </c>
      <c r="K1595" s="330">
        <f t="shared" si="170"/>
        <v>-22.05</v>
      </c>
      <c r="L1595" s="318"/>
      <c r="M1595" s="228">
        <f t="shared" si="171"/>
        <v>0</v>
      </c>
      <c r="N1595" s="228">
        <f t="shared" si="174"/>
        <v>0</v>
      </c>
      <c r="O1595" s="228">
        <f t="shared" si="175"/>
        <v>0</v>
      </c>
      <c r="P1595" s="228">
        <f t="shared" si="175"/>
        <v>0</v>
      </c>
      <c r="Q1595" s="228">
        <f t="shared" si="172"/>
        <v>0</v>
      </c>
      <c r="R1595" s="343">
        <f t="shared" si="173"/>
        <v>-22.05</v>
      </c>
      <c r="S1595" s="240"/>
      <c r="T1595" s="201"/>
      <c r="U1595" s="201"/>
      <c r="V1595" s="201"/>
    </row>
    <row r="1596" spans="1:22" ht="15.75" x14ac:dyDescent="0.25">
      <c r="A1596" s="234" t="s">
        <v>4294</v>
      </c>
      <c r="B1596" s="235" t="s">
        <v>4196</v>
      </c>
      <c r="C1596" s="234" t="s">
        <v>14</v>
      </c>
      <c r="D1596" s="312">
        <v>2.6</v>
      </c>
      <c r="E1596" s="316"/>
      <c r="F1596" s="317"/>
      <c r="G1596" s="316"/>
      <c r="H1596" s="316"/>
      <c r="I1596" s="316"/>
      <c r="J1596" s="248">
        <f t="shared" si="169"/>
        <v>0</v>
      </c>
      <c r="K1596" s="330">
        <f t="shared" si="170"/>
        <v>-2.6</v>
      </c>
      <c r="L1596" s="318"/>
      <c r="M1596" s="228">
        <f t="shared" si="171"/>
        <v>0</v>
      </c>
      <c r="N1596" s="228">
        <f t="shared" si="174"/>
        <v>0</v>
      </c>
      <c r="O1596" s="228">
        <f t="shared" si="175"/>
        <v>0</v>
      </c>
      <c r="P1596" s="228">
        <f t="shared" si="175"/>
        <v>0</v>
      </c>
      <c r="Q1596" s="228">
        <f t="shared" si="172"/>
        <v>0</v>
      </c>
      <c r="R1596" s="343">
        <f t="shared" si="173"/>
        <v>-2.6</v>
      </c>
      <c r="S1596" s="240"/>
      <c r="T1596" s="201"/>
      <c r="U1596" s="201"/>
      <c r="V1596" s="201"/>
    </row>
    <row r="1597" spans="1:22" ht="15.75" x14ac:dyDescent="0.25">
      <c r="A1597" s="234" t="s">
        <v>4295</v>
      </c>
      <c r="B1597" s="235" t="s">
        <v>4296</v>
      </c>
      <c r="C1597" s="234" t="s">
        <v>14</v>
      </c>
      <c r="D1597" s="312">
        <v>0.12</v>
      </c>
      <c r="E1597" s="316"/>
      <c r="F1597" s="317"/>
      <c r="G1597" s="316"/>
      <c r="H1597" s="316"/>
      <c r="I1597" s="316"/>
      <c r="J1597" s="248">
        <f t="shared" si="169"/>
        <v>0</v>
      </c>
      <c r="K1597" s="330">
        <f t="shared" si="170"/>
        <v>-0.12</v>
      </c>
      <c r="L1597" s="318"/>
      <c r="M1597" s="228">
        <f t="shared" si="171"/>
        <v>0</v>
      </c>
      <c r="N1597" s="228">
        <f t="shared" si="174"/>
        <v>0</v>
      </c>
      <c r="O1597" s="228">
        <f t="shared" si="175"/>
        <v>0</v>
      </c>
      <c r="P1597" s="228">
        <f t="shared" si="175"/>
        <v>0</v>
      </c>
      <c r="Q1597" s="228">
        <f t="shared" si="172"/>
        <v>0</v>
      </c>
      <c r="R1597" s="343">
        <f t="shared" si="173"/>
        <v>-0.12</v>
      </c>
      <c r="S1597" s="240"/>
      <c r="T1597" s="201"/>
      <c r="U1597" s="201"/>
      <c r="V1597" s="201"/>
    </row>
    <row r="1598" spans="1:22" ht="15.75" x14ac:dyDescent="0.25">
      <c r="A1598" s="234" t="s">
        <v>4297</v>
      </c>
      <c r="B1598" s="235" t="s">
        <v>4198</v>
      </c>
      <c r="C1598" s="234" t="s">
        <v>14</v>
      </c>
      <c r="D1598" s="312">
        <v>13.016</v>
      </c>
      <c r="E1598" s="316"/>
      <c r="F1598" s="317"/>
      <c r="G1598" s="316"/>
      <c r="H1598" s="316"/>
      <c r="I1598" s="316"/>
      <c r="J1598" s="248">
        <f t="shared" si="169"/>
        <v>0</v>
      </c>
      <c r="K1598" s="330">
        <f t="shared" si="170"/>
        <v>-13.016</v>
      </c>
      <c r="L1598" s="318"/>
      <c r="M1598" s="228">
        <f t="shared" si="171"/>
        <v>0</v>
      </c>
      <c r="N1598" s="228">
        <f t="shared" si="174"/>
        <v>0</v>
      </c>
      <c r="O1598" s="228">
        <f t="shared" si="175"/>
        <v>0</v>
      </c>
      <c r="P1598" s="228">
        <f t="shared" si="175"/>
        <v>0</v>
      </c>
      <c r="Q1598" s="228">
        <f t="shared" si="172"/>
        <v>0</v>
      </c>
      <c r="R1598" s="343">
        <f t="shared" si="173"/>
        <v>-13.016</v>
      </c>
      <c r="S1598" s="240"/>
      <c r="T1598" s="201"/>
      <c r="U1598" s="201"/>
      <c r="V1598" s="201"/>
    </row>
    <row r="1599" spans="1:22" ht="15.75" x14ac:dyDescent="0.25">
      <c r="A1599" s="234" t="s">
        <v>4298</v>
      </c>
      <c r="B1599" s="235" t="s">
        <v>4299</v>
      </c>
      <c r="C1599" s="234" t="s">
        <v>14</v>
      </c>
      <c r="D1599" s="312">
        <v>15.006</v>
      </c>
      <c r="E1599" s="316"/>
      <c r="F1599" s="317"/>
      <c r="G1599" s="316"/>
      <c r="H1599" s="316"/>
      <c r="I1599" s="316"/>
      <c r="J1599" s="248">
        <f t="shared" si="169"/>
        <v>0</v>
      </c>
      <c r="K1599" s="330">
        <f t="shared" si="170"/>
        <v>-15.006</v>
      </c>
      <c r="L1599" s="318"/>
      <c r="M1599" s="228">
        <f t="shared" si="171"/>
        <v>0</v>
      </c>
      <c r="N1599" s="228">
        <f t="shared" si="174"/>
        <v>0</v>
      </c>
      <c r="O1599" s="228">
        <f t="shared" si="175"/>
        <v>0</v>
      </c>
      <c r="P1599" s="228">
        <f t="shared" si="175"/>
        <v>0</v>
      </c>
      <c r="Q1599" s="228">
        <f t="shared" si="172"/>
        <v>0</v>
      </c>
      <c r="R1599" s="343">
        <f t="shared" si="173"/>
        <v>-15.006</v>
      </c>
      <c r="S1599" s="240"/>
      <c r="T1599" s="201"/>
      <c r="U1599" s="201"/>
      <c r="V1599" s="201"/>
    </row>
    <row r="1600" spans="1:22" ht="15.75" x14ac:dyDescent="0.25">
      <c r="A1600" s="234" t="s">
        <v>4300</v>
      </c>
      <c r="B1600" s="235" t="s">
        <v>4275</v>
      </c>
      <c r="C1600" s="234" t="s">
        <v>14</v>
      </c>
      <c r="D1600" s="312">
        <v>18.257999999999999</v>
      </c>
      <c r="E1600" s="316"/>
      <c r="F1600" s="317"/>
      <c r="G1600" s="316"/>
      <c r="H1600" s="316"/>
      <c r="I1600" s="316"/>
      <c r="J1600" s="248">
        <f t="shared" si="169"/>
        <v>0</v>
      </c>
      <c r="K1600" s="330">
        <f t="shared" si="170"/>
        <v>-18.257999999999999</v>
      </c>
      <c r="L1600" s="318"/>
      <c r="M1600" s="228">
        <f t="shared" si="171"/>
        <v>0</v>
      </c>
      <c r="N1600" s="228">
        <f t="shared" si="174"/>
        <v>0</v>
      </c>
      <c r="O1600" s="228">
        <f t="shared" si="175"/>
        <v>0</v>
      </c>
      <c r="P1600" s="228">
        <f t="shared" si="175"/>
        <v>0</v>
      </c>
      <c r="Q1600" s="228">
        <f t="shared" si="172"/>
        <v>0</v>
      </c>
      <c r="R1600" s="343">
        <f t="shared" si="173"/>
        <v>-18.257999999999999</v>
      </c>
      <c r="S1600" s="240"/>
      <c r="T1600" s="201"/>
      <c r="U1600" s="201"/>
      <c r="V1600" s="201"/>
    </row>
    <row r="1601" spans="1:22" ht="15.75" x14ac:dyDescent="0.25">
      <c r="A1601" s="234" t="s">
        <v>4301</v>
      </c>
      <c r="B1601" s="235" t="s">
        <v>4200</v>
      </c>
      <c r="C1601" s="234" t="s">
        <v>14</v>
      </c>
      <c r="D1601" s="312">
        <v>10.5</v>
      </c>
      <c r="E1601" s="316"/>
      <c r="F1601" s="317"/>
      <c r="G1601" s="316"/>
      <c r="H1601" s="316"/>
      <c r="I1601" s="316"/>
      <c r="J1601" s="248">
        <f t="shared" si="169"/>
        <v>0</v>
      </c>
      <c r="K1601" s="330">
        <f t="shared" si="170"/>
        <v>-10.5</v>
      </c>
      <c r="L1601" s="318"/>
      <c r="M1601" s="228">
        <f t="shared" si="171"/>
        <v>0</v>
      </c>
      <c r="N1601" s="228">
        <f t="shared" si="174"/>
        <v>0</v>
      </c>
      <c r="O1601" s="228">
        <f t="shared" si="175"/>
        <v>0</v>
      </c>
      <c r="P1601" s="228">
        <f t="shared" si="175"/>
        <v>0</v>
      </c>
      <c r="Q1601" s="228">
        <f t="shared" si="172"/>
        <v>0</v>
      </c>
      <c r="R1601" s="343">
        <f t="shared" si="173"/>
        <v>-10.5</v>
      </c>
      <c r="S1601" s="240"/>
      <c r="T1601" s="201"/>
      <c r="U1601" s="201"/>
      <c r="V1601" s="201"/>
    </row>
    <row r="1602" spans="1:22" ht="15.75" x14ac:dyDescent="0.25">
      <c r="A1602" s="234" t="s">
        <v>4302</v>
      </c>
      <c r="B1602" s="235" t="s">
        <v>4303</v>
      </c>
      <c r="C1602" s="234" t="s">
        <v>9</v>
      </c>
      <c r="D1602" s="312">
        <v>208</v>
      </c>
      <c r="E1602" s="316"/>
      <c r="F1602" s="317"/>
      <c r="G1602" s="316"/>
      <c r="H1602" s="316"/>
      <c r="I1602" s="316"/>
      <c r="J1602" s="248">
        <f t="shared" si="169"/>
        <v>0</v>
      </c>
      <c r="K1602" s="330">
        <f t="shared" si="170"/>
        <v>-208</v>
      </c>
      <c r="L1602" s="318"/>
      <c r="M1602" s="228">
        <f t="shared" si="171"/>
        <v>0</v>
      </c>
      <c r="N1602" s="228">
        <f t="shared" si="174"/>
        <v>0</v>
      </c>
      <c r="O1602" s="228">
        <f t="shared" si="175"/>
        <v>0</v>
      </c>
      <c r="P1602" s="228">
        <f t="shared" si="175"/>
        <v>0</v>
      </c>
      <c r="Q1602" s="228">
        <f t="shared" si="172"/>
        <v>0</v>
      </c>
      <c r="R1602" s="343">
        <f t="shared" si="173"/>
        <v>-208</v>
      </c>
      <c r="S1602" s="240"/>
      <c r="T1602" s="201"/>
      <c r="U1602" s="201"/>
      <c r="V1602" s="201"/>
    </row>
    <row r="1603" spans="1:22" ht="15.75" x14ac:dyDescent="0.25">
      <c r="A1603" s="234" t="s">
        <v>4304</v>
      </c>
      <c r="B1603" s="235" t="s">
        <v>4305</v>
      </c>
      <c r="C1603" s="234" t="s">
        <v>9</v>
      </c>
      <c r="D1603" s="312">
        <v>17</v>
      </c>
      <c r="E1603" s="316"/>
      <c r="F1603" s="317"/>
      <c r="G1603" s="316"/>
      <c r="H1603" s="316"/>
      <c r="I1603" s="316"/>
      <c r="J1603" s="248">
        <f t="shared" si="169"/>
        <v>0</v>
      </c>
      <c r="K1603" s="330">
        <f t="shared" si="170"/>
        <v>-17</v>
      </c>
      <c r="L1603" s="318"/>
      <c r="M1603" s="228">
        <f t="shared" si="171"/>
        <v>0</v>
      </c>
      <c r="N1603" s="228">
        <f t="shared" si="174"/>
        <v>0</v>
      </c>
      <c r="O1603" s="228">
        <f t="shared" si="175"/>
        <v>0</v>
      </c>
      <c r="P1603" s="228">
        <f t="shared" si="175"/>
        <v>0</v>
      </c>
      <c r="Q1603" s="228">
        <f t="shared" si="172"/>
        <v>0</v>
      </c>
      <c r="R1603" s="343">
        <f t="shared" si="173"/>
        <v>-17</v>
      </c>
      <c r="S1603" s="240"/>
      <c r="T1603" s="201"/>
      <c r="U1603" s="201"/>
      <c r="V1603" s="201"/>
    </row>
    <row r="1604" spans="1:22" ht="15.75" x14ac:dyDescent="0.25">
      <c r="A1604" s="234" t="s">
        <v>4306</v>
      </c>
      <c r="B1604" s="235" t="s">
        <v>4307</v>
      </c>
      <c r="C1604" s="234" t="s">
        <v>9</v>
      </c>
      <c r="D1604" s="312">
        <v>59</v>
      </c>
      <c r="E1604" s="316"/>
      <c r="F1604" s="317"/>
      <c r="G1604" s="316"/>
      <c r="H1604" s="316"/>
      <c r="I1604" s="316"/>
      <c r="J1604" s="248">
        <f t="shared" si="169"/>
        <v>0</v>
      </c>
      <c r="K1604" s="330">
        <f t="shared" si="170"/>
        <v>-59</v>
      </c>
      <c r="L1604" s="318"/>
      <c r="M1604" s="228">
        <f t="shared" si="171"/>
        <v>0</v>
      </c>
      <c r="N1604" s="228">
        <f t="shared" si="174"/>
        <v>0</v>
      </c>
      <c r="O1604" s="228">
        <f t="shared" si="175"/>
        <v>0</v>
      </c>
      <c r="P1604" s="228">
        <f t="shared" si="175"/>
        <v>0</v>
      </c>
      <c r="Q1604" s="228">
        <f t="shared" si="172"/>
        <v>0</v>
      </c>
      <c r="R1604" s="343">
        <f t="shared" si="173"/>
        <v>-59</v>
      </c>
      <c r="S1604" s="240"/>
      <c r="T1604" s="201"/>
      <c r="U1604" s="201"/>
      <c r="V1604" s="201"/>
    </row>
    <row r="1605" spans="1:22" ht="15.75" x14ac:dyDescent="0.25">
      <c r="A1605" s="234" t="s">
        <v>4308</v>
      </c>
      <c r="B1605" s="235" t="s">
        <v>4309</v>
      </c>
      <c r="C1605" s="234" t="s">
        <v>9</v>
      </c>
      <c r="D1605" s="312">
        <v>299</v>
      </c>
      <c r="E1605" s="316"/>
      <c r="F1605" s="317"/>
      <c r="G1605" s="316"/>
      <c r="H1605" s="316"/>
      <c r="I1605" s="316"/>
      <c r="J1605" s="248">
        <f t="shared" si="169"/>
        <v>0</v>
      </c>
      <c r="K1605" s="330">
        <f t="shared" si="170"/>
        <v>-299</v>
      </c>
      <c r="L1605" s="318"/>
      <c r="M1605" s="228">
        <f t="shared" si="171"/>
        <v>0</v>
      </c>
      <c r="N1605" s="228">
        <f t="shared" si="174"/>
        <v>0</v>
      </c>
      <c r="O1605" s="228">
        <f t="shared" si="175"/>
        <v>0</v>
      </c>
      <c r="P1605" s="228">
        <f t="shared" si="175"/>
        <v>0</v>
      </c>
      <c r="Q1605" s="228">
        <f t="shared" si="172"/>
        <v>0</v>
      </c>
      <c r="R1605" s="343">
        <f t="shared" si="173"/>
        <v>-299</v>
      </c>
      <c r="S1605" s="240"/>
      <c r="T1605" s="201"/>
      <c r="U1605" s="201"/>
      <c r="V1605" s="201"/>
    </row>
    <row r="1606" spans="1:22" ht="15.75" x14ac:dyDescent="0.25">
      <c r="A1606" s="234" t="s">
        <v>4310</v>
      </c>
      <c r="B1606" s="235" t="s">
        <v>4311</v>
      </c>
      <c r="C1606" s="234" t="s">
        <v>9</v>
      </c>
      <c r="D1606" s="312">
        <v>140</v>
      </c>
      <c r="E1606" s="316"/>
      <c r="F1606" s="317"/>
      <c r="G1606" s="316"/>
      <c r="H1606" s="316"/>
      <c r="I1606" s="316"/>
      <c r="J1606" s="248">
        <f t="shared" si="169"/>
        <v>0</v>
      </c>
      <c r="K1606" s="330">
        <f t="shared" si="170"/>
        <v>-140</v>
      </c>
      <c r="L1606" s="318"/>
      <c r="M1606" s="228">
        <f t="shared" si="171"/>
        <v>0</v>
      </c>
      <c r="N1606" s="228">
        <f t="shared" si="174"/>
        <v>0</v>
      </c>
      <c r="O1606" s="228">
        <f t="shared" si="175"/>
        <v>0</v>
      </c>
      <c r="P1606" s="228">
        <f t="shared" si="175"/>
        <v>0</v>
      </c>
      <c r="Q1606" s="228">
        <f t="shared" si="172"/>
        <v>0</v>
      </c>
      <c r="R1606" s="343">
        <f t="shared" si="173"/>
        <v>-140</v>
      </c>
      <c r="S1606" s="240"/>
      <c r="T1606" s="201"/>
      <c r="U1606" s="201"/>
      <c r="V1606" s="201"/>
    </row>
    <row r="1607" spans="1:22" ht="15.75" x14ac:dyDescent="0.25">
      <c r="A1607" s="234" t="s">
        <v>4312</v>
      </c>
      <c r="B1607" s="235" t="s">
        <v>4313</v>
      </c>
      <c r="C1607" s="234" t="s">
        <v>9</v>
      </c>
      <c r="D1607" s="312">
        <v>1199</v>
      </c>
      <c r="E1607" s="316"/>
      <c r="F1607" s="317"/>
      <c r="G1607" s="316"/>
      <c r="H1607" s="316"/>
      <c r="I1607" s="316"/>
      <c r="J1607" s="248">
        <f t="shared" si="169"/>
        <v>0</v>
      </c>
      <c r="K1607" s="330">
        <f t="shared" si="170"/>
        <v>-1199</v>
      </c>
      <c r="L1607" s="318"/>
      <c r="M1607" s="228">
        <f t="shared" si="171"/>
        <v>0</v>
      </c>
      <c r="N1607" s="228">
        <f t="shared" si="174"/>
        <v>0</v>
      </c>
      <c r="O1607" s="228">
        <f t="shared" si="175"/>
        <v>0</v>
      </c>
      <c r="P1607" s="228">
        <f t="shared" si="175"/>
        <v>0</v>
      </c>
      <c r="Q1607" s="228">
        <f t="shared" si="172"/>
        <v>0</v>
      </c>
      <c r="R1607" s="343">
        <f t="shared" si="173"/>
        <v>-1199</v>
      </c>
      <c r="S1607" s="240"/>
      <c r="T1607" s="201"/>
      <c r="U1607" s="201"/>
      <c r="V1607" s="201"/>
    </row>
    <row r="1608" spans="1:22" ht="15.75" x14ac:dyDescent="0.25">
      <c r="A1608" s="234" t="s">
        <v>4314</v>
      </c>
      <c r="B1608" s="235" t="s">
        <v>4315</v>
      </c>
      <c r="C1608" s="234" t="s">
        <v>9</v>
      </c>
      <c r="D1608" s="312">
        <v>109</v>
      </c>
      <c r="E1608" s="316"/>
      <c r="F1608" s="317"/>
      <c r="G1608" s="316"/>
      <c r="H1608" s="316"/>
      <c r="I1608" s="316"/>
      <c r="J1608" s="248">
        <f t="shared" si="169"/>
        <v>0</v>
      </c>
      <c r="K1608" s="330">
        <f t="shared" si="170"/>
        <v>-109</v>
      </c>
      <c r="L1608" s="318"/>
      <c r="M1608" s="228">
        <f t="shared" si="171"/>
        <v>0</v>
      </c>
      <c r="N1608" s="228">
        <f t="shared" si="174"/>
        <v>0</v>
      </c>
      <c r="O1608" s="228">
        <f t="shared" si="175"/>
        <v>0</v>
      </c>
      <c r="P1608" s="228">
        <f t="shared" si="175"/>
        <v>0</v>
      </c>
      <c r="Q1608" s="228">
        <f t="shared" si="172"/>
        <v>0</v>
      </c>
      <c r="R1608" s="343">
        <f t="shared" si="173"/>
        <v>-109</v>
      </c>
      <c r="S1608" s="240"/>
      <c r="T1608" s="201"/>
      <c r="U1608" s="201"/>
      <c r="V1608" s="201"/>
    </row>
    <row r="1609" spans="1:22" ht="15.75" x14ac:dyDescent="0.25">
      <c r="A1609" s="234" t="s">
        <v>4316</v>
      </c>
      <c r="B1609" s="235" t="s">
        <v>4317</v>
      </c>
      <c r="C1609" s="234" t="s">
        <v>9</v>
      </c>
      <c r="D1609" s="312">
        <v>1690</v>
      </c>
      <c r="E1609" s="316"/>
      <c r="F1609" s="317"/>
      <c r="G1609" s="316"/>
      <c r="H1609" s="316"/>
      <c r="I1609" s="316"/>
      <c r="J1609" s="248">
        <f t="shared" si="169"/>
        <v>0</v>
      </c>
      <c r="K1609" s="330">
        <f t="shared" si="170"/>
        <v>-1690</v>
      </c>
      <c r="L1609" s="318"/>
      <c r="M1609" s="228">
        <f t="shared" si="171"/>
        <v>0</v>
      </c>
      <c r="N1609" s="228">
        <f t="shared" si="174"/>
        <v>0</v>
      </c>
      <c r="O1609" s="228">
        <f t="shared" si="175"/>
        <v>0</v>
      </c>
      <c r="P1609" s="228">
        <f t="shared" si="175"/>
        <v>0</v>
      </c>
      <c r="Q1609" s="228">
        <f t="shared" si="172"/>
        <v>0</v>
      </c>
      <c r="R1609" s="343">
        <f t="shared" si="173"/>
        <v>-1690</v>
      </c>
      <c r="S1609" s="240"/>
      <c r="T1609" s="201"/>
      <c r="U1609" s="201"/>
      <c r="V1609" s="201"/>
    </row>
    <row r="1610" spans="1:22" ht="15.75" x14ac:dyDescent="0.25">
      <c r="A1610" s="234" t="s">
        <v>4318</v>
      </c>
      <c r="B1610" s="235" t="s">
        <v>4319</v>
      </c>
      <c r="C1610" s="234" t="s">
        <v>9</v>
      </c>
      <c r="D1610" s="312">
        <v>156</v>
      </c>
      <c r="E1610" s="316"/>
      <c r="F1610" s="317"/>
      <c r="G1610" s="316"/>
      <c r="H1610" s="316"/>
      <c r="I1610" s="316"/>
      <c r="J1610" s="248">
        <f t="shared" si="169"/>
        <v>0</v>
      </c>
      <c r="K1610" s="330">
        <f t="shared" si="170"/>
        <v>-156</v>
      </c>
      <c r="L1610" s="318"/>
      <c r="M1610" s="228">
        <f t="shared" si="171"/>
        <v>0</v>
      </c>
      <c r="N1610" s="228">
        <f t="shared" si="174"/>
        <v>0</v>
      </c>
      <c r="O1610" s="228">
        <f t="shared" si="175"/>
        <v>0</v>
      </c>
      <c r="P1610" s="228">
        <f t="shared" si="175"/>
        <v>0</v>
      </c>
      <c r="Q1610" s="228">
        <f t="shared" si="172"/>
        <v>0</v>
      </c>
      <c r="R1610" s="343">
        <f t="shared" si="173"/>
        <v>-156</v>
      </c>
      <c r="S1610" s="240"/>
      <c r="T1610" s="201"/>
      <c r="U1610" s="201"/>
      <c r="V1610" s="201"/>
    </row>
    <row r="1611" spans="1:22" ht="15.75" x14ac:dyDescent="0.25">
      <c r="A1611" s="234" t="s">
        <v>4320</v>
      </c>
      <c r="B1611" s="235" t="s">
        <v>4321</v>
      </c>
      <c r="C1611" s="234" t="s">
        <v>9</v>
      </c>
      <c r="D1611" s="312">
        <v>6</v>
      </c>
      <c r="E1611" s="316"/>
      <c r="F1611" s="317"/>
      <c r="G1611" s="316"/>
      <c r="H1611" s="316"/>
      <c r="I1611" s="316"/>
      <c r="J1611" s="248">
        <f t="shared" si="169"/>
        <v>0</v>
      </c>
      <c r="K1611" s="330">
        <f t="shared" si="170"/>
        <v>-6</v>
      </c>
      <c r="L1611" s="318"/>
      <c r="M1611" s="228">
        <f t="shared" si="171"/>
        <v>0</v>
      </c>
      <c r="N1611" s="228">
        <f t="shared" si="174"/>
        <v>0</v>
      </c>
      <c r="O1611" s="228">
        <f t="shared" si="175"/>
        <v>0</v>
      </c>
      <c r="P1611" s="228">
        <f t="shared" si="175"/>
        <v>0</v>
      </c>
      <c r="Q1611" s="228">
        <f t="shared" si="172"/>
        <v>0</v>
      </c>
      <c r="R1611" s="343">
        <f t="shared" si="173"/>
        <v>-6</v>
      </c>
      <c r="S1611" s="240"/>
      <c r="T1611" s="201"/>
      <c r="U1611" s="201"/>
      <c r="V1611" s="201"/>
    </row>
    <row r="1612" spans="1:22" ht="15.75" x14ac:dyDescent="0.25">
      <c r="A1612" s="234" t="s">
        <v>4322</v>
      </c>
      <c r="B1612" s="235" t="s">
        <v>4323</v>
      </c>
      <c r="C1612" s="234" t="s">
        <v>9</v>
      </c>
      <c r="D1612" s="312">
        <v>377</v>
      </c>
      <c r="E1612" s="316"/>
      <c r="F1612" s="317"/>
      <c r="G1612" s="316"/>
      <c r="H1612" s="316"/>
      <c r="I1612" s="316"/>
      <c r="J1612" s="248">
        <f t="shared" si="169"/>
        <v>0</v>
      </c>
      <c r="K1612" s="330">
        <f t="shared" si="170"/>
        <v>-377</v>
      </c>
      <c r="L1612" s="318"/>
      <c r="M1612" s="228">
        <f t="shared" si="171"/>
        <v>0</v>
      </c>
      <c r="N1612" s="228">
        <f t="shared" si="174"/>
        <v>0</v>
      </c>
      <c r="O1612" s="228">
        <f t="shared" si="175"/>
        <v>0</v>
      </c>
      <c r="P1612" s="228">
        <f t="shared" si="175"/>
        <v>0</v>
      </c>
      <c r="Q1612" s="228">
        <f t="shared" si="172"/>
        <v>0</v>
      </c>
      <c r="R1612" s="343">
        <f t="shared" si="173"/>
        <v>-377</v>
      </c>
      <c r="S1612" s="240"/>
      <c r="T1612" s="201"/>
      <c r="U1612" s="201"/>
      <c r="V1612" s="201"/>
    </row>
    <row r="1613" spans="1:22" ht="15.75" x14ac:dyDescent="0.25">
      <c r="A1613" s="234" t="s">
        <v>4324</v>
      </c>
      <c r="B1613" s="235" t="s">
        <v>4325</v>
      </c>
      <c r="C1613" s="234" t="s">
        <v>9</v>
      </c>
      <c r="D1613" s="312">
        <v>1</v>
      </c>
      <c r="E1613" s="316"/>
      <c r="F1613" s="317"/>
      <c r="G1613" s="316"/>
      <c r="H1613" s="316"/>
      <c r="I1613" s="316"/>
      <c r="J1613" s="248">
        <f t="shared" si="169"/>
        <v>0</v>
      </c>
      <c r="K1613" s="330">
        <f t="shared" si="170"/>
        <v>-1</v>
      </c>
      <c r="L1613" s="318"/>
      <c r="M1613" s="228">
        <f t="shared" si="171"/>
        <v>0</v>
      </c>
      <c r="N1613" s="228">
        <f t="shared" si="174"/>
        <v>0</v>
      </c>
      <c r="O1613" s="228">
        <f t="shared" si="175"/>
        <v>0</v>
      </c>
      <c r="P1613" s="228">
        <f t="shared" si="175"/>
        <v>0</v>
      </c>
      <c r="Q1613" s="228">
        <f t="shared" si="172"/>
        <v>0</v>
      </c>
      <c r="R1613" s="343">
        <f t="shared" si="173"/>
        <v>-1</v>
      </c>
      <c r="S1613" s="240"/>
      <c r="T1613" s="201"/>
      <c r="U1613" s="201"/>
      <c r="V1613" s="201"/>
    </row>
    <row r="1614" spans="1:22" ht="15.75" x14ac:dyDescent="0.25">
      <c r="A1614" s="234" t="s">
        <v>4326</v>
      </c>
      <c r="B1614" s="235" t="s">
        <v>4327</v>
      </c>
      <c r="C1614" s="234" t="s">
        <v>9</v>
      </c>
      <c r="D1614" s="312">
        <v>14</v>
      </c>
      <c r="E1614" s="316"/>
      <c r="F1614" s="317"/>
      <c r="G1614" s="316"/>
      <c r="H1614" s="316"/>
      <c r="I1614" s="316"/>
      <c r="J1614" s="248">
        <f t="shared" si="169"/>
        <v>0</v>
      </c>
      <c r="K1614" s="330">
        <f t="shared" si="170"/>
        <v>-14</v>
      </c>
      <c r="L1614" s="318"/>
      <c r="M1614" s="228">
        <f t="shared" si="171"/>
        <v>0</v>
      </c>
      <c r="N1614" s="228">
        <f t="shared" si="174"/>
        <v>0</v>
      </c>
      <c r="O1614" s="228">
        <f t="shared" si="175"/>
        <v>0</v>
      </c>
      <c r="P1614" s="228">
        <f t="shared" si="175"/>
        <v>0</v>
      </c>
      <c r="Q1614" s="228">
        <f t="shared" si="172"/>
        <v>0</v>
      </c>
      <c r="R1614" s="343">
        <f t="shared" si="173"/>
        <v>-14</v>
      </c>
      <c r="S1614" s="240"/>
      <c r="T1614" s="201"/>
      <c r="U1614" s="201"/>
      <c r="V1614" s="201"/>
    </row>
    <row r="1615" spans="1:22" ht="15.75" x14ac:dyDescent="0.25">
      <c r="A1615" s="234" t="s">
        <v>4328</v>
      </c>
      <c r="B1615" s="235" t="s">
        <v>4329</v>
      </c>
      <c r="C1615" s="234" t="s">
        <v>9</v>
      </c>
      <c r="D1615" s="312">
        <v>353</v>
      </c>
      <c r="E1615" s="316"/>
      <c r="F1615" s="317"/>
      <c r="G1615" s="316"/>
      <c r="H1615" s="316"/>
      <c r="I1615" s="316"/>
      <c r="J1615" s="248">
        <f t="shared" si="169"/>
        <v>0</v>
      </c>
      <c r="K1615" s="330">
        <f t="shared" si="170"/>
        <v>-353</v>
      </c>
      <c r="L1615" s="318"/>
      <c r="M1615" s="228">
        <f t="shared" si="171"/>
        <v>0</v>
      </c>
      <c r="N1615" s="228">
        <f t="shared" si="174"/>
        <v>0</v>
      </c>
      <c r="O1615" s="228">
        <f t="shared" si="175"/>
        <v>0</v>
      </c>
      <c r="P1615" s="228">
        <f t="shared" si="175"/>
        <v>0</v>
      </c>
      <c r="Q1615" s="228">
        <f t="shared" si="172"/>
        <v>0</v>
      </c>
      <c r="R1615" s="343">
        <f t="shared" si="173"/>
        <v>-353</v>
      </c>
      <c r="S1615" s="240"/>
      <c r="T1615" s="201"/>
      <c r="U1615" s="201"/>
      <c r="V1615" s="201"/>
    </row>
    <row r="1616" spans="1:22" ht="15.75" x14ac:dyDescent="0.25">
      <c r="A1616" s="234" t="s">
        <v>4330</v>
      </c>
      <c r="B1616" s="235" t="s">
        <v>4331</v>
      </c>
      <c r="C1616" s="234" t="s">
        <v>9</v>
      </c>
      <c r="D1616" s="312">
        <v>507</v>
      </c>
      <c r="E1616" s="316"/>
      <c r="F1616" s="317"/>
      <c r="G1616" s="316"/>
      <c r="H1616" s="316"/>
      <c r="I1616" s="316"/>
      <c r="J1616" s="248">
        <f t="shared" si="169"/>
        <v>0</v>
      </c>
      <c r="K1616" s="330">
        <f t="shared" si="170"/>
        <v>-507</v>
      </c>
      <c r="L1616" s="318"/>
      <c r="M1616" s="228">
        <f t="shared" si="171"/>
        <v>0</v>
      </c>
      <c r="N1616" s="228">
        <f t="shared" si="174"/>
        <v>0</v>
      </c>
      <c r="O1616" s="228">
        <f t="shared" si="175"/>
        <v>0</v>
      </c>
      <c r="P1616" s="228">
        <f t="shared" si="175"/>
        <v>0</v>
      </c>
      <c r="Q1616" s="228">
        <f t="shared" si="172"/>
        <v>0</v>
      </c>
      <c r="R1616" s="343">
        <f t="shared" si="173"/>
        <v>-507</v>
      </c>
      <c r="S1616" s="240"/>
      <c r="T1616" s="201"/>
      <c r="U1616" s="201"/>
      <c r="V1616" s="201"/>
    </row>
    <row r="1617" spans="1:22" ht="15.75" x14ac:dyDescent="0.25">
      <c r="A1617" s="234" t="s">
        <v>4332</v>
      </c>
      <c r="B1617" s="235" t="s">
        <v>4333</v>
      </c>
      <c r="C1617" s="234" t="s">
        <v>9</v>
      </c>
      <c r="D1617" s="312">
        <v>38</v>
      </c>
      <c r="E1617" s="316"/>
      <c r="F1617" s="317"/>
      <c r="G1617" s="316"/>
      <c r="H1617" s="316"/>
      <c r="I1617" s="316"/>
      <c r="J1617" s="248">
        <f t="shared" si="169"/>
        <v>0</v>
      </c>
      <c r="K1617" s="330">
        <f t="shared" si="170"/>
        <v>-38</v>
      </c>
      <c r="L1617" s="318"/>
      <c r="M1617" s="228">
        <f t="shared" si="171"/>
        <v>0</v>
      </c>
      <c r="N1617" s="228">
        <f t="shared" si="174"/>
        <v>0</v>
      </c>
      <c r="O1617" s="228">
        <f t="shared" si="175"/>
        <v>0</v>
      </c>
      <c r="P1617" s="228">
        <f t="shared" si="175"/>
        <v>0</v>
      </c>
      <c r="Q1617" s="228">
        <f t="shared" si="172"/>
        <v>0</v>
      </c>
      <c r="R1617" s="343">
        <f t="shared" si="173"/>
        <v>-38</v>
      </c>
      <c r="S1617" s="240"/>
      <c r="T1617" s="201"/>
      <c r="U1617" s="201"/>
      <c r="V1617" s="201"/>
    </row>
    <row r="1618" spans="1:22" ht="15.75" x14ac:dyDescent="0.25">
      <c r="A1618" s="234" t="s">
        <v>4334</v>
      </c>
      <c r="B1618" s="235" t="s">
        <v>4335</v>
      </c>
      <c r="C1618" s="236" t="s">
        <v>1429</v>
      </c>
      <c r="D1618" s="312">
        <v>59</v>
      </c>
      <c r="E1618" s="316"/>
      <c r="F1618" s="317"/>
      <c r="G1618" s="316"/>
      <c r="H1618" s="316"/>
      <c r="I1618" s="316"/>
      <c r="J1618" s="248">
        <f t="shared" si="169"/>
        <v>0</v>
      </c>
      <c r="K1618" s="330">
        <f t="shared" si="170"/>
        <v>-59</v>
      </c>
      <c r="L1618" s="318"/>
      <c r="M1618" s="228">
        <f t="shared" si="171"/>
        <v>0</v>
      </c>
      <c r="N1618" s="228">
        <f t="shared" si="174"/>
        <v>0</v>
      </c>
      <c r="O1618" s="228">
        <f t="shared" si="175"/>
        <v>0</v>
      </c>
      <c r="P1618" s="228">
        <f t="shared" si="175"/>
        <v>0</v>
      </c>
      <c r="Q1618" s="228">
        <f t="shared" si="172"/>
        <v>0</v>
      </c>
      <c r="R1618" s="343">
        <f t="shared" si="173"/>
        <v>-59</v>
      </c>
      <c r="S1618" s="240"/>
      <c r="T1618" s="201"/>
      <c r="U1618" s="201"/>
      <c r="V1618" s="201"/>
    </row>
    <row r="1619" spans="1:22" ht="24" customHeight="1" x14ac:dyDescent="0.25">
      <c r="A1619" s="234" t="s">
        <v>4336</v>
      </c>
      <c r="B1619" s="235" t="s">
        <v>4337</v>
      </c>
      <c r="C1619" s="234" t="s">
        <v>1429</v>
      </c>
      <c r="D1619" s="312">
        <v>4</v>
      </c>
      <c r="E1619" s="316"/>
      <c r="F1619" s="317"/>
      <c r="G1619" s="316"/>
      <c r="H1619" s="316"/>
      <c r="I1619" s="316"/>
      <c r="J1619" s="248">
        <f t="shared" si="169"/>
        <v>0</v>
      </c>
      <c r="K1619" s="330">
        <f t="shared" si="170"/>
        <v>-4</v>
      </c>
      <c r="L1619" s="318"/>
      <c r="M1619" s="228">
        <f t="shared" si="171"/>
        <v>0</v>
      </c>
      <c r="N1619" s="228">
        <f t="shared" si="174"/>
        <v>0</v>
      </c>
      <c r="O1619" s="228">
        <f t="shared" si="175"/>
        <v>0</v>
      </c>
      <c r="P1619" s="228">
        <f t="shared" si="175"/>
        <v>0</v>
      </c>
      <c r="Q1619" s="228">
        <f t="shared" si="172"/>
        <v>0</v>
      </c>
      <c r="R1619" s="343">
        <f t="shared" si="173"/>
        <v>-4</v>
      </c>
      <c r="S1619" s="240"/>
      <c r="T1619" s="201"/>
      <c r="U1619" s="201"/>
      <c r="V1619" s="201"/>
    </row>
    <row r="1620" spans="1:22" ht="15.75" x14ac:dyDescent="0.25">
      <c r="A1620" s="234" t="s">
        <v>4338</v>
      </c>
      <c r="B1620" s="235" t="s">
        <v>4339</v>
      </c>
      <c r="C1620" s="234" t="s">
        <v>9</v>
      </c>
      <c r="D1620" s="312">
        <v>118</v>
      </c>
      <c r="E1620" s="316"/>
      <c r="F1620" s="317"/>
      <c r="G1620" s="316"/>
      <c r="H1620" s="316"/>
      <c r="I1620" s="316"/>
      <c r="J1620" s="248">
        <f t="shared" si="169"/>
        <v>0</v>
      </c>
      <c r="K1620" s="330">
        <f t="shared" si="170"/>
        <v>-118</v>
      </c>
      <c r="L1620" s="318"/>
      <c r="M1620" s="228">
        <f t="shared" si="171"/>
        <v>0</v>
      </c>
      <c r="N1620" s="228">
        <f t="shared" si="174"/>
        <v>0</v>
      </c>
      <c r="O1620" s="228">
        <f t="shared" si="175"/>
        <v>0</v>
      </c>
      <c r="P1620" s="228">
        <f t="shared" si="175"/>
        <v>0</v>
      </c>
      <c r="Q1620" s="228">
        <f t="shared" si="172"/>
        <v>0</v>
      </c>
      <c r="R1620" s="343">
        <f t="shared" si="173"/>
        <v>-118</v>
      </c>
      <c r="S1620" s="240"/>
      <c r="T1620" s="201"/>
      <c r="U1620" s="201"/>
      <c r="V1620" s="201"/>
    </row>
    <row r="1621" spans="1:22" ht="15.75" x14ac:dyDescent="0.25">
      <c r="A1621" s="234" t="s">
        <v>4340</v>
      </c>
      <c r="B1621" s="235" t="s">
        <v>4341</v>
      </c>
      <c r="C1621" s="234" t="s">
        <v>9</v>
      </c>
      <c r="D1621" s="312">
        <v>70</v>
      </c>
      <c r="E1621" s="316"/>
      <c r="F1621" s="317"/>
      <c r="G1621" s="316"/>
      <c r="H1621" s="316"/>
      <c r="I1621" s="316"/>
      <c r="J1621" s="248">
        <f t="shared" si="169"/>
        <v>0</v>
      </c>
      <c r="K1621" s="330">
        <f t="shared" si="170"/>
        <v>-70</v>
      </c>
      <c r="L1621" s="318"/>
      <c r="M1621" s="228">
        <f t="shared" si="171"/>
        <v>0</v>
      </c>
      <c r="N1621" s="228">
        <f t="shared" si="174"/>
        <v>0</v>
      </c>
      <c r="O1621" s="228">
        <f t="shared" si="175"/>
        <v>0</v>
      </c>
      <c r="P1621" s="228">
        <f t="shared" si="175"/>
        <v>0</v>
      </c>
      <c r="Q1621" s="228">
        <f t="shared" si="172"/>
        <v>0</v>
      </c>
      <c r="R1621" s="343">
        <f t="shared" si="173"/>
        <v>-70</v>
      </c>
      <c r="S1621" s="240"/>
      <c r="T1621" s="201"/>
      <c r="U1621" s="201"/>
      <c r="V1621" s="201"/>
    </row>
    <row r="1622" spans="1:22" ht="15.75" x14ac:dyDescent="0.25">
      <c r="A1622" s="234" t="s">
        <v>4342</v>
      </c>
      <c r="B1622" s="235" t="s">
        <v>4343</v>
      </c>
      <c r="C1622" s="234" t="s">
        <v>9</v>
      </c>
      <c r="D1622" s="312">
        <v>118</v>
      </c>
      <c r="E1622" s="316"/>
      <c r="F1622" s="317"/>
      <c r="G1622" s="316"/>
      <c r="H1622" s="316"/>
      <c r="I1622" s="316"/>
      <c r="J1622" s="248">
        <f t="shared" si="169"/>
        <v>0</v>
      </c>
      <c r="K1622" s="330">
        <f t="shared" si="170"/>
        <v>-118</v>
      </c>
      <c r="L1622" s="318"/>
      <c r="M1622" s="228">
        <f t="shared" si="171"/>
        <v>0</v>
      </c>
      <c r="N1622" s="228">
        <f t="shared" si="174"/>
        <v>0</v>
      </c>
      <c r="O1622" s="228">
        <f t="shared" si="175"/>
        <v>0</v>
      </c>
      <c r="P1622" s="228">
        <f t="shared" si="175"/>
        <v>0</v>
      </c>
      <c r="Q1622" s="228">
        <f t="shared" si="172"/>
        <v>0</v>
      </c>
      <c r="R1622" s="343">
        <f t="shared" si="173"/>
        <v>-118</v>
      </c>
      <c r="S1622" s="240"/>
      <c r="T1622" s="201"/>
      <c r="U1622" s="201"/>
      <c r="V1622" s="201"/>
    </row>
    <row r="1623" spans="1:22" ht="15.75" x14ac:dyDescent="0.25">
      <c r="A1623" s="234" t="s">
        <v>4344</v>
      </c>
      <c r="B1623" s="235" t="s">
        <v>4345</v>
      </c>
      <c r="C1623" s="234" t="s">
        <v>9</v>
      </c>
      <c r="D1623" s="312">
        <v>63</v>
      </c>
      <c r="E1623" s="316"/>
      <c r="F1623" s="317"/>
      <c r="G1623" s="316"/>
      <c r="H1623" s="316"/>
      <c r="I1623" s="316"/>
      <c r="J1623" s="248">
        <f t="shared" si="169"/>
        <v>0</v>
      </c>
      <c r="K1623" s="330">
        <f t="shared" si="170"/>
        <v>-63</v>
      </c>
      <c r="L1623" s="318"/>
      <c r="M1623" s="228">
        <f t="shared" si="171"/>
        <v>0</v>
      </c>
      <c r="N1623" s="228">
        <f t="shared" si="174"/>
        <v>0</v>
      </c>
      <c r="O1623" s="228">
        <f t="shared" si="175"/>
        <v>0</v>
      </c>
      <c r="P1623" s="228">
        <f t="shared" si="175"/>
        <v>0</v>
      </c>
      <c r="Q1623" s="228">
        <f t="shared" si="172"/>
        <v>0</v>
      </c>
      <c r="R1623" s="343">
        <f t="shared" si="173"/>
        <v>-63</v>
      </c>
      <c r="S1623" s="240"/>
      <c r="T1623" s="201"/>
      <c r="U1623" s="201"/>
      <c r="V1623" s="201"/>
    </row>
    <row r="1624" spans="1:22" ht="15.75" x14ac:dyDescent="0.25">
      <c r="A1624" s="234" t="s">
        <v>4346</v>
      </c>
      <c r="B1624" s="235" t="s">
        <v>4347</v>
      </c>
      <c r="C1624" s="234" t="s">
        <v>1429</v>
      </c>
      <c r="D1624" s="312">
        <v>97</v>
      </c>
      <c r="E1624" s="316"/>
      <c r="F1624" s="317"/>
      <c r="G1624" s="316"/>
      <c r="H1624" s="316"/>
      <c r="I1624" s="316"/>
      <c r="J1624" s="248">
        <f t="shared" si="169"/>
        <v>0</v>
      </c>
      <c r="K1624" s="330">
        <f t="shared" si="170"/>
        <v>-97</v>
      </c>
      <c r="L1624" s="318"/>
      <c r="M1624" s="228">
        <f t="shared" si="171"/>
        <v>0</v>
      </c>
      <c r="N1624" s="228">
        <f t="shared" si="174"/>
        <v>0</v>
      </c>
      <c r="O1624" s="228">
        <f t="shared" si="175"/>
        <v>0</v>
      </c>
      <c r="P1624" s="228">
        <f t="shared" si="175"/>
        <v>0</v>
      </c>
      <c r="Q1624" s="228">
        <f t="shared" si="172"/>
        <v>0</v>
      </c>
      <c r="R1624" s="343">
        <f t="shared" si="173"/>
        <v>-97</v>
      </c>
      <c r="S1624" s="240"/>
      <c r="T1624" s="201"/>
      <c r="U1624" s="201"/>
      <c r="V1624" s="201"/>
    </row>
    <row r="1625" spans="1:22" ht="15.75" x14ac:dyDescent="0.25">
      <c r="A1625" s="234" t="s">
        <v>4348</v>
      </c>
      <c r="B1625" s="235" t="s">
        <v>4349</v>
      </c>
      <c r="C1625" s="234" t="s">
        <v>1429</v>
      </c>
      <c r="D1625" s="312">
        <v>1</v>
      </c>
      <c r="E1625" s="316"/>
      <c r="F1625" s="317"/>
      <c r="G1625" s="316"/>
      <c r="H1625" s="316"/>
      <c r="I1625" s="316"/>
      <c r="J1625" s="248">
        <f t="shared" si="169"/>
        <v>0</v>
      </c>
      <c r="K1625" s="330">
        <f t="shared" si="170"/>
        <v>-1</v>
      </c>
      <c r="L1625" s="318"/>
      <c r="M1625" s="228">
        <f t="shared" si="171"/>
        <v>0</v>
      </c>
      <c r="N1625" s="228">
        <f t="shared" si="174"/>
        <v>0</v>
      </c>
      <c r="O1625" s="228">
        <f t="shared" si="175"/>
        <v>0</v>
      </c>
      <c r="P1625" s="228">
        <f t="shared" si="175"/>
        <v>0</v>
      </c>
      <c r="Q1625" s="228">
        <f t="shared" si="172"/>
        <v>0</v>
      </c>
      <c r="R1625" s="343">
        <f t="shared" si="173"/>
        <v>-1</v>
      </c>
      <c r="S1625" s="240"/>
      <c r="T1625" s="201"/>
      <c r="U1625" s="201"/>
      <c r="V1625" s="201"/>
    </row>
    <row r="1626" spans="1:22" ht="15.75" x14ac:dyDescent="0.25">
      <c r="A1626" s="234" t="s">
        <v>4350</v>
      </c>
      <c r="B1626" s="235" t="s">
        <v>4351</v>
      </c>
      <c r="C1626" s="234" t="s">
        <v>9</v>
      </c>
      <c r="D1626" s="312">
        <v>109</v>
      </c>
      <c r="E1626" s="316"/>
      <c r="F1626" s="317"/>
      <c r="G1626" s="316"/>
      <c r="H1626" s="316"/>
      <c r="I1626" s="316"/>
      <c r="J1626" s="248">
        <f t="shared" si="169"/>
        <v>0</v>
      </c>
      <c r="K1626" s="330">
        <f t="shared" si="170"/>
        <v>-109</v>
      </c>
      <c r="L1626" s="318"/>
      <c r="M1626" s="228">
        <f t="shared" si="171"/>
        <v>0</v>
      </c>
      <c r="N1626" s="228">
        <f t="shared" si="174"/>
        <v>0</v>
      </c>
      <c r="O1626" s="228">
        <f t="shared" si="175"/>
        <v>0</v>
      </c>
      <c r="P1626" s="228">
        <f t="shared" si="175"/>
        <v>0</v>
      </c>
      <c r="Q1626" s="228">
        <f t="shared" si="172"/>
        <v>0</v>
      </c>
      <c r="R1626" s="343">
        <f t="shared" si="173"/>
        <v>-109</v>
      </c>
      <c r="S1626" s="240"/>
      <c r="T1626" s="201"/>
      <c r="U1626" s="201"/>
      <c r="V1626" s="201"/>
    </row>
    <row r="1627" spans="1:22" ht="15.75" x14ac:dyDescent="0.25">
      <c r="A1627" s="234" t="s">
        <v>4352</v>
      </c>
      <c r="B1627" s="235" t="s">
        <v>4353</v>
      </c>
      <c r="C1627" s="234" t="s">
        <v>9</v>
      </c>
      <c r="D1627" s="312">
        <v>40</v>
      </c>
      <c r="E1627" s="316"/>
      <c r="F1627" s="317"/>
      <c r="G1627" s="316"/>
      <c r="H1627" s="316"/>
      <c r="I1627" s="316"/>
      <c r="J1627" s="248">
        <f t="shared" si="169"/>
        <v>0</v>
      </c>
      <c r="K1627" s="330">
        <f t="shared" si="170"/>
        <v>-40</v>
      </c>
      <c r="L1627" s="318"/>
      <c r="M1627" s="228">
        <f t="shared" si="171"/>
        <v>0</v>
      </c>
      <c r="N1627" s="228">
        <f t="shared" si="174"/>
        <v>0</v>
      </c>
      <c r="O1627" s="228">
        <f t="shared" si="175"/>
        <v>0</v>
      </c>
      <c r="P1627" s="228">
        <f t="shared" si="175"/>
        <v>0</v>
      </c>
      <c r="Q1627" s="228">
        <f t="shared" si="172"/>
        <v>0</v>
      </c>
      <c r="R1627" s="343">
        <f t="shared" si="173"/>
        <v>-40</v>
      </c>
      <c r="S1627" s="240"/>
      <c r="T1627" s="201"/>
      <c r="U1627" s="201"/>
      <c r="V1627" s="201"/>
    </row>
    <row r="1628" spans="1:22" ht="15.75" x14ac:dyDescent="0.25">
      <c r="A1628" s="234" t="s">
        <v>4354</v>
      </c>
      <c r="B1628" s="235" t="s">
        <v>4355</v>
      </c>
      <c r="C1628" s="234" t="s">
        <v>9</v>
      </c>
      <c r="D1628" s="312">
        <v>200</v>
      </c>
      <c r="E1628" s="316"/>
      <c r="F1628" s="317"/>
      <c r="G1628" s="316"/>
      <c r="H1628" s="316"/>
      <c r="I1628" s="316"/>
      <c r="J1628" s="248">
        <f t="shared" si="169"/>
        <v>0</v>
      </c>
      <c r="K1628" s="330">
        <f t="shared" si="170"/>
        <v>-200</v>
      </c>
      <c r="L1628" s="318"/>
      <c r="M1628" s="228">
        <f t="shared" si="171"/>
        <v>0</v>
      </c>
      <c r="N1628" s="228">
        <f t="shared" si="174"/>
        <v>0</v>
      </c>
      <c r="O1628" s="228">
        <f t="shared" si="175"/>
        <v>0</v>
      </c>
      <c r="P1628" s="228">
        <f t="shared" si="175"/>
        <v>0</v>
      </c>
      <c r="Q1628" s="228">
        <f t="shared" si="172"/>
        <v>0</v>
      </c>
      <c r="R1628" s="343">
        <f t="shared" si="173"/>
        <v>-200</v>
      </c>
      <c r="S1628" s="240"/>
      <c r="T1628" s="201"/>
      <c r="U1628" s="201"/>
      <c r="V1628" s="201"/>
    </row>
    <row r="1629" spans="1:22" ht="15.75" x14ac:dyDescent="0.25">
      <c r="A1629" s="234" t="s">
        <v>4356</v>
      </c>
      <c r="B1629" s="235" t="s">
        <v>4357</v>
      </c>
      <c r="C1629" s="234" t="s">
        <v>9</v>
      </c>
      <c r="D1629" s="312">
        <v>61</v>
      </c>
      <c r="E1629" s="316"/>
      <c r="F1629" s="317"/>
      <c r="G1629" s="316"/>
      <c r="H1629" s="316"/>
      <c r="I1629" s="316"/>
      <c r="J1629" s="248">
        <f t="shared" si="169"/>
        <v>0</v>
      </c>
      <c r="K1629" s="330">
        <f t="shared" si="170"/>
        <v>-61</v>
      </c>
      <c r="L1629" s="318"/>
      <c r="M1629" s="228">
        <f t="shared" si="171"/>
        <v>0</v>
      </c>
      <c r="N1629" s="228">
        <f t="shared" si="174"/>
        <v>0</v>
      </c>
      <c r="O1629" s="228">
        <f t="shared" si="175"/>
        <v>0</v>
      </c>
      <c r="P1629" s="228">
        <f t="shared" si="175"/>
        <v>0</v>
      </c>
      <c r="Q1629" s="228">
        <f t="shared" si="172"/>
        <v>0</v>
      </c>
      <c r="R1629" s="343">
        <f t="shared" si="173"/>
        <v>-61</v>
      </c>
      <c r="S1629" s="240"/>
      <c r="T1629" s="201"/>
      <c r="U1629" s="201"/>
      <c r="V1629" s="201"/>
    </row>
    <row r="1630" spans="1:22" ht="15.75" x14ac:dyDescent="0.25">
      <c r="A1630" s="234" t="s">
        <v>4358</v>
      </c>
      <c r="B1630" s="235" t="s">
        <v>4359</v>
      </c>
      <c r="C1630" s="234" t="s">
        <v>9</v>
      </c>
      <c r="D1630" s="312">
        <v>125</v>
      </c>
      <c r="E1630" s="316"/>
      <c r="F1630" s="317"/>
      <c r="G1630" s="316"/>
      <c r="H1630" s="316"/>
      <c r="I1630" s="316"/>
      <c r="J1630" s="248">
        <f t="shared" si="169"/>
        <v>0</v>
      </c>
      <c r="K1630" s="330">
        <f t="shared" si="170"/>
        <v>-125</v>
      </c>
      <c r="L1630" s="318"/>
      <c r="M1630" s="228">
        <f t="shared" si="171"/>
        <v>0</v>
      </c>
      <c r="N1630" s="228">
        <f t="shared" si="174"/>
        <v>0</v>
      </c>
      <c r="O1630" s="228">
        <f t="shared" si="175"/>
        <v>0</v>
      </c>
      <c r="P1630" s="228">
        <f t="shared" si="175"/>
        <v>0</v>
      </c>
      <c r="Q1630" s="228">
        <f t="shared" si="172"/>
        <v>0</v>
      </c>
      <c r="R1630" s="343">
        <f t="shared" si="173"/>
        <v>-125</v>
      </c>
      <c r="S1630" s="240"/>
      <c r="T1630" s="201"/>
      <c r="U1630" s="201"/>
      <c r="V1630" s="201"/>
    </row>
    <row r="1631" spans="1:22" ht="15.75" x14ac:dyDescent="0.25">
      <c r="A1631" s="234" t="s">
        <v>4360</v>
      </c>
      <c r="B1631" s="235" t="s">
        <v>4361</v>
      </c>
      <c r="C1631" s="234" t="s">
        <v>9</v>
      </c>
      <c r="D1631" s="312">
        <v>1</v>
      </c>
      <c r="E1631" s="316"/>
      <c r="F1631" s="317"/>
      <c r="G1631" s="316"/>
      <c r="H1631" s="316"/>
      <c r="I1631" s="316"/>
      <c r="J1631" s="248">
        <f t="shared" si="169"/>
        <v>0</v>
      </c>
      <c r="K1631" s="330">
        <f t="shared" si="170"/>
        <v>-1</v>
      </c>
      <c r="L1631" s="318"/>
      <c r="M1631" s="228">
        <f t="shared" si="171"/>
        <v>0</v>
      </c>
      <c r="N1631" s="228">
        <f t="shared" si="174"/>
        <v>0</v>
      </c>
      <c r="O1631" s="228">
        <f t="shared" si="175"/>
        <v>0</v>
      </c>
      <c r="P1631" s="228">
        <f t="shared" si="175"/>
        <v>0</v>
      </c>
      <c r="Q1631" s="228">
        <f t="shared" si="172"/>
        <v>0</v>
      </c>
      <c r="R1631" s="343">
        <f t="shared" si="173"/>
        <v>-1</v>
      </c>
      <c r="S1631" s="240"/>
      <c r="T1631" s="201"/>
      <c r="U1631" s="201"/>
      <c r="V1631" s="201"/>
    </row>
    <row r="1632" spans="1:22" ht="15.75" x14ac:dyDescent="0.25">
      <c r="A1632" s="234" t="s">
        <v>4362</v>
      </c>
      <c r="B1632" s="235" t="s">
        <v>4363</v>
      </c>
      <c r="C1632" s="234" t="s">
        <v>9</v>
      </c>
      <c r="D1632" s="312">
        <v>176</v>
      </c>
      <c r="E1632" s="316"/>
      <c r="F1632" s="317"/>
      <c r="G1632" s="316"/>
      <c r="H1632" s="316"/>
      <c r="I1632" s="316"/>
      <c r="J1632" s="248">
        <f t="shared" si="169"/>
        <v>0</v>
      </c>
      <c r="K1632" s="330">
        <f t="shared" si="170"/>
        <v>-176</v>
      </c>
      <c r="L1632" s="318"/>
      <c r="M1632" s="228">
        <f t="shared" si="171"/>
        <v>0</v>
      </c>
      <c r="N1632" s="228">
        <f t="shared" si="174"/>
        <v>0</v>
      </c>
      <c r="O1632" s="228">
        <f t="shared" si="175"/>
        <v>0</v>
      </c>
      <c r="P1632" s="228">
        <f t="shared" si="175"/>
        <v>0</v>
      </c>
      <c r="Q1632" s="228">
        <f t="shared" si="172"/>
        <v>0</v>
      </c>
      <c r="R1632" s="343">
        <f t="shared" si="173"/>
        <v>-176</v>
      </c>
      <c r="S1632" s="240"/>
      <c r="T1632" s="201"/>
      <c r="U1632" s="201"/>
      <c r="V1632" s="201"/>
    </row>
    <row r="1633" spans="1:22" ht="15.75" x14ac:dyDescent="0.25">
      <c r="A1633" s="234" t="s">
        <v>4364</v>
      </c>
      <c r="B1633" s="235" t="s">
        <v>4365</v>
      </c>
      <c r="C1633" s="234" t="s">
        <v>9</v>
      </c>
      <c r="D1633" s="312">
        <v>104</v>
      </c>
      <c r="E1633" s="316"/>
      <c r="F1633" s="317"/>
      <c r="G1633" s="316"/>
      <c r="H1633" s="316"/>
      <c r="I1633" s="316"/>
      <c r="J1633" s="248">
        <f t="shared" si="169"/>
        <v>0</v>
      </c>
      <c r="K1633" s="330">
        <f t="shared" si="170"/>
        <v>-104</v>
      </c>
      <c r="L1633" s="318"/>
      <c r="M1633" s="228">
        <f t="shared" si="171"/>
        <v>0</v>
      </c>
      <c r="N1633" s="228">
        <f t="shared" si="174"/>
        <v>0</v>
      </c>
      <c r="O1633" s="228">
        <f t="shared" si="175"/>
        <v>0</v>
      </c>
      <c r="P1633" s="228">
        <f t="shared" si="175"/>
        <v>0</v>
      </c>
      <c r="Q1633" s="228">
        <f t="shared" si="172"/>
        <v>0</v>
      </c>
      <c r="R1633" s="343">
        <f t="shared" si="173"/>
        <v>-104</v>
      </c>
      <c r="S1633" s="240"/>
      <c r="T1633" s="201"/>
      <c r="U1633" s="201"/>
      <c r="V1633" s="201"/>
    </row>
    <row r="1634" spans="1:22" ht="15.75" x14ac:dyDescent="0.25">
      <c r="A1634" s="234" t="s">
        <v>4366</v>
      </c>
      <c r="B1634" s="235" t="s">
        <v>4367</v>
      </c>
      <c r="C1634" s="234" t="s">
        <v>9</v>
      </c>
      <c r="D1634" s="312">
        <v>58</v>
      </c>
      <c r="E1634" s="316"/>
      <c r="F1634" s="317"/>
      <c r="G1634" s="316"/>
      <c r="H1634" s="316"/>
      <c r="I1634" s="316"/>
      <c r="J1634" s="248">
        <f t="shared" si="169"/>
        <v>0</v>
      </c>
      <c r="K1634" s="330">
        <f t="shared" si="170"/>
        <v>-58</v>
      </c>
      <c r="L1634" s="318"/>
      <c r="M1634" s="228">
        <f t="shared" si="171"/>
        <v>0</v>
      </c>
      <c r="N1634" s="228">
        <f t="shared" si="174"/>
        <v>0</v>
      </c>
      <c r="O1634" s="228">
        <f t="shared" si="175"/>
        <v>0</v>
      </c>
      <c r="P1634" s="228">
        <f t="shared" si="175"/>
        <v>0</v>
      </c>
      <c r="Q1634" s="228">
        <f t="shared" si="172"/>
        <v>0</v>
      </c>
      <c r="R1634" s="343">
        <f t="shared" si="173"/>
        <v>-58</v>
      </c>
      <c r="S1634" s="240"/>
      <c r="T1634" s="201"/>
      <c r="U1634" s="201"/>
      <c r="V1634" s="201"/>
    </row>
    <row r="1635" spans="1:22" ht="15.75" x14ac:dyDescent="0.25">
      <c r="A1635" s="234" t="s">
        <v>4368</v>
      </c>
      <c r="B1635" s="235" t="s">
        <v>4369</v>
      </c>
      <c r="C1635" s="234" t="s">
        <v>9</v>
      </c>
      <c r="D1635" s="312">
        <v>299</v>
      </c>
      <c r="E1635" s="316"/>
      <c r="F1635" s="317"/>
      <c r="G1635" s="316"/>
      <c r="H1635" s="316"/>
      <c r="I1635" s="316"/>
      <c r="J1635" s="248">
        <f t="shared" si="169"/>
        <v>0</v>
      </c>
      <c r="K1635" s="330">
        <f t="shared" si="170"/>
        <v>-299</v>
      </c>
      <c r="L1635" s="318"/>
      <c r="M1635" s="228">
        <f t="shared" si="171"/>
        <v>0</v>
      </c>
      <c r="N1635" s="228">
        <f t="shared" si="174"/>
        <v>0</v>
      </c>
      <c r="O1635" s="228">
        <f t="shared" si="175"/>
        <v>0</v>
      </c>
      <c r="P1635" s="228">
        <f t="shared" si="175"/>
        <v>0</v>
      </c>
      <c r="Q1635" s="228">
        <f t="shared" si="172"/>
        <v>0</v>
      </c>
      <c r="R1635" s="343">
        <f t="shared" si="173"/>
        <v>-299</v>
      </c>
      <c r="S1635" s="240"/>
      <c r="T1635" s="201"/>
      <c r="U1635" s="201"/>
      <c r="V1635" s="201"/>
    </row>
    <row r="1636" spans="1:22" ht="15.75" x14ac:dyDescent="0.25">
      <c r="A1636" s="234" t="s">
        <v>4370</v>
      </c>
      <c r="B1636" s="235" t="s">
        <v>4371</v>
      </c>
      <c r="C1636" s="234" t="s">
        <v>9</v>
      </c>
      <c r="D1636" s="312">
        <v>203</v>
      </c>
      <c r="E1636" s="316"/>
      <c r="F1636" s="317"/>
      <c r="G1636" s="316"/>
      <c r="H1636" s="316"/>
      <c r="I1636" s="316"/>
      <c r="J1636" s="248">
        <f t="shared" si="169"/>
        <v>0</v>
      </c>
      <c r="K1636" s="330">
        <f t="shared" si="170"/>
        <v>-203</v>
      </c>
      <c r="L1636" s="318"/>
      <c r="M1636" s="228">
        <f t="shared" si="171"/>
        <v>0</v>
      </c>
      <c r="N1636" s="228">
        <f t="shared" si="174"/>
        <v>0</v>
      </c>
      <c r="O1636" s="228">
        <f t="shared" si="175"/>
        <v>0</v>
      </c>
      <c r="P1636" s="228">
        <f t="shared" si="175"/>
        <v>0</v>
      </c>
      <c r="Q1636" s="228">
        <f t="shared" si="172"/>
        <v>0</v>
      </c>
      <c r="R1636" s="343">
        <f t="shared" si="173"/>
        <v>-203</v>
      </c>
      <c r="S1636" s="240"/>
      <c r="T1636" s="201"/>
      <c r="U1636" s="201"/>
      <c r="V1636" s="201"/>
    </row>
    <row r="1637" spans="1:22" ht="15.75" x14ac:dyDescent="0.25">
      <c r="A1637" s="234" t="s">
        <v>4372</v>
      </c>
      <c r="B1637" s="235" t="s">
        <v>4373</v>
      </c>
      <c r="C1637" s="234" t="s">
        <v>9</v>
      </c>
      <c r="D1637" s="312">
        <v>507</v>
      </c>
      <c r="E1637" s="316"/>
      <c r="F1637" s="317"/>
      <c r="G1637" s="316"/>
      <c r="H1637" s="316"/>
      <c r="I1637" s="316"/>
      <c r="J1637" s="248">
        <f t="shared" si="169"/>
        <v>0</v>
      </c>
      <c r="K1637" s="330">
        <f t="shared" si="170"/>
        <v>-507</v>
      </c>
      <c r="L1637" s="318"/>
      <c r="M1637" s="228">
        <f t="shared" si="171"/>
        <v>0</v>
      </c>
      <c r="N1637" s="228">
        <f t="shared" si="174"/>
        <v>0</v>
      </c>
      <c r="O1637" s="228">
        <f t="shared" si="175"/>
        <v>0</v>
      </c>
      <c r="P1637" s="228">
        <f t="shared" si="175"/>
        <v>0</v>
      </c>
      <c r="Q1637" s="228">
        <f t="shared" si="172"/>
        <v>0</v>
      </c>
      <c r="R1637" s="343">
        <f t="shared" si="173"/>
        <v>-507</v>
      </c>
      <c r="S1637" s="240"/>
      <c r="T1637" s="201"/>
      <c r="U1637" s="201"/>
      <c r="V1637" s="201"/>
    </row>
    <row r="1638" spans="1:22" ht="15.75" x14ac:dyDescent="0.25">
      <c r="A1638" s="234" t="s">
        <v>4374</v>
      </c>
      <c r="B1638" s="235" t="s">
        <v>4375</v>
      </c>
      <c r="C1638" s="234" t="s">
        <v>9</v>
      </c>
      <c r="D1638" s="312">
        <v>780</v>
      </c>
      <c r="E1638" s="316"/>
      <c r="F1638" s="317"/>
      <c r="G1638" s="316"/>
      <c r="H1638" s="316"/>
      <c r="I1638" s="316"/>
      <c r="J1638" s="248">
        <f t="shared" si="169"/>
        <v>0</v>
      </c>
      <c r="K1638" s="330">
        <f t="shared" si="170"/>
        <v>-780</v>
      </c>
      <c r="L1638" s="318"/>
      <c r="M1638" s="228">
        <f t="shared" si="171"/>
        <v>0</v>
      </c>
      <c r="N1638" s="228">
        <f t="shared" si="174"/>
        <v>0</v>
      </c>
      <c r="O1638" s="228">
        <f t="shared" si="175"/>
        <v>0</v>
      </c>
      <c r="P1638" s="228">
        <f t="shared" si="175"/>
        <v>0</v>
      </c>
      <c r="Q1638" s="228">
        <f t="shared" si="172"/>
        <v>0</v>
      </c>
      <c r="R1638" s="343">
        <f t="shared" si="173"/>
        <v>-780</v>
      </c>
      <c r="S1638" s="240"/>
      <c r="T1638" s="201"/>
      <c r="U1638" s="201"/>
      <c r="V1638" s="201"/>
    </row>
    <row r="1639" spans="1:22" ht="15.75" x14ac:dyDescent="0.25">
      <c r="A1639" s="234" t="s">
        <v>4376</v>
      </c>
      <c r="B1639" s="235" t="s">
        <v>4377</v>
      </c>
      <c r="C1639" s="234" t="s">
        <v>9</v>
      </c>
      <c r="D1639" s="312">
        <v>2</v>
      </c>
      <c r="E1639" s="316"/>
      <c r="F1639" s="317"/>
      <c r="G1639" s="316"/>
      <c r="H1639" s="316"/>
      <c r="I1639" s="316"/>
      <c r="J1639" s="248">
        <f t="shared" ref="J1639:J1703" si="176">F1639+G1639+H1639+I1639</f>
        <v>0</v>
      </c>
      <c r="K1639" s="330">
        <f t="shared" ref="K1639:K1703" si="177">J1639-D1639</f>
        <v>-2</v>
      </c>
      <c r="L1639" s="318"/>
      <c r="M1639" s="228">
        <f t="shared" ref="M1639:M1703" si="178">F1639</f>
        <v>0</v>
      </c>
      <c r="N1639" s="228">
        <f t="shared" si="174"/>
        <v>0</v>
      </c>
      <c r="O1639" s="228">
        <f t="shared" si="175"/>
        <v>0</v>
      </c>
      <c r="P1639" s="228">
        <f t="shared" si="175"/>
        <v>0</v>
      </c>
      <c r="Q1639" s="228">
        <f t="shared" ref="Q1639:Q1703" si="179">M1639+N1639+O1639+P1639</f>
        <v>0</v>
      </c>
      <c r="R1639" s="343">
        <f t="shared" ref="R1639:R1703" si="180">Q1639-D1639</f>
        <v>-2</v>
      </c>
      <c r="S1639" s="240"/>
      <c r="T1639" s="201"/>
      <c r="U1639" s="201"/>
      <c r="V1639" s="201"/>
    </row>
    <row r="1640" spans="1:22" ht="15.75" x14ac:dyDescent="0.25">
      <c r="A1640" s="234" t="s">
        <v>4378</v>
      </c>
      <c r="B1640" s="235" t="s">
        <v>4379</v>
      </c>
      <c r="C1640" s="234" t="s">
        <v>9</v>
      </c>
      <c r="D1640" s="312">
        <v>7</v>
      </c>
      <c r="E1640" s="316"/>
      <c r="F1640" s="317"/>
      <c r="G1640" s="316"/>
      <c r="H1640" s="316"/>
      <c r="I1640" s="316"/>
      <c r="J1640" s="248">
        <f t="shared" si="176"/>
        <v>0</v>
      </c>
      <c r="K1640" s="330">
        <f t="shared" si="177"/>
        <v>-7</v>
      </c>
      <c r="L1640" s="318"/>
      <c r="M1640" s="228">
        <f t="shared" si="178"/>
        <v>0</v>
      </c>
      <c r="N1640" s="228">
        <f t="shared" si="174"/>
        <v>0</v>
      </c>
      <c r="O1640" s="228">
        <f t="shared" si="175"/>
        <v>0</v>
      </c>
      <c r="P1640" s="228">
        <f t="shared" si="175"/>
        <v>0</v>
      </c>
      <c r="Q1640" s="228">
        <f t="shared" si="179"/>
        <v>0</v>
      </c>
      <c r="R1640" s="343">
        <f t="shared" si="180"/>
        <v>-7</v>
      </c>
      <c r="S1640" s="240"/>
      <c r="T1640" s="201"/>
      <c r="U1640" s="201"/>
      <c r="V1640" s="201"/>
    </row>
    <row r="1641" spans="1:22" ht="15.75" x14ac:dyDescent="0.25">
      <c r="A1641" s="234" t="s">
        <v>4380</v>
      </c>
      <c r="B1641" s="235" t="s">
        <v>4381</v>
      </c>
      <c r="C1641" s="234" t="s">
        <v>9</v>
      </c>
      <c r="D1641" s="312">
        <v>38</v>
      </c>
      <c r="E1641" s="316"/>
      <c r="F1641" s="317"/>
      <c r="G1641" s="316"/>
      <c r="H1641" s="316"/>
      <c r="I1641" s="316"/>
      <c r="J1641" s="248">
        <f t="shared" si="176"/>
        <v>0</v>
      </c>
      <c r="K1641" s="330">
        <f t="shared" si="177"/>
        <v>-38</v>
      </c>
      <c r="L1641" s="318"/>
      <c r="M1641" s="228">
        <f t="shared" si="178"/>
        <v>0</v>
      </c>
      <c r="N1641" s="228">
        <f t="shared" si="174"/>
        <v>0</v>
      </c>
      <c r="O1641" s="228">
        <f t="shared" si="175"/>
        <v>0</v>
      </c>
      <c r="P1641" s="228">
        <f t="shared" si="175"/>
        <v>0</v>
      </c>
      <c r="Q1641" s="228">
        <f t="shared" si="179"/>
        <v>0</v>
      </c>
      <c r="R1641" s="343">
        <f t="shared" si="180"/>
        <v>-38</v>
      </c>
      <c r="S1641" s="240"/>
      <c r="T1641" s="201"/>
      <c r="U1641" s="201"/>
      <c r="V1641" s="201"/>
    </row>
    <row r="1642" spans="1:22" ht="15.75" x14ac:dyDescent="0.25">
      <c r="A1642" s="234" t="s">
        <v>4382</v>
      </c>
      <c r="B1642" s="235" t="s">
        <v>4383</v>
      </c>
      <c r="C1642" s="234" t="s">
        <v>9</v>
      </c>
      <c r="D1642" s="312">
        <v>8</v>
      </c>
      <c r="E1642" s="316"/>
      <c r="F1642" s="317"/>
      <c r="G1642" s="316"/>
      <c r="H1642" s="316"/>
      <c r="I1642" s="316"/>
      <c r="J1642" s="248">
        <f t="shared" si="176"/>
        <v>0</v>
      </c>
      <c r="K1642" s="330">
        <f t="shared" si="177"/>
        <v>-8</v>
      </c>
      <c r="L1642" s="318"/>
      <c r="M1642" s="228">
        <f t="shared" si="178"/>
        <v>0</v>
      </c>
      <c r="N1642" s="228">
        <f t="shared" si="174"/>
        <v>0</v>
      </c>
      <c r="O1642" s="228">
        <f t="shared" si="175"/>
        <v>0</v>
      </c>
      <c r="P1642" s="228">
        <f t="shared" si="175"/>
        <v>0</v>
      </c>
      <c r="Q1642" s="228">
        <f t="shared" si="179"/>
        <v>0</v>
      </c>
      <c r="R1642" s="343">
        <f t="shared" si="180"/>
        <v>-8</v>
      </c>
      <c r="S1642" s="240"/>
      <c r="T1642" s="201"/>
      <c r="U1642" s="201"/>
      <c r="V1642" s="201"/>
    </row>
    <row r="1643" spans="1:22" ht="15.75" x14ac:dyDescent="0.25">
      <c r="A1643" s="234" t="s">
        <v>4384</v>
      </c>
      <c r="B1643" s="235" t="s">
        <v>4385</v>
      </c>
      <c r="C1643" s="234" t="s">
        <v>9</v>
      </c>
      <c r="D1643" s="312">
        <v>19</v>
      </c>
      <c r="E1643" s="316"/>
      <c r="F1643" s="317"/>
      <c r="G1643" s="316"/>
      <c r="H1643" s="316"/>
      <c r="I1643" s="316"/>
      <c r="J1643" s="248">
        <f t="shared" si="176"/>
        <v>0</v>
      </c>
      <c r="K1643" s="330">
        <f t="shared" si="177"/>
        <v>-19</v>
      </c>
      <c r="L1643" s="318"/>
      <c r="M1643" s="228">
        <f t="shared" si="178"/>
        <v>0</v>
      </c>
      <c r="N1643" s="228">
        <f t="shared" si="174"/>
        <v>0</v>
      </c>
      <c r="O1643" s="228">
        <f t="shared" si="175"/>
        <v>0</v>
      </c>
      <c r="P1643" s="228">
        <f t="shared" si="175"/>
        <v>0</v>
      </c>
      <c r="Q1643" s="228">
        <f t="shared" si="179"/>
        <v>0</v>
      </c>
      <c r="R1643" s="343">
        <f t="shared" si="180"/>
        <v>-19</v>
      </c>
      <c r="S1643" s="240"/>
      <c r="T1643" s="201"/>
      <c r="U1643" s="201"/>
      <c r="V1643" s="201"/>
    </row>
    <row r="1644" spans="1:22" ht="15.75" x14ac:dyDescent="0.25">
      <c r="A1644" s="234" t="s">
        <v>4386</v>
      </c>
      <c r="B1644" s="235" t="s">
        <v>4387</v>
      </c>
      <c r="C1644" s="234" t="s">
        <v>9</v>
      </c>
      <c r="D1644" s="312">
        <v>4</v>
      </c>
      <c r="E1644" s="316"/>
      <c r="F1644" s="317"/>
      <c r="G1644" s="316"/>
      <c r="H1644" s="316"/>
      <c r="I1644" s="316"/>
      <c r="J1644" s="248">
        <f t="shared" si="176"/>
        <v>0</v>
      </c>
      <c r="K1644" s="330">
        <f t="shared" si="177"/>
        <v>-4</v>
      </c>
      <c r="L1644" s="318"/>
      <c r="M1644" s="228">
        <f t="shared" si="178"/>
        <v>0</v>
      </c>
      <c r="N1644" s="228">
        <f t="shared" si="174"/>
        <v>0</v>
      </c>
      <c r="O1644" s="228">
        <f t="shared" si="175"/>
        <v>0</v>
      </c>
      <c r="P1644" s="228">
        <f t="shared" si="175"/>
        <v>0</v>
      </c>
      <c r="Q1644" s="228">
        <f t="shared" si="179"/>
        <v>0</v>
      </c>
      <c r="R1644" s="343">
        <f t="shared" si="180"/>
        <v>-4</v>
      </c>
      <c r="S1644" s="240"/>
      <c r="T1644" s="201"/>
      <c r="U1644" s="201"/>
      <c r="V1644" s="201"/>
    </row>
    <row r="1645" spans="1:22" ht="30.75" customHeight="1" x14ac:dyDescent="0.25">
      <c r="A1645" s="234" t="s">
        <v>4388</v>
      </c>
      <c r="B1645" s="235" t="s">
        <v>4389</v>
      </c>
      <c r="C1645" s="234" t="s">
        <v>9</v>
      </c>
      <c r="D1645" s="312">
        <v>24</v>
      </c>
      <c r="E1645" s="316"/>
      <c r="F1645" s="317"/>
      <c r="G1645" s="316"/>
      <c r="H1645" s="316"/>
      <c r="I1645" s="316"/>
      <c r="J1645" s="248">
        <f t="shared" si="176"/>
        <v>0</v>
      </c>
      <c r="K1645" s="330">
        <f t="shared" si="177"/>
        <v>-24</v>
      </c>
      <c r="L1645" s="318"/>
      <c r="M1645" s="228">
        <f t="shared" si="178"/>
        <v>0</v>
      </c>
      <c r="N1645" s="228">
        <f t="shared" si="174"/>
        <v>0</v>
      </c>
      <c r="O1645" s="228">
        <f t="shared" si="175"/>
        <v>0</v>
      </c>
      <c r="P1645" s="228">
        <f t="shared" si="175"/>
        <v>0</v>
      </c>
      <c r="Q1645" s="228">
        <f t="shared" si="179"/>
        <v>0</v>
      </c>
      <c r="R1645" s="343">
        <f t="shared" si="180"/>
        <v>-24</v>
      </c>
      <c r="S1645" s="240"/>
      <c r="T1645" s="201"/>
      <c r="U1645" s="201"/>
      <c r="V1645" s="201"/>
    </row>
    <row r="1646" spans="1:22" ht="15.75" x14ac:dyDescent="0.25">
      <c r="A1646" s="234" t="s">
        <v>4390</v>
      </c>
      <c r="B1646" s="235" t="s">
        <v>4391</v>
      </c>
      <c r="C1646" s="234" t="s">
        <v>9</v>
      </c>
      <c r="D1646" s="312">
        <v>166</v>
      </c>
      <c r="E1646" s="316"/>
      <c r="F1646" s="317"/>
      <c r="G1646" s="316"/>
      <c r="H1646" s="316"/>
      <c r="I1646" s="316"/>
      <c r="J1646" s="248">
        <f t="shared" si="176"/>
        <v>0</v>
      </c>
      <c r="K1646" s="330">
        <f t="shared" si="177"/>
        <v>-166</v>
      </c>
      <c r="L1646" s="318"/>
      <c r="M1646" s="228">
        <f t="shared" si="178"/>
        <v>0</v>
      </c>
      <c r="N1646" s="228">
        <f t="shared" si="174"/>
        <v>0</v>
      </c>
      <c r="O1646" s="228">
        <f t="shared" si="175"/>
        <v>0</v>
      </c>
      <c r="P1646" s="228">
        <f t="shared" si="175"/>
        <v>0</v>
      </c>
      <c r="Q1646" s="228">
        <f t="shared" si="179"/>
        <v>0</v>
      </c>
      <c r="R1646" s="343">
        <f t="shared" si="180"/>
        <v>-166</v>
      </c>
      <c r="S1646" s="240"/>
      <c r="T1646" s="201"/>
      <c r="U1646" s="201"/>
      <c r="V1646" s="201"/>
    </row>
    <row r="1647" spans="1:22" ht="15.75" x14ac:dyDescent="0.25">
      <c r="A1647" s="234" t="s">
        <v>4392</v>
      </c>
      <c r="B1647" s="235" t="s">
        <v>4393</v>
      </c>
      <c r="C1647" s="234" t="s">
        <v>9</v>
      </c>
      <c r="D1647" s="312">
        <v>83</v>
      </c>
      <c r="E1647" s="316"/>
      <c r="F1647" s="317"/>
      <c r="G1647" s="316"/>
      <c r="H1647" s="316"/>
      <c r="I1647" s="316"/>
      <c r="J1647" s="248">
        <f t="shared" si="176"/>
        <v>0</v>
      </c>
      <c r="K1647" s="330">
        <f t="shared" si="177"/>
        <v>-83</v>
      </c>
      <c r="L1647" s="318"/>
      <c r="M1647" s="228">
        <f t="shared" si="178"/>
        <v>0</v>
      </c>
      <c r="N1647" s="228">
        <f t="shared" si="174"/>
        <v>0</v>
      </c>
      <c r="O1647" s="228">
        <f t="shared" si="175"/>
        <v>0</v>
      </c>
      <c r="P1647" s="228">
        <f t="shared" si="175"/>
        <v>0</v>
      </c>
      <c r="Q1647" s="228">
        <f t="shared" si="179"/>
        <v>0</v>
      </c>
      <c r="R1647" s="343">
        <f t="shared" si="180"/>
        <v>-83</v>
      </c>
      <c r="S1647" s="240"/>
      <c r="T1647" s="201"/>
      <c r="U1647" s="201"/>
      <c r="V1647" s="201"/>
    </row>
    <row r="1648" spans="1:22" ht="15.75" x14ac:dyDescent="0.25">
      <c r="A1648" s="234" t="s">
        <v>4394</v>
      </c>
      <c r="B1648" s="235" t="s">
        <v>4395</v>
      </c>
      <c r="C1648" s="234" t="s">
        <v>9</v>
      </c>
      <c r="D1648" s="312">
        <v>83</v>
      </c>
      <c r="E1648" s="316"/>
      <c r="F1648" s="317"/>
      <c r="G1648" s="316"/>
      <c r="H1648" s="316"/>
      <c r="I1648" s="316"/>
      <c r="J1648" s="248">
        <f t="shared" si="176"/>
        <v>0</v>
      </c>
      <c r="K1648" s="330">
        <f t="shared" si="177"/>
        <v>-83</v>
      </c>
      <c r="L1648" s="318"/>
      <c r="M1648" s="228">
        <f t="shared" si="178"/>
        <v>0</v>
      </c>
      <c r="N1648" s="228">
        <f t="shared" si="174"/>
        <v>0</v>
      </c>
      <c r="O1648" s="228">
        <f t="shared" si="175"/>
        <v>0</v>
      </c>
      <c r="P1648" s="228">
        <f t="shared" si="175"/>
        <v>0</v>
      </c>
      <c r="Q1648" s="228">
        <f t="shared" si="179"/>
        <v>0</v>
      </c>
      <c r="R1648" s="343">
        <f t="shared" si="180"/>
        <v>-83</v>
      </c>
      <c r="S1648" s="240"/>
      <c r="T1648" s="201"/>
      <c r="U1648" s="201"/>
      <c r="V1648" s="201"/>
    </row>
    <row r="1649" spans="1:22" ht="30" x14ac:dyDescent="0.25">
      <c r="A1649" s="234" t="s">
        <v>4396</v>
      </c>
      <c r="B1649" s="235" t="s">
        <v>4397</v>
      </c>
      <c r="C1649" s="234" t="s">
        <v>1898</v>
      </c>
      <c r="D1649" s="312">
        <v>1</v>
      </c>
      <c r="E1649" s="316"/>
      <c r="F1649" s="317"/>
      <c r="G1649" s="316"/>
      <c r="H1649" s="316"/>
      <c r="I1649" s="316"/>
      <c r="J1649" s="248">
        <f t="shared" si="176"/>
        <v>0</v>
      </c>
      <c r="K1649" s="330">
        <f t="shared" si="177"/>
        <v>-1</v>
      </c>
      <c r="L1649" s="318"/>
      <c r="M1649" s="228">
        <f t="shared" si="178"/>
        <v>0</v>
      </c>
      <c r="N1649" s="228">
        <f t="shared" si="174"/>
        <v>0</v>
      </c>
      <c r="O1649" s="228">
        <f t="shared" si="175"/>
        <v>0</v>
      </c>
      <c r="P1649" s="228">
        <f t="shared" si="175"/>
        <v>0</v>
      </c>
      <c r="Q1649" s="228">
        <f t="shared" si="179"/>
        <v>0</v>
      </c>
      <c r="R1649" s="343">
        <f t="shared" si="180"/>
        <v>-1</v>
      </c>
      <c r="S1649" s="240"/>
      <c r="T1649" s="201"/>
      <c r="U1649" s="201"/>
      <c r="V1649" s="201"/>
    </row>
    <row r="1650" spans="1:22" ht="30" x14ac:dyDescent="0.25">
      <c r="A1650" s="234" t="s">
        <v>4398</v>
      </c>
      <c r="B1650" s="235" t="s">
        <v>297</v>
      </c>
      <c r="C1650" s="234" t="s">
        <v>52</v>
      </c>
      <c r="D1650" s="312">
        <v>1652.51</v>
      </c>
      <c r="E1650" s="316"/>
      <c r="F1650" s="317"/>
      <c r="G1650" s="316"/>
      <c r="H1650" s="316"/>
      <c r="I1650" s="316"/>
      <c r="J1650" s="248">
        <f t="shared" si="176"/>
        <v>0</v>
      </c>
      <c r="K1650" s="330">
        <f t="shared" si="177"/>
        <v>-1652.51</v>
      </c>
      <c r="L1650" s="318"/>
      <c r="M1650" s="228">
        <f t="shared" si="178"/>
        <v>0</v>
      </c>
      <c r="N1650" s="228">
        <f t="shared" si="174"/>
        <v>0</v>
      </c>
      <c r="O1650" s="228">
        <f t="shared" si="175"/>
        <v>0</v>
      </c>
      <c r="P1650" s="228">
        <f t="shared" si="175"/>
        <v>0</v>
      </c>
      <c r="Q1650" s="228">
        <f t="shared" si="179"/>
        <v>0</v>
      </c>
      <c r="R1650" s="343">
        <f t="shared" si="180"/>
        <v>-1652.51</v>
      </c>
      <c r="S1650" s="240"/>
      <c r="T1650" s="201"/>
      <c r="U1650" s="201"/>
      <c r="V1650" s="201"/>
    </row>
    <row r="1651" spans="1:22" ht="15.75" x14ac:dyDescent="0.25">
      <c r="A1651" s="234" t="s">
        <v>4399</v>
      </c>
      <c r="B1651" s="235" t="s">
        <v>4400</v>
      </c>
      <c r="C1651" s="234" t="s">
        <v>248</v>
      </c>
      <c r="D1651" s="312">
        <v>9.6</v>
      </c>
      <c r="E1651" s="316"/>
      <c r="F1651" s="317"/>
      <c r="G1651" s="316"/>
      <c r="H1651" s="316"/>
      <c r="I1651" s="316"/>
      <c r="J1651" s="248">
        <f t="shared" si="176"/>
        <v>0</v>
      </c>
      <c r="K1651" s="330">
        <f t="shared" si="177"/>
        <v>-9.6</v>
      </c>
      <c r="L1651" s="318"/>
      <c r="M1651" s="228">
        <f t="shared" si="178"/>
        <v>0</v>
      </c>
      <c r="N1651" s="228">
        <f t="shared" si="174"/>
        <v>0</v>
      </c>
      <c r="O1651" s="228">
        <f t="shared" si="175"/>
        <v>0</v>
      </c>
      <c r="P1651" s="228">
        <f t="shared" si="175"/>
        <v>0</v>
      </c>
      <c r="Q1651" s="228">
        <f t="shared" si="179"/>
        <v>0</v>
      </c>
      <c r="R1651" s="343">
        <f t="shared" si="180"/>
        <v>-9.6</v>
      </c>
      <c r="S1651" s="240"/>
      <c r="T1651" s="201"/>
      <c r="U1651" s="201"/>
      <c r="V1651" s="201"/>
    </row>
    <row r="1652" spans="1:22" ht="15.75" x14ac:dyDescent="0.25">
      <c r="A1652" s="234" t="s">
        <v>4401</v>
      </c>
      <c r="B1652" s="235" t="s">
        <v>4402</v>
      </c>
      <c r="C1652" s="234" t="s">
        <v>248</v>
      </c>
      <c r="D1652" s="312">
        <v>898.4</v>
      </c>
      <c r="E1652" s="316"/>
      <c r="F1652" s="317"/>
      <c r="G1652" s="316"/>
      <c r="H1652" s="316"/>
      <c r="I1652" s="316"/>
      <c r="J1652" s="248">
        <f t="shared" si="176"/>
        <v>0</v>
      </c>
      <c r="K1652" s="330">
        <f t="shared" si="177"/>
        <v>-898.4</v>
      </c>
      <c r="L1652" s="318"/>
      <c r="M1652" s="228">
        <f t="shared" si="178"/>
        <v>0</v>
      </c>
      <c r="N1652" s="228">
        <f t="shared" si="174"/>
        <v>0</v>
      </c>
      <c r="O1652" s="228">
        <f t="shared" si="175"/>
        <v>0</v>
      </c>
      <c r="P1652" s="228">
        <f t="shared" si="175"/>
        <v>0</v>
      </c>
      <c r="Q1652" s="228">
        <f t="shared" si="179"/>
        <v>0</v>
      </c>
      <c r="R1652" s="343">
        <f t="shared" si="180"/>
        <v>-898.4</v>
      </c>
      <c r="S1652" s="240"/>
      <c r="T1652" s="201"/>
      <c r="U1652" s="201"/>
      <c r="V1652" s="201"/>
    </row>
    <row r="1653" spans="1:22" ht="15.75" x14ac:dyDescent="0.25">
      <c r="A1653" s="234" t="s">
        <v>4403</v>
      </c>
      <c r="B1653" s="235" t="s">
        <v>4404</v>
      </c>
      <c r="C1653" s="234" t="s">
        <v>248</v>
      </c>
      <c r="D1653" s="312">
        <v>111.6</v>
      </c>
      <c r="E1653" s="316"/>
      <c r="F1653" s="317"/>
      <c r="G1653" s="316"/>
      <c r="H1653" s="316"/>
      <c r="I1653" s="316"/>
      <c r="J1653" s="248">
        <f t="shared" si="176"/>
        <v>0</v>
      </c>
      <c r="K1653" s="330">
        <f t="shared" si="177"/>
        <v>-111.6</v>
      </c>
      <c r="L1653" s="318"/>
      <c r="M1653" s="228">
        <f t="shared" si="178"/>
        <v>0</v>
      </c>
      <c r="N1653" s="228">
        <f t="shared" si="174"/>
        <v>0</v>
      </c>
      <c r="O1653" s="228">
        <f t="shared" si="175"/>
        <v>0</v>
      </c>
      <c r="P1653" s="228">
        <f t="shared" si="175"/>
        <v>0</v>
      </c>
      <c r="Q1653" s="228">
        <f t="shared" si="179"/>
        <v>0</v>
      </c>
      <c r="R1653" s="343">
        <f t="shared" si="180"/>
        <v>-111.6</v>
      </c>
      <c r="S1653" s="240"/>
      <c r="T1653" s="201"/>
      <c r="U1653" s="201"/>
      <c r="V1653" s="201"/>
    </row>
    <row r="1654" spans="1:22" ht="15.75" x14ac:dyDescent="0.25">
      <c r="A1654" s="234" t="s">
        <v>4405</v>
      </c>
      <c r="B1654" s="235" t="s">
        <v>4406</v>
      </c>
      <c r="C1654" s="234" t="s">
        <v>248</v>
      </c>
      <c r="D1654" s="312">
        <v>4.8</v>
      </c>
      <c r="E1654" s="316"/>
      <c r="F1654" s="317"/>
      <c r="G1654" s="316"/>
      <c r="H1654" s="316"/>
      <c r="I1654" s="316"/>
      <c r="J1654" s="248">
        <f t="shared" si="176"/>
        <v>0</v>
      </c>
      <c r="K1654" s="330">
        <f t="shared" si="177"/>
        <v>-4.8</v>
      </c>
      <c r="L1654" s="318"/>
      <c r="M1654" s="228">
        <f t="shared" si="178"/>
        <v>0</v>
      </c>
      <c r="N1654" s="228">
        <f t="shared" ref="N1654:N1718" si="181">G1654</f>
        <v>0</v>
      </c>
      <c r="O1654" s="228">
        <f t="shared" ref="O1654:P1718" si="182">H1654</f>
        <v>0</v>
      </c>
      <c r="P1654" s="228">
        <f t="shared" si="182"/>
        <v>0</v>
      </c>
      <c r="Q1654" s="228">
        <f t="shared" si="179"/>
        <v>0</v>
      </c>
      <c r="R1654" s="343">
        <f t="shared" si="180"/>
        <v>-4.8</v>
      </c>
      <c r="S1654" s="240"/>
      <c r="T1654" s="201"/>
      <c r="U1654" s="201"/>
      <c r="V1654" s="201"/>
    </row>
    <row r="1655" spans="1:22" ht="15.75" x14ac:dyDescent="0.25">
      <c r="A1655" s="234" t="s">
        <v>4407</v>
      </c>
      <c r="B1655" s="235" t="s">
        <v>4408</v>
      </c>
      <c r="C1655" s="234" t="s">
        <v>248</v>
      </c>
      <c r="D1655" s="312">
        <v>532.79999999999995</v>
      </c>
      <c r="E1655" s="316"/>
      <c r="F1655" s="317"/>
      <c r="G1655" s="316"/>
      <c r="H1655" s="316"/>
      <c r="I1655" s="316"/>
      <c r="J1655" s="248">
        <f t="shared" si="176"/>
        <v>0</v>
      </c>
      <c r="K1655" s="330">
        <f t="shared" si="177"/>
        <v>-532.79999999999995</v>
      </c>
      <c r="L1655" s="318"/>
      <c r="M1655" s="228">
        <f t="shared" si="178"/>
        <v>0</v>
      </c>
      <c r="N1655" s="228">
        <f t="shared" si="181"/>
        <v>0</v>
      </c>
      <c r="O1655" s="228">
        <f t="shared" si="182"/>
        <v>0</v>
      </c>
      <c r="P1655" s="228">
        <f t="shared" si="182"/>
        <v>0</v>
      </c>
      <c r="Q1655" s="228">
        <f t="shared" si="179"/>
        <v>0</v>
      </c>
      <c r="R1655" s="343">
        <f t="shared" si="180"/>
        <v>-532.79999999999995</v>
      </c>
      <c r="S1655" s="240"/>
      <c r="T1655" s="201"/>
      <c r="U1655" s="201"/>
      <c r="V1655" s="201"/>
    </row>
    <row r="1656" spans="1:22" ht="15.75" x14ac:dyDescent="0.25">
      <c r="A1656" s="234" t="s">
        <v>4409</v>
      </c>
      <c r="B1656" s="235" t="s">
        <v>4410</v>
      </c>
      <c r="C1656" s="234" t="s">
        <v>248</v>
      </c>
      <c r="D1656" s="312">
        <v>603.20000000000005</v>
      </c>
      <c r="E1656" s="316"/>
      <c r="F1656" s="317"/>
      <c r="G1656" s="316"/>
      <c r="H1656" s="316"/>
      <c r="I1656" s="316"/>
      <c r="J1656" s="248">
        <f t="shared" si="176"/>
        <v>0</v>
      </c>
      <c r="K1656" s="330">
        <f t="shared" si="177"/>
        <v>-603.20000000000005</v>
      </c>
      <c r="L1656" s="318"/>
      <c r="M1656" s="228">
        <f t="shared" si="178"/>
        <v>0</v>
      </c>
      <c r="N1656" s="228">
        <f t="shared" si="181"/>
        <v>0</v>
      </c>
      <c r="O1656" s="228">
        <f t="shared" si="182"/>
        <v>0</v>
      </c>
      <c r="P1656" s="228">
        <f t="shared" si="182"/>
        <v>0</v>
      </c>
      <c r="Q1656" s="228">
        <f t="shared" si="179"/>
        <v>0</v>
      </c>
      <c r="R1656" s="343">
        <f t="shared" si="180"/>
        <v>-603.20000000000005</v>
      </c>
      <c r="S1656" s="240"/>
      <c r="T1656" s="201"/>
      <c r="U1656" s="201"/>
      <c r="V1656" s="201"/>
    </row>
    <row r="1657" spans="1:22" ht="15.75" x14ac:dyDescent="0.25">
      <c r="A1657" s="234" t="s">
        <v>4411</v>
      </c>
      <c r="B1657" s="235" t="s">
        <v>4412</v>
      </c>
      <c r="C1657" s="234" t="s">
        <v>248</v>
      </c>
      <c r="D1657" s="312">
        <v>734.4</v>
      </c>
      <c r="E1657" s="316"/>
      <c r="F1657" s="317"/>
      <c r="G1657" s="316"/>
      <c r="H1657" s="316"/>
      <c r="I1657" s="316"/>
      <c r="J1657" s="248">
        <f t="shared" si="176"/>
        <v>0</v>
      </c>
      <c r="K1657" s="330">
        <f t="shared" si="177"/>
        <v>-734.4</v>
      </c>
      <c r="L1657" s="318"/>
      <c r="M1657" s="228">
        <f t="shared" si="178"/>
        <v>0</v>
      </c>
      <c r="N1657" s="228">
        <f t="shared" si="181"/>
        <v>0</v>
      </c>
      <c r="O1657" s="228">
        <f t="shared" si="182"/>
        <v>0</v>
      </c>
      <c r="P1657" s="228">
        <f t="shared" si="182"/>
        <v>0</v>
      </c>
      <c r="Q1657" s="228">
        <f t="shared" si="179"/>
        <v>0</v>
      </c>
      <c r="R1657" s="343">
        <f t="shared" si="180"/>
        <v>-734.4</v>
      </c>
      <c r="S1657" s="240"/>
      <c r="T1657" s="201"/>
      <c r="U1657" s="201"/>
      <c r="V1657" s="201"/>
    </row>
    <row r="1658" spans="1:22" ht="15.75" x14ac:dyDescent="0.25">
      <c r="A1658" s="234" t="s">
        <v>4413</v>
      </c>
      <c r="B1658" s="235" t="s">
        <v>4414</v>
      </c>
      <c r="C1658" s="234" t="s">
        <v>248</v>
      </c>
      <c r="D1658" s="312">
        <v>431.6</v>
      </c>
      <c r="E1658" s="316"/>
      <c r="F1658" s="317"/>
      <c r="G1658" s="316"/>
      <c r="H1658" s="316"/>
      <c r="I1658" s="316"/>
      <c r="J1658" s="248">
        <f t="shared" si="176"/>
        <v>0</v>
      </c>
      <c r="K1658" s="330">
        <f t="shared" si="177"/>
        <v>-431.6</v>
      </c>
      <c r="L1658" s="318"/>
      <c r="M1658" s="228">
        <f t="shared" si="178"/>
        <v>0</v>
      </c>
      <c r="N1658" s="228">
        <f t="shared" si="181"/>
        <v>0</v>
      </c>
      <c r="O1658" s="228">
        <f t="shared" si="182"/>
        <v>0</v>
      </c>
      <c r="P1658" s="228">
        <f t="shared" si="182"/>
        <v>0</v>
      </c>
      <c r="Q1658" s="228">
        <f t="shared" si="179"/>
        <v>0</v>
      </c>
      <c r="R1658" s="343">
        <f t="shared" si="180"/>
        <v>-431.6</v>
      </c>
      <c r="S1658" s="240"/>
      <c r="T1658" s="201"/>
      <c r="U1658" s="201"/>
      <c r="V1658" s="201"/>
    </row>
    <row r="1659" spans="1:22" ht="15.75" x14ac:dyDescent="0.25">
      <c r="A1659" s="234"/>
      <c r="B1659" s="235"/>
      <c r="C1659" s="234"/>
      <c r="D1659" s="312"/>
      <c r="E1659" s="316"/>
      <c r="F1659" s="317"/>
      <c r="G1659" s="316"/>
      <c r="H1659" s="316"/>
      <c r="I1659" s="316"/>
      <c r="J1659" s="248"/>
      <c r="K1659" s="330"/>
      <c r="L1659" s="318"/>
      <c r="M1659" s="228"/>
      <c r="N1659" s="228"/>
      <c r="O1659" s="228"/>
      <c r="P1659" s="228"/>
      <c r="Q1659" s="228"/>
      <c r="R1659" s="343"/>
      <c r="S1659" s="240"/>
      <c r="T1659" s="201"/>
      <c r="U1659" s="201"/>
      <c r="V1659" s="201"/>
    </row>
    <row r="1660" spans="1:22" ht="15.75" x14ac:dyDescent="0.25">
      <c r="A1660" s="230" t="s">
        <v>1914</v>
      </c>
      <c r="B1660" s="231" t="s">
        <v>1913</v>
      </c>
      <c r="C1660" s="230"/>
      <c r="D1660" s="316"/>
      <c r="E1660" s="316"/>
      <c r="F1660" s="317"/>
      <c r="G1660" s="316"/>
      <c r="H1660" s="316"/>
      <c r="I1660" s="316"/>
      <c r="J1660" s="248">
        <f t="shared" si="176"/>
        <v>0</v>
      </c>
      <c r="K1660" s="330">
        <f t="shared" si="177"/>
        <v>0</v>
      </c>
      <c r="L1660" s="318"/>
      <c r="M1660" s="228">
        <f t="shared" si="178"/>
        <v>0</v>
      </c>
      <c r="N1660" s="228">
        <f t="shared" si="181"/>
        <v>0</v>
      </c>
      <c r="O1660" s="228">
        <f t="shared" si="182"/>
        <v>0</v>
      </c>
      <c r="P1660" s="228">
        <f t="shared" si="182"/>
        <v>0</v>
      </c>
      <c r="Q1660" s="228">
        <f t="shared" si="179"/>
        <v>0</v>
      </c>
      <c r="R1660" s="343">
        <f t="shared" si="180"/>
        <v>0</v>
      </c>
      <c r="S1660" s="240"/>
      <c r="T1660" s="201"/>
      <c r="U1660" s="201"/>
      <c r="V1660" s="201"/>
    </row>
    <row r="1661" spans="1:22" ht="30" x14ac:dyDescent="0.25">
      <c r="A1661" s="234" t="s">
        <v>1915</v>
      </c>
      <c r="B1661" s="235" t="s">
        <v>1916</v>
      </c>
      <c r="C1661" s="234" t="s">
        <v>27</v>
      </c>
      <c r="D1661" s="312">
        <v>2.5249999999999999</v>
      </c>
      <c r="E1661" s="312"/>
      <c r="F1661" s="248"/>
      <c r="G1661" s="312"/>
      <c r="H1661" s="312"/>
      <c r="I1661" s="312"/>
      <c r="J1661" s="248">
        <f t="shared" si="176"/>
        <v>0</v>
      </c>
      <c r="K1661" s="330">
        <f t="shared" si="177"/>
        <v>-2.5249999999999999</v>
      </c>
      <c r="L1661" s="313"/>
      <c r="M1661" s="228">
        <f t="shared" si="178"/>
        <v>0</v>
      </c>
      <c r="N1661" s="228">
        <f t="shared" si="181"/>
        <v>0</v>
      </c>
      <c r="O1661" s="228">
        <f t="shared" si="182"/>
        <v>0</v>
      </c>
      <c r="P1661" s="228">
        <f t="shared" si="182"/>
        <v>0</v>
      </c>
      <c r="Q1661" s="228">
        <f t="shared" si="179"/>
        <v>0</v>
      </c>
      <c r="R1661" s="343">
        <f t="shared" si="180"/>
        <v>-2.5249999999999999</v>
      </c>
      <c r="S1661" s="240"/>
      <c r="T1661" s="201"/>
      <c r="U1661" s="201"/>
      <c r="V1661" s="201"/>
    </row>
    <row r="1662" spans="1:22" ht="36" customHeight="1" x14ac:dyDescent="0.25">
      <c r="A1662" s="234" t="s">
        <v>1917</v>
      </c>
      <c r="B1662" s="235" t="s">
        <v>1918</v>
      </c>
      <c r="C1662" s="234" t="s">
        <v>27</v>
      </c>
      <c r="D1662" s="312">
        <v>0.54300000000000004</v>
      </c>
      <c r="E1662" s="312"/>
      <c r="F1662" s="248"/>
      <c r="G1662" s="312"/>
      <c r="H1662" s="312"/>
      <c r="I1662" s="312"/>
      <c r="J1662" s="248">
        <f t="shared" si="176"/>
        <v>0</v>
      </c>
      <c r="K1662" s="330">
        <f t="shared" si="177"/>
        <v>-0.54300000000000004</v>
      </c>
      <c r="L1662" s="313"/>
      <c r="M1662" s="228">
        <f t="shared" si="178"/>
        <v>0</v>
      </c>
      <c r="N1662" s="228">
        <f t="shared" si="181"/>
        <v>0</v>
      </c>
      <c r="O1662" s="228">
        <f t="shared" si="182"/>
        <v>0</v>
      </c>
      <c r="P1662" s="228">
        <f t="shared" si="182"/>
        <v>0</v>
      </c>
      <c r="Q1662" s="228">
        <f t="shared" si="179"/>
        <v>0</v>
      </c>
      <c r="R1662" s="343">
        <f t="shared" si="180"/>
        <v>-0.54300000000000004</v>
      </c>
      <c r="S1662" s="240"/>
      <c r="T1662" s="201"/>
      <c r="U1662" s="201"/>
      <c r="V1662" s="201"/>
    </row>
    <row r="1663" spans="1:22" ht="15.75" x14ac:dyDescent="0.25">
      <c r="A1663" s="234" t="s">
        <v>1919</v>
      </c>
      <c r="B1663" s="235" t="s">
        <v>1920</v>
      </c>
      <c r="C1663" s="234" t="s">
        <v>27</v>
      </c>
      <c r="D1663" s="312">
        <v>0.27100000000000002</v>
      </c>
      <c r="E1663" s="312"/>
      <c r="F1663" s="248"/>
      <c r="G1663" s="312"/>
      <c r="H1663" s="312"/>
      <c r="I1663" s="312"/>
      <c r="J1663" s="248">
        <f t="shared" si="176"/>
        <v>0</v>
      </c>
      <c r="K1663" s="330">
        <f t="shared" si="177"/>
        <v>-0.27100000000000002</v>
      </c>
      <c r="L1663" s="313"/>
      <c r="M1663" s="228">
        <f t="shared" si="178"/>
        <v>0</v>
      </c>
      <c r="N1663" s="228">
        <f t="shared" si="181"/>
        <v>0</v>
      </c>
      <c r="O1663" s="228">
        <f t="shared" si="182"/>
        <v>0</v>
      </c>
      <c r="P1663" s="228">
        <f t="shared" si="182"/>
        <v>0</v>
      </c>
      <c r="Q1663" s="228">
        <f t="shared" si="179"/>
        <v>0</v>
      </c>
      <c r="R1663" s="343">
        <f t="shared" si="180"/>
        <v>-0.27100000000000002</v>
      </c>
      <c r="S1663" s="240"/>
      <c r="T1663" s="201"/>
      <c r="U1663" s="201"/>
      <c r="V1663" s="201"/>
    </row>
    <row r="1664" spans="1:22" ht="15.75" x14ac:dyDescent="0.25">
      <c r="A1664" s="234" t="s">
        <v>1921</v>
      </c>
      <c r="B1664" s="235" t="s">
        <v>1922</v>
      </c>
      <c r="C1664" s="234" t="s">
        <v>27</v>
      </c>
      <c r="D1664" s="312">
        <v>2.4340000000000002</v>
      </c>
      <c r="E1664" s="312"/>
      <c r="F1664" s="248"/>
      <c r="G1664" s="312"/>
      <c r="H1664" s="312"/>
      <c r="I1664" s="312"/>
      <c r="J1664" s="248">
        <f t="shared" si="176"/>
        <v>0</v>
      </c>
      <c r="K1664" s="330">
        <f t="shared" si="177"/>
        <v>-2.4340000000000002</v>
      </c>
      <c r="L1664" s="313"/>
      <c r="M1664" s="228">
        <f t="shared" si="178"/>
        <v>0</v>
      </c>
      <c r="N1664" s="228">
        <f t="shared" si="181"/>
        <v>0</v>
      </c>
      <c r="O1664" s="228">
        <f t="shared" si="182"/>
        <v>0</v>
      </c>
      <c r="P1664" s="228">
        <f t="shared" si="182"/>
        <v>0</v>
      </c>
      <c r="Q1664" s="228">
        <f t="shared" si="179"/>
        <v>0</v>
      </c>
      <c r="R1664" s="343">
        <f t="shared" si="180"/>
        <v>-2.4340000000000002</v>
      </c>
      <c r="S1664" s="240"/>
      <c r="T1664" s="201"/>
      <c r="U1664" s="201"/>
      <c r="V1664" s="201"/>
    </row>
    <row r="1665" spans="1:22" ht="15.75" x14ac:dyDescent="0.25">
      <c r="A1665" s="234" t="s">
        <v>1923</v>
      </c>
      <c r="B1665" s="235" t="s">
        <v>1924</v>
      </c>
      <c r="C1665" s="234" t="s">
        <v>61</v>
      </c>
      <c r="D1665" s="312">
        <v>2.31</v>
      </c>
      <c r="E1665" s="312"/>
      <c r="F1665" s="248"/>
      <c r="G1665" s="312"/>
      <c r="H1665" s="312"/>
      <c r="I1665" s="312"/>
      <c r="J1665" s="248">
        <f t="shared" si="176"/>
        <v>0</v>
      </c>
      <c r="K1665" s="330">
        <f t="shared" si="177"/>
        <v>-2.31</v>
      </c>
      <c r="L1665" s="313"/>
      <c r="M1665" s="228">
        <f t="shared" si="178"/>
        <v>0</v>
      </c>
      <c r="N1665" s="228">
        <f t="shared" si="181"/>
        <v>0</v>
      </c>
      <c r="O1665" s="228">
        <f t="shared" si="182"/>
        <v>0</v>
      </c>
      <c r="P1665" s="228">
        <f t="shared" si="182"/>
        <v>0</v>
      </c>
      <c r="Q1665" s="228">
        <f t="shared" si="179"/>
        <v>0</v>
      </c>
      <c r="R1665" s="343">
        <f t="shared" si="180"/>
        <v>-2.31</v>
      </c>
      <c r="S1665" s="240"/>
      <c r="T1665" s="201"/>
      <c r="U1665" s="201"/>
      <c r="V1665" s="201"/>
    </row>
    <row r="1666" spans="1:22" ht="30" x14ac:dyDescent="0.25">
      <c r="A1666" s="234" t="s">
        <v>1925</v>
      </c>
      <c r="B1666" s="235" t="s">
        <v>1926</v>
      </c>
      <c r="C1666" s="234" t="s">
        <v>61</v>
      </c>
      <c r="D1666" s="312">
        <v>14.936</v>
      </c>
      <c r="E1666" s="312"/>
      <c r="F1666" s="248"/>
      <c r="G1666" s="312"/>
      <c r="H1666" s="312"/>
      <c r="I1666" s="312"/>
      <c r="J1666" s="248">
        <f t="shared" si="176"/>
        <v>0</v>
      </c>
      <c r="K1666" s="330">
        <f t="shared" si="177"/>
        <v>-14.936</v>
      </c>
      <c r="L1666" s="313"/>
      <c r="M1666" s="228">
        <f t="shared" si="178"/>
        <v>0</v>
      </c>
      <c r="N1666" s="228">
        <f t="shared" si="181"/>
        <v>0</v>
      </c>
      <c r="O1666" s="228">
        <f t="shared" si="182"/>
        <v>0</v>
      </c>
      <c r="P1666" s="228">
        <f t="shared" si="182"/>
        <v>0</v>
      </c>
      <c r="Q1666" s="228">
        <f t="shared" si="179"/>
        <v>0</v>
      </c>
      <c r="R1666" s="343">
        <f t="shared" si="180"/>
        <v>-14.936</v>
      </c>
      <c r="S1666" s="240"/>
      <c r="T1666" s="201"/>
      <c r="U1666" s="201"/>
      <c r="V1666" s="201"/>
    </row>
    <row r="1667" spans="1:22" ht="30" x14ac:dyDescent="0.25">
      <c r="A1667" s="234" t="s">
        <v>1927</v>
      </c>
      <c r="B1667" s="235" t="s">
        <v>1928</v>
      </c>
      <c r="C1667" s="234" t="s">
        <v>61</v>
      </c>
      <c r="D1667" s="312">
        <v>14.936</v>
      </c>
      <c r="E1667" s="312"/>
      <c r="F1667" s="248"/>
      <c r="G1667" s="312"/>
      <c r="H1667" s="312"/>
      <c r="I1667" s="312"/>
      <c r="J1667" s="248">
        <f t="shared" si="176"/>
        <v>0</v>
      </c>
      <c r="K1667" s="330">
        <f t="shared" si="177"/>
        <v>-14.936</v>
      </c>
      <c r="L1667" s="313"/>
      <c r="M1667" s="228">
        <f t="shared" si="178"/>
        <v>0</v>
      </c>
      <c r="N1667" s="228">
        <f t="shared" si="181"/>
        <v>0</v>
      </c>
      <c r="O1667" s="228">
        <f t="shared" si="182"/>
        <v>0</v>
      </c>
      <c r="P1667" s="228">
        <f t="shared" si="182"/>
        <v>0</v>
      </c>
      <c r="Q1667" s="228">
        <f t="shared" si="179"/>
        <v>0</v>
      </c>
      <c r="R1667" s="343">
        <f t="shared" si="180"/>
        <v>-14.936</v>
      </c>
      <c r="S1667" s="240"/>
      <c r="T1667" s="201"/>
      <c r="U1667" s="201"/>
      <c r="V1667" s="201"/>
    </row>
    <row r="1668" spans="1:22" ht="30" x14ac:dyDescent="0.25">
      <c r="A1668" s="234" t="s">
        <v>1929</v>
      </c>
      <c r="B1668" s="235" t="s">
        <v>1930</v>
      </c>
      <c r="C1668" s="234" t="s">
        <v>52</v>
      </c>
      <c r="D1668" s="312">
        <v>0.52</v>
      </c>
      <c r="E1668" s="312"/>
      <c r="F1668" s="248"/>
      <c r="G1668" s="312"/>
      <c r="H1668" s="312"/>
      <c r="I1668" s="312"/>
      <c r="J1668" s="248">
        <f t="shared" si="176"/>
        <v>0</v>
      </c>
      <c r="K1668" s="330">
        <f t="shared" si="177"/>
        <v>-0.52</v>
      </c>
      <c r="L1668" s="313"/>
      <c r="M1668" s="228">
        <f t="shared" si="178"/>
        <v>0</v>
      </c>
      <c r="N1668" s="228">
        <f t="shared" si="181"/>
        <v>0</v>
      </c>
      <c r="O1668" s="228">
        <f t="shared" si="182"/>
        <v>0</v>
      </c>
      <c r="P1668" s="228">
        <f t="shared" si="182"/>
        <v>0</v>
      </c>
      <c r="Q1668" s="228">
        <f t="shared" si="179"/>
        <v>0</v>
      </c>
      <c r="R1668" s="343">
        <f t="shared" si="180"/>
        <v>-0.52</v>
      </c>
      <c r="S1668" s="240"/>
      <c r="T1668" s="201"/>
      <c r="U1668" s="201"/>
      <c r="V1668" s="201"/>
    </row>
    <row r="1669" spans="1:22" ht="33" customHeight="1" x14ac:dyDescent="0.25">
      <c r="A1669" s="234" t="s">
        <v>1931</v>
      </c>
      <c r="B1669" s="235" t="s">
        <v>1932</v>
      </c>
      <c r="C1669" s="234" t="s">
        <v>9</v>
      </c>
      <c r="D1669" s="312">
        <v>2</v>
      </c>
      <c r="E1669" s="312"/>
      <c r="F1669" s="248"/>
      <c r="G1669" s="312"/>
      <c r="H1669" s="312"/>
      <c r="I1669" s="312"/>
      <c r="J1669" s="248">
        <f t="shared" si="176"/>
        <v>0</v>
      </c>
      <c r="K1669" s="330">
        <f t="shared" si="177"/>
        <v>-2</v>
      </c>
      <c r="L1669" s="313"/>
      <c r="M1669" s="228">
        <f t="shared" si="178"/>
        <v>0</v>
      </c>
      <c r="N1669" s="228">
        <f t="shared" si="181"/>
        <v>0</v>
      </c>
      <c r="O1669" s="228">
        <f t="shared" si="182"/>
        <v>0</v>
      </c>
      <c r="P1669" s="228">
        <f t="shared" si="182"/>
        <v>0</v>
      </c>
      <c r="Q1669" s="228">
        <f t="shared" si="179"/>
        <v>0</v>
      </c>
      <c r="R1669" s="343">
        <f t="shared" si="180"/>
        <v>-2</v>
      </c>
      <c r="S1669" s="240"/>
      <c r="T1669" s="201"/>
      <c r="U1669" s="201"/>
      <c r="V1669" s="201"/>
    </row>
    <row r="1670" spans="1:22" ht="15.75" x14ac:dyDescent="0.25">
      <c r="A1670" s="230" t="s">
        <v>1933</v>
      </c>
      <c r="B1670" s="231" t="s">
        <v>1934</v>
      </c>
      <c r="C1670" s="230"/>
      <c r="D1670" s="316"/>
      <c r="E1670" s="316"/>
      <c r="F1670" s="317"/>
      <c r="G1670" s="316"/>
      <c r="H1670" s="316"/>
      <c r="I1670" s="316"/>
      <c r="J1670" s="248">
        <f t="shared" si="176"/>
        <v>0</v>
      </c>
      <c r="K1670" s="330">
        <f t="shared" si="177"/>
        <v>0</v>
      </c>
      <c r="L1670" s="318"/>
      <c r="M1670" s="228">
        <f t="shared" si="178"/>
        <v>0</v>
      </c>
      <c r="N1670" s="228">
        <f t="shared" si="181"/>
        <v>0</v>
      </c>
      <c r="O1670" s="228">
        <f t="shared" si="182"/>
        <v>0</v>
      </c>
      <c r="P1670" s="228">
        <f t="shared" si="182"/>
        <v>0</v>
      </c>
      <c r="Q1670" s="228">
        <f t="shared" si="179"/>
        <v>0</v>
      </c>
      <c r="R1670" s="343">
        <f t="shared" si="180"/>
        <v>0</v>
      </c>
      <c r="S1670" s="240"/>
      <c r="T1670" s="201"/>
      <c r="U1670" s="201"/>
      <c r="V1670" s="201"/>
    </row>
    <row r="1671" spans="1:22" ht="30" x14ac:dyDescent="0.25">
      <c r="A1671" s="234" t="s">
        <v>1935</v>
      </c>
      <c r="B1671" s="235" t="s">
        <v>1936</v>
      </c>
      <c r="C1671" s="234" t="s">
        <v>27</v>
      </c>
      <c r="D1671" s="312">
        <v>4.3999999999999997E-2</v>
      </c>
      <c r="E1671" s="312"/>
      <c r="F1671" s="248"/>
      <c r="G1671" s="312"/>
      <c r="H1671" s="312"/>
      <c r="I1671" s="312"/>
      <c r="J1671" s="248">
        <f t="shared" si="176"/>
        <v>0</v>
      </c>
      <c r="K1671" s="330">
        <f t="shared" si="177"/>
        <v>-4.3999999999999997E-2</v>
      </c>
      <c r="L1671" s="313"/>
      <c r="M1671" s="228">
        <f t="shared" si="178"/>
        <v>0</v>
      </c>
      <c r="N1671" s="228">
        <f t="shared" si="181"/>
        <v>0</v>
      </c>
      <c r="O1671" s="228">
        <f t="shared" si="182"/>
        <v>0</v>
      </c>
      <c r="P1671" s="228">
        <f t="shared" si="182"/>
        <v>0</v>
      </c>
      <c r="Q1671" s="228">
        <f t="shared" si="179"/>
        <v>0</v>
      </c>
      <c r="R1671" s="343">
        <f t="shared" si="180"/>
        <v>-4.3999999999999997E-2</v>
      </c>
      <c r="S1671" s="240"/>
      <c r="T1671" s="201"/>
      <c r="U1671" s="201"/>
      <c r="V1671" s="201"/>
    </row>
    <row r="1672" spans="1:22" ht="30" x14ac:dyDescent="0.25">
      <c r="A1672" s="234" t="s">
        <v>1937</v>
      </c>
      <c r="B1672" s="235" t="s">
        <v>1938</v>
      </c>
      <c r="C1672" s="234" t="s">
        <v>27</v>
      </c>
      <c r="D1672" s="312">
        <v>6.4000000000000001E-2</v>
      </c>
      <c r="E1672" s="312"/>
      <c r="F1672" s="248"/>
      <c r="G1672" s="312"/>
      <c r="H1672" s="312"/>
      <c r="I1672" s="312"/>
      <c r="J1672" s="248">
        <f t="shared" si="176"/>
        <v>0</v>
      </c>
      <c r="K1672" s="330">
        <f t="shared" si="177"/>
        <v>-6.4000000000000001E-2</v>
      </c>
      <c r="L1672" s="313"/>
      <c r="M1672" s="228">
        <f t="shared" si="178"/>
        <v>0</v>
      </c>
      <c r="N1672" s="228">
        <f t="shared" si="181"/>
        <v>0</v>
      </c>
      <c r="O1672" s="228">
        <f t="shared" si="182"/>
        <v>0</v>
      </c>
      <c r="P1672" s="228">
        <f t="shared" si="182"/>
        <v>0</v>
      </c>
      <c r="Q1672" s="228">
        <f t="shared" si="179"/>
        <v>0</v>
      </c>
      <c r="R1672" s="343">
        <f t="shared" si="180"/>
        <v>-6.4000000000000001E-2</v>
      </c>
      <c r="S1672" s="240"/>
      <c r="T1672" s="201"/>
      <c r="U1672" s="201"/>
      <c r="V1672" s="201"/>
    </row>
    <row r="1673" spans="1:22" ht="30" x14ac:dyDescent="0.25">
      <c r="A1673" s="234" t="s">
        <v>1939</v>
      </c>
      <c r="B1673" s="235" t="s">
        <v>1940</v>
      </c>
      <c r="C1673" s="234" t="s">
        <v>37</v>
      </c>
      <c r="D1673" s="312">
        <v>8.9779999999999998</v>
      </c>
      <c r="E1673" s="312"/>
      <c r="F1673" s="248"/>
      <c r="G1673" s="312"/>
      <c r="H1673" s="312"/>
      <c r="I1673" s="312"/>
      <c r="J1673" s="248">
        <f t="shared" si="176"/>
        <v>0</v>
      </c>
      <c r="K1673" s="330">
        <f t="shared" si="177"/>
        <v>-8.9779999999999998</v>
      </c>
      <c r="L1673" s="313"/>
      <c r="M1673" s="228">
        <f t="shared" si="178"/>
        <v>0</v>
      </c>
      <c r="N1673" s="228">
        <f t="shared" si="181"/>
        <v>0</v>
      </c>
      <c r="O1673" s="228">
        <f t="shared" si="182"/>
        <v>0</v>
      </c>
      <c r="P1673" s="228">
        <f t="shared" si="182"/>
        <v>0</v>
      </c>
      <c r="Q1673" s="228">
        <f t="shared" si="179"/>
        <v>0</v>
      </c>
      <c r="R1673" s="343">
        <f t="shared" si="180"/>
        <v>-8.9779999999999998</v>
      </c>
      <c r="S1673" s="240"/>
      <c r="T1673" s="201"/>
      <c r="U1673" s="201"/>
      <c r="V1673" s="201"/>
    </row>
    <row r="1674" spans="1:22" ht="30" x14ac:dyDescent="0.25">
      <c r="A1674" s="234" t="s">
        <v>1941</v>
      </c>
      <c r="B1674" s="235" t="s">
        <v>1942</v>
      </c>
      <c r="C1674" s="234" t="s">
        <v>37</v>
      </c>
      <c r="D1674" s="312">
        <v>9.5969999999999995</v>
      </c>
      <c r="E1674" s="312"/>
      <c r="F1674" s="248"/>
      <c r="G1674" s="312"/>
      <c r="H1674" s="312"/>
      <c r="I1674" s="312"/>
      <c r="J1674" s="248">
        <f t="shared" si="176"/>
        <v>0</v>
      </c>
      <c r="K1674" s="330">
        <f t="shared" si="177"/>
        <v>-9.5969999999999995</v>
      </c>
      <c r="L1674" s="313"/>
      <c r="M1674" s="228">
        <f t="shared" si="178"/>
        <v>0</v>
      </c>
      <c r="N1674" s="228">
        <f t="shared" si="181"/>
        <v>0</v>
      </c>
      <c r="O1674" s="228">
        <f t="shared" si="182"/>
        <v>0</v>
      </c>
      <c r="P1674" s="228">
        <f t="shared" si="182"/>
        <v>0</v>
      </c>
      <c r="Q1674" s="228">
        <f t="shared" si="179"/>
        <v>0</v>
      </c>
      <c r="R1674" s="343">
        <f t="shared" si="180"/>
        <v>-9.5969999999999995</v>
      </c>
      <c r="S1674" s="240"/>
      <c r="T1674" s="201"/>
      <c r="U1674" s="201"/>
      <c r="V1674" s="201"/>
    </row>
    <row r="1675" spans="1:22" ht="15.75" x14ac:dyDescent="0.25">
      <c r="A1675" s="234" t="s">
        <v>1943</v>
      </c>
      <c r="B1675" s="235" t="s">
        <v>1944</v>
      </c>
      <c r="C1675" s="234" t="s">
        <v>61</v>
      </c>
      <c r="D1675" s="312">
        <v>5.0999999999999997E-2</v>
      </c>
      <c r="E1675" s="312"/>
      <c r="F1675" s="248"/>
      <c r="G1675" s="312"/>
      <c r="H1675" s="312"/>
      <c r="I1675" s="312"/>
      <c r="J1675" s="248">
        <f t="shared" si="176"/>
        <v>0</v>
      </c>
      <c r="K1675" s="330">
        <f t="shared" si="177"/>
        <v>-5.0999999999999997E-2</v>
      </c>
      <c r="L1675" s="313"/>
      <c r="M1675" s="228">
        <f t="shared" si="178"/>
        <v>0</v>
      </c>
      <c r="N1675" s="228">
        <f t="shared" si="181"/>
        <v>0</v>
      </c>
      <c r="O1675" s="228">
        <f t="shared" si="182"/>
        <v>0</v>
      </c>
      <c r="P1675" s="228">
        <f t="shared" si="182"/>
        <v>0</v>
      </c>
      <c r="Q1675" s="228">
        <f t="shared" si="179"/>
        <v>0</v>
      </c>
      <c r="R1675" s="343">
        <f t="shared" si="180"/>
        <v>-5.0999999999999997E-2</v>
      </c>
      <c r="S1675" s="240"/>
      <c r="T1675" s="201"/>
      <c r="U1675" s="201"/>
      <c r="V1675" s="201"/>
    </row>
    <row r="1676" spans="1:22" ht="45" x14ac:dyDescent="0.25">
      <c r="A1676" s="234" t="s">
        <v>1945</v>
      </c>
      <c r="B1676" s="235" t="s">
        <v>1946</v>
      </c>
      <c r="C1676" s="234" t="s">
        <v>37</v>
      </c>
      <c r="D1676" s="312">
        <v>3.1139999999999999</v>
      </c>
      <c r="E1676" s="312"/>
      <c r="F1676" s="248"/>
      <c r="G1676" s="312"/>
      <c r="H1676" s="312"/>
      <c r="I1676" s="312"/>
      <c r="J1676" s="248">
        <f t="shared" si="176"/>
        <v>0</v>
      </c>
      <c r="K1676" s="330">
        <f t="shared" si="177"/>
        <v>-3.1139999999999999</v>
      </c>
      <c r="L1676" s="313"/>
      <c r="M1676" s="228">
        <f t="shared" si="178"/>
        <v>0</v>
      </c>
      <c r="N1676" s="228">
        <f t="shared" si="181"/>
        <v>0</v>
      </c>
      <c r="O1676" s="228">
        <f t="shared" si="182"/>
        <v>0</v>
      </c>
      <c r="P1676" s="228">
        <f t="shared" si="182"/>
        <v>0</v>
      </c>
      <c r="Q1676" s="228">
        <f t="shared" si="179"/>
        <v>0</v>
      </c>
      <c r="R1676" s="343">
        <f t="shared" si="180"/>
        <v>-3.1139999999999999</v>
      </c>
      <c r="S1676" s="240"/>
      <c r="T1676" s="201"/>
      <c r="U1676" s="201"/>
      <c r="V1676" s="201"/>
    </row>
    <row r="1677" spans="1:22" ht="45" x14ac:dyDescent="0.25">
      <c r="A1677" s="234" t="s">
        <v>1947</v>
      </c>
      <c r="B1677" s="235" t="s">
        <v>1948</v>
      </c>
      <c r="C1677" s="234" t="s">
        <v>61</v>
      </c>
      <c r="D1677" s="312">
        <v>0.41499999999999998</v>
      </c>
      <c r="E1677" s="312"/>
      <c r="F1677" s="248"/>
      <c r="G1677" s="312"/>
      <c r="H1677" s="312"/>
      <c r="I1677" s="312"/>
      <c r="J1677" s="248">
        <f t="shared" si="176"/>
        <v>0</v>
      </c>
      <c r="K1677" s="330">
        <f t="shared" si="177"/>
        <v>-0.41499999999999998</v>
      </c>
      <c r="L1677" s="313"/>
      <c r="M1677" s="228">
        <f t="shared" si="178"/>
        <v>0</v>
      </c>
      <c r="N1677" s="228">
        <f t="shared" si="181"/>
        <v>0</v>
      </c>
      <c r="O1677" s="228">
        <f t="shared" si="182"/>
        <v>0</v>
      </c>
      <c r="P1677" s="228">
        <f t="shared" si="182"/>
        <v>0</v>
      </c>
      <c r="Q1677" s="228">
        <f t="shared" si="179"/>
        <v>0</v>
      </c>
      <c r="R1677" s="343">
        <f t="shared" si="180"/>
        <v>-0.41499999999999998</v>
      </c>
      <c r="S1677" s="240"/>
      <c r="T1677" s="201"/>
      <c r="U1677" s="201"/>
      <c r="V1677" s="201"/>
    </row>
    <row r="1678" spans="1:22" ht="30" x14ac:dyDescent="0.25">
      <c r="A1678" s="234" t="s">
        <v>1949</v>
      </c>
      <c r="B1678" s="235" t="s">
        <v>1950</v>
      </c>
      <c r="C1678" s="234" t="s">
        <v>37</v>
      </c>
      <c r="D1678" s="312">
        <v>2.375</v>
      </c>
      <c r="E1678" s="312"/>
      <c r="F1678" s="248"/>
      <c r="G1678" s="312"/>
      <c r="H1678" s="312"/>
      <c r="I1678" s="312"/>
      <c r="J1678" s="248">
        <f t="shared" si="176"/>
        <v>0</v>
      </c>
      <c r="K1678" s="330">
        <f t="shared" si="177"/>
        <v>-2.375</v>
      </c>
      <c r="L1678" s="313"/>
      <c r="M1678" s="228">
        <f t="shared" si="178"/>
        <v>0</v>
      </c>
      <c r="N1678" s="228">
        <f t="shared" si="181"/>
        <v>0</v>
      </c>
      <c r="O1678" s="228">
        <f t="shared" si="182"/>
        <v>0</v>
      </c>
      <c r="P1678" s="228">
        <f t="shared" si="182"/>
        <v>0</v>
      </c>
      <c r="Q1678" s="228">
        <f t="shared" si="179"/>
        <v>0</v>
      </c>
      <c r="R1678" s="343">
        <f t="shared" si="180"/>
        <v>-2.375</v>
      </c>
      <c r="S1678" s="240"/>
      <c r="T1678" s="201"/>
      <c r="U1678" s="201"/>
      <c r="V1678" s="201"/>
    </row>
    <row r="1679" spans="1:22" ht="45" x14ac:dyDescent="0.25">
      <c r="A1679" s="234" t="s">
        <v>1951</v>
      </c>
      <c r="B1679" s="235" t="s">
        <v>1952</v>
      </c>
      <c r="C1679" s="234" t="s">
        <v>61</v>
      </c>
      <c r="D1679" s="312">
        <v>0.17499999999999999</v>
      </c>
      <c r="E1679" s="312"/>
      <c r="F1679" s="248"/>
      <c r="G1679" s="312"/>
      <c r="H1679" s="312"/>
      <c r="I1679" s="312"/>
      <c r="J1679" s="248">
        <f t="shared" si="176"/>
        <v>0</v>
      </c>
      <c r="K1679" s="330">
        <f t="shared" si="177"/>
        <v>-0.17499999999999999</v>
      </c>
      <c r="L1679" s="313"/>
      <c r="M1679" s="228">
        <f t="shared" si="178"/>
        <v>0</v>
      </c>
      <c r="N1679" s="228">
        <f t="shared" si="181"/>
        <v>0</v>
      </c>
      <c r="O1679" s="228">
        <f t="shared" si="182"/>
        <v>0</v>
      </c>
      <c r="P1679" s="228">
        <f t="shared" si="182"/>
        <v>0</v>
      </c>
      <c r="Q1679" s="228">
        <f t="shared" si="179"/>
        <v>0</v>
      </c>
      <c r="R1679" s="343">
        <f t="shared" si="180"/>
        <v>-0.17499999999999999</v>
      </c>
      <c r="S1679" s="240"/>
      <c r="T1679" s="201"/>
      <c r="U1679" s="201"/>
      <c r="V1679" s="201"/>
    </row>
    <row r="1680" spans="1:22" ht="30" x14ac:dyDescent="0.25">
      <c r="A1680" s="234" t="s">
        <v>1953</v>
      </c>
      <c r="B1680" s="235" t="s">
        <v>1954</v>
      </c>
      <c r="C1680" s="234" t="s">
        <v>32</v>
      </c>
      <c r="D1680" s="312">
        <v>1.5960000000000001</v>
      </c>
      <c r="E1680" s="312"/>
      <c r="F1680" s="248"/>
      <c r="G1680" s="312"/>
      <c r="H1680" s="312"/>
      <c r="I1680" s="312"/>
      <c r="J1680" s="248">
        <f t="shared" si="176"/>
        <v>0</v>
      </c>
      <c r="K1680" s="330">
        <f t="shared" si="177"/>
        <v>-1.5960000000000001</v>
      </c>
      <c r="L1680" s="313"/>
      <c r="M1680" s="228">
        <f t="shared" si="178"/>
        <v>0</v>
      </c>
      <c r="N1680" s="228">
        <f t="shared" si="181"/>
        <v>0</v>
      </c>
      <c r="O1680" s="228">
        <f t="shared" si="182"/>
        <v>0</v>
      </c>
      <c r="P1680" s="228">
        <f t="shared" si="182"/>
        <v>0</v>
      </c>
      <c r="Q1680" s="228">
        <f t="shared" si="179"/>
        <v>0</v>
      </c>
      <c r="R1680" s="343">
        <f t="shared" si="180"/>
        <v>-1.5960000000000001</v>
      </c>
      <c r="S1680" s="240"/>
      <c r="T1680" s="201"/>
      <c r="U1680" s="201"/>
      <c r="V1680" s="201"/>
    </row>
    <row r="1681" spans="1:22" ht="45" x14ac:dyDescent="0.25">
      <c r="A1681" s="234" t="s">
        <v>1955</v>
      </c>
      <c r="B1681" s="235" t="s">
        <v>1956</v>
      </c>
      <c r="C1681" s="234" t="s">
        <v>32</v>
      </c>
      <c r="D1681" s="312">
        <v>0.32900000000000001</v>
      </c>
      <c r="E1681" s="312"/>
      <c r="F1681" s="248"/>
      <c r="G1681" s="312"/>
      <c r="H1681" s="312"/>
      <c r="I1681" s="312"/>
      <c r="J1681" s="248">
        <f t="shared" si="176"/>
        <v>0</v>
      </c>
      <c r="K1681" s="330">
        <f t="shared" si="177"/>
        <v>-0.32900000000000001</v>
      </c>
      <c r="L1681" s="313"/>
      <c r="M1681" s="228">
        <f t="shared" si="178"/>
        <v>0</v>
      </c>
      <c r="N1681" s="228">
        <f t="shared" si="181"/>
        <v>0</v>
      </c>
      <c r="O1681" s="228">
        <f t="shared" si="182"/>
        <v>0</v>
      </c>
      <c r="P1681" s="228">
        <f t="shared" si="182"/>
        <v>0</v>
      </c>
      <c r="Q1681" s="228">
        <f t="shared" si="179"/>
        <v>0</v>
      </c>
      <c r="R1681" s="343">
        <f t="shared" si="180"/>
        <v>-0.32900000000000001</v>
      </c>
      <c r="S1681" s="240"/>
      <c r="T1681" s="201"/>
      <c r="U1681" s="201"/>
      <c r="V1681" s="201"/>
    </row>
    <row r="1682" spans="1:22" ht="45" x14ac:dyDescent="0.25">
      <c r="A1682" s="234" t="s">
        <v>1957</v>
      </c>
      <c r="B1682" s="235" t="s">
        <v>1958</v>
      </c>
      <c r="C1682" s="234" t="s">
        <v>37</v>
      </c>
      <c r="D1682" s="312">
        <v>2.1240000000000001</v>
      </c>
      <c r="E1682" s="312"/>
      <c r="F1682" s="248"/>
      <c r="G1682" s="312"/>
      <c r="H1682" s="312"/>
      <c r="I1682" s="312"/>
      <c r="J1682" s="248">
        <f t="shared" si="176"/>
        <v>0</v>
      </c>
      <c r="K1682" s="330">
        <f t="shared" si="177"/>
        <v>-2.1240000000000001</v>
      </c>
      <c r="L1682" s="313"/>
      <c r="M1682" s="228">
        <f t="shared" si="178"/>
        <v>0</v>
      </c>
      <c r="N1682" s="228">
        <f t="shared" si="181"/>
        <v>0</v>
      </c>
      <c r="O1682" s="228">
        <f t="shared" si="182"/>
        <v>0</v>
      </c>
      <c r="P1682" s="228">
        <f t="shared" si="182"/>
        <v>0</v>
      </c>
      <c r="Q1682" s="228">
        <f t="shared" si="179"/>
        <v>0</v>
      </c>
      <c r="R1682" s="343">
        <f t="shared" si="180"/>
        <v>-2.1240000000000001</v>
      </c>
      <c r="S1682" s="240"/>
      <c r="T1682" s="201"/>
      <c r="U1682" s="201"/>
      <c r="V1682" s="201"/>
    </row>
    <row r="1683" spans="1:22" ht="15.75" x14ac:dyDescent="0.25">
      <c r="A1683" s="234" t="s">
        <v>1959</v>
      </c>
      <c r="B1683" s="235" t="s">
        <v>1960</v>
      </c>
      <c r="C1683" s="234" t="s">
        <v>270</v>
      </c>
      <c r="D1683" s="312">
        <v>1</v>
      </c>
      <c r="E1683" s="312"/>
      <c r="F1683" s="248"/>
      <c r="G1683" s="312"/>
      <c r="H1683" s="312"/>
      <c r="I1683" s="312"/>
      <c r="J1683" s="248">
        <f t="shared" si="176"/>
        <v>0</v>
      </c>
      <c r="K1683" s="330">
        <f t="shared" si="177"/>
        <v>-1</v>
      </c>
      <c r="L1683" s="313"/>
      <c r="M1683" s="228">
        <f t="shared" si="178"/>
        <v>0</v>
      </c>
      <c r="N1683" s="228">
        <f t="shared" si="181"/>
        <v>0</v>
      </c>
      <c r="O1683" s="228">
        <f t="shared" si="182"/>
        <v>0</v>
      </c>
      <c r="P1683" s="228">
        <f t="shared" si="182"/>
        <v>0</v>
      </c>
      <c r="Q1683" s="228">
        <f t="shared" si="179"/>
        <v>0</v>
      </c>
      <c r="R1683" s="343">
        <f t="shared" si="180"/>
        <v>-1</v>
      </c>
      <c r="S1683" s="240"/>
      <c r="T1683" s="201"/>
      <c r="U1683" s="201"/>
      <c r="V1683" s="201"/>
    </row>
    <row r="1684" spans="1:22" ht="15.75" x14ac:dyDescent="0.25">
      <c r="A1684" s="234" t="s">
        <v>1961</v>
      </c>
      <c r="B1684" s="235" t="s">
        <v>321</v>
      </c>
      <c r="C1684" s="234" t="s">
        <v>52</v>
      </c>
      <c r="D1684" s="312">
        <v>18.152999999999999</v>
      </c>
      <c r="E1684" s="312"/>
      <c r="F1684" s="248"/>
      <c r="G1684" s="312"/>
      <c r="H1684" s="312"/>
      <c r="I1684" s="312"/>
      <c r="J1684" s="248">
        <f t="shared" si="176"/>
        <v>0</v>
      </c>
      <c r="K1684" s="330">
        <f t="shared" si="177"/>
        <v>-18.152999999999999</v>
      </c>
      <c r="L1684" s="313"/>
      <c r="M1684" s="228">
        <f t="shared" si="178"/>
        <v>0</v>
      </c>
      <c r="N1684" s="228">
        <f t="shared" si="181"/>
        <v>0</v>
      </c>
      <c r="O1684" s="228">
        <f t="shared" si="182"/>
        <v>0</v>
      </c>
      <c r="P1684" s="228">
        <f t="shared" si="182"/>
        <v>0</v>
      </c>
      <c r="Q1684" s="228">
        <f t="shared" si="179"/>
        <v>0</v>
      </c>
      <c r="R1684" s="343">
        <f t="shared" si="180"/>
        <v>-18.152999999999999</v>
      </c>
      <c r="S1684" s="240"/>
      <c r="T1684" s="201"/>
      <c r="U1684" s="201"/>
      <c r="V1684" s="201"/>
    </row>
    <row r="1685" spans="1:22" ht="30" x14ac:dyDescent="0.25">
      <c r="A1685" s="234" t="s">
        <v>1962</v>
      </c>
      <c r="B1685" s="235" t="s">
        <v>1963</v>
      </c>
      <c r="C1685" s="234" t="s">
        <v>37</v>
      </c>
      <c r="D1685" s="312">
        <v>1.008</v>
      </c>
      <c r="E1685" s="312"/>
      <c r="F1685" s="248"/>
      <c r="G1685" s="312"/>
      <c r="H1685" s="312"/>
      <c r="I1685" s="312"/>
      <c r="J1685" s="248">
        <f t="shared" si="176"/>
        <v>0</v>
      </c>
      <c r="K1685" s="330">
        <f t="shared" si="177"/>
        <v>-1.008</v>
      </c>
      <c r="L1685" s="313"/>
      <c r="M1685" s="228">
        <f t="shared" si="178"/>
        <v>0</v>
      </c>
      <c r="N1685" s="228">
        <f t="shared" si="181"/>
        <v>0</v>
      </c>
      <c r="O1685" s="228">
        <f t="shared" si="182"/>
        <v>0</v>
      </c>
      <c r="P1685" s="228">
        <f t="shared" si="182"/>
        <v>0</v>
      </c>
      <c r="Q1685" s="228">
        <f t="shared" si="179"/>
        <v>0</v>
      </c>
      <c r="R1685" s="343">
        <f t="shared" si="180"/>
        <v>-1.008</v>
      </c>
      <c r="S1685" s="240"/>
      <c r="T1685" s="201"/>
      <c r="U1685" s="201"/>
      <c r="V1685" s="201"/>
    </row>
    <row r="1686" spans="1:22" ht="15.75" x14ac:dyDescent="0.25">
      <c r="A1686" s="234" t="s">
        <v>1964</v>
      </c>
      <c r="B1686" s="235" t="s">
        <v>1944</v>
      </c>
      <c r="C1686" s="234" t="s">
        <v>61</v>
      </c>
      <c r="D1686" s="312">
        <v>0.10100000000000001</v>
      </c>
      <c r="E1686" s="312"/>
      <c r="F1686" s="248"/>
      <c r="G1686" s="312"/>
      <c r="H1686" s="312"/>
      <c r="I1686" s="312"/>
      <c r="J1686" s="248">
        <f t="shared" si="176"/>
        <v>0</v>
      </c>
      <c r="K1686" s="330">
        <f t="shared" si="177"/>
        <v>-0.10100000000000001</v>
      </c>
      <c r="L1686" s="313"/>
      <c r="M1686" s="228">
        <f t="shared" si="178"/>
        <v>0</v>
      </c>
      <c r="N1686" s="228">
        <f t="shared" si="181"/>
        <v>0</v>
      </c>
      <c r="O1686" s="228">
        <f t="shared" si="182"/>
        <v>0</v>
      </c>
      <c r="P1686" s="228">
        <f t="shared" si="182"/>
        <v>0</v>
      </c>
      <c r="Q1686" s="228">
        <f t="shared" si="179"/>
        <v>0</v>
      </c>
      <c r="R1686" s="343">
        <f t="shared" si="180"/>
        <v>-0.10100000000000001</v>
      </c>
      <c r="S1686" s="240"/>
      <c r="T1686" s="201"/>
      <c r="U1686" s="201"/>
      <c r="V1686" s="201"/>
    </row>
    <row r="1687" spans="1:22" ht="45" x14ac:dyDescent="0.25">
      <c r="A1687" s="234" t="s">
        <v>1965</v>
      </c>
      <c r="B1687" s="235" t="s">
        <v>1966</v>
      </c>
      <c r="C1687" s="234" t="s">
        <v>37</v>
      </c>
      <c r="D1687" s="312">
        <v>0.60499999999999998</v>
      </c>
      <c r="E1687" s="312"/>
      <c r="F1687" s="248"/>
      <c r="G1687" s="312"/>
      <c r="H1687" s="312"/>
      <c r="I1687" s="312"/>
      <c r="J1687" s="248">
        <f t="shared" si="176"/>
        <v>0</v>
      </c>
      <c r="K1687" s="330">
        <f t="shared" si="177"/>
        <v>-0.60499999999999998</v>
      </c>
      <c r="L1687" s="313"/>
      <c r="M1687" s="228">
        <f t="shared" si="178"/>
        <v>0</v>
      </c>
      <c r="N1687" s="228">
        <f t="shared" si="181"/>
        <v>0</v>
      </c>
      <c r="O1687" s="228">
        <f t="shared" si="182"/>
        <v>0</v>
      </c>
      <c r="P1687" s="228">
        <f t="shared" si="182"/>
        <v>0</v>
      </c>
      <c r="Q1687" s="228">
        <f t="shared" si="179"/>
        <v>0</v>
      </c>
      <c r="R1687" s="343">
        <f t="shared" si="180"/>
        <v>-0.60499999999999998</v>
      </c>
      <c r="S1687" s="240"/>
      <c r="T1687" s="201"/>
      <c r="U1687" s="201"/>
      <c r="V1687" s="201"/>
    </row>
    <row r="1688" spans="1:22" ht="30" x14ac:dyDescent="0.25">
      <c r="A1688" s="234" t="s">
        <v>1967</v>
      </c>
      <c r="B1688" s="235" t="s">
        <v>1968</v>
      </c>
      <c r="C1688" s="234" t="s">
        <v>52</v>
      </c>
      <c r="D1688" s="312">
        <v>13.44</v>
      </c>
      <c r="E1688" s="312"/>
      <c r="F1688" s="248"/>
      <c r="G1688" s="312"/>
      <c r="H1688" s="312"/>
      <c r="I1688" s="312"/>
      <c r="J1688" s="248">
        <f t="shared" si="176"/>
        <v>0</v>
      </c>
      <c r="K1688" s="330">
        <f t="shared" si="177"/>
        <v>-13.44</v>
      </c>
      <c r="L1688" s="313"/>
      <c r="M1688" s="228">
        <f t="shared" si="178"/>
        <v>0</v>
      </c>
      <c r="N1688" s="228">
        <f t="shared" si="181"/>
        <v>0</v>
      </c>
      <c r="O1688" s="228">
        <f t="shared" si="182"/>
        <v>0</v>
      </c>
      <c r="P1688" s="228">
        <f t="shared" si="182"/>
        <v>0</v>
      </c>
      <c r="Q1688" s="228">
        <f t="shared" si="179"/>
        <v>0</v>
      </c>
      <c r="R1688" s="343">
        <f t="shared" si="180"/>
        <v>-13.44</v>
      </c>
      <c r="S1688" s="240"/>
      <c r="T1688" s="201"/>
      <c r="U1688" s="201"/>
      <c r="V1688" s="201"/>
    </row>
    <row r="1689" spans="1:22" ht="30" x14ac:dyDescent="0.25">
      <c r="A1689" s="234" t="s">
        <v>1969</v>
      </c>
      <c r="B1689" s="235" t="s">
        <v>423</v>
      </c>
      <c r="C1689" s="234" t="s">
        <v>52</v>
      </c>
      <c r="D1689" s="312">
        <v>13.44</v>
      </c>
      <c r="E1689" s="312"/>
      <c r="F1689" s="248"/>
      <c r="G1689" s="312"/>
      <c r="H1689" s="312"/>
      <c r="I1689" s="312"/>
      <c r="J1689" s="248">
        <f t="shared" si="176"/>
        <v>0</v>
      </c>
      <c r="K1689" s="330">
        <f t="shared" si="177"/>
        <v>-13.44</v>
      </c>
      <c r="L1689" s="313"/>
      <c r="M1689" s="228">
        <f t="shared" si="178"/>
        <v>0</v>
      </c>
      <c r="N1689" s="228">
        <f t="shared" si="181"/>
        <v>0</v>
      </c>
      <c r="O1689" s="228">
        <f t="shared" si="182"/>
        <v>0</v>
      </c>
      <c r="P1689" s="228">
        <f t="shared" si="182"/>
        <v>0</v>
      </c>
      <c r="Q1689" s="228">
        <f t="shared" si="179"/>
        <v>0</v>
      </c>
      <c r="R1689" s="343">
        <f t="shared" si="180"/>
        <v>-13.44</v>
      </c>
      <c r="S1689" s="240"/>
      <c r="T1689" s="201"/>
      <c r="U1689" s="201"/>
      <c r="V1689" s="201"/>
    </row>
    <row r="1690" spans="1:22" ht="15.75" x14ac:dyDescent="0.25">
      <c r="A1690" s="234" t="s">
        <v>1970</v>
      </c>
      <c r="B1690" s="235" t="s">
        <v>1971</v>
      </c>
      <c r="C1690" s="234" t="s">
        <v>37</v>
      </c>
      <c r="D1690" s="312">
        <v>61.915999999999997</v>
      </c>
      <c r="E1690" s="312"/>
      <c r="F1690" s="248"/>
      <c r="G1690" s="312"/>
      <c r="H1690" s="312"/>
      <c r="I1690" s="312"/>
      <c r="J1690" s="248">
        <f t="shared" si="176"/>
        <v>0</v>
      </c>
      <c r="K1690" s="330">
        <f t="shared" si="177"/>
        <v>-61.915999999999997</v>
      </c>
      <c r="L1690" s="313"/>
      <c r="M1690" s="228">
        <f t="shared" si="178"/>
        <v>0</v>
      </c>
      <c r="N1690" s="228">
        <f t="shared" si="181"/>
        <v>0</v>
      </c>
      <c r="O1690" s="228">
        <f t="shared" si="182"/>
        <v>0</v>
      </c>
      <c r="P1690" s="228">
        <f t="shared" si="182"/>
        <v>0</v>
      </c>
      <c r="Q1690" s="228">
        <f t="shared" si="179"/>
        <v>0</v>
      </c>
      <c r="R1690" s="343">
        <f t="shared" si="180"/>
        <v>-61.915999999999997</v>
      </c>
      <c r="S1690" s="240"/>
      <c r="T1690" s="201"/>
      <c r="U1690" s="201"/>
      <c r="V1690" s="201"/>
    </row>
    <row r="1691" spans="1:22" ht="15.75" x14ac:dyDescent="0.25">
      <c r="A1691" s="234" t="s">
        <v>1972</v>
      </c>
      <c r="B1691" s="235" t="s">
        <v>1973</v>
      </c>
      <c r="C1691" s="234" t="s">
        <v>6</v>
      </c>
      <c r="D1691" s="312">
        <v>18.2</v>
      </c>
      <c r="E1691" s="312"/>
      <c r="F1691" s="248"/>
      <c r="G1691" s="312"/>
      <c r="H1691" s="312"/>
      <c r="I1691" s="312"/>
      <c r="J1691" s="248">
        <f t="shared" si="176"/>
        <v>0</v>
      </c>
      <c r="K1691" s="330">
        <f t="shared" si="177"/>
        <v>-18.2</v>
      </c>
      <c r="L1691" s="313"/>
      <c r="M1691" s="228">
        <f t="shared" si="178"/>
        <v>0</v>
      </c>
      <c r="N1691" s="228">
        <f t="shared" si="181"/>
        <v>0</v>
      </c>
      <c r="O1691" s="228">
        <f t="shared" si="182"/>
        <v>0</v>
      </c>
      <c r="P1691" s="228">
        <f t="shared" si="182"/>
        <v>0</v>
      </c>
      <c r="Q1691" s="228">
        <f t="shared" si="179"/>
        <v>0</v>
      </c>
      <c r="R1691" s="343">
        <f t="shared" si="180"/>
        <v>-18.2</v>
      </c>
      <c r="S1691" s="240"/>
      <c r="T1691" s="201"/>
      <c r="U1691" s="201"/>
      <c r="V1691" s="201"/>
    </row>
    <row r="1692" spans="1:22" ht="30" x14ac:dyDescent="0.25">
      <c r="A1692" s="234" t="s">
        <v>1974</v>
      </c>
      <c r="B1692" s="235" t="s">
        <v>1975</v>
      </c>
      <c r="C1692" s="234" t="s">
        <v>52</v>
      </c>
      <c r="D1692" s="312">
        <v>305.86900000000003</v>
      </c>
      <c r="E1692" s="312"/>
      <c r="F1692" s="248"/>
      <c r="G1692" s="312"/>
      <c r="H1692" s="312"/>
      <c r="I1692" s="312"/>
      <c r="J1692" s="248">
        <f t="shared" si="176"/>
        <v>0</v>
      </c>
      <c r="K1692" s="330">
        <f t="shared" si="177"/>
        <v>-305.86900000000003</v>
      </c>
      <c r="L1692" s="313"/>
      <c r="M1692" s="228">
        <f t="shared" si="178"/>
        <v>0</v>
      </c>
      <c r="N1692" s="228">
        <f t="shared" si="181"/>
        <v>0</v>
      </c>
      <c r="O1692" s="228">
        <f t="shared" si="182"/>
        <v>0</v>
      </c>
      <c r="P1692" s="228">
        <f t="shared" si="182"/>
        <v>0</v>
      </c>
      <c r="Q1692" s="228">
        <f t="shared" si="179"/>
        <v>0</v>
      </c>
      <c r="R1692" s="343">
        <f t="shared" si="180"/>
        <v>-305.86900000000003</v>
      </c>
      <c r="S1692" s="240"/>
      <c r="T1692" s="201"/>
      <c r="U1692" s="201"/>
      <c r="V1692" s="201"/>
    </row>
    <row r="1693" spans="1:22" ht="15.75" x14ac:dyDescent="0.25">
      <c r="A1693" s="234" t="s">
        <v>1976</v>
      </c>
      <c r="B1693" s="235" t="s">
        <v>1977</v>
      </c>
      <c r="C1693" s="234" t="s">
        <v>1978</v>
      </c>
      <c r="D1693" s="312">
        <v>0.2</v>
      </c>
      <c r="E1693" s="312"/>
      <c r="F1693" s="248"/>
      <c r="G1693" s="312"/>
      <c r="H1693" s="312"/>
      <c r="I1693" s="312"/>
      <c r="J1693" s="248">
        <f t="shared" si="176"/>
        <v>0</v>
      </c>
      <c r="K1693" s="330">
        <f t="shared" si="177"/>
        <v>-0.2</v>
      </c>
      <c r="L1693" s="313"/>
      <c r="M1693" s="228">
        <f t="shared" si="178"/>
        <v>0</v>
      </c>
      <c r="N1693" s="228">
        <f t="shared" si="181"/>
        <v>0</v>
      </c>
      <c r="O1693" s="228">
        <f t="shared" si="182"/>
        <v>0</v>
      </c>
      <c r="P1693" s="228">
        <f t="shared" si="182"/>
        <v>0</v>
      </c>
      <c r="Q1693" s="228">
        <f t="shared" si="179"/>
        <v>0</v>
      </c>
      <c r="R1693" s="343">
        <f t="shared" si="180"/>
        <v>-0.2</v>
      </c>
      <c r="S1693" s="240"/>
      <c r="T1693" s="201"/>
      <c r="U1693" s="201"/>
      <c r="V1693" s="201"/>
    </row>
    <row r="1694" spans="1:22" ht="15.75" x14ac:dyDescent="0.25">
      <c r="A1694" s="234" t="s">
        <v>1979</v>
      </c>
      <c r="B1694" s="235" t="s">
        <v>1980</v>
      </c>
      <c r="C1694" s="234" t="s">
        <v>1978</v>
      </c>
      <c r="D1694" s="312">
        <v>0.3</v>
      </c>
      <c r="E1694" s="312"/>
      <c r="F1694" s="248"/>
      <c r="G1694" s="312"/>
      <c r="H1694" s="312"/>
      <c r="I1694" s="312"/>
      <c r="J1694" s="248">
        <f t="shared" si="176"/>
        <v>0</v>
      </c>
      <c r="K1694" s="330">
        <f t="shared" si="177"/>
        <v>-0.3</v>
      </c>
      <c r="L1694" s="313"/>
      <c r="M1694" s="228">
        <f t="shared" si="178"/>
        <v>0</v>
      </c>
      <c r="N1694" s="228">
        <f t="shared" si="181"/>
        <v>0</v>
      </c>
      <c r="O1694" s="228">
        <f t="shared" si="182"/>
        <v>0</v>
      </c>
      <c r="P1694" s="228">
        <f t="shared" si="182"/>
        <v>0</v>
      </c>
      <c r="Q1694" s="228">
        <f t="shared" si="179"/>
        <v>0</v>
      </c>
      <c r="R1694" s="343">
        <f t="shared" si="180"/>
        <v>-0.3</v>
      </c>
      <c r="S1694" s="240"/>
      <c r="T1694" s="201"/>
      <c r="U1694" s="201"/>
      <c r="V1694" s="201"/>
    </row>
    <row r="1695" spans="1:22" ht="15.75" x14ac:dyDescent="0.25">
      <c r="A1695" s="234" t="s">
        <v>1981</v>
      </c>
      <c r="B1695" s="235" t="s">
        <v>1982</v>
      </c>
      <c r="C1695" s="234" t="s">
        <v>1978</v>
      </c>
      <c r="D1695" s="312">
        <v>2.8</v>
      </c>
      <c r="E1695" s="312"/>
      <c r="F1695" s="248"/>
      <c r="G1695" s="312"/>
      <c r="H1695" s="312"/>
      <c r="I1695" s="312"/>
      <c r="J1695" s="248">
        <f t="shared" si="176"/>
        <v>0</v>
      </c>
      <c r="K1695" s="330">
        <f t="shared" si="177"/>
        <v>-2.8</v>
      </c>
      <c r="L1695" s="313"/>
      <c r="M1695" s="228">
        <f t="shared" si="178"/>
        <v>0</v>
      </c>
      <c r="N1695" s="228">
        <f t="shared" si="181"/>
        <v>0</v>
      </c>
      <c r="O1695" s="228">
        <f t="shared" si="182"/>
        <v>0</v>
      </c>
      <c r="P1695" s="228">
        <f t="shared" si="182"/>
        <v>0</v>
      </c>
      <c r="Q1695" s="228">
        <f t="shared" si="179"/>
        <v>0</v>
      </c>
      <c r="R1695" s="343">
        <f t="shared" si="180"/>
        <v>-2.8</v>
      </c>
      <c r="S1695" s="240"/>
      <c r="T1695" s="201"/>
      <c r="U1695" s="201"/>
      <c r="V1695" s="201"/>
    </row>
    <row r="1696" spans="1:22" ht="30" x14ac:dyDescent="0.25">
      <c r="A1696" s="234" t="s">
        <v>1983</v>
      </c>
      <c r="B1696" s="235" t="s">
        <v>1984</v>
      </c>
      <c r="C1696" s="234" t="s">
        <v>1985</v>
      </c>
      <c r="D1696" s="312">
        <v>3.3</v>
      </c>
      <c r="E1696" s="312"/>
      <c r="F1696" s="248"/>
      <c r="G1696" s="312"/>
      <c r="H1696" s="312"/>
      <c r="I1696" s="312"/>
      <c r="J1696" s="248">
        <f t="shared" si="176"/>
        <v>0</v>
      </c>
      <c r="K1696" s="330">
        <f t="shared" si="177"/>
        <v>-3.3</v>
      </c>
      <c r="L1696" s="313"/>
      <c r="M1696" s="228">
        <f t="shared" si="178"/>
        <v>0</v>
      </c>
      <c r="N1696" s="228">
        <f t="shared" si="181"/>
        <v>0</v>
      </c>
      <c r="O1696" s="228">
        <f t="shared" si="182"/>
        <v>0</v>
      </c>
      <c r="P1696" s="228">
        <f t="shared" si="182"/>
        <v>0</v>
      </c>
      <c r="Q1696" s="228">
        <f t="shared" si="179"/>
        <v>0</v>
      </c>
      <c r="R1696" s="343">
        <f t="shared" si="180"/>
        <v>-3.3</v>
      </c>
      <c r="S1696" s="240"/>
      <c r="T1696" s="201"/>
      <c r="U1696" s="201"/>
      <c r="V1696" s="201"/>
    </row>
    <row r="1697" spans="1:22" ht="15.75" x14ac:dyDescent="0.25">
      <c r="A1697" s="234" t="s">
        <v>1986</v>
      </c>
      <c r="B1697" s="235" t="s">
        <v>1987</v>
      </c>
      <c r="C1697" s="234" t="s">
        <v>1988</v>
      </c>
      <c r="D1697" s="312">
        <v>3</v>
      </c>
      <c r="E1697" s="312"/>
      <c r="F1697" s="248"/>
      <c r="G1697" s="312"/>
      <c r="H1697" s="312"/>
      <c r="I1697" s="312"/>
      <c r="J1697" s="248">
        <f t="shared" si="176"/>
        <v>0</v>
      </c>
      <c r="K1697" s="330">
        <f t="shared" si="177"/>
        <v>-3</v>
      </c>
      <c r="L1697" s="313"/>
      <c r="M1697" s="228">
        <f t="shared" si="178"/>
        <v>0</v>
      </c>
      <c r="N1697" s="228">
        <f t="shared" si="181"/>
        <v>0</v>
      </c>
      <c r="O1697" s="228">
        <f t="shared" si="182"/>
        <v>0</v>
      </c>
      <c r="P1697" s="228">
        <f t="shared" si="182"/>
        <v>0</v>
      </c>
      <c r="Q1697" s="228">
        <f t="shared" si="179"/>
        <v>0</v>
      </c>
      <c r="R1697" s="343">
        <f t="shared" si="180"/>
        <v>-3</v>
      </c>
      <c r="S1697" s="240"/>
      <c r="T1697" s="201"/>
      <c r="U1697" s="201"/>
      <c r="V1697" s="201"/>
    </row>
    <row r="1698" spans="1:22" ht="15.75" x14ac:dyDescent="0.25">
      <c r="A1698" s="234" t="s">
        <v>1989</v>
      </c>
      <c r="B1698" s="235" t="s">
        <v>1990</v>
      </c>
      <c r="C1698" s="234" t="s">
        <v>1988</v>
      </c>
      <c r="D1698" s="312">
        <v>15</v>
      </c>
      <c r="E1698" s="312"/>
      <c r="F1698" s="248"/>
      <c r="G1698" s="312"/>
      <c r="H1698" s="312"/>
      <c r="I1698" s="312"/>
      <c r="J1698" s="248">
        <f t="shared" si="176"/>
        <v>0</v>
      </c>
      <c r="K1698" s="330">
        <f t="shared" si="177"/>
        <v>-15</v>
      </c>
      <c r="L1698" s="313"/>
      <c r="M1698" s="228">
        <f t="shared" si="178"/>
        <v>0</v>
      </c>
      <c r="N1698" s="228">
        <f t="shared" si="181"/>
        <v>0</v>
      </c>
      <c r="O1698" s="228">
        <f t="shared" si="182"/>
        <v>0</v>
      </c>
      <c r="P1698" s="228">
        <f t="shared" si="182"/>
        <v>0</v>
      </c>
      <c r="Q1698" s="228">
        <f t="shared" si="179"/>
        <v>0</v>
      </c>
      <c r="R1698" s="343">
        <f t="shared" si="180"/>
        <v>-15</v>
      </c>
      <c r="S1698" s="240"/>
      <c r="T1698" s="201"/>
      <c r="U1698" s="201"/>
      <c r="V1698" s="201"/>
    </row>
    <row r="1699" spans="1:22" ht="15.75" x14ac:dyDescent="0.25">
      <c r="A1699" s="234" t="s">
        <v>1991</v>
      </c>
      <c r="B1699" s="235" t="s">
        <v>1992</v>
      </c>
      <c r="C1699" s="234" t="s">
        <v>1988</v>
      </c>
      <c r="D1699" s="312">
        <v>2</v>
      </c>
      <c r="E1699" s="312"/>
      <c r="F1699" s="248"/>
      <c r="G1699" s="312"/>
      <c r="H1699" s="312"/>
      <c r="I1699" s="312"/>
      <c r="J1699" s="248">
        <f t="shared" si="176"/>
        <v>0</v>
      </c>
      <c r="K1699" s="330">
        <f t="shared" si="177"/>
        <v>-2</v>
      </c>
      <c r="L1699" s="313"/>
      <c r="M1699" s="228">
        <f t="shared" si="178"/>
        <v>0</v>
      </c>
      <c r="N1699" s="228">
        <f t="shared" si="181"/>
        <v>0</v>
      </c>
      <c r="O1699" s="228">
        <f t="shared" si="182"/>
        <v>0</v>
      </c>
      <c r="P1699" s="228">
        <f t="shared" si="182"/>
        <v>0</v>
      </c>
      <c r="Q1699" s="228">
        <f t="shared" si="179"/>
        <v>0</v>
      </c>
      <c r="R1699" s="343">
        <f t="shared" si="180"/>
        <v>-2</v>
      </c>
      <c r="S1699" s="240"/>
      <c r="T1699" s="201"/>
      <c r="U1699" s="201"/>
      <c r="V1699" s="201"/>
    </row>
    <row r="1700" spans="1:22" ht="15.75" x14ac:dyDescent="0.25">
      <c r="A1700" s="234" t="s">
        <v>1993</v>
      </c>
      <c r="B1700" s="235" t="s">
        <v>1994</v>
      </c>
      <c r="C1700" s="234" t="s">
        <v>1988</v>
      </c>
      <c r="D1700" s="312">
        <v>22</v>
      </c>
      <c r="E1700" s="312"/>
      <c r="F1700" s="248"/>
      <c r="G1700" s="312"/>
      <c r="H1700" s="312"/>
      <c r="I1700" s="312"/>
      <c r="J1700" s="248">
        <f t="shared" si="176"/>
        <v>0</v>
      </c>
      <c r="K1700" s="330">
        <f t="shared" si="177"/>
        <v>-22</v>
      </c>
      <c r="L1700" s="313"/>
      <c r="M1700" s="228">
        <f t="shared" si="178"/>
        <v>0</v>
      </c>
      <c r="N1700" s="228">
        <f t="shared" si="181"/>
        <v>0</v>
      </c>
      <c r="O1700" s="228">
        <f t="shared" si="182"/>
        <v>0</v>
      </c>
      <c r="P1700" s="228">
        <f t="shared" si="182"/>
        <v>0</v>
      </c>
      <c r="Q1700" s="228">
        <f t="shared" si="179"/>
        <v>0</v>
      </c>
      <c r="R1700" s="343">
        <f t="shared" si="180"/>
        <v>-22</v>
      </c>
      <c r="S1700" s="240"/>
      <c r="T1700" s="201"/>
      <c r="U1700" s="201"/>
      <c r="V1700" s="201"/>
    </row>
    <row r="1701" spans="1:22" ht="15.75" x14ac:dyDescent="0.25">
      <c r="A1701" s="234" t="s">
        <v>1995</v>
      </c>
      <c r="B1701" s="235" t="s">
        <v>1996</v>
      </c>
      <c r="C1701" s="234" t="s">
        <v>1988</v>
      </c>
      <c r="D1701" s="312">
        <v>18</v>
      </c>
      <c r="E1701" s="312"/>
      <c r="F1701" s="248"/>
      <c r="G1701" s="312"/>
      <c r="H1701" s="312"/>
      <c r="I1701" s="312"/>
      <c r="J1701" s="248">
        <f t="shared" si="176"/>
        <v>0</v>
      </c>
      <c r="K1701" s="330">
        <f t="shared" si="177"/>
        <v>-18</v>
      </c>
      <c r="L1701" s="313"/>
      <c r="M1701" s="228">
        <f t="shared" si="178"/>
        <v>0</v>
      </c>
      <c r="N1701" s="228">
        <f t="shared" si="181"/>
        <v>0</v>
      </c>
      <c r="O1701" s="228">
        <f t="shared" si="182"/>
        <v>0</v>
      </c>
      <c r="P1701" s="228">
        <f t="shared" si="182"/>
        <v>0</v>
      </c>
      <c r="Q1701" s="228">
        <f t="shared" si="179"/>
        <v>0</v>
      </c>
      <c r="R1701" s="343">
        <f t="shared" si="180"/>
        <v>-18</v>
      </c>
      <c r="S1701" s="240"/>
      <c r="T1701" s="201"/>
      <c r="U1701" s="201"/>
      <c r="V1701" s="201"/>
    </row>
    <row r="1702" spans="1:22" ht="24.75" customHeight="1" x14ac:dyDescent="0.25">
      <c r="A1702" s="234" t="s">
        <v>1997</v>
      </c>
      <c r="B1702" s="235" t="s">
        <v>1998</v>
      </c>
      <c r="C1702" s="234" t="s">
        <v>1999</v>
      </c>
      <c r="D1702" s="312">
        <v>60</v>
      </c>
      <c r="E1702" s="312"/>
      <c r="F1702" s="248"/>
      <c r="G1702" s="312"/>
      <c r="H1702" s="312"/>
      <c r="I1702" s="312"/>
      <c r="J1702" s="248">
        <f t="shared" si="176"/>
        <v>0</v>
      </c>
      <c r="K1702" s="330">
        <f t="shared" si="177"/>
        <v>-60</v>
      </c>
      <c r="L1702" s="313"/>
      <c r="M1702" s="228">
        <f t="shared" si="178"/>
        <v>0</v>
      </c>
      <c r="N1702" s="228">
        <f t="shared" si="181"/>
        <v>0</v>
      </c>
      <c r="O1702" s="228">
        <f t="shared" si="182"/>
        <v>0</v>
      </c>
      <c r="P1702" s="228">
        <f t="shared" si="182"/>
        <v>0</v>
      </c>
      <c r="Q1702" s="228">
        <f t="shared" si="179"/>
        <v>0</v>
      </c>
      <c r="R1702" s="343">
        <f t="shared" si="180"/>
        <v>-60</v>
      </c>
      <c r="S1702" s="240"/>
      <c r="T1702" s="201"/>
      <c r="U1702" s="201"/>
      <c r="V1702" s="201"/>
    </row>
    <row r="1703" spans="1:22" ht="15.75" x14ac:dyDescent="0.25">
      <c r="A1703" s="230" t="s">
        <v>2000</v>
      </c>
      <c r="B1703" s="231" t="s">
        <v>2001</v>
      </c>
      <c r="C1703" s="230"/>
      <c r="D1703" s="316"/>
      <c r="E1703" s="316"/>
      <c r="F1703" s="317"/>
      <c r="G1703" s="316"/>
      <c r="H1703" s="316"/>
      <c r="I1703" s="316"/>
      <c r="J1703" s="248">
        <f t="shared" si="176"/>
        <v>0</v>
      </c>
      <c r="K1703" s="330">
        <f t="shared" si="177"/>
        <v>0</v>
      </c>
      <c r="L1703" s="318"/>
      <c r="M1703" s="228">
        <f t="shared" si="178"/>
        <v>0</v>
      </c>
      <c r="N1703" s="228">
        <f t="shared" si="181"/>
        <v>0</v>
      </c>
      <c r="O1703" s="228">
        <f t="shared" si="182"/>
        <v>0</v>
      </c>
      <c r="P1703" s="228">
        <f t="shared" si="182"/>
        <v>0</v>
      </c>
      <c r="Q1703" s="228">
        <f t="shared" si="179"/>
        <v>0</v>
      </c>
      <c r="R1703" s="343">
        <f t="shared" si="180"/>
        <v>0</v>
      </c>
      <c r="S1703" s="240"/>
      <c r="T1703" s="201"/>
      <c r="U1703" s="201"/>
      <c r="V1703" s="201"/>
    </row>
    <row r="1704" spans="1:22" ht="30" x14ac:dyDescent="0.25">
      <c r="A1704" s="234" t="s">
        <v>2002</v>
      </c>
      <c r="B1704" s="235" t="s">
        <v>2003</v>
      </c>
      <c r="C1704" s="234" t="s">
        <v>27</v>
      </c>
      <c r="D1704" s="312">
        <v>0.77900000000000003</v>
      </c>
      <c r="E1704" s="312"/>
      <c r="F1704" s="248"/>
      <c r="G1704" s="312"/>
      <c r="H1704" s="312"/>
      <c r="I1704" s="312"/>
      <c r="J1704" s="248">
        <f t="shared" ref="J1704:J1767" si="183">F1704+G1704+H1704+I1704</f>
        <v>0</v>
      </c>
      <c r="K1704" s="330">
        <f t="shared" ref="K1704:K1767" si="184">J1704-D1704</f>
        <v>-0.77900000000000003</v>
      </c>
      <c r="L1704" s="313"/>
      <c r="M1704" s="228">
        <f t="shared" ref="M1704:M1767" si="185">F1704</f>
        <v>0</v>
      </c>
      <c r="N1704" s="228">
        <f t="shared" si="181"/>
        <v>0</v>
      </c>
      <c r="O1704" s="228">
        <f t="shared" si="182"/>
        <v>0</v>
      </c>
      <c r="P1704" s="228">
        <f t="shared" si="182"/>
        <v>0</v>
      </c>
      <c r="Q1704" s="228">
        <f t="shared" ref="Q1704:Q1767" si="186">M1704+N1704+O1704+P1704</f>
        <v>0</v>
      </c>
      <c r="R1704" s="343">
        <f t="shared" ref="R1704:R1767" si="187">Q1704-D1704</f>
        <v>-0.77900000000000003</v>
      </c>
      <c r="S1704" s="240"/>
      <c r="T1704" s="201"/>
      <c r="U1704" s="201"/>
      <c r="V1704" s="201"/>
    </row>
    <row r="1705" spans="1:22" ht="15.75" x14ac:dyDescent="0.25">
      <c r="A1705" s="234" t="s">
        <v>2004</v>
      </c>
      <c r="B1705" s="235" t="s">
        <v>2005</v>
      </c>
      <c r="C1705" s="234" t="s">
        <v>61</v>
      </c>
      <c r="D1705" s="312">
        <v>7.7859999999999996</v>
      </c>
      <c r="E1705" s="312"/>
      <c r="F1705" s="248"/>
      <c r="G1705" s="312"/>
      <c r="H1705" s="312"/>
      <c r="I1705" s="312"/>
      <c r="J1705" s="248">
        <f t="shared" si="183"/>
        <v>0</v>
      </c>
      <c r="K1705" s="330">
        <f t="shared" si="184"/>
        <v>-7.7859999999999996</v>
      </c>
      <c r="L1705" s="313"/>
      <c r="M1705" s="228">
        <f t="shared" si="185"/>
        <v>0</v>
      </c>
      <c r="N1705" s="228">
        <f t="shared" si="181"/>
        <v>0</v>
      </c>
      <c r="O1705" s="228">
        <f t="shared" si="182"/>
        <v>0</v>
      </c>
      <c r="P1705" s="228">
        <f t="shared" si="182"/>
        <v>0</v>
      </c>
      <c r="Q1705" s="228">
        <f t="shared" si="186"/>
        <v>0</v>
      </c>
      <c r="R1705" s="343">
        <f t="shared" si="187"/>
        <v>-7.7859999999999996</v>
      </c>
      <c r="S1705" s="240"/>
      <c r="T1705" s="201"/>
      <c r="U1705" s="201"/>
      <c r="V1705" s="201"/>
    </row>
    <row r="1706" spans="1:22" ht="30" x14ac:dyDescent="0.25">
      <c r="A1706" s="234" t="s">
        <v>2006</v>
      </c>
      <c r="B1706" s="235" t="s">
        <v>2007</v>
      </c>
      <c r="C1706" s="234" t="s">
        <v>37</v>
      </c>
      <c r="D1706" s="312">
        <v>62.286999999999999</v>
      </c>
      <c r="E1706" s="312"/>
      <c r="F1706" s="248"/>
      <c r="G1706" s="312"/>
      <c r="H1706" s="312"/>
      <c r="I1706" s="312"/>
      <c r="J1706" s="248">
        <f t="shared" si="183"/>
        <v>0</v>
      </c>
      <c r="K1706" s="330">
        <f t="shared" si="184"/>
        <v>-62.286999999999999</v>
      </c>
      <c r="L1706" s="313"/>
      <c r="M1706" s="228">
        <f t="shared" si="185"/>
        <v>0</v>
      </c>
      <c r="N1706" s="228">
        <f t="shared" si="181"/>
        <v>0</v>
      </c>
      <c r="O1706" s="228">
        <f t="shared" si="182"/>
        <v>0</v>
      </c>
      <c r="P1706" s="228">
        <f t="shared" si="182"/>
        <v>0</v>
      </c>
      <c r="Q1706" s="228">
        <f t="shared" si="186"/>
        <v>0</v>
      </c>
      <c r="R1706" s="343">
        <f t="shared" si="187"/>
        <v>-62.286999999999999</v>
      </c>
      <c r="S1706" s="240"/>
      <c r="T1706" s="201"/>
      <c r="U1706" s="201"/>
      <c r="V1706" s="201"/>
    </row>
    <row r="1707" spans="1:22" ht="15.75" x14ac:dyDescent="0.25">
      <c r="A1707" s="234" t="s">
        <v>2008</v>
      </c>
      <c r="B1707" s="235" t="s">
        <v>2009</v>
      </c>
      <c r="C1707" s="234" t="s">
        <v>52</v>
      </c>
      <c r="D1707" s="312">
        <v>328.2</v>
      </c>
      <c r="E1707" s="312"/>
      <c r="F1707" s="248"/>
      <c r="G1707" s="312"/>
      <c r="H1707" s="312"/>
      <c r="I1707" s="312"/>
      <c r="J1707" s="248">
        <f t="shared" si="183"/>
        <v>0</v>
      </c>
      <c r="K1707" s="330">
        <f t="shared" si="184"/>
        <v>-328.2</v>
      </c>
      <c r="L1707" s="313"/>
      <c r="M1707" s="228">
        <f t="shared" si="185"/>
        <v>0</v>
      </c>
      <c r="N1707" s="228">
        <f t="shared" si="181"/>
        <v>0</v>
      </c>
      <c r="O1707" s="228">
        <f t="shared" si="182"/>
        <v>0</v>
      </c>
      <c r="P1707" s="228">
        <f t="shared" si="182"/>
        <v>0</v>
      </c>
      <c r="Q1707" s="228">
        <f t="shared" si="186"/>
        <v>0</v>
      </c>
      <c r="R1707" s="343">
        <f t="shared" si="187"/>
        <v>-328.2</v>
      </c>
      <c r="S1707" s="240"/>
      <c r="T1707" s="201"/>
      <c r="U1707" s="201"/>
      <c r="V1707" s="201"/>
    </row>
    <row r="1708" spans="1:22" ht="15.75" x14ac:dyDescent="0.25">
      <c r="A1708" s="230" t="s">
        <v>2010</v>
      </c>
      <c r="B1708" s="231" t="s">
        <v>2011</v>
      </c>
      <c r="C1708" s="230"/>
      <c r="D1708" s="316"/>
      <c r="E1708" s="316"/>
      <c r="F1708" s="317"/>
      <c r="G1708" s="316"/>
      <c r="H1708" s="316"/>
      <c r="I1708" s="316"/>
      <c r="J1708" s="248">
        <f t="shared" si="183"/>
        <v>0</v>
      </c>
      <c r="K1708" s="330">
        <f t="shared" si="184"/>
        <v>0</v>
      </c>
      <c r="L1708" s="318"/>
      <c r="M1708" s="228">
        <f t="shared" si="185"/>
        <v>0</v>
      </c>
      <c r="N1708" s="228">
        <f t="shared" si="181"/>
        <v>0</v>
      </c>
      <c r="O1708" s="228">
        <f t="shared" si="182"/>
        <v>0</v>
      </c>
      <c r="P1708" s="228">
        <f t="shared" si="182"/>
        <v>0</v>
      </c>
      <c r="Q1708" s="228">
        <f t="shared" si="186"/>
        <v>0</v>
      </c>
      <c r="R1708" s="343">
        <f t="shared" si="187"/>
        <v>0</v>
      </c>
      <c r="S1708" s="240"/>
      <c r="T1708" s="201"/>
      <c r="U1708" s="201"/>
      <c r="V1708" s="201"/>
    </row>
    <row r="1709" spans="1:22" ht="30" x14ac:dyDescent="0.25">
      <c r="A1709" s="234" t="s">
        <v>2012</v>
      </c>
      <c r="B1709" s="235" t="s">
        <v>2013</v>
      </c>
      <c r="C1709" s="234" t="s">
        <v>37</v>
      </c>
      <c r="D1709" s="312">
        <v>34.183</v>
      </c>
      <c r="E1709" s="312"/>
      <c r="F1709" s="248"/>
      <c r="G1709" s="312"/>
      <c r="H1709" s="312"/>
      <c r="I1709" s="312"/>
      <c r="J1709" s="248">
        <f t="shared" si="183"/>
        <v>0</v>
      </c>
      <c r="K1709" s="330">
        <f t="shared" si="184"/>
        <v>-34.183</v>
      </c>
      <c r="L1709" s="313"/>
      <c r="M1709" s="228">
        <f t="shared" si="185"/>
        <v>0</v>
      </c>
      <c r="N1709" s="228">
        <f t="shared" si="181"/>
        <v>0</v>
      </c>
      <c r="O1709" s="228">
        <f t="shared" si="182"/>
        <v>0</v>
      </c>
      <c r="P1709" s="228">
        <f t="shared" si="182"/>
        <v>0</v>
      </c>
      <c r="Q1709" s="228">
        <f t="shared" si="186"/>
        <v>0</v>
      </c>
      <c r="R1709" s="343">
        <f t="shared" si="187"/>
        <v>-34.183</v>
      </c>
      <c r="S1709" s="240"/>
      <c r="T1709" s="201"/>
      <c r="U1709" s="201"/>
      <c r="V1709" s="201"/>
    </row>
    <row r="1710" spans="1:22" ht="15.75" x14ac:dyDescent="0.25">
      <c r="A1710" s="234" t="s">
        <v>2014</v>
      </c>
      <c r="B1710" s="235" t="s">
        <v>1944</v>
      </c>
      <c r="C1710" s="234" t="s">
        <v>61</v>
      </c>
      <c r="D1710" s="312">
        <v>1.286</v>
      </c>
      <c r="E1710" s="312"/>
      <c r="F1710" s="248"/>
      <c r="G1710" s="312"/>
      <c r="H1710" s="312"/>
      <c r="I1710" s="312"/>
      <c r="J1710" s="248">
        <f t="shared" si="183"/>
        <v>0</v>
      </c>
      <c r="K1710" s="330">
        <f t="shared" si="184"/>
        <v>-1.286</v>
      </c>
      <c r="L1710" s="313"/>
      <c r="M1710" s="228">
        <f t="shared" si="185"/>
        <v>0</v>
      </c>
      <c r="N1710" s="228">
        <f t="shared" si="181"/>
        <v>0</v>
      </c>
      <c r="O1710" s="228">
        <f t="shared" si="182"/>
        <v>0</v>
      </c>
      <c r="P1710" s="228">
        <f t="shared" si="182"/>
        <v>0</v>
      </c>
      <c r="Q1710" s="228">
        <f t="shared" si="186"/>
        <v>0</v>
      </c>
      <c r="R1710" s="343">
        <f t="shared" si="187"/>
        <v>-1.286</v>
      </c>
      <c r="S1710" s="240"/>
      <c r="T1710" s="201"/>
      <c r="U1710" s="201"/>
      <c r="V1710" s="201"/>
    </row>
    <row r="1711" spans="1:22" ht="45" x14ac:dyDescent="0.25">
      <c r="A1711" s="234" t="s">
        <v>2015</v>
      </c>
      <c r="B1711" s="235" t="s">
        <v>2016</v>
      </c>
      <c r="C1711" s="234" t="s">
        <v>86</v>
      </c>
      <c r="D1711" s="312">
        <v>230</v>
      </c>
      <c r="E1711" s="312"/>
      <c r="F1711" s="248"/>
      <c r="G1711" s="312"/>
      <c r="H1711" s="312"/>
      <c r="I1711" s="312"/>
      <c r="J1711" s="248">
        <f t="shared" si="183"/>
        <v>0</v>
      </c>
      <c r="K1711" s="330">
        <f t="shared" si="184"/>
        <v>-230</v>
      </c>
      <c r="L1711" s="313"/>
      <c r="M1711" s="228">
        <f t="shared" si="185"/>
        <v>0</v>
      </c>
      <c r="N1711" s="228">
        <f t="shared" si="181"/>
        <v>0</v>
      </c>
      <c r="O1711" s="228">
        <f t="shared" si="182"/>
        <v>0</v>
      </c>
      <c r="P1711" s="228">
        <f t="shared" si="182"/>
        <v>0</v>
      </c>
      <c r="Q1711" s="228">
        <f t="shared" si="186"/>
        <v>0</v>
      </c>
      <c r="R1711" s="343">
        <f t="shared" si="187"/>
        <v>-230</v>
      </c>
      <c r="S1711" s="240"/>
      <c r="T1711" s="201"/>
      <c r="U1711" s="201"/>
      <c r="V1711" s="201"/>
    </row>
    <row r="1712" spans="1:22" ht="45" x14ac:dyDescent="0.25">
      <c r="A1712" s="234" t="s">
        <v>2017</v>
      </c>
      <c r="B1712" s="235" t="s">
        <v>2018</v>
      </c>
      <c r="C1712" s="234" t="s">
        <v>86</v>
      </c>
      <c r="D1712" s="312">
        <v>480</v>
      </c>
      <c r="E1712" s="312"/>
      <c r="F1712" s="248"/>
      <c r="G1712" s="312"/>
      <c r="H1712" s="312"/>
      <c r="I1712" s="312"/>
      <c r="J1712" s="248">
        <f t="shared" si="183"/>
        <v>0</v>
      </c>
      <c r="K1712" s="330">
        <f t="shared" si="184"/>
        <v>-480</v>
      </c>
      <c r="L1712" s="313"/>
      <c r="M1712" s="228">
        <f t="shared" si="185"/>
        <v>0</v>
      </c>
      <c r="N1712" s="228">
        <f t="shared" si="181"/>
        <v>0</v>
      </c>
      <c r="O1712" s="228">
        <f t="shared" si="182"/>
        <v>0</v>
      </c>
      <c r="P1712" s="228">
        <f t="shared" si="182"/>
        <v>0</v>
      </c>
      <c r="Q1712" s="228">
        <f t="shared" si="186"/>
        <v>0</v>
      </c>
      <c r="R1712" s="343">
        <f t="shared" si="187"/>
        <v>-480</v>
      </c>
      <c r="S1712" s="240"/>
      <c r="T1712" s="201"/>
      <c r="U1712" s="201"/>
      <c r="V1712" s="201"/>
    </row>
    <row r="1713" spans="1:22" ht="30" x14ac:dyDescent="0.25">
      <c r="A1713" s="234" t="s">
        <v>2019</v>
      </c>
      <c r="B1713" s="235" t="s">
        <v>2020</v>
      </c>
      <c r="C1713" s="234" t="s">
        <v>86</v>
      </c>
      <c r="D1713" s="312">
        <v>230</v>
      </c>
      <c r="E1713" s="312"/>
      <c r="F1713" s="248"/>
      <c r="G1713" s="312"/>
      <c r="H1713" s="312"/>
      <c r="I1713" s="312"/>
      <c r="J1713" s="248">
        <f t="shared" si="183"/>
        <v>0</v>
      </c>
      <c r="K1713" s="330">
        <f t="shared" si="184"/>
        <v>-230</v>
      </c>
      <c r="L1713" s="313"/>
      <c r="M1713" s="228">
        <f t="shared" si="185"/>
        <v>0</v>
      </c>
      <c r="N1713" s="228">
        <f t="shared" si="181"/>
        <v>0</v>
      </c>
      <c r="O1713" s="228">
        <f t="shared" si="182"/>
        <v>0</v>
      </c>
      <c r="P1713" s="228">
        <f t="shared" si="182"/>
        <v>0</v>
      </c>
      <c r="Q1713" s="228">
        <f t="shared" si="186"/>
        <v>0</v>
      </c>
      <c r="R1713" s="343">
        <f t="shared" si="187"/>
        <v>-230</v>
      </c>
      <c r="S1713" s="240"/>
      <c r="T1713" s="201"/>
      <c r="U1713" s="201"/>
      <c r="V1713" s="201"/>
    </row>
    <row r="1714" spans="1:22" ht="30" x14ac:dyDescent="0.25">
      <c r="A1714" s="234" t="s">
        <v>2021</v>
      </c>
      <c r="B1714" s="235" t="s">
        <v>2022</v>
      </c>
      <c r="C1714" s="234" t="s">
        <v>86</v>
      </c>
      <c r="D1714" s="312">
        <v>240</v>
      </c>
      <c r="E1714" s="312"/>
      <c r="F1714" s="248"/>
      <c r="G1714" s="312"/>
      <c r="H1714" s="312"/>
      <c r="I1714" s="312"/>
      <c r="J1714" s="248">
        <f t="shared" si="183"/>
        <v>0</v>
      </c>
      <c r="K1714" s="330">
        <f t="shared" si="184"/>
        <v>-240</v>
      </c>
      <c r="L1714" s="313"/>
      <c r="M1714" s="228">
        <f t="shared" si="185"/>
        <v>0</v>
      </c>
      <c r="N1714" s="228">
        <f t="shared" si="181"/>
        <v>0</v>
      </c>
      <c r="O1714" s="228">
        <f t="shared" si="182"/>
        <v>0</v>
      </c>
      <c r="P1714" s="228">
        <f t="shared" si="182"/>
        <v>0</v>
      </c>
      <c r="Q1714" s="228">
        <f t="shared" si="186"/>
        <v>0</v>
      </c>
      <c r="R1714" s="343">
        <f t="shared" si="187"/>
        <v>-240</v>
      </c>
      <c r="S1714" s="240"/>
      <c r="T1714" s="201"/>
      <c r="U1714" s="201"/>
      <c r="V1714" s="201"/>
    </row>
    <row r="1715" spans="1:22" ht="28.5" x14ac:dyDescent="0.25">
      <c r="A1715" s="230" t="s">
        <v>2023</v>
      </c>
      <c r="B1715" s="231" t="s">
        <v>2024</v>
      </c>
      <c r="C1715" s="230"/>
      <c r="D1715" s="316"/>
      <c r="E1715" s="316"/>
      <c r="F1715" s="317"/>
      <c r="G1715" s="316"/>
      <c r="H1715" s="316"/>
      <c r="I1715" s="316"/>
      <c r="J1715" s="248">
        <f t="shared" si="183"/>
        <v>0</v>
      </c>
      <c r="K1715" s="330">
        <f t="shared" si="184"/>
        <v>0</v>
      </c>
      <c r="L1715" s="318"/>
      <c r="M1715" s="228">
        <f t="shared" si="185"/>
        <v>0</v>
      </c>
      <c r="N1715" s="228">
        <f t="shared" si="181"/>
        <v>0</v>
      </c>
      <c r="O1715" s="228">
        <f t="shared" si="182"/>
        <v>0</v>
      </c>
      <c r="P1715" s="228">
        <f t="shared" si="182"/>
        <v>0</v>
      </c>
      <c r="Q1715" s="228">
        <f t="shared" si="186"/>
        <v>0</v>
      </c>
      <c r="R1715" s="343">
        <f t="shared" si="187"/>
        <v>0</v>
      </c>
      <c r="S1715" s="240"/>
      <c r="T1715" s="201"/>
      <c r="U1715" s="201"/>
      <c r="V1715" s="201"/>
    </row>
    <row r="1716" spans="1:22" ht="25.5" customHeight="1" x14ac:dyDescent="0.25">
      <c r="A1716" s="234" t="s">
        <v>2025</v>
      </c>
      <c r="B1716" s="235" t="s">
        <v>2026</v>
      </c>
      <c r="C1716" s="234" t="s">
        <v>6</v>
      </c>
      <c r="D1716" s="312">
        <v>850</v>
      </c>
      <c r="E1716" s="312"/>
      <c r="F1716" s="248">
        <f>D1716*0.7</f>
        <v>595</v>
      </c>
      <c r="G1716" s="312"/>
      <c r="H1716" s="312"/>
      <c r="I1716" s="312"/>
      <c r="J1716" s="248">
        <f t="shared" si="183"/>
        <v>595</v>
      </c>
      <c r="K1716" s="330">
        <f t="shared" si="184"/>
        <v>-255</v>
      </c>
      <c r="L1716" s="313"/>
      <c r="M1716" s="228">
        <f t="shared" si="185"/>
        <v>595</v>
      </c>
      <c r="N1716" s="228">
        <f t="shared" si="181"/>
        <v>0</v>
      </c>
      <c r="O1716" s="228">
        <f t="shared" si="182"/>
        <v>0</v>
      </c>
      <c r="P1716" s="228">
        <f t="shared" si="182"/>
        <v>0</v>
      </c>
      <c r="Q1716" s="228">
        <f t="shared" si="186"/>
        <v>595</v>
      </c>
      <c r="R1716" s="343">
        <f t="shared" si="187"/>
        <v>-255</v>
      </c>
      <c r="S1716" s="240"/>
      <c r="T1716" s="201"/>
      <c r="U1716" s="201"/>
      <c r="V1716" s="201"/>
    </row>
    <row r="1717" spans="1:22" ht="15.75" x14ac:dyDescent="0.25">
      <c r="A1717" s="234" t="s">
        <v>2027</v>
      </c>
      <c r="B1717" s="235" t="s">
        <v>2028</v>
      </c>
      <c r="C1717" s="234" t="s">
        <v>6</v>
      </c>
      <c r="D1717" s="312">
        <v>850</v>
      </c>
      <c r="E1717" s="312"/>
      <c r="F1717" s="248"/>
      <c r="G1717" s="312"/>
      <c r="H1717" s="312"/>
      <c r="I1717" s="312"/>
      <c r="J1717" s="248">
        <f t="shared" si="183"/>
        <v>0</v>
      </c>
      <c r="K1717" s="330">
        <f t="shared" si="184"/>
        <v>-850</v>
      </c>
      <c r="L1717" s="313"/>
      <c r="M1717" s="228">
        <f t="shared" si="185"/>
        <v>0</v>
      </c>
      <c r="N1717" s="228">
        <f t="shared" si="181"/>
        <v>0</v>
      </c>
      <c r="O1717" s="228">
        <f t="shared" si="182"/>
        <v>0</v>
      </c>
      <c r="P1717" s="228">
        <f t="shared" si="182"/>
        <v>0</v>
      </c>
      <c r="Q1717" s="228">
        <f t="shared" si="186"/>
        <v>0</v>
      </c>
      <c r="R1717" s="343">
        <f t="shared" si="187"/>
        <v>-850</v>
      </c>
      <c r="S1717" s="240"/>
      <c r="T1717" s="201"/>
      <c r="U1717" s="201"/>
      <c r="V1717" s="201"/>
    </row>
    <row r="1718" spans="1:22" ht="15.75" x14ac:dyDescent="0.25">
      <c r="A1718" s="234" t="s">
        <v>2029</v>
      </c>
      <c r="B1718" s="235" t="s">
        <v>2030</v>
      </c>
      <c r="C1718" s="234" t="s">
        <v>14</v>
      </c>
      <c r="D1718" s="312">
        <v>0.6</v>
      </c>
      <c r="E1718" s="312"/>
      <c r="F1718" s="248"/>
      <c r="G1718" s="312"/>
      <c r="H1718" s="312"/>
      <c r="I1718" s="312"/>
      <c r="J1718" s="248">
        <f t="shared" si="183"/>
        <v>0</v>
      </c>
      <c r="K1718" s="330">
        <f t="shared" si="184"/>
        <v>-0.6</v>
      </c>
      <c r="L1718" s="313"/>
      <c r="M1718" s="228">
        <f t="shared" si="185"/>
        <v>0</v>
      </c>
      <c r="N1718" s="228">
        <f t="shared" si="181"/>
        <v>0</v>
      </c>
      <c r="O1718" s="228">
        <f t="shared" si="182"/>
        <v>0</v>
      </c>
      <c r="P1718" s="228">
        <f t="shared" si="182"/>
        <v>0</v>
      </c>
      <c r="Q1718" s="228">
        <f t="shared" si="186"/>
        <v>0</v>
      </c>
      <c r="R1718" s="343">
        <f t="shared" si="187"/>
        <v>-0.6</v>
      </c>
      <c r="S1718" s="240"/>
      <c r="T1718" s="201"/>
      <c r="U1718" s="201"/>
      <c r="V1718" s="201"/>
    </row>
    <row r="1719" spans="1:22" ht="15.75" x14ac:dyDescent="0.25">
      <c r="A1719" s="234" t="s">
        <v>2031</v>
      </c>
      <c r="B1719" s="235" t="s">
        <v>2032</v>
      </c>
      <c r="C1719" s="234" t="s">
        <v>14</v>
      </c>
      <c r="D1719" s="312">
        <v>0.08</v>
      </c>
      <c r="E1719" s="312"/>
      <c r="F1719" s="248"/>
      <c r="G1719" s="312"/>
      <c r="H1719" s="312"/>
      <c r="I1719" s="312"/>
      <c r="J1719" s="248">
        <f t="shared" si="183"/>
        <v>0</v>
      </c>
      <c r="K1719" s="330">
        <f t="shared" si="184"/>
        <v>-0.08</v>
      </c>
      <c r="L1719" s="313"/>
      <c r="M1719" s="228">
        <f t="shared" si="185"/>
        <v>0</v>
      </c>
      <c r="N1719" s="228">
        <f t="shared" ref="N1719:N1782" si="188">G1719</f>
        <v>0</v>
      </c>
      <c r="O1719" s="228">
        <f t="shared" ref="O1719:P1782" si="189">H1719</f>
        <v>0</v>
      </c>
      <c r="P1719" s="228">
        <f t="shared" si="189"/>
        <v>0</v>
      </c>
      <c r="Q1719" s="228">
        <f t="shared" si="186"/>
        <v>0</v>
      </c>
      <c r="R1719" s="343">
        <f t="shared" si="187"/>
        <v>-0.08</v>
      </c>
      <c r="S1719" s="240"/>
      <c r="T1719" s="201"/>
      <c r="U1719" s="201"/>
      <c r="V1719" s="201"/>
    </row>
    <row r="1720" spans="1:22" ht="15.75" x14ac:dyDescent="0.25">
      <c r="A1720" s="234" t="s">
        <v>2033</v>
      </c>
      <c r="B1720" s="235" t="s">
        <v>2034</v>
      </c>
      <c r="C1720" s="234" t="s">
        <v>2035</v>
      </c>
      <c r="D1720" s="312">
        <v>11</v>
      </c>
      <c r="E1720" s="312"/>
      <c r="F1720" s="248"/>
      <c r="G1720" s="312"/>
      <c r="H1720" s="312"/>
      <c r="I1720" s="312"/>
      <c r="J1720" s="248">
        <f t="shared" si="183"/>
        <v>0</v>
      </c>
      <c r="K1720" s="330">
        <f t="shared" si="184"/>
        <v>-11</v>
      </c>
      <c r="L1720" s="313"/>
      <c r="M1720" s="228">
        <f t="shared" si="185"/>
        <v>0</v>
      </c>
      <c r="N1720" s="228">
        <f t="shared" si="188"/>
        <v>0</v>
      </c>
      <c r="O1720" s="228">
        <f t="shared" si="189"/>
        <v>0</v>
      </c>
      <c r="P1720" s="228">
        <f t="shared" si="189"/>
        <v>0</v>
      </c>
      <c r="Q1720" s="228">
        <f t="shared" si="186"/>
        <v>0</v>
      </c>
      <c r="R1720" s="343">
        <f t="shared" si="187"/>
        <v>-11</v>
      </c>
      <c r="S1720" s="240"/>
      <c r="T1720" s="201"/>
      <c r="U1720" s="201"/>
      <c r="V1720" s="201"/>
    </row>
    <row r="1721" spans="1:22" ht="15.75" x14ac:dyDescent="0.25">
      <c r="A1721" s="234" t="s">
        <v>2036</v>
      </c>
      <c r="B1721" s="235" t="s">
        <v>2037</v>
      </c>
      <c r="C1721" s="234" t="s">
        <v>6</v>
      </c>
      <c r="D1721" s="312">
        <v>300</v>
      </c>
      <c r="E1721" s="312"/>
      <c r="F1721" s="248"/>
      <c r="G1721" s="312"/>
      <c r="H1721" s="312"/>
      <c r="I1721" s="312"/>
      <c r="J1721" s="248">
        <f t="shared" si="183"/>
        <v>0</v>
      </c>
      <c r="K1721" s="330">
        <f t="shared" si="184"/>
        <v>-300</v>
      </c>
      <c r="L1721" s="313"/>
      <c r="M1721" s="228">
        <f t="shared" si="185"/>
        <v>0</v>
      </c>
      <c r="N1721" s="228">
        <f t="shared" si="188"/>
        <v>0</v>
      </c>
      <c r="O1721" s="228">
        <f t="shared" si="189"/>
        <v>0</v>
      </c>
      <c r="P1721" s="228">
        <f t="shared" si="189"/>
        <v>0</v>
      </c>
      <c r="Q1721" s="228">
        <f t="shared" si="186"/>
        <v>0</v>
      </c>
      <c r="R1721" s="343">
        <f t="shared" si="187"/>
        <v>-300</v>
      </c>
      <c r="S1721" s="240"/>
      <c r="T1721" s="201"/>
      <c r="U1721" s="201"/>
      <c r="V1721" s="201"/>
    </row>
    <row r="1722" spans="1:22" ht="15.75" x14ac:dyDescent="0.25">
      <c r="A1722" s="234" t="s">
        <v>2038</v>
      </c>
      <c r="B1722" s="235" t="s">
        <v>2039</v>
      </c>
      <c r="C1722" s="234" t="s">
        <v>6</v>
      </c>
      <c r="D1722" s="312">
        <v>300</v>
      </c>
      <c r="E1722" s="312"/>
      <c r="F1722" s="248"/>
      <c r="G1722" s="312"/>
      <c r="H1722" s="312"/>
      <c r="I1722" s="312"/>
      <c r="J1722" s="248">
        <f t="shared" si="183"/>
        <v>0</v>
      </c>
      <c r="K1722" s="330">
        <f t="shared" si="184"/>
        <v>-300</v>
      </c>
      <c r="L1722" s="313"/>
      <c r="M1722" s="228">
        <f t="shared" si="185"/>
        <v>0</v>
      </c>
      <c r="N1722" s="228">
        <f t="shared" si="188"/>
        <v>0</v>
      </c>
      <c r="O1722" s="228">
        <f t="shared" si="189"/>
        <v>0</v>
      </c>
      <c r="P1722" s="228">
        <f t="shared" si="189"/>
        <v>0</v>
      </c>
      <c r="Q1722" s="228">
        <f t="shared" si="186"/>
        <v>0</v>
      </c>
      <c r="R1722" s="343">
        <f t="shared" si="187"/>
        <v>-300</v>
      </c>
      <c r="S1722" s="240"/>
      <c r="T1722" s="201"/>
      <c r="U1722" s="201"/>
      <c r="V1722" s="201"/>
    </row>
    <row r="1723" spans="1:22" ht="15.75" x14ac:dyDescent="0.25">
      <c r="A1723" s="234" t="s">
        <v>2040</v>
      </c>
      <c r="B1723" s="235" t="s">
        <v>2041</v>
      </c>
      <c r="C1723" s="234" t="s">
        <v>6</v>
      </c>
      <c r="D1723" s="312">
        <v>300</v>
      </c>
      <c r="E1723" s="312"/>
      <c r="F1723" s="248"/>
      <c r="G1723" s="312"/>
      <c r="H1723" s="312"/>
      <c r="I1723" s="312"/>
      <c r="J1723" s="248">
        <f t="shared" si="183"/>
        <v>0</v>
      </c>
      <c r="K1723" s="330">
        <f t="shared" si="184"/>
        <v>-300</v>
      </c>
      <c r="L1723" s="313"/>
      <c r="M1723" s="228">
        <f t="shared" si="185"/>
        <v>0</v>
      </c>
      <c r="N1723" s="228">
        <f t="shared" si="188"/>
        <v>0</v>
      </c>
      <c r="O1723" s="228">
        <f t="shared" si="189"/>
        <v>0</v>
      </c>
      <c r="P1723" s="228">
        <f t="shared" si="189"/>
        <v>0</v>
      </c>
      <c r="Q1723" s="228">
        <f t="shared" si="186"/>
        <v>0</v>
      </c>
      <c r="R1723" s="343">
        <f t="shared" si="187"/>
        <v>-300</v>
      </c>
      <c r="S1723" s="240"/>
      <c r="T1723" s="201"/>
      <c r="U1723" s="201"/>
      <c r="V1723" s="201"/>
    </row>
    <row r="1724" spans="1:22" ht="28.5" customHeight="1" x14ac:dyDescent="0.25">
      <c r="A1724" s="234" t="s">
        <v>2042</v>
      </c>
      <c r="B1724" s="235" t="s">
        <v>2043</v>
      </c>
      <c r="C1724" s="234" t="s">
        <v>1399</v>
      </c>
      <c r="D1724" s="312">
        <v>11</v>
      </c>
      <c r="E1724" s="312"/>
      <c r="F1724" s="248"/>
      <c r="G1724" s="312"/>
      <c r="H1724" s="312"/>
      <c r="I1724" s="312"/>
      <c r="J1724" s="248">
        <f t="shared" si="183"/>
        <v>0</v>
      </c>
      <c r="K1724" s="330">
        <f t="shared" si="184"/>
        <v>-11</v>
      </c>
      <c r="L1724" s="313"/>
      <c r="M1724" s="228">
        <f t="shared" si="185"/>
        <v>0</v>
      </c>
      <c r="N1724" s="228">
        <f t="shared" si="188"/>
        <v>0</v>
      </c>
      <c r="O1724" s="228">
        <f t="shared" si="189"/>
        <v>0</v>
      </c>
      <c r="P1724" s="228">
        <f t="shared" si="189"/>
        <v>0</v>
      </c>
      <c r="Q1724" s="228">
        <f t="shared" si="186"/>
        <v>0</v>
      </c>
      <c r="R1724" s="343">
        <f t="shared" si="187"/>
        <v>-11</v>
      </c>
      <c r="S1724" s="240"/>
      <c r="T1724" s="201"/>
      <c r="U1724" s="201"/>
      <c r="V1724" s="201"/>
    </row>
    <row r="1725" spans="1:22" ht="15.75" x14ac:dyDescent="0.25">
      <c r="A1725" s="234" t="s">
        <v>2044</v>
      </c>
      <c r="B1725" s="235" t="s">
        <v>2045</v>
      </c>
      <c r="C1725" s="234" t="s">
        <v>6</v>
      </c>
      <c r="D1725" s="312">
        <v>33</v>
      </c>
      <c r="E1725" s="312"/>
      <c r="F1725" s="248"/>
      <c r="G1725" s="312"/>
      <c r="H1725" s="312"/>
      <c r="I1725" s="312"/>
      <c r="J1725" s="248">
        <f t="shared" si="183"/>
        <v>0</v>
      </c>
      <c r="K1725" s="330">
        <f t="shared" si="184"/>
        <v>-33</v>
      </c>
      <c r="L1725" s="313"/>
      <c r="M1725" s="228">
        <f t="shared" si="185"/>
        <v>0</v>
      </c>
      <c r="N1725" s="228">
        <f t="shared" si="188"/>
        <v>0</v>
      </c>
      <c r="O1725" s="228">
        <f t="shared" si="189"/>
        <v>0</v>
      </c>
      <c r="P1725" s="228">
        <f t="shared" si="189"/>
        <v>0</v>
      </c>
      <c r="Q1725" s="228">
        <f t="shared" si="186"/>
        <v>0</v>
      </c>
      <c r="R1725" s="343">
        <f t="shared" si="187"/>
        <v>-33</v>
      </c>
      <c r="S1725" s="240"/>
      <c r="T1725" s="201"/>
      <c r="U1725" s="201"/>
      <c r="V1725" s="201"/>
    </row>
    <row r="1726" spans="1:22" ht="30" x14ac:dyDescent="0.25">
      <c r="A1726" s="234" t="s">
        <v>2046</v>
      </c>
      <c r="B1726" s="235" t="s">
        <v>1936</v>
      </c>
      <c r="C1726" s="234" t="s">
        <v>27</v>
      </c>
      <c r="D1726" s="312">
        <v>4.2999999999999997E-2</v>
      </c>
      <c r="E1726" s="312"/>
      <c r="F1726" s="248"/>
      <c r="G1726" s="312"/>
      <c r="H1726" s="312"/>
      <c r="I1726" s="312"/>
      <c r="J1726" s="248">
        <f t="shared" si="183"/>
        <v>0</v>
      </c>
      <c r="K1726" s="330">
        <f t="shared" si="184"/>
        <v>-4.2999999999999997E-2</v>
      </c>
      <c r="L1726" s="313"/>
      <c r="M1726" s="228">
        <f t="shared" si="185"/>
        <v>0</v>
      </c>
      <c r="N1726" s="228">
        <f t="shared" si="188"/>
        <v>0</v>
      </c>
      <c r="O1726" s="228">
        <f t="shared" si="189"/>
        <v>0</v>
      </c>
      <c r="P1726" s="228">
        <f t="shared" si="189"/>
        <v>0</v>
      </c>
      <c r="Q1726" s="228">
        <f t="shared" si="186"/>
        <v>0</v>
      </c>
      <c r="R1726" s="343">
        <f t="shared" si="187"/>
        <v>-4.2999999999999997E-2</v>
      </c>
      <c r="S1726" s="240"/>
      <c r="T1726" s="201"/>
      <c r="U1726" s="201"/>
      <c r="V1726" s="201"/>
    </row>
    <row r="1727" spans="1:22" ht="30" x14ac:dyDescent="0.25">
      <c r="A1727" s="234" t="s">
        <v>2047</v>
      </c>
      <c r="B1727" s="235" t="s">
        <v>2048</v>
      </c>
      <c r="C1727" s="234" t="s">
        <v>37</v>
      </c>
      <c r="D1727" s="312">
        <v>4.3120000000000003</v>
      </c>
      <c r="E1727" s="312"/>
      <c r="F1727" s="248"/>
      <c r="G1727" s="312"/>
      <c r="H1727" s="312"/>
      <c r="I1727" s="312"/>
      <c r="J1727" s="248">
        <f t="shared" si="183"/>
        <v>0</v>
      </c>
      <c r="K1727" s="330">
        <f t="shared" si="184"/>
        <v>-4.3120000000000003</v>
      </c>
      <c r="L1727" s="313"/>
      <c r="M1727" s="228">
        <f t="shared" si="185"/>
        <v>0</v>
      </c>
      <c r="N1727" s="228">
        <f t="shared" si="188"/>
        <v>0</v>
      </c>
      <c r="O1727" s="228">
        <f t="shared" si="189"/>
        <v>0</v>
      </c>
      <c r="P1727" s="228">
        <f t="shared" si="189"/>
        <v>0</v>
      </c>
      <c r="Q1727" s="228">
        <f t="shared" si="186"/>
        <v>0</v>
      </c>
      <c r="R1727" s="343">
        <f t="shared" si="187"/>
        <v>-4.3120000000000003</v>
      </c>
      <c r="S1727" s="240"/>
      <c r="T1727" s="201"/>
      <c r="U1727" s="201"/>
      <c r="V1727" s="201"/>
    </row>
    <row r="1728" spans="1:22" ht="30" x14ac:dyDescent="0.25">
      <c r="A1728" s="234" t="s">
        <v>2049</v>
      </c>
      <c r="B1728" s="235" t="s">
        <v>2050</v>
      </c>
      <c r="C1728" s="234" t="s">
        <v>37</v>
      </c>
      <c r="D1728" s="312">
        <v>0.53900000000000003</v>
      </c>
      <c r="E1728" s="312"/>
      <c r="F1728" s="248"/>
      <c r="G1728" s="312"/>
      <c r="H1728" s="312"/>
      <c r="I1728" s="312"/>
      <c r="J1728" s="248">
        <f t="shared" si="183"/>
        <v>0</v>
      </c>
      <c r="K1728" s="330">
        <f t="shared" si="184"/>
        <v>-0.53900000000000003</v>
      </c>
      <c r="L1728" s="313"/>
      <c r="M1728" s="228">
        <f t="shared" si="185"/>
        <v>0</v>
      </c>
      <c r="N1728" s="228">
        <f t="shared" si="188"/>
        <v>0</v>
      </c>
      <c r="O1728" s="228">
        <f t="shared" si="189"/>
        <v>0</v>
      </c>
      <c r="P1728" s="228">
        <f t="shared" si="189"/>
        <v>0</v>
      </c>
      <c r="Q1728" s="228">
        <f t="shared" si="186"/>
        <v>0</v>
      </c>
      <c r="R1728" s="343">
        <f t="shared" si="187"/>
        <v>-0.53900000000000003</v>
      </c>
      <c r="S1728" s="240"/>
      <c r="T1728" s="201"/>
      <c r="U1728" s="201"/>
      <c r="V1728" s="201"/>
    </row>
    <row r="1729" spans="1:22" ht="30" x14ac:dyDescent="0.25">
      <c r="A1729" s="234" t="s">
        <v>2051</v>
      </c>
      <c r="B1729" s="235" t="s">
        <v>2052</v>
      </c>
      <c r="C1729" s="234" t="s">
        <v>37</v>
      </c>
      <c r="D1729" s="312">
        <v>3.1680000000000001</v>
      </c>
      <c r="E1729" s="312"/>
      <c r="F1729" s="248"/>
      <c r="G1729" s="312"/>
      <c r="H1729" s="312"/>
      <c r="I1729" s="312"/>
      <c r="J1729" s="248">
        <f t="shared" si="183"/>
        <v>0</v>
      </c>
      <c r="K1729" s="330">
        <f t="shared" si="184"/>
        <v>-3.1680000000000001</v>
      </c>
      <c r="L1729" s="313"/>
      <c r="M1729" s="228">
        <f t="shared" si="185"/>
        <v>0</v>
      </c>
      <c r="N1729" s="228">
        <f t="shared" si="188"/>
        <v>0</v>
      </c>
      <c r="O1729" s="228">
        <f t="shared" si="189"/>
        <v>0</v>
      </c>
      <c r="P1729" s="228">
        <f t="shared" si="189"/>
        <v>0</v>
      </c>
      <c r="Q1729" s="228">
        <f t="shared" si="186"/>
        <v>0</v>
      </c>
      <c r="R1729" s="343">
        <f t="shared" si="187"/>
        <v>-3.1680000000000001</v>
      </c>
      <c r="S1729" s="240"/>
      <c r="T1729" s="201"/>
      <c r="U1729" s="201"/>
      <c r="V1729" s="201"/>
    </row>
    <row r="1730" spans="1:22" ht="15.75" x14ac:dyDescent="0.25">
      <c r="A1730" s="234" t="s">
        <v>2053</v>
      </c>
      <c r="B1730" s="235" t="s">
        <v>2054</v>
      </c>
      <c r="C1730" s="234" t="s">
        <v>61</v>
      </c>
      <c r="D1730" s="312">
        <v>0.21099999999999999</v>
      </c>
      <c r="E1730" s="312"/>
      <c r="F1730" s="248"/>
      <c r="G1730" s="312"/>
      <c r="H1730" s="312"/>
      <c r="I1730" s="312"/>
      <c r="J1730" s="248">
        <f t="shared" si="183"/>
        <v>0</v>
      </c>
      <c r="K1730" s="330">
        <f t="shared" si="184"/>
        <v>-0.21099999999999999</v>
      </c>
      <c r="L1730" s="313"/>
      <c r="M1730" s="228">
        <f t="shared" si="185"/>
        <v>0</v>
      </c>
      <c r="N1730" s="228">
        <f t="shared" si="188"/>
        <v>0</v>
      </c>
      <c r="O1730" s="228">
        <f t="shared" si="189"/>
        <v>0</v>
      </c>
      <c r="P1730" s="228">
        <f t="shared" si="189"/>
        <v>0</v>
      </c>
      <c r="Q1730" s="228">
        <f t="shared" si="186"/>
        <v>0</v>
      </c>
      <c r="R1730" s="343">
        <f t="shared" si="187"/>
        <v>-0.21099999999999999</v>
      </c>
      <c r="S1730" s="240"/>
      <c r="T1730" s="201"/>
      <c r="U1730" s="201"/>
      <c r="V1730" s="201"/>
    </row>
    <row r="1731" spans="1:22" ht="30" x14ac:dyDescent="0.25">
      <c r="A1731" s="234" t="s">
        <v>2055</v>
      </c>
      <c r="B1731" s="235" t="s">
        <v>1936</v>
      </c>
      <c r="C1731" s="234" t="s">
        <v>27</v>
      </c>
      <c r="D1731" s="312">
        <v>0.13800000000000001</v>
      </c>
      <c r="E1731" s="312"/>
      <c r="F1731" s="248"/>
      <c r="G1731" s="312"/>
      <c r="H1731" s="312"/>
      <c r="I1731" s="312"/>
      <c r="J1731" s="248">
        <f t="shared" si="183"/>
        <v>0</v>
      </c>
      <c r="K1731" s="330">
        <f t="shared" si="184"/>
        <v>-0.13800000000000001</v>
      </c>
      <c r="L1731" s="313"/>
      <c r="M1731" s="228">
        <f t="shared" si="185"/>
        <v>0</v>
      </c>
      <c r="N1731" s="228">
        <f t="shared" si="188"/>
        <v>0</v>
      </c>
      <c r="O1731" s="228">
        <f t="shared" si="189"/>
        <v>0</v>
      </c>
      <c r="P1731" s="228">
        <f t="shared" si="189"/>
        <v>0</v>
      </c>
      <c r="Q1731" s="228">
        <f t="shared" si="186"/>
        <v>0</v>
      </c>
      <c r="R1731" s="343">
        <f t="shared" si="187"/>
        <v>-0.13800000000000001</v>
      </c>
      <c r="S1731" s="240"/>
      <c r="T1731" s="201"/>
      <c r="U1731" s="201"/>
      <c r="V1731" s="201"/>
    </row>
    <row r="1732" spans="1:22" ht="30" x14ac:dyDescent="0.25">
      <c r="A1732" s="234" t="s">
        <v>2056</v>
      </c>
      <c r="B1732" s="235" t="s">
        <v>2048</v>
      </c>
      <c r="C1732" s="234" t="s">
        <v>37</v>
      </c>
      <c r="D1732" s="312">
        <v>13.778</v>
      </c>
      <c r="E1732" s="312"/>
      <c r="F1732" s="248"/>
      <c r="G1732" s="312"/>
      <c r="H1732" s="312"/>
      <c r="I1732" s="312"/>
      <c r="J1732" s="248">
        <f t="shared" si="183"/>
        <v>0</v>
      </c>
      <c r="K1732" s="330">
        <f t="shared" si="184"/>
        <v>-13.778</v>
      </c>
      <c r="L1732" s="313"/>
      <c r="M1732" s="228">
        <f t="shared" si="185"/>
        <v>0</v>
      </c>
      <c r="N1732" s="228">
        <f t="shared" si="188"/>
        <v>0</v>
      </c>
      <c r="O1732" s="228">
        <f t="shared" si="189"/>
        <v>0</v>
      </c>
      <c r="P1732" s="228">
        <f t="shared" si="189"/>
        <v>0</v>
      </c>
      <c r="Q1732" s="228">
        <f t="shared" si="186"/>
        <v>0</v>
      </c>
      <c r="R1732" s="343">
        <f t="shared" si="187"/>
        <v>-13.778</v>
      </c>
      <c r="S1732" s="240"/>
      <c r="T1732" s="201"/>
      <c r="U1732" s="201"/>
      <c r="V1732" s="201"/>
    </row>
    <row r="1733" spans="1:22" ht="30" x14ac:dyDescent="0.25">
      <c r="A1733" s="234" t="s">
        <v>2057</v>
      </c>
      <c r="B1733" s="235" t="s">
        <v>1963</v>
      </c>
      <c r="C1733" s="234" t="s">
        <v>37</v>
      </c>
      <c r="D1733" s="312">
        <v>1.06</v>
      </c>
      <c r="E1733" s="312"/>
      <c r="F1733" s="248"/>
      <c r="G1733" s="312"/>
      <c r="H1733" s="312"/>
      <c r="I1733" s="312"/>
      <c r="J1733" s="248">
        <f t="shared" si="183"/>
        <v>0</v>
      </c>
      <c r="K1733" s="330">
        <f t="shared" si="184"/>
        <v>-1.06</v>
      </c>
      <c r="L1733" s="313"/>
      <c r="M1733" s="228">
        <f t="shared" si="185"/>
        <v>0</v>
      </c>
      <c r="N1733" s="228">
        <f t="shared" si="188"/>
        <v>0</v>
      </c>
      <c r="O1733" s="228">
        <f t="shared" si="189"/>
        <v>0</v>
      </c>
      <c r="P1733" s="228">
        <f t="shared" si="189"/>
        <v>0</v>
      </c>
      <c r="Q1733" s="228">
        <f t="shared" si="186"/>
        <v>0</v>
      </c>
      <c r="R1733" s="343">
        <f t="shared" si="187"/>
        <v>-1.06</v>
      </c>
      <c r="S1733" s="240"/>
      <c r="T1733" s="201"/>
      <c r="U1733" s="201"/>
      <c r="V1733" s="201"/>
    </row>
    <row r="1734" spans="1:22" ht="45" x14ac:dyDescent="0.25">
      <c r="A1734" s="234" t="s">
        <v>2058</v>
      </c>
      <c r="B1734" s="235" t="s">
        <v>2059</v>
      </c>
      <c r="C1734" s="234" t="s">
        <v>37</v>
      </c>
      <c r="D1734" s="312">
        <v>2.782</v>
      </c>
      <c r="E1734" s="312"/>
      <c r="F1734" s="248"/>
      <c r="G1734" s="312"/>
      <c r="H1734" s="312"/>
      <c r="I1734" s="312"/>
      <c r="J1734" s="248">
        <f t="shared" si="183"/>
        <v>0</v>
      </c>
      <c r="K1734" s="330">
        <f t="shared" si="184"/>
        <v>-2.782</v>
      </c>
      <c r="L1734" s="313"/>
      <c r="M1734" s="228">
        <f t="shared" si="185"/>
        <v>0</v>
      </c>
      <c r="N1734" s="228">
        <f t="shared" si="188"/>
        <v>0</v>
      </c>
      <c r="O1734" s="228">
        <f t="shared" si="189"/>
        <v>0</v>
      </c>
      <c r="P1734" s="228">
        <f t="shared" si="189"/>
        <v>0</v>
      </c>
      <c r="Q1734" s="228">
        <f t="shared" si="186"/>
        <v>0</v>
      </c>
      <c r="R1734" s="343">
        <f t="shared" si="187"/>
        <v>-2.782</v>
      </c>
      <c r="S1734" s="240"/>
      <c r="T1734" s="201"/>
      <c r="U1734" s="201"/>
      <c r="V1734" s="201"/>
    </row>
    <row r="1735" spans="1:22" ht="30" x14ac:dyDescent="0.25">
      <c r="A1735" s="234" t="s">
        <v>2060</v>
      </c>
      <c r="B1735" s="235" t="s">
        <v>2061</v>
      </c>
      <c r="C1735" s="234" t="s">
        <v>37</v>
      </c>
      <c r="D1735" s="312">
        <v>0.58599999999999997</v>
      </c>
      <c r="E1735" s="312"/>
      <c r="F1735" s="248"/>
      <c r="G1735" s="312"/>
      <c r="H1735" s="312"/>
      <c r="I1735" s="312"/>
      <c r="J1735" s="248">
        <f t="shared" si="183"/>
        <v>0</v>
      </c>
      <c r="K1735" s="330">
        <f t="shared" si="184"/>
        <v>-0.58599999999999997</v>
      </c>
      <c r="L1735" s="313"/>
      <c r="M1735" s="228">
        <f t="shared" si="185"/>
        <v>0</v>
      </c>
      <c r="N1735" s="228">
        <f t="shared" si="188"/>
        <v>0</v>
      </c>
      <c r="O1735" s="228">
        <f t="shared" si="189"/>
        <v>0</v>
      </c>
      <c r="P1735" s="228">
        <f t="shared" si="189"/>
        <v>0</v>
      </c>
      <c r="Q1735" s="228">
        <f t="shared" si="186"/>
        <v>0</v>
      </c>
      <c r="R1735" s="343">
        <f t="shared" si="187"/>
        <v>-0.58599999999999997</v>
      </c>
      <c r="S1735" s="240"/>
      <c r="T1735" s="201"/>
      <c r="U1735" s="201"/>
      <c r="V1735" s="201"/>
    </row>
    <row r="1736" spans="1:22" ht="15.75" x14ac:dyDescent="0.25">
      <c r="A1736" s="234" t="s">
        <v>2062</v>
      </c>
      <c r="B1736" s="235" t="s">
        <v>2063</v>
      </c>
      <c r="C1736" s="234" t="s">
        <v>9</v>
      </c>
      <c r="D1736" s="312">
        <v>4</v>
      </c>
      <c r="E1736" s="312"/>
      <c r="F1736" s="248"/>
      <c r="G1736" s="312"/>
      <c r="H1736" s="312"/>
      <c r="I1736" s="312"/>
      <c r="J1736" s="248">
        <f t="shared" si="183"/>
        <v>0</v>
      </c>
      <c r="K1736" s="330">
        <f t="shared" si="184"/>
        <v>-4</v>
      </c>
      <c r="L1736" s="313"/>
      <c r="M1736" s="228">
        <f t="shared" si="185"/>
        <v>0</v>
      </c>
      <c r="N1736" s="228">
        <f t="shared" si="188"/>
        <v>0</v>
      </c>
      <c r="O1736" s="228">
        <f t="shared" si="189"/>
        <v>0</v>
      </c>
      <c r="P1736" s="228">
        <f t="shared" si="189"/>
        <v>0</v>
      </c>
      <c r="Q1736" s="228">
        <f t="shared" si="186"/>
        <v>0</v>
      </c>
      <c r="R1736" s="343">
        <f t="shared" si="187"/>
        <v>-4</v>
      </c>
      <c r="S1736" s="240"/>
      <c r="T1736" s="201"/>
      <c r="U1736" s="201"/>
      <c r="V1736" s="201"/>
    </row>
    <row r="1737" spans="1:22" ht="30" x14ac:dyDescent="0.25">
      <c r="A1737" s="234" t="s">
        <v>2064</v>
      </c>
      <c r="B1737" s="235" t="s">
        <v>1936</v>
      </c>
      <c r="C1737" s="234" t="s">
        <v>27</v>
      </c>
      <c r="D1737" s="312">
        <v>1.389</v>
      </c>
      <c r="E1737" s="312"/>
      <c r="F1737" s="248"/>
      <c r="G1737" s="312"/>
      <c r="H1737" s="312"/>
      <c r="I1737" s="312"/>
      <c r="J1737" s="248">
        <f t="shared" si="183"/>
        <v>0</v>
      </c>
      <c r="K1737" s="330">
        <f t="shared" si="184"/>
        <v>-1.389</v>
      </c>
      <c r="L1737" s="313"/>
      <c r="M1737" s="228">
        <f t="shared" si="185"/>
        <v>0</v>
      </c>
      <c r="N1737" s="228">
        <f t="shared" si="188"/>
        <v>0</v>
      </c>
      <c r="O1737" s="228">
        <f t="shared" si="189"/>
        <v>0</v>
      </c>
      <c r="P1737" s="228">
        <f t="shared" si="189"/>
        <v>0</v>
      </c>
      <c r="Q1737" s="228">
        <f t="shared" si="186"/>
        <v>0</v>
      </c>
      <c r="R1737" s="343">
        <f t="shared" si="187"/>
        <v>-1.389</v>
      </c>
      <c r="S1737" s="240"/>
      <c r="T1737" s="201"/>
      <c r="U1737" s="201"/>
      <c r="V1737" s="201"/>
    </row>
    <row r="1738" spans="1:22" ht="30" x14ac:dyDescent="0.25">
      <c r="A1738" s="234" t="s">
        <v>2065</v>
      </c>
      <c r="B1738" s="235" t="s">
        <v>2066</v>
      </c>
      <c r="C1738" s="234" t="s">
        <v>37</v>
      </c>
      <c r="D1738" s="312">
        <v>54.593000000000004</v>
      </c>
      <c r="E1738" s="312"/>
      <c r="F1738" s="248"/>
      <c r="G1738" s="312"/>
      <c r="H1738" s="312"/>
      <c r="I1738" s="312"/>
      <c r="J1738" s="248">
        <f t="shared" si="183"/>
        <v>0</v>
      </c>
      <c r="K1738" s="330">
        <f t="shared" si="184"/>
        <v>-54.593000000000004</v>
      </c>
      <c r="L1738" s="313"/>
      <c r="M1738" s="228">
        <f t="shared" si="185"/>
        <v>0</v>
      </c>
      <c r="N1738" s="228">
        <f t="shared" si="188"/>
        <v>0</v>
      </c>
      <c r="O1738" s="228">
        <f t="shared" si="189"/>
        <v>0</v>
      </c>
      <c r="P1738" s="228">
        <f t="shared" si="189"/>
        <v>0</v>
      </c>
      <c r="Q1738" s="228">
        <f t="shared" si="186"/>
        <v>0</v>
      </c>
      <c r="R1738" s="343">
        <f t="shared" si="187"/>
        <v>-54.593000000000004</v>
      </c>
      <c r="S1738" s="240"/>
      <c r="T1738" s="201"/>
      <c r="U1738" s="201"/>
      <c r="V1738" s="201"/>
    </row>
    <row r="1739" spans="1:22" ht="30" x14ac:dyDescent="0.25">
      <c r="A1739" s="234" t="s">
        <v>2067</v>
      </c>
      <c r="B1739" s="235" t="s">
        <v>2048</v>
      </c>
      <c r="C1739" s="234" t="s">
        <v>37</v>
      </c>
      <c r="D1739" s="312">
        <v>0.50700000000000001</v>
      </c>
      <c r="E1739" s="312"/>
      <c r="F1739" s="248"/>
      <c r="G1739" s="312"/>
      <c r="H1739" s="312"/>
      <c r="I1739" s="312"/>
      <c r="J1739" s="248">
        <f t="shared" si="183"/>
        <v>0</v>
      </c>
      <c r="K1739" s="330">
        <f t="shared" si="184"/>
        <v>-0.50700000000000001</v>
      </c>
      <c r="L1739" s="313"/>
      <c r="M1739" s="228">
        <f t="shared" si="185"/>
        <v>0</v>
      </c>
      <c r="N1739" s="228">
        <f t="shared" si="188"/>
        <v>0</v>
      </c>
      <c r="O1739" s="228">
        <f t="shared" si="189"/>
        <v>0</v>
      </c>
      <c r="P1739" s="228">
        <f t="shared" si="189"/>
        <v>0</v>
      </c>
      <c r="Q1739" s="228">
        <f t="shared" si="186"/>
        <v>0</v>
      </c>
      <c r="R1739" s="343">
        <f t="shared" si="187"/>
        <v>-0.50700000000000001</v>
      </c>
      <c r="S1739" s="240"/>
      <c r="T1739" s="201"/>
      <c r="U1739" s="201"/>
      <c r="V1739" s="201"/>
    </row>
    <row r="1740" spans="1:22" ht="15.75" x14ac:dyDescent="0.25">
      <c r="A1740" s="234" t="s">
        <v>2068</v>
      </c>
      <c r="B1740" s="235" t="s">
        <v>2069</v>
      </c>
      <c r="C1740" s="234" t="s">
        <v>9</v>
      </c>
      <c r="D1740" s="312">
        <v>1</v>
      </c>
      <c r="E1740" s="312"/>
      <c r="F1740" s="248"/>
      <c r="G1740" s="312"/>
      <c r="H1740" s="312"/>
      <c r="I1740" s="312"/>
      <c r="J1740" s="248">
        <f t="shared" si="183"/>
        <v>0</v>
      </c>
      <c r="K1740" s="330">
        <f t="shared" si="184"/>
        <v>-1</v>
      </c>
      <c r="L1740" s="313"/>
      <c r="M1740" s="228">
        <f t="shared" si="185"/>
        <v>0</v>
      </c>
      <c r="N1740" s="228">
        <f t="shared" si="188"/>
        <v>0</v>
      </c>
      <c r="O1740" s="228">
        <f t="shared" si="189"/>
        <v>0</v>
      </c>
      <c r="P1740" s="228">
        <f t="shared" si="189"/>
        <v>0</v>
      </c>
      <c r="Q1740" s="228">
        <f t="shared" si="186"/>
        <v>0</v>
      </c>
      <c r="R1740" s="343">
        <f t="shared" si="187"/>
        <v>-1</v>
      </c>
      <c r="S1740" s="240"/>
      <c r="T1740" s="201"/>
      <c r="U1740" s="201"/>
      <c r="V1740" s="201"/>
    </row>
    <row r="1741" spans="1:22" ht="15.75" x14ac:dyDescent="0.25">
      <c r="A1741" s="234" t="s">
        <v>2070</v>
      </c>
      <c r="B1741" s="235" t="s">
        <v>2071</v>
      </c>
      <c r="C1741" s="234" t="s">
        <v>9</v>
      </c>
      <c r="D1741" s="312">
        <v>1</v>
      </c>
      <c r="E1741" s="312"/>
      <c r="F1741" s="248"/>
      <c r="G1741" s="312"/>
      <c r="H1741" s="312"/>
      <c r="I1741" s="312"/>
      <c r="J1741" s="248">
        <f t="shared" si="183"/>
        <v>0</v>
      </c>
      <c r="K1741" s="330">
        <f t="shared" si="184"/>
        <v>-1</v>
      </c>
      <c r="L1741" s="313"/>
      <c r="M1741" s="228">
        <f t="shared" si="185"/>
        <v>0</v>
      </c>
      <c r="N1741" s="228">
        <f t="shared" si="188"/>
        <v>0</v>
      </c>
      <c r="O1741" s="228">
        <f t="shared" si="189"/>
        <v>0</v>
      </c>
      <c r="P1741" s="228">
        <f t="shared" si="189"/>
        <v>0</v>
      </c>
      <c r="Q1741" s="228">
        <f t="shared" si="186"/>
        <v>0</v>
      </c>
      <c r="R1741" s="343">
        <f t="shared" si="187"/>
        <v>-1</v>
      </c>
      <c r="S1741" s="240"/>
      <c r="T1741" s="201"/>
      <c r="U1741" s="201"/>
      <c r="V1741" s="201"/>
    </row>
    <row r="1742" spans="1:22" ht="15.75" x14ac:dyDescent="0.25">
      <c r="A1742" s="234" t="s">
        <v>2072</v>
      </c>
      <c r="B1742" s="235" t="s">
        <v>2073</v>
      </c>
      <c r="C1742" s="234" t="s">
        <v>9</v>
      </c>
      <c r="D1742" s="312">
        <v>2</v>
      </c>
      <c r="E1742" s="312"/>
      <c r="F1742" s="248"/>
      <c r="G1742" s="312"/>
      <c r="H1742" s="312"/>
      <c r="I1742" s="312"/>
      <c r="J1742" s="248">
        <f t="shared" si="183"/>
        <v>0</v>
      </c>
      <c r="K1742" s="330">
        <f t="shared" si="184"/>
        <v>-2</v>
      </c>
      <c r="L1742" s="313"/>
      <c r="M1742" s="228">
        <f t="shared" si="185"/>
        <v>0</v>
      </c>
      <c r="N1742" s="228">
        <f t="shared" si="188"/>
        <v>0</v>
      </c>
      <c r="O1742" s="228">
        <f t="shared" si="189"/>
        <v>0</v>
      </c>
      <c r="P1742" s="228">
        <f t="shared" si="189"/>
        <v>0</v>
      </c>
      <c r="Q1742" s="228">
        <f t="shared" si="186"/>
        <v>0</v>
      </c>
      <c r="R1742" s="343">
        <f t="shared" si="187"/>
        <v>-2</v>
      </c>
      <c r="S1742" s="240"/>
      <c r="T1742" s="201"/>
      <c r="U1742" s="201"/>
      <c r="V1742" s="201"/>
    </row>
    <row r="1743" spans="1:22" ht="15.75" x14ac:dyDescent="0.25">
      <c r="A1743" s="234" t="s">
        <v>2074</v>
      </c>
      <c r="B1743" s="235" t="s">
        <v>595</v>
      </c>
      <c r="C1743" s="234" t="s">
        <v>9</v>
      </c>
      <c r="D1743" s="312">
        <v>1</v>
      </c>
      <c r="E1743" s="312"/>
      <c r="F1743" s="248"/>
      <c r="G1743" s="312"/>
      <c r="H1743" s="312"/>
      <c r="I1743" s="312"/>
      <c r="J1743" s="248">
        <f t="shared" si="183"/>
        <v>0</v>
      </c>
      <c r="K1743" s="330">
        <f t="shared" si="184"/>
        <v>-1</v>
      </c>
      <c r="L1743" s="313"/>
      <c r="M1743" s="228">
        <f t="shared" si="185"/>
        <v>0</v>
      </c>
      <c r="N1743" s="228">
        <f t="shared" si="188"/>
        <v>0</v>
      </c>
      <c r="O1743" s="228">
        <f t="shared" si="189"/>
        <v>0</v>
      </c>
      <c r="P1743" s="228">
        <f t="shared" si="189"/>
        <v>0</v>
      </c>
      <c r="Q1743" s="228">
        <f t="shared" si="186"/>
        <v>0</v>
      </c>
      <c r="R1743" s="343">
        <f t="shared" si="187"/>
        <v>-1</v>
      </c>
      <c r="S1743" s="240"/>
      <c r="T1743" s="201"/>
      <c r="U1743" s="201"/>
      <c r="V1743" s="201"/>
    </row>
    <row r="1744" spans="1:22" ht="15.75" x14ac:dyDescent="0.25">
      <c r="A1744" s="234" t="s">
        <v>2075</v>
      </c>
      <c r="B1744" s="235" t="s">
        <v>2076</v>
      </c>
      <c r="C1744" s="234" t="s">
        <v>9</v>
      </c>
      <c r="D1744" s="312">
        <v>1</v>
      </c>
      <c r="E1744" s="312"/>
      <c r="F1744" s="248"/>
      <c r="G1744" s="312"/>
      <c r="H1744" s="312"/>
      <c r="I1744" s="312"/>
      <c r="J1744" s="248">
        <f t="shared" si="183"/>
        <v>0</v>
      </c>
      <c r="K1744" s="330">
        <f t="shared" si="184"/>
        <v>-1</v>
      </c>
      <c r="L1744" s="313"/>
      <c r="M1744" s="228">
        <f t="shared" si="185"/>
        <v>0</v>
      </c>
      <c r="N1744" s="228">
        <f t="shared" si="188"/>
        <v>0</v>
      </c>
      <c r="O1744" s="228">
        <f t="shared" si="189"/>
        <v>0</v>
      </c>
      <c r="P1744" s="228">
        <f t="shared" si="189"/>
        <v>0</v>
      </c>
      <c r="Q1744" s="228">
        <f t="shared" si="186"/>
        <v>0</v>
      </c>
      <c r="R1744" s="343">
        <f t="shared" si="187"/>
        <v>-1</v>
      </c>
      <c r="S1744" s="240"/>
      <c r="T1744" s="201"/>
      <c r="U1744" s="201"/>
      <c r="V1744" s="201"/>
    </row>
    <row r="1745" spans="1:22" ht="15.75" x14ac:dyDescent="0.25">
      <c r="A1745" s="234" t="s">
        <v>2077</v>
      </c>
      <c r="B1745" s="235" t="s">
        <v>2078</v>
      </c>
      <c r="C1745" s="234" t="s">
        <v>248</v>
      </c>
      <c r="D1745" s="312">
        <v>1</v>
      </c>
      <c r="E1745" s="312"/>
      <c r="F1745" s="248"/>
      <c r="G1745" s="312"/>
      <c r="H1745" s="312"/>
      <c r="I1745" s="312"/>
      <c r="J1745" s="248">
        <f t="shared" si="183"/>
        <v>0</v>
      </c>
      <c r="K1745" s="330">
        <f t="shared" si="184"/>
        <v>-1</v>
      </c>
      <c r="L1745" s="313"/>
      <c r="M1745" s="228">
        <f t="shared" si="185"/>
        <v>0</v>
      </c>
      <c r="N1745" s="228">
        <f t="shared" si="188"/>
        <v>0</v>
      </c>
      <c r="O1745" s="228">
        <f t="shared" si="189"/>
        <v>0</v>
      </c>
      <c r="P1745" s="228">
        <f t="shared" si="189"/>
        <v>0</v>
      </c>
      <c r="Q1745" s="228">
        <f t="shared" si="186"/>
        <v>0</v>
      </c>
      <c r="R1745" s="343">
        <f t="shared" si="187"/>
        <v>-1</v>
      </c>
      <c r="S1745" s="240"/>
      <c r="T1745" s="201"/>
      <c r="U1745" s="201"/>
      <c r="V1745" s="201"/>
    </row>
    <row r="1746" spans="1:22" ht="30" x14ac:dyDescent="0.25">
      <c r="A1746" s="234" t="s">
        <v>2079</v>
      </c>
      <c r="B1746" s="235" t="s">
        <v>2080</v>
      </c>
      <c r="C1746" s="234" t="s">
        <v>248</v>
      </c>
      <c r="D1746" s="312">
        <v>1</v>
      </c>
      <c r="E1746" s="312"/>
      <c r="F1746" s="248"/>
      <c r="G1746" s="312"/>
      <c r="H1746" s="312"/>
      <c r="I1746" s="312"/>
      <c r="J1746" s="248">
        <f t="shared" si="183"/>
        <v>0</v>
      </c>
      <c r="K1746" s="330">
        <f t="shared" si="184"/>
        <v>-1</v>
      </c>
      <c r="L1746" s="313"/>
      <c r="M1746" s="228">
        <f t="shared" si="185"/>
        <v>0</v>
      </c>
      <c r="N1746" s="228">
        <f t="shared" si="188"/>
        <v>0</v>
      </c>
      <c r="O1746" s="228">
        <f t="shared" si="189"/>
        <v>0</v>
      </c>
      <c r="P1746" s="228">
        <f t="shared" si="189"/>
        <v>0</v>
      </c>
      <c r="Q1746" s="228">
        <f t="shared" si="186"/>
        <v>0</v>
      </c>
      <c r="R1746" s="343">
        <f t="shared" si="187"/>
        <v>-1</v>
      </c>
      <c r="S1746" s="240"/>
      <c r="T1746" s="201"/>
      <c r="U1746" s="201"/>
      <c r="V1746" s="201"/>
    </row>
    <row r="1747" spans="1:22" ht="28.5" x14ac:dyDescent="0.25">
      <c r="A1747" s="230" t="s">
        <v>2081</v>
      </c>
      <c r="B1747" s="231" t="s">
        <v>2082</v>
      </c>
      <c r="C1747" s="230"/>
      <c r="D1747" s="316"/>
      <c r="E1747" s="316"/>
      <c r="F1747" s="317"/>
      <c r="G1747" s="316"/>
      <c r="H1747" s="316"/>
      <c r="I1747" s="316"/>
      <c r="J1747" s="248">
        <f t="shared" si="183"/>
        <v>0</v>
      </c>
      <c r="K1747" s="330">
        <f t="shared" si="184"/>
        <v>0</v>
      </c>
      <c r="L1747" s="318"/>
      <c r="M1747" s="228">
        <f t="shared" si="185"/>
        <v>0</v>
      </c>
      <c r="N1747" s="228">
        <f t="shared" si="188"/>
        <v>0</v>
      </c>
      <c r="O1747" s="228">
        <f t="shared" si="189"/>
        <v>0</v>
      </c>
      <c r="P1747" s="228">
        <f t="shared" si="189"/>
        <v>0</v>
      </c>
      <c r="Q1747" s="228">
        <f t="shared" si="186"/>
        <v>0</v>
      </c>
      <c r="R1747" s="343">
        <f t="shared" si="187"/>
        <v>0</v>
      </c>
      <c r="S1747" s="240"/>
      <c r="T1747" s="201"/>
      <c r="U1747" s="201"/>
      <c r="V1747" s="201"/>
    </row>
    <row r="1748" spans="1:22" ht="30" x14ac:dyDescent="0.25">
      <c r="A1748" s="234" t="s">
        <v>2083</v>
      </c>
      <c r="B1748" s="235" t="s">
        <v>2084</v>
      </c>
      <c r="C1748" s="234" t="s">
        <v>37</v>
      </c>
      <c r="D1748" s="312">
        <v>2.3159999999999998</v>
      </c>
      <c r="E1748" s="312"/>
      <c r="F1748" s="248"/>
      <c r="G1748" s="312"/>
      <c r="H1748" s="312"/>
      <c r="I1748" s="312"/>
      <c r="J1748" s="248">
        <f t="shared" si="183"/>
        <v>0</v>
      </c>
      <c r="K1748" s="330">
        <f t="shared" si="184"/>
        <v>-2.3159999999999998</v>
      </c>
      <c r="L1748" s="313"/>
      <c r="M1748" s="228">
        <f t="shared" si="185"/>
        <v>0</v>
      </c>
      <c r="N1748" s="228">
        <f t="shared" si="188"/>
        <v>0</v>
      </c>
      <c r="O1748" s="228">
        <f t="shared" si="189"/>
        <v>0</v>
      </c>
      <c r="P1748" s="228">
        <f t="shared" si="189"/>
        <v>0</v>
      </c>
      <c r="Q1748" s="228">
        <f t="shared" si="186"/>
        <v>0</v>
      </c>
      <c r="R1748" s="343">
        <f t="shared" si="187"/>
        <v>-2.3159999999999998</v>
      </c>
      <c r="S1748" s="240"/>
      <c r="T1748" s="201"/>
      <c r="U1748" s="201"/>
      <c r="V1748" s="201"/>
    </row>
    <row r="1749" spans="1:22" ht="30" x14ac:dyDescent="0.25">
      <c r="A1749" s="234" t="s">
        <v>2085</v>
      </c>
      <c r="B1749" s="235" t="s">
        <v>2048</v>
      </c>
      <c r="C1749" s="234" t="s">
        <v>37</v>
      </c>
      <c r="D1749" s="312">
        <v>2.3159999999999998</v>
      </c>
      <c r="E1749" s="312"/>
      <c r="F1749" s="248"/>
      <c r="G1749" s="312"/>
      <c r="H1749" s="312"/>
      <c r="I1749" s="312"/>
      <c r="J1749" s="248">
        <f t="shared" si="183"/>
        <v>0</v>
      </c>
      <c r="K1749" s="330">
        <f t="shared" si="184"/>
        <v>-2.3159999999999998</v>
      </c>
      <c r="L1749" s="313"/>
      <c r="M1749" s="228">
        <f t="shared" si="185"/>
        <v>0</v>
      </c>
      <c r="N1749" s="228">
        <f t="shared" si="188"/>
        <v>0</v>
      </c>
      <c r="O1749" s="228">
        <f t="shared" si="189"/>
        <v>0</v>
      </c>
      <c r="P1749" s="228">
        <f t="shared" si="189"/>
        <v>0</v>
      </c>
      <c r="Q1749" s="228">
        <f t="shared" si="186"/>
        <v>0</v>
      </c>
      <c r="R1749" s="343">
        <f t="shared" si="187"/>
        <v>-2.3159999999999998</v>
      </c>
      <c r="S1749" s="240"/>
      <c r="T1749" s="201"/>
      <c r="U1749" s="201"/>
      <c r="V1749" s="201"/>
    </row>
    <row r="1750" spans="1:22" ht="30" x14ac:dyDescent="0.25">
      <c r="A1750" s="234" t="s">
        <v>2086</v>
      </c>
      <c r="B1750" s="235" t="s">
        <v>2050</v>
      </c>
      <c r="C1750" s="234" t="s">
        <v>37</v>
      </c>
      <c r="D1750" s="312">
        <v>0.48799999999999999</v>
      </c>
      <c r="E1750" s="312"/>
      <c r="F1750" s="248"/>
      <c r="G1750" s="312"/>
      <c r="H1750" s="312"/>
      <c r="I1750" s="312"/>
      <c r="J1750" s="248">
        <f t="shared" si="183"/>
        <v>0</v>
      </c>
      <c r="K1750" s="330">
        <f t="shared" si="184"/>
        <v>-0.48799999999999999</v>
      </c>
      <c r="L1750" s="313"/>
      <c r="M1750" s="228">
        <f t="shared" si="185"/>
        <v>0</v>
      </c>
      <c r="N1750" s="228">
        <f t="shared" si="188"/>
        <v>0</v>
      </c>
      <c r="O1750" s="228">
        <f t="shared" si="189"/>
        <v>0</v>
      </c>
      <c r="P1750" s="228">
        <f t="shared" si="189"/>
        <v>0</v>
      </c>
      <c r="Q1750" s="228">
        <f t="shared" si="186"/>
        <v>0</v>
      </c>
      <c r="R1750" s="343">
        <f t="shared" si="187"/>
        <v>-0.48799999999999999</v>
      </c>
      <c r="S1750" s="240"/>
      <c r="T1750" s="201"/>
      <c r="U1750" s="201"/>
      <c r="V1750" s="201"/>
    </row>
    <row r="1751" spans="1:22" ht="45" x14ac:dyDescent="0.25">
      <c r="A1751" s="234" t="s">
        <v>2087</v>
      </c>
      <c r="B1751" s="235" t="s">
        <v>2088</v>
      </c>
      <c r="C1751" s="234" t="s">
        <v>37</v>
      </c>
      <c r="D1751" s="312">
        <v>0.63800000000000001</v>
      </c>
      <c r="E1751" s="312"/>
      <c r="F1751" s="248"/>
      <c r="G1751" s="312"/>
      <c r="H1751" s="312"/>
      <c r="I1751" s="312"/>
      <c r="J1751" s="248">
        <f t="shared" si="183"/>
        <v>0</v>
      </c>
      <c r="K1751" s="330">
        <f t="shared" si="184"/>
        <v>-0.63800000000000001</v>
      </c>
      <c r="L1751" s="313"/>
      <c r="M1751" s="228">
        <f t="shared" si="185"/>
        <v>0</v>
      </c>
      <c r="N1751" s="228">
        <f t="shared" si="188"/>
        <v>0</v>
      </c>
      <c r="O1751" s="228">
        <f t="shared" si="189"/>
        <v>0</v>
      </c>
      <c r="P1751" s="228">
        <f t="shared" si="189"/>
        <v>0</v>
      </c>
      <c r="Q1751" s="228">
        <f t="shared" si="186"/>
        <v>0</v>
      </c>
      <c r="R1751" s="343">
        <f t="shared" si="187"/>
        <v>-0.63800000000000001</v>
      </c>
      <c r="S1751" s="240"/>
      <c r="T1751" s="201"/>
      <c r="U1751" s="201"/>
      <c r="V1751" s="201"/>
    </row>
    <row r="1752" spans="1:22" ht="30" x14ac:dyDescent="0.25">
      <c r="A1752" s="234" t="s">
        <v>2089</v>
      </c>
      <c r="B1752" s="235" t="s">
        <v>2061</v>
      </c>
      <c r="C1752" s="234" t="s">
        <v>37</v>
      </c>
      <c r="D1752" s="312">
        <v>0.16800000000000001</v>
      </c>
      <c r="E1752" s="312"/>
      <c r="F1752" s="248"/>
      <c r="G1752" s="312"/>
      <c r="H1752" s="312"/>
      <c r="I1752" s="312"/>
      <c r="J1752" s="248">
        <f t="shared" si="183"/>
        <v>0</v>
      </c>
      <c r="K1752" s="330">
        <f t="shared" si="184"/>
        <v>-0.16800000000000001</v>
      </c>
      <c r="L1752" s="313"/>
      <c r="M1752" s="228">
        <f t="shared" si="185"/>
        <v>0</v>
      </c>
      <c r="N1752" s="228">
        <f t="shared" si="188"/>
        <v>0</v>
      </c>
      <c r="O1752" s="228">
        <f t="shared" si="189"/>
        <v>0</v>
      </c>
      <c r="P1752" s="228">
        <f t="shared" si="189"/>
        <v>0</v>
      </c>
      <c r="Q1752" s="228">
        <f t="shared" si="186"/>
        <v>0</v>
      </c>
      <c r="R1752" s="343">
        <f t="shared" si="187"/>
        <v>-0.16800000000000001</v>
      </c>
      <c r="S1752" s="240"/>
      <c r="T1752" s="201"/>
      <c r="U1752" s="201"/>
      <c r="V1752" s="201"/>
    </row>
    <row r="1753" spans="1:22" ht="45" x14ac:dyDescent="0.25">
      <c r="A1753" s="234" t="s">
        <v>2090</v>
      </c>
      <c r="B1753" s="235" t="s">
        <v>2091</v>
      </c>
      <c r="C1753" s="234" t="s">
        <v>37</v>
      </c>
      <c r="D1753" s="312">
        <v>0.105</v>
      </c>
      <c r="E1753" s="312"/>
      <c r="F1753" s="248"/>
      <c r="G1753" s="312"/>
      <c r="H1753" s="312"/>
      <c r="I1753" s="312"/>
      <c r="J1753" s="248">
        <f t="shared" si="183"/>
        <v>0</v>
      </c>
      <c r="K1753" s="330">
        <f t="shared" si="184"/>
        <v>-0.105</v>
      </c>
      <c r="L1753" s="313"/>
      <c r="M1753" s="228">
        <f t="shared" si="185"/>
        <v>0</v>
      </c>
      <c r="N1753" s="228">
        <f t="shared" si="188"/>
        <v>0</v>
      </c>
      <c r="O1753" s="228">
        <f t="shared" si="189"/>
        <v>0</v>
      </c>
      <c r="P1753" s="228">
        <f t="shared" si="189"/>
        <v>0</v>
      </c>
      <c r="Q1753" s="228">
        <f t="shared" si="186"/>
        <v>0</v>
      </c>
      <c r="R1753" s="343">
        <f t="shared" si="187"/>
        <v>-0.105</v>
      </c>
      <c r="S1753" s="240"/>
      <c r="T1753" s="201"/>
      <c r="U1753" s="201"/>
      <c r="V1753" s="201"/>
    </row>
    <row r="1754" spans="1:22" ht="30" x14ac:dyDescent="0.25">
      <c r="A1754" s="234" t="s">
        <v>2092</v>
      </c>
      <c r="B1754" s="235" t="s">
        <v>2093</v>
      </c>
      <c r="C1754" s="234" t="s">
        <v>86</v>
      </c>
      <c r="D1754" s="312">
        <v>1</v>
      </c>
      <c r="E1754" s="312"/>
      <c r="F1754" s="248"/>
      <c r="G1754" s="312"/>
      <c r="H1754" s="312"/>
      <c r="I1754" s="312"/>
      <c r="J1754" s="248">
        <f t="shared" si="183"/>
        <v>0</v>
      </c>
      <c r="K1754" s="330">
        <f t="shared" si="184"/>
        <v>-1</v>
      </c>
      <c r="L1754" s="313"/>
      <c r="M1754" s="228">
        <f t="shared" si="185"/>
        <v>0</v>
      </c>
      <c r="N1754" s="228">
        <f t="shared" si="188"/>
        <v>0</v>
      </c>
      <c r="O1754" s="228">
        <f t="shared" si="189"/>
        <v>0</v>
      </c>
      <c r="P1754" s="228">
        <f t="shared" si="189"/>
        <v>0</v>
      </c>
      <c r="Q1754" s="228">
        <f t="shared" si="186"/>
        <v>0</v>
      </c>
      <c r="R1754" s="343">
        <f t="shared" si="187"/>
        <v>-1</v>
      </c>
      <c r="S1754" s="240"/>
      <c r="T1754" s="201"/>
      <c r="U1754" s="201"/>
      <c r="V1754" s="201"/>
    </row>
    <row r="1755" spans="1:22" ht="15.75" x14ac:dyDescent="0.25">
      <c r="A1755" s="234" t="s">
        <v>2094</v>
      </c>
      <c r="B1755" s="235" t="s">
        <v>2095</v>
      </c>
      <c r="C1755" s="234" t="s">
        <v>14</v>
      </c>
      <c r="D1755" s="312">
        <v>0.5</v>
      </c>
      <c r="E1755" s="312"/>
      <c r="F1755" s="248"/>
      <c r="G1755" s="312"/>
      <c r="H1755" s="312"/>
      <c r="I1755" s="312"/>
      <c r="J1755" s="248">
        <f t="shared" si="183"/>
        <v>0</v>
      </c>
      <c r="K1755" s="330">
        <f t="shared" si="184"/>
        <v>-0.5</v>
      </c>
      <c r="L1755" s="313"/>
      <c r="M1755" s="228">
        <f t="shared" si="185"/>
        <v>0</v>
      </c>
      <c r="N1755" s="228">
        <f t="shared" si="188"/>
        <v>0</v>
      </c>
      <c r="O1755" s="228">
        <f t="shared" si="189"/>
        <v>0</v>
      </c>
      <c r="P1755" s="228">
        <f t="shared" si="189"/>
        <v>0</v>
      </c>
      <c r="Q1755" s="228">
        <f t="shared" si="186"/>
        <v>0</v>
      </c>
      <c r="R1755" s="343">
        <f t="shared" si="187"/>
        <v>-0.5</v>
      </c>
      <c r="S1755" s="240"/>
      <c r="T1755" s="201"/>
      <c r="U1755" s="201"/>
      <c r="V1755" s="201"/>
    </row>
    <row r="1756" spans="1:22" ht="15.75" x14ac:dyDescent="0.25">
      <c r="A1756" s="234" t="s">
        <v>2096</v>
      </c>
      <c r="B1756" s="235" t="s">
        <v>2097</v>
      </c>
      <c r="C1756" s="234" t="s">
        <v>9</v>
      </c>
      <c r="D1756" s="312">
        <v>2</v>
      </c>
      <c r="E1756" s="312"/>
      <c r="F1756" s="248"/>
      <c r="G1756" s="312"/>
      <c r="H1756" s="312"/>
      <c r="I1756" s="312"/>
      <c r="J1756" s="248">
        <f t="shared" si="183"/>
        <v>0</v>
      </c>
      <c r="K1756" s="330">
        <f t="shared" si="184"/>
        <v>-2</v>
      </c>
      <c r="L1756" s="313"/>
      <c r="M1756" s="228">
        <f t="shared" si="185"/>
        <v>0</v>
      </c>
      <c r="N1756" s="228">
        <f t="shared" si="188"/>
        <v>0</v>
      </c>
      <c r="O1756" s="228">
        <f t="shared" si="189"/>
        <v>0</v>
      </c>
      <c r="P1756" s="228">
        <f t="shared" si="189"/>
        <v>0</v>
      </c>
      <c r="Q1756" s="228">
        <f t="shared" si="186"/>
        <v>0</v>
      </c>
      <c r="R1756" s="343">
        <f t="shared" si="187"/>
        <v>-2</v>
      </c>
      <c r="S1756" s="240"/>
      <c r="T1756" s="201"/>
      <c r="U1756" s="201"/>
      <c r="V1756" s="201"/>
    </row>
    <row r="1757" spans="1:22" ht="15.75" x14ac:dyDescent="0.25">
      <c r="A1757" s="234" t="s">
        <v>2098</v>
      </c>
      <c r="B1757" s="235" t="s">
        <v>2099</v>
      </c>
      <c r="C1757" s="234" t="s">
        <v>9</v>
      </c>
      <c r="D1757" s="312">
        <v>5</v>
      </c>
      <c r="E1757" s="312"/>
      <c r="F1757" s="248"/>
      <c r="G1757" s="312"/>
      <c r="H1757" s="312"/>
      <c r="I1757" s="312"/>
      <c r="J1757" s="248">
        <f t="shared" si="183"/>
        <v>0</v>
      </c>
      <c r="K1757" s="330">
        <f t="shared" si="184"/>
        <v>-5</v>
      </c>
      <c r="L1757" s="313"/>
      <c r="M1757" s="228">
        <f t="shared" si="185"/>
        <v>0</v>
      </c>
      <c r="N1757" s="228">
        <f t="shared" si="188"/>
        <v>0</v>
      </c>
      <c r="O1757" s="228">
        <f t="shared" si="189"/>
        <v>0</v>
      </c>
      <c r="P1757" s="228">
        <f t="shared" si="189"/>
        <v>0</v>
      </c>
      <c r="Q1757" s="228">
        <f t="shared" si="186"/>
        <v>0</v>
      </c>
      <c r="R1757" s="343">
        <f t="shared" si="187"/>
        <v>-5</v>
      </c>
      <c r="S1757" s="240"/>
      <c r="T1757" s="201"/>
      <c r="U1757" s="201"/>
      <c r="V1757" s="201"/>
    </row>
    <row r="1758" spans="1:22" ht="15.75" x14ac:dyDescent="0.25">
      <c r="A1758" s="234" t="s">
        <v>2100</v>
      </c>
      <c r="B1758" s="235" t="s">
        <v>2101</v>
      </c>
      <c r="C1758" s="234" t="s">
        <v>14</v>
      </c>
      <c r="D1758" s="312">
        <v>0.65</v>
      </c>
      <c r="E1758" s="312"/>
      <c r="F1758" s="248"/>
      <c r="G1758" s="312"/>
      <c r="H1758" s="312"/>
      <c r="I1758" s="312"/>
      <c r="J1758" s="248">
        <f t="shared" si="183"/>
        <v>0</v>
      </c>
      <c r="K1758" s="330">
        <f t="shared" si="184"/>
        <v>-0.65</v>
      </c>
      <c r="L1758" s="313"/>
      <c r="M1758" s="228">
        <f t="shared" si="185"/>
        <v>0</v>
      </c>
      <c r="N1758" s="228">
        <f t="shared" si="188"/>
        <v>0</v>
      </c>
      <c r="O1758" s="228">
        <f t="shared" si="189"/>
        <v>0</v>
      </c>
      <c r="P1758" s="228">
        <f t="shared" si="189"/>
        <v>0</v>
      </c>
      <c r="Q1758" s="228">
        <f t="shared" si="186"/>
        <v>0</v>
      </c>
      <c r="R1758" s="343">
        <f t="shared" si="187"/>
        <v>-0.65</v>
      </c>
      <c r="S1758" s="240"/>
      <c r="T1758" s="201"/>
      <c r="U1758" s="201"/>
      <c r="V1758" s="201"/>
    </row>
    <row r="1759" spans="1:22" ht="15.75" x14ac:dyDescent="0.25">
      <c r="A1759" s="234" t="s">
        <v>2102</v>
      </c>
      <c r="B1759" s="235" t="s">
        <v>2103</v>
      </c>
      <c r="C1759" s="234" t="s">
        <v>270</v>
      </c>
      <c r="D1759" s="312">
        <v>11</v>
      </c>
      <c r="E1759" s="312"/>
      <c r="F1759" s="248"/>
      <c r="G1759" s="312"/>
      <c r="H1759" s="312"/>
      <c r="I1759" s="312"/>
      <c r="J1759" s="248">
        <f t="shared" si="183"/>
        <v>0</v>
      </c>
      <c r="K1759" s="330">
        <f t="shared" si="184"/>
        <v>-11</v>
      </c>
      <c r="L1759" s="313"/>
      <c r="M1759" s="228">
        <f t="shared" si="185"/>
        <v>0</v>
      </c>
      <c r="N1759" s="228">
        <f t="shared" si="188"/>
        <v>0</v>
      </c>
      <c r="O1759" s="228">
        <f t="shared" si="189"/>
        <v>0</v>
      </c>
      <c r="P1759" s="228">
        <f t="shared" si="189"/>
        <v>0</v>
      </c>
      <c r="Q1759" s="228">
        <f t="shared" si="186"/>
        <v>0</v>
      </c>
      <c r="R1759" s="343">
        <f t="shared" si="187"/>
        <v>-11</v>
      </c>
      <c r="S1759" s="240"/>
      <c r="T1759" s="201"/>
      <c r="U1759" s="201"/>
      <c r="V1759" s="201"/>
    </row>
    <row r="1760" spans="1:22" ht="30" x14ac:dyDescent="0.25">
      <c r="A1760" s="234" t="s">
        <v>2104</v>
      </c>
      <c r="B1760" s="235" t="s">
        <v>2105</v>
      </c>
      <c r="C1760" s="234" t="s">
        <v>2106</v>
      </c>
      <c r="D1760" s="312">
        <v>74</v>
      </c>
      <c r="E1760" s="312"/>
      <c r="F1760" s="248"/>
      <c r="G1760" s="312"/>
      <c r="H1760" s="312"/>
      <c r="I1760" s="312"/>
      <c r="J1760" s="248">
        <f t="shared" si="183"/>
        <v>0</v>
      </c>
      <c r="K1760" s="330">
        <f t="shared" si="184"/>
        <v>-74</v>
      </c>
      <c r="L1760" s="313"/>
      <c r="M1760" s="228">
        <f t="shared" si="185"/>
        <v>0</v>
      </c>
      <c r="N1760" s="228">
        <f t="shared" si="188"/>
        <v>0</v>
      </c>
      <c r="O1760" s="228">
        <f t="shared" si="189"/>
        <v>0</v>
      </c>
      <c r="P1760" s="228">
        <f t="shared" si="189"/>
        <v>0</v>
      </c>
      <c r="Q1760" s="228">
        <f t="shared" si="186"/>
        <v>0</v>
      </c>
      <c r="R1760" s="343">
        <f t="shared" si="187"/>
        <v>-74</v>
      </c>
      <c r="S1760" s="240"/>
      <c r="T1760" s="201"/>
      <c r="U1760" s="201"/>
      <c r="V1760" s="201"/>
    </row>
    <row r="1761" spans="1:22" ht="15.75" x14ac:dyDescent="0.25">
      <c r="A1761" s="234" t="s">
        <v>2107</v>
      </c>
      <c r="B1761" s="235" t="s">
        <v>2108</v>
      </c>
      <c r="C1761" s="234" t="s">
        <v>14</v>
      </c>
      <c r="D1761" s="312">
        <v>0.3</v>
      </c>
      <c r="E1761" s="312"/>
      <c r="F1761" s="248"/>
      <c r="G1761" s="312"/>
      <c r="H1761" s="312"/>
      <c r="I1761" s="312"/>
      <c r="J1761" s="248">
        <f t="shared" si="183"/>
        <v>0</v>
      </c>
      <c r="K1761" s="330">
        <f t="shared" si="184"/>
        <v>-0.3</v>
      </c>
      <c r="L1761" s="313"/>
      <c r="M1761" s="228">
        <f t="shared" si="185"/>
        <v>0</v>
      </c>
      <c r="N1761" s="228">
        <f t="shared" si="188"/>
        <v>0</v>
      </c>
      <c r="O1761" s="228">
        <f t="shared" si="189"/>
        <v>0</v>
      </c>
      <c r="P1761" s="228">
        <f t="shared" si="189"/>
        <v>0</v>
      </c>
      <c r="Q1761" s="228">
        <f t="shared" si="186"/>
        <v>0</v>
      </c>
      <c r="R1761" s="343">
        <f t="shared" si="187"/>
        <v>-0.3</v>
      </c>
      <c r="S1761" s="240"/>
      <c r="T1761" s="201"/>
      <c r="U1761" s="201"/>
      <c r="V1761" s="201"/>
    </row>
    <row r="1762" spans="1:22" ht="15.75" x14ac:dyDescent="0.25">
      <c r="A1762" s="234" t="s">
        <v>2109</v>
      </c>
      <c r="B1762" s="235" t="s">
        <v>2110</v>
      </c>
      <c r="C1762" s="234" t="s">
        <v>9</v>
      </c>
      <c r="D1762" s="312">
        <v>222</v>
      </c>
      <c r="E1762" s="312"/>
      <c r="F1762" s="248"/>
      <c r="G1762" s="312"/>
      <c r="H1762" s="312"/>
      <c r="I1762" s="312"/>
      <c r="J1762" s="248">
        <f t="shared" si="183"/>
        <v>0</v>
      </c>
      <c r="K1762" s="330">
        <f t="shared" si="184"/>
        <v>-222</v>
      </c>
      <c r="L1762" s="313"/>
      <c r="M1762" s="228">
        <f t="shared" si="185"/>
        <v>0</v>
      </c>
      <c r="N1762" s="228">
        <f t="shared" si="188"/>
        <v>0</v>
      </c>
      <c r="O1762" s="228">
        <f t="shared" si="189"/>
        <v>0</v>
      </c>
      <c r="P1762" s="228">
        <f t="shared" si="189"/>
        <v>0</v>
      </c>
      <c r="Q1762" s="228">
        <f t="shared" si="186"/>
        <v>0</v>
      </c>
      <c r="R1762" s="343">
        <f t="shared" si="187"/>
        <v>-222</v>
      </c>
      <c r="S1762" s="240"/>
      <c r="T1762" s="201"/>
      <c r="U1762" s="201"/>
      <c r="V1762" s="201"/>
    </row>
    <row r="1763" spans="1:22" ht="30" x14ac:dyDescent="0.25">
      <c r="A1763" s="234" t="s">
        <v>2111</v>
      </c>
      <c r="B1763" s="235" t="s">
        <v>1936</v>
      </c>
      <c r="C1763" s="234" t="s">
        <v>27</v>
      </c>
      <c r="D1763" s="312">
        <v>0.35299999999999998</v>
      </c>
      <c r="E1763" s="312"/>
      <c r="F1763" s="248"/>
      <c r="G1763" s="312"/>
      <c r="H1763" s="312"/>
      <c r="I1763" s="312"/>
      <c r="J1763" s="248">
        <f t="shared" si="183"/>
        <v>0</v>
      </c>
      <c r="K1763" s="330">
        <f t="shared" si="184"/>
        <v>-0.35299999999999998</v>
      </c>
      <c r="L1763" s="313"/>
      <c r="M1763" s="228">
        <f t="shared" si="185"/>
        <v>0</v>
      </c>
      <c r="N1763" s="228">
        <f t="shared" si="188"/>
        <v>0</v>
      </c>
      <c r="O1763" s="228">
        <f t="shared" si="189"/>
        <v>0</v>
      </c>
      <c r="P1763" s="228">
        <f t="shared" si="189"/>
        <v>0</v>
      </c>
      <c r="Q1763" s="228">
        <f t="shared" si="186"/>
        <v>0</v>
      </c>
      <c r="R1763" s="343">
        <f t="shared" si="187"/>
        <v>-0.35299999999999998</v>
      </c>
      <c r="S1763" s="240"/>
      <c r="T1763" s="201"/>
      <c r="U1763" s="201"/>
      <c r="V1763" s="201"/>
    </row>
    <row r="1764" spans="1:22" ht="30" x14ac:dyDescent="0.25">
      <c r="A1764" s="234" t="s">
        <v>2112</v>
      </c>
      <c r="B1764" s="235" t="s">
        <v>2113</v>
      </c>
      <c r="C1764" s="234" t="s">
        <v>37</v>
      </c>
      <c r="D1764" s="312">
        <v>9.4E-2</v>
      </c>
      <c r="E1764" s="312"/>
      <c r="F1764" s="248"/>
      <c r="G1764" s="312"/>
      <c r="H1764" s="312"/>
      <c r="I1764" s="312"/>
      <c r="J1764" s="248">
        <f t="shared" si="183"/>
        <v>0</v>
      </c>
      <c r="K1764" s="330">
        <f t="shared" si="184"/>
        <v>-9.4E-2</v>
      </c>
      <c r="L1764" s="313"/>
      <c r="M1764" s="228">
        <f t="shared" si="185"/>
        <v>0</v>
      </c>
      <c r="N1764" s="228">
        <f t="shared" si="188"/>
        <v>0</v>
      </c>
      <c r="O1764" s="228">
        <f t="shared" si="189"/>
        <v>0</v>
      </c>
      <c r="P1764" s="228">
        <f t="shared" si="189"/>
        <v>0</v>
      </c>
      <c r="Q1764" s="228">
        <f t="shared" si="186"/>
        <v>0</v>
      </c>
      <c r="R1764" s="343">
        <f t="shared" si="187"/>
        <v>-9.4E-2</v>
      </c>
      <c r="S1764" s="240"/>
      <c r="T1764" s="201"/>
      <c r="U1764" s="201"/>
      <c r="V1764" s="201"/>
    </row>
    <row r="1765" spans="1:22" ht="30" x14ac:dyDescent="0.25">
      <c r="A1765" s="234" t="s">
        <v>2114</v>
      </c>
      <c r="B1765" s="235" t="s">
        <v>2048</v>
      </c>
      <c r="C1765" s="234" t="s">
        <v>37</v>
      </c>
      <c r="D1765" s="312">
        <v>0.35299999999999998</v>
      </c>
      <c r="E1765" s="312"/>
      <c r="F1765" s="248"/>
      <c r="G1765" s="312"/>
      <c r="H1765" s="312"/>
      <c r="I1765" s="312"/>
      <c r="J1765" s="248">
        <f t="shared" si="183"/>
        <v>0</v>
      </c>
      <c r="K1765" s="330">
        <f t="shared" si="184"/>
        <v>-0.35299999999999998</v>
      </c>
      <c r="L1765" s="313"/>
      <c r="M1765" s="228">
        <f t="shared" si="185"/>
        <v>0</v>
      </c>
      <c r="N1765" s="228">
        <f t="shared" si="188"/>
        <v>0</v>
      </c>
      <c r="O1765" s="228">
        <f t="shared" si="189"/>
        <v>0</v>
      </c>
      <c r="P1765" s="228">
        <f t="shared" si="189"/>
        <v>0</v>
      </c>
      <c r="Q1765" s="228">
        <f t="shared" si="186"/>
        <v>0</v>
      </c>
      <c r="R1765" s="343">
        <f t="shared" si="187"/>
        <v>-0.35299999999999998</v>
      </c>
      <c r="S1765" s="240"/>
      <c r="T1765" s="201"/>
      <c r="U1765" s="201"/>
      <c r="V1765" s="201"/>
    </row>
    <row r="1766" spans="1:22" ht="15.75" x14ac:dyDescent="0.25">
      <c r="A1766" s="230" t="s">
        <v>2115</v>
      </c>
      <c r="B1766" s="231" t="s">
        <v>2116</v>
      </c>
      <c r="C1766" s="230"/>
      <c r="D1766" s="316"/>
      <c r="E1766" s="316"/>
      <c r="F1766" s="317"/>
      <c r="G1766" s="316"/>
      <c r="H1766" s="316"/>
      <c r="I1766" s="316"/>
      <c r="J1766" s="248">
        <f t="shared" si="183"/>
        <v>0</v>
      </c>
      <c r="K1766" s="330">
        <f t="shared" si="184"/>
        <v>0</v>
      </c>
      <c r="L1766" s="318"/>
      <c r="M1766" s="228">
        <f t="shared" si="185"/>
        <v>0</v>
      </c>
      <c r="N1766" s="228">
        <f t="shared" si="188"/>
        <v>0</v>
      </c>
      <c r="O1766" s="228">
        <f t="shared" si="189"/>
        <v>0</v>
      </c>
      <c r="P1766" s="228">
        <f t="shared" si="189"/>
        <v>0</v>
      </c>
      <c r="Q1766" s="228">
        <f t="shared" si="186"/>
        <v>0</v>
      </c>
      <c r="R1766" s="343">
        <f t="shared" si="187"/>
        <v>0</v>
      </c>
      <c r="S1766" s="240"/>
      <c r="T1766" s="201"/>
      <c r="U1766" s="201"/>
      <c r="V1766" s="201"/>
    </row>
    <row r="1767" spans="1:22" ht="30" x14ac:dyDescent="0.25">
      <c r="A1767" s="234" t="s">
        <v>2117</v>
      </c>
      <c r="B1767" s="235" t="s">
        <v>2118</v>
      </c>
      <c r="C1767" s="234" t="s">
        <v>27</v>
      </c>
      <c r="D1767" s="312">
        <v>1.234</v>
      </c>
      <c r="E1767" s="312"/>
      <c r="F1767" s="248"/>
      <c r="G1767" s="312"/>
      <c r="H1767" s="312"/>
      <c r="I1767" s="312"/>
      <c r="J1767" s="248">
        <f t="shared" si="183"/>
        <v>0</v>
      </c>
      <c r="K1767" s="330">
        <f t="shared" si="184"/>
        <v>-1.234</v>
      </c>
      <c r="L1767" s="313"/>
      <c r="M1767" s="228">
        <f t="shared" si="185"/>
        <v>0</v>
      </c>
      <c r="N1767" s="228">
        <f t="shared" si="188"/>
        <v>0</v>
      </c>
      <c r="O1767" s="228">
        <f t="shared" si="189"/>
        <v>0</v>
      </c>
      <c r="P1767" s="228">
        <f t="shared" si="189"/>
        <v>0</v>
      </c>
      <c r="Q1767" s="228">
        <f t="shared" si="186"/>
        <v>0</v>
      </c>
      <c r="R1767" s="343">
        <f t="shared" si="187"/>
        <v>-1.234</v>
      </c>
      <c r="S1767" s="240"/>
      <c r="T1767" s="201"/>
      <c r="U1767" s="201"/>
      <c r="V1767" s="201"/>
    </row>
    <row r="1768" spans="1:22" ht="30" x14ac:dyDescent="0.25">
      <c r="A1768" s="234" t="s">
        <v>2119</v>
      </c>
      <c r="B1768" s="235" t="s">
        <v>43</v>
      </c>
      <c r="C1768" s="234" t="s">
        <v>27</v>
      </c>
      <c r="D1768" s="312">
        <v>0.69199999999999995</v>
      </c>
      <c r="E1768" s="312"/>
      <c r="F1768" s="248"/>
      <c r="G1768" s="312"/>
      <c r="H1768" s="312"/>
      <c r="I1768" s="312"/>
      <c r="J1768" s="248">
        <f t="shared" ref="J1768:J1831" si="190">F1768+G1768+H1768+I1768</f>
        <v>0</v>
      </c>
      <c r="K1768" s="330">
        <f t="shared" ref="K1768:K1831" si="191">J1768-D1768</f>
        <v>-0.69199999999999995</v>
      </c>
      <c r="L1768" s="313"/>
      <c r="M1768" s="228">
        <f t="shared" ref="M1768:M1831" si="192">F1768</f>
        <v>0</v>
      </c>
      <c r="N1768" s="228">
        <f t="shared" si="188"/>
        <v>0</v>
      </c>
      <c r="O1768" s="228">
        <f t="shared" si="189"/>
        <v>0</v>
      </c>
      <c r="P1768" s="228">
        <f t="shared" si="189"/>
        <v>0</v>
      </c>
      <c r="Q1768" s="228">
        <f t="shared" ref="Q1768:Q1831" si="193">M1768+N1768+O1768+P1768</f>
        <v>0</v>
      </c>
      <c r="R1768" s="343">
        <f t="shared" ref="R1768:R1831" si="194">Q1768-D1768</f>
        <v>-0.69199999999999995</v>
      </c>
      <c r="S1768" s="240"/>
      <c r="T1768" s="201"/>
      <c r="U1768" s="201"/>
      <c r="V1768" s="201"/>
    </row>
    <row r="1769" spans="1:22" ht="30" x14ac:dyDescent="0.25">
      <c r="A1769" s="234" t="s">
        <v>2120</v>
      </c>
      <c r="B1769" s="235" t="s">
        <v>2121</v>
      </c>
      <c r="C1769" s="234" t="s">
        <v>27</v>
      </c>
      <c r="D1769" s="312">
        <v>0.54</v>
      </c>
      <c r="E1769" s="312"/>
      <c r="F1769" s="248"/>
      <c r="G1769" s="312"/>
      <c r="H1769" s="312"/>
      <c r="I1769" s="312"/>
      <c r="J1769" s="248">
        <f t="shared" si="190"/>
        <v>0</v>
      </c>
      <c r="K1769" s="330">
        <f t="shared" si="191"/>
        <v>-0.54</v>
      </c>
      <c r="L1769" s="313"/>
      <c r="M1769" s="228">
        <f t="shared" si="192"/>
        <v>0</v>
      </c>
      <c r="N1769" s="228">
        <f t="shared" si="188"/>
        <v>0</v>
      </c>
      <c r="O1769" s="228">
        <f t="shared" si="189"/>
        <v>0</v>
      </c>
      <c r="P1769" s="228">
        <f t="shared" si="189"/>
        <v>0</v>
      </c>
      <c r="Q1769" s="228">
        <f t="shared" si="193"/>
        <v>0</v>
      </c>
      <c r="R1769" s="343">
        <f t="shared" si="194"/>
        <v>-0.54</v>
      </c>
      <c r="S1769" s="240"/>
      <c r="T1769" s="201"/>
      <c r="U1769" s="201"/>
      <c r="V1769" s="201"/>
    </row>
    <row r="1770" spans="1:22" ht="30" x14ac:dyDescent="0.25">
      <c r="A1770" s="234" t="s">
        <v>2122</v>
      </c>
      <c r="B1770" s="235" t="s">
        <v>2050</v>
      </c>
      <c r="C1770" s="234" t="s">
        <v>37</v>
      </c>
      <c r="D1770" s="312">
        <v>18.428999999999998</v>
      </c>
      <c r="E1770" s="312"/>
      <c r="F1770" s="248"/>
      <c r="G1770" s="312"/>
      <c r="H1770" s="312"/>
      <c r="I1770" s="312"/>
      <c r="J1770" s="248">
        <f t="shared" si="190"/>
        <v>0</v>
      </c>
      <c r="K1770" s="330">
        <f t="shared" si="191"/>
        <v>-18.428999999999998</v>
      </c>
      <c r="L1770" s="313"/>
      <c r="M1770" s="228">
        <f t="shared" si="192"/>
        <v>0</v>
      </c>
      <c r="N1770" s="228">
        <f t="shared" si="188"/>
        <v>0</v>
      </c>
      <c r="O1770" s="228">
        <f t="shared" si="189"/>
        <v>0</v>
      </c>
      <c r="P1770" s="228">
        <f t="shared" si="189"/>
        <v>0</v>
      </c>
      <c r="Q1770" s="228">
        <f t="shared" si="193"/>
        <v>0</v>
      </c>
      <c r="R1770" s="343">
        <f t="shared" si="194"/>
        <v>-18.428999999999998</v>
      </c>
      <c r="S1770" s="240"/>
      <c r="T1770" s="201"/>
      <c r="U1770" s="201"/>
      <c r="V1770" s="201"/>
    </row>
    <row r="1771" spans="1:22" ht="30" x14ac:dyDescent="0.25">
      <c r="A1771" s="234" t="s">
        <v>2123</v>
      </c>
      <c r="B1771" s="235" t="s">
        <v>2124</v>
      </c>
      <c r="C1771" s="234" t="s">
        <v>37</v>
      </c>
      <c r="D1771" s="312">
        <v>21.882999999999999</v>
      </c>
      <c r="E1771" s="312"/>
      <c r="F1771" s="248"/>
      <c r="G1771" s="312"/>
      <c r="H1771" s="312"/>
      <c r="I1771" s="312"/>
      <c r="J1771" s="248">
        <f t="shared" si="190"/>
        <v>0</v>
      </c>
      <c r="K1771" s="330">
        <f t="shared" si="191"/>
        <v>-21.882999999999999</v>
      </c>
      <c r="L1771" s="313"/>
      <c r="M1771" s="228">
        <f t="shared" si="192"/>
        <v>0</v>
      </c>
      <c r="N1771" s="228">
        <f t="shared" si="188"/>
        <v>0</v>
      </c>
      <c r="O1771" s="228">
        <f t="shared" si="189"/>
        <v>0</v>
      </c>
      <c r="P1771" s="228">
        <f t="shared" si="189"/>
        <v>0</v>
      </c>
      <c r="Q1771" s="228">
        <f t="shared" si="193"/>
        <v>0</v>
      </c>
      <c r="R1771" s="343">
        <f t="shared" si="194"/>
        <v>-21.882999999999999</v>
      </c>
      <c r="S1771" s="240"/>
      <c r="T1771" s="201"/>
      <c r="U1771" s="201"/>
      <c r="V1771" s="201"/>
    </row>
    <row r="1772" spans="1:22" ht="15.75" x14ac:dyDescent="0.25">
      <c r="A1772" s="234" t="s">
        <v>2125</v>
      </c>
      <c r="B1772" s="235" t="s">
        <v>2054</v>
      </c>
      <c r="C1772" s="234" t="s">
        <v>61</v>
      </c>
      <c r="D1772" s="312">
        <v>0.64600000000000002</v>
      </c>
      <c r="E1772" s="312"/>
      <c r="F1772" s="248"/>
      <c r="G1772" s="312"/>
      <c r="H1772" s="312"/>
      <c r="I1772" s="312"/>
      <c r="J1772" s="248">
        <f t="shared" si="190"/>
        <v>0</v>
      </c>
      <c r="K1772" s="330">
        <f t="shared" si="191"/>
        <v>-0.64600000000000002</v>
      </c>
      <c r="L1772" s="313"/>
      <c r="M1772" s="228">
        <f t="shared" si="192"/>
        <v>0</v>
      </c>
      <c r="N1772" s="228">
        <f t="shared" si="188"/>
        <v>0</v>
      </c>
      <c r="O1772" s="228">
        <f t="shared" si="189"/>
        <v>0</v>
      </c>
      <c r="P1772" s="228">
        <f t="shared" si="189"/>
        <v>0</v>
      </c>
      <c r="Q1772" s="228">
        <f t="shared" si="193"/>
        <v>0</v>
      </c>
      <c r="R1772" s="343">
        <f t="shared" si="194"/>
        <v>-0.64600000000000002</v>
      </c>
      <c r="S1772" s="240"/>
      <c r="T1772" s="201"/>
      <c r="U1772" s="201"/>
      <c r="V1772" s="201"/>
    </row>
    <row r="1773" spans="1:22" ht="45" x14ac:dyDescent="0.25">
      <c r="A1773" s="234" t="s">
        <v>2126</v>
      </c>
      <c r="B1773" s="235" t="s">
        <v>2127</v>
      </c>
      <c r="C1773" s="234" t="s">
        <v>61</v>
      </c>
      <c r="D1773" s="312">
        <v>0.38800000000000001</v>
      </c>
      <c r="E1773" s="312"/>
      <c r="F1773" s="248"/>
      <c r="G1773" s="312"/>
      <c r="H1773" s="312"/>
      <c r="I1773" s="312"/>
      <c r="J1773" s="248">
        <f t="shared" si="190"/>
        <v>0</v>
      </c>
      <c r="K1773" s="330">
        <f t="shared" si="191"/>
        <v>-0.38800000000000001</v>
      </c>
      <c r="L1773" s="313"/>
      <c r="M1773" s="228">
        <f t="shared" si="192"/>
        <v>0</v>
      </c>
      <c r="N1773" s="228">
        <f t="shared" si="188"/>
        <v>0</v>
      </c>
      <c r="O1773" s="228">
        <f t="shared" si="189"/>
        <v>0</v>
      </c>
      <c r="P1773" s="228">
        <f t="shared" si="189"/>
        <v>0</v>
      </c>
      <c r="Q1773" s="228">
        <f t="shared" si="193"/>
        <v>0</v>
      </c>
      <c r="R1773" s="343">
        <f t="shared" si="194"/>
        <v>-0.38800000000000001</v>
      </c>
      <c r="S1773" s="240"/>
      <c r="T1773" s="201"/>
      <c r="U1773" s="201"/>
      <c r="V1773" s="201"/>
    </row>
    <row r="1774" spans="1:22" ht="45" x14ac:dyDescent="0.25">
      <c r="A1774" s="234" t="s">
        <v>2128</v>
      </c>
      <c r="B1774" s="235" t="s">
        <v>2129</v>
      </c>
      <c r="C1774" s="234" t="s">
        <v>37</v>
      </c>
      <c r="D1774" s="312">
        <v>8.08</v>
      </c>
      <c r="E1774" s="312"/>
      <c r="F1774" s="248"/>
      <c r="G1774" s="312"/>
      <c r="H1774" s="312"/>
      <c r="I1774" s="312"/>
      <c r="J1774" s="248">
        <f t="shared" si="190"/>
        <v>0</v>
      </c>
      <c r="K1774" s="330">
        <f t="shared" si="191"/>
        <v>-8.08</v>
      </c>
      <c r="L1774" s="313"/>
      <c r="M1774" s="228">
        <f t="shared" si="192"/>
        <v>0</v>
      </c>
      <c r="N1774" s="228">
        <f t="shared" si="188"/>
        <v>0</v>
      </c>
      <c r="O1774" s="228">
        <f t="shared" si="189"/>
        <v>0</v>
      </c>
      <c r="P1774" s="228">
        <f t="shared" si="189"/>
        <v>0</v>
      </c>
      <c r="Q1774" s="228">
        <f t="shared" si="193"/>
        <v>0</v>
      </c>
      <c r="R1774" s="343">
        <f t="shared" si="194"/>
        <v>-8.08</v>
      </c>
      <c r="S1774" s="240"/>
      <c r="T1774" s="201"/>
      <c r="U1774" s="201"/>
      <c r="V1774" s="201"/>
    </row>
    <row r="1775" spans="1:22" ht="45" x14ac:dyDescent="0.25">
      <c r="A1775" s="234" t="s">
        <v>2130</v>
      </c>
      <c r="B1775" s="235" t="s">
        <v>2127</v>
      </c>
      <c r="C1775" s="234" t="s">
        <v>61</v>
      </c>
      <c r="D1775" s="312">
        <v>1.6160000000000001</v>
      </c>
      <c r="E1775" s="312"/>
      <c r="F1775" s="248"/>
      <c r="G1775" s="312"/>
      <c r="H1775" s="312"/>
      <c r="I1775" s="312"/>
      <c r="J1775" s="248">
        <f t="shared" si="190"/>
        <v>0</v>
      </c>
      <c r="K1775" s="330">
        <f t="shared" si="191"/>
        <v>-1.6160000000000001</v>
      </c>
      <c r="L1775" s="313"/>
      <c r="M1775" s="228">
        <f t="shared" si="192"/>
        <v>0</v>
      </c>
      <c r="N1775" s="228">
        <f t="shared" si="188"/>
        <v>0</v>
      </c>
      <c r="O1775" s="228">
        <f t="shared" si="189"/>
        <v>0</v>
      </c>
      <c r="P1775" s="228">
        <f t="shared" si="189"/>
        <v>0</v>
      </c>
      <c r="Q1775" s="228">
        <f t="shared" si="193"/>
        <v>0</v>
      </c>
      <c r="R1775" s="343">
        <f t="shared" si="194"/>
        <v>-1.6160000000000001</v>
      </c>
      <c r="S1775" s="240"/>
      <c r="T1775" s="201"/>
      <c r="U1775" s="201"/>
      <c r="V1775" s="201"/>
    </row>
    <row r="1776" spans="1:22" ht="30" x14ac:dyDescent="0.25">
      <c r="A1776" s="234" t="s">
        <v>2131</v>
      </c>
      <c r="B1776" s="235" t="s">
        <v>1950</v>
      </c>
      <c r="C1776" s="234" t="s">
        <v>37</v>
      </c>
      <c r="D1776" s="312">
        <v>14.276</v>
      </c>
      <c r="E1776" s="312"/>
      <c r="F1776" s="248"/>
      <c r="G1776" s="312"/>
      <c r="H1776" s="312"/>
      <c r="I1776" s="312"/>
      <c r="J1776" s="248">
        <f t="shared" si="190"/>
        <v>0</v>
      </c>
      <c r="K1776" s="330">
        <f t="shared" si="191"/>
        <v>-14.276</v>
      </c>
      <c r="L1776" s="313"/>
      <c r="M1776" s="228">
        <f t="shared" si="192"/>
        <v>0</v>
      </c>
      <c r="N1776" s="228">
        <f t="shared" si="188"/>
        <v>0</v>
      </c>
      <c r="O1776" s="228">
        <f t="shared" si="189"/>
        <v>0</v>
      </c>
      <c r="P1776" s="228">
        <f t="shared" si="189"/>
        <v>0</v>
      </c>
      <c r="Q1776" s="228">
        <f t="shared" si="193"/>
        <v>0</v>
      </c>
      <c r="R1776" s="343">
        <f t="shared" si="194"/>
        <v>-14.276</v>
      </c>
      <c r="S1776" s="240"/>
      <c r="T1776" s="201"/>
      <c r="U1776" s="201"/>
      <c r="V1776" s="201"/>
    </row>
    <row r="1777" spans="1:22" ht="15.75" x14ac:dyDescent="0.25">
      <c r="A1777" s="234" t="s">
        <v>2132</v>
      </c>
      <c r="B1777" s="235" t="s">
        <v>1944</v>
      </c>
      <c r="C1777" s="234" t="s">
        <v>61</v>
      </c>
      <c r="D1777" s="312">
        <v>1.4279999999999999</v>
      </c>
      <c r="E1777" s="312"/>
      <c r="F1777" s="248"/>
      <c r="G1777" s="312"/>
      <c r="H1777" s="312"/>
      <c r="I1777" s="312"/>
      <c r="J1777" s="248">
        <f t="shared" si="190"/>
        <v>0</v>
      </c>
      <c r="K1777" s="330">
        <f t="shared" si="191"/>
        <v>-1.4279999999999999</v>
      </c>
      <c r="L1777" s="313"/>
      <c r="M1777" s="228">
        <f t="shared" si="192"/>
        <v>0</v>
      </c>
      <c r="N1777" s="228">
        <f t="shared" si="188"/>
        <v>0</v>
      </c>
      <c r="O1777" s="228">
        <f t="shared" si="189"/>
        <v>0</v>
      </c>
      <c r="P1777" s="228">
        <f t="shared" si="189"/>
        <v>0</v>
      </c>
      <c r="Q1777" s="228">
        <f t="shared" si="193"/>
        <v>0</v>
      </c>
      <c r="R1777" s="343">
        <f t="shared" si="194"/>
        <v>-1.4279999999999999</v>
      </c>
      <c r="S1777" s="240"/>
      <c r="T1777" s="201"/>
      <c r="U1777" s="201"/>
      <c r="V1777" s="201"/>
    </row>
    <row r="1778" spans="1:22" ht="30" x14ac:dyDescent="0.25">
      <c r="A1778" s="234" t="s">
        <v>2133</v>
      </c>
      <c r="B1778" s="235" t="s">
        <v>1950</v>
      </c>
      <c r="C1778" s="234" t="s">
        <v>37</v>
      </c>
      <c r="D1778" s="312">
        <v>3.5710000000000002</v>
      </c>
      <c r="E1778" s="312"/>
      <c r="F1778" s="248"/>
      <c r="G1778" s="312"/>
      <c r="H1778" s="312"/>
      <c r="I1778" s="312"/>
      <c r="J1778" s="248">
        <f t="shared" si="190"/>
        <v>0</v>
      </c>
      <c r="K1778" s="330">
        <f t="shared" si="191"/>
        <v>-3.5710000000000002</v>
      </c>
      <c r="L1778" s="313"/>
      <c r="M1778" s="228">
        <f t="shared" si="192"/>
        <v>0</v>
      </c>
      <c r="N1778" s="228">
        <f t="shared" si="188"/>
        <v>0</v>
      </c>
      <c r="O1778" s="228">
        <f t="shared" si="189"/>
        <v>0</v>
      </c>
      <c r="P1778" s="228">
        <f t="shared" si="189"/>
        <v>0</v>
      </c>
      <c r="Q1778" s="228">
        <f t="shared" si="193"/>
        <v>0</v>
      </c>
      <c r="R1778" s="343">
        <f t="shared" si="194"/>
        <v>-3.5710000000000002</v>
      </c>
      <c r="S1778" s="240"/>
      <c r="T1778" s="201"/>
      <c r="U1778" s="201"/>
      <c r="V1778" s="201"/>
    </row>
    <row r="1779" spans="1:22" ht="45" x14ac:dyDescent="0.25">
      <c r="A1779" s="234" t="s">
        <v>2134</v>
      </c>
      <c r="B1779" s="235" t="s">
        <v>2135</v>
      </c>
      <c r="C1779" s="234" t="s">
        <v>61</v>
      </c>
      <c r="D1779" s="312">
        <v>0.83199999999999996</v>
      </c>
      <c r="E1779" s="312"/>
      <c r="F1779" s="248"/>
      <c r="G1779" s="312"/>
      <c r="H1779" s="312"/>
      <c r="I1779" s="312"/>
      <c r="J1779" s="248">
        <f t="shared" si="190"/>
        <v>0</v>
      </c>
      <c r="K1779" s="330">
        <f t="shared" si="191"/>
        <v>-0.83199999999999996</v>
      </c>
      <c r="L1779" s="313"/>
      <c r="M1779" s="228">
        <f t="shared" si="192"/>
        <v>0</v>
      </c>
      <c r="N1779" s="228">
        <f t="shared" si="188"/>
        <v>0</v>
      </c>
      <c r="O1779" s="228">
        <f t="shared" si="189"/>
        <v>0</v>
      </c>
      <c r="P1779" s="228">
        <f t="shared" si="189"/>
        <v>0</v>
      </c>
      <c r="Q1779" s="228">
        <f t="shared" si="193"/>
        <v>0</v>
      </c>
      <c r="R1779" s="343">
        <f t="shared" si="194"/>
        <v>-0.83199999999999996</v>
      </c>
      <c r="S1779" s="240"/>
      <c r="T1779" s="201"/>
      <c r="U1779" s="201"/>
      <c r="V1779" s="201"/>
    </row>
    <row r="1780" spans="1:22" ht="45" x14ac:dyDescent="0.25">
      <c r="A1780" s="234" t="s">
        <v>2136</v>
      </c>
      <c r="B1780" s="235" t="s">
        <v>2137</v>
      </c>
      <c r="C1780" s="234" t="s">
        <v>32</v>
      </c>
      <c r="D1780" s="312">
        <v>0.34399999999999997</v>
      </c>
      <c r="E1780" s="312"/>
      <c r="F1780" s="248"/>
      <c r="G1780" s="312"/>
      <c r="H1780" s="312"/>
      <c r="I1780" s="312"/>
      <c r="J1780" s="248">
        <f t="shared" si="190"/>
        <v>0</v>
      </c>
      <c r="K1780" s="330">
        <f t="shared" si="191"/>
        <v>-0.34399999999999997</v>
      </c>
      <c r="L1780" s="313"/>
      <c r="M1780" s="228">
        <f t="shared" si="192"/>
        <v>0</v>
      </c>
      <c r="N1780" s="228">
        <f t="shared" si="188"/>
        <v>0</v>
      </c>
      <c r="O1780" s="228">
        <f t="shared" si="189"/>
        <v>0</v>
      </c>
      <c r="P1780" s="228">
        <f t="shared" si="189"/>
        <v>0</v>
      </c>
      <c r="Q1780" s="228">
        <f t="shared" si="193"/>
        <v>0</v>
      </c>
      <c r="R1780" s="343">
        <f t="shared" si="194"/>
        <v>-0.34399999999999997</v>
      </c>
      <c r="S1780" s="240"/>
      <c r="T1780" s="201"/>
      <c r="U1780" s="201"/>
      <c r="V1780" s="201"/>
    </row>
    <row r="1781" spans="1:22" ht="45" x14ac:dyDescent="0.25">
      <c r="A1781" s="234" t="s">
        <v>2138</v>
      </c>
      <c r="B1781" s="235" t="s">
        <v>2139</v>
      </c>
      <c r="C1781" s="234" t="s">
        <v>32</v>
      </c>
      <c r="D1781" s="312">
        <v>1.7</v>
      </c>
      <c r="E1781" s="312"/>
      <c r="F1781" s="248"/>
      <c r="G1781" s="312"/>
      <c r="H1781" s="312"/>
      <c r="I1781" s="312"/>
      <c r="J1781" s="248">
        <f t="shared" si="190"/>
        <v>0</v>
      </c>
      <c r="K1781" s="330">
        <f t="shared" si="191"/>
        <v>-1.7</v>
      </c>
      <c r="L1781" s="313"/>
      <c r="M1781" s="228">
        <f t="shared" si="192"/>
        <v>0</v>
      </c>
      <c r="N1781" s="228">
        <f t="shared" si="188"/>
        <v>0</v>
      </c>
      <c r="O1781" s="228">
        <f t="shared" si="189"/>
        <v>0</v>
      </c>
      <c r="P1781" s="228">
        <f t="shared" si="189"/>
        <v>0</v>
      </c>
      <c r="Q1781" s="228">
        <f t="shared" si="193"/>
        <v>0</v>
      </c>
      <c r="R1781" s="343">
        <f t="shared" si="194"/>
        <v>-1.7</v>
      </c>
      <c r="S1781" s="240"/>
      <c r="T1781" s="201"/>
      <c r="U1781" s="201"/>
      <c r="V1781" s="201"/>
    </row>
    <row r="1782" spans="1:22" ht="30" x14ac:dyDescent="0.25">
      <c r="A1782" s="234" t="s">
        <v>2140</v>
      </c>
      <c r="B1782" s="235" t="s">
        <v>1954</v>
      </c>
      <c r="C1782" s="234" t="s">
        <v>32</v>
      </c>
      <c r="D1782" s="312">
        <v>0.187</v>
      </c>
      <c r="E1782" s="312"/>
      <c r="F1782" s="248"/>
      <c r="G1782" s="312"/>
      <c r="H1782" s="312"/>
      <c r="I1782" s="312"/>
      <c r="J1782" s="248">
        <f t="shared" si="190"/>
        <v>0</v>
      </c>
      <c r="K1782" s="330">
        <f t="shared" si="191"/>
        <v>-0.187</v>
      </c>
      <c r="L1782" s="313"/>
      <c r="M1782" s="228">
        <f t="shared" si="192"/>
        <v>0</v>
      </c>
      <c r="N1782" s="228">
        <f t="shared" si="188"/>
        <v>0</v>
      </c>
      <c r="O1782" s="228">
        <f t="shared" si="189"/>
        <v>0</v>
      </c>
      <c r="P1782" s="228">
        <f t="shared" si="189"/>
        <v>0</v>
      </c>
      <c r="Q1782" s="228">
        <f t="shared" si="193"/>
        <v>0</v>
      </c>
      <c r="R1782" s="343">
        <f t="shared" si="194"/>
        <v>-0.187</v>
      </c>
      <c r="S1782" s="240"/>
      <c r="T1782" s="201"/>
      <c r="U1782" s="201"/>
      <c r="V1782" s="201"/>
    </row>
    <row r="1783" spans="1:22" ht="47.25" x14ac:dyDescent="0.25">
      <c r="A1783" s="6" t="s">
        <v>2141</v>
      </c>
      <c r="B1783" s="7" t="s">
        <v>2142</v>
      </c>
      <c r="C1783" s="6" t="s">
        <v>32</v>
      </c>
      <c r="D1783" s="323">
        <v>0.22600000000000001</v>
      </c>
      <c r="E1783" s="316"/>
      <c r="F1783" s="317"/>
      <c r="G1783" s="316"/>
      <c r="H1783" s="316"/>
      <c r="I1783" s="316"/>
      <c r="J1783" s="248">
        <f t="shared" si="190"/>
        <v>0</v>
      </c>
      <c r="K1783" s="330">
        <f t="shared" si="191"/>
        <v>-0.22600000000000001</v>
      </c>
      <c r="L1783" s="318"/>
      <c r="M1783" s="228">
        <f t="shared" si="192"/>
        <v>0</v>
      </c>
      <c r="N1783" s="228">
        <f t="shared" ref="N1783:N1846" si="195">G1783</f>
        <v>0</v>
      </c>
      <c r="O1783" s="228">
        <f t="shared" ref="O1783:P1846" si="196">H1783</f>
        <v>0</v>
      </c>
      <c r="P1783" s="228">
        <f t="shared" si="196"/>
        <v>0</v>
      </c>
      <c r="Q1783" s="228">
        <f t="shared" si="193"/>
        <v>0</v>
      </c>
      <c r="R1783" s="343">
        <f t="shared" si="194"/>
        <v>-0.22600000000000001</v>
      </c>
      <c r="S1783" s="240"/>
      <c r="T1783" s="201"/>
      <c r="U1783" s="201"/>
      <c r="V1783" s="201"/>
    </row>
    <row r="1784" spans="1:22" ht="47.25" x14ac:dyDescent="0.25">
      <c r="A1784" s="6" t="s">
        <v>2143</v>
      </c>
      <c r="B1784" s="7" t="s">
        <v>2144</v>
      </c>
      <c r="C1784" s="6" t="s">
        <v>32</v>
      </c>
      <c r="D1784" s="323">
        <v>1.66</v>
      </c>
      <c r="E1784" s="316"/>
      <c r="F1784" s="317"/>
      <c r="G1784" s="316"/>
      <c r="H1784" s="316"/>
      <c r="I1784" s="316"/>
      <c r="J1784" s="248">
        <f t="shared" si="190"/>
        <v>0</v>
      </c>
      <c r="K1784" s="330">
        <f t="shared" si="191"/>
        <v>-1.66</v>
      </c>
      <c r="L1784" s="318"/>
      <c r="M1784" s="228">
        <f t="shared" si="192"/>
        <v>0</v>
      </c>
      <c r="N1784" s="228">
        <f t="shared" si="195"/>
        <v>0</v>
      </c>
      <c r="O1784" s="228">
        <f t="shared" si="196"/>
        <v>0</v>
      </c>
      <c r="P1784" s="228">
        <f t="shared" si="196"/>
        <v>0</v>
      </c>
      <c r="Q1784" s="228">
        <f t="shared" si="193"/>
        <v>0</v>
      </c>
      <c r="R1784" s="343">
        <f t="shared" si="194"/>
        <v>-1.66</v>
      </c>
      <c r="S1784" s="240"/>
      <c r="T1784" s="201"/>
      <c r="U1784" s="201"/>
      <c r="V1784" s="201"/>
    </row>
    <row r="1785" spans="1:22" ht="31.5" x14ac:dyDescent="0.25">
      <c r="A1785" s="6" t="s">
        <v>2145</v>
      </c>
      <c r="B1785" s="7" t="s">
        <v>2146</v>
      </c>
      <c r="C1785" s="6" t="s">
        <v>37</v>
      </c>
      <c r="D1785" s="323">
        <v>18.907</v>
      </c>
      <c r="E1785" s="312"/>
      <c r="F1785" s="248"/>
      <c r="G1785" s="312"/>
      <c r="H1785" s="312"/>
      <c r="I1785" s="312"/>
      <c r="J1785" s="248">
        <f t="shared" si="190"/>
        <v>0</v>
      </c>
      <c r="K1785" s="330">
        <f t="shared" si="191"/>
        <v>-18.907</v>
      </c>
      <c r="L1785" s="313"/>
      <c r="M1785" s="228">
        <f t="shared" si="192"/>
        <v>0</v>
      </c>
      <c r="N1785" s="228">
        <f t="shared" si="195"/>
        <v>0</v>
      </c>
      <c r="O1785" s="228">
        <f t="shared" si="196"/>
        <v>0</v>
      </c>
      <c r="P1785" s="228">
        <f t="shared" si="196"/>
        <v>0</v>
      </c>
      <c r="Q1785" s="228">
        <f t="shared" si="193"/>
        <v>0</v>
      </c>
      <c r="R1785" s="343">
        <f t="shared" si="194"/>
        <v>-18.907</v>
      </c>
      <c r="S1785" s="240"/>
      <c r="T1785" s="201"/>
      <c r="U1785" s="201"/>
      <c r="V1785" s="201"/>
    </row>
    <row r="1786" spans="1:22" ht="44.25" customHeight="1" x14ac:dyDescent="0.25">
      <c r="A1786" s="6" t="s">
        <v>2147</v>
      </c>
      <c r="B1786" s="7" t="s">
        <v>2148</v>
      </c>
      <c r="C1786" s="6" t="s">
        <v>37</v>
      </c>
      <c r="D1786" s="323">
        <v>25.029</v>
      </c>
      <c r="E1786" s="312"/>
      <c r="F1786" s="248"/>
      <c r="G1786" s="312"/>
      <c r="H1786" s="312"/>
      <c r="I1786" s="312"/>
      <c r="J1786" s="248">
        <f t="shared" si="190"/>
        <v>0</v>
      </c>
      <c r="K1786" s="330">
        <f t="shared" si="191"/>
        <v>-25.029</v>
      </c>
      <c r="L1786" s="313"/>
      <c r="M1786" s="228">
        <f t="shared" si="192"/>
        <v>0</v>
      </c>
      <c r="N1786" s="228">
        <f t="shared" si="195"/>
        <v>0</v>
      </c>
      <c r="O1786" s="228">
        <f t="shared" si="196"/>
        <v>0</v>
      </c>
      <c r="P1786" s="228">
        <f t="shared" si="196"/>
        <v>0</v>
      </c>
      <c r="Q1786" s="228">
        <f t="shared" si="193"/>
        <v>0</v>
      </c>
      <c r="R1786" s="343">
        <f t="shared" si="194"/>
        <v>-25.029</v>
      </c>
      <c r="S1786" s="240"/>
      <c r="T1786" s="201"/>
      <c r="U1786" s="201"/>
      <c r="V1786" s="201"/>
    </row>
    <row r="1787" spans="1:22" ht="47.25" x14ac:dyDescent="0.25">
      <c r="A1787" s="6" t="s">
        <v>2149</v>
      </c>
      <c r="B1787" s="7" t="s">
        <v>2150</v>
      </c>
      <c r="C1787" s="6" t="s">
        <v>37</v>
      </c>
      <c r="D1787" s="323">
        <v>33.591999999999999</v>
      </c>
      <c r="E1787" s="312"/>
      <c r="F1787" s="248"/>
      <c r="G1787" s="312"/>
      <c r="H1787" s="312"/>
      <c r="I1787" s="312"/>
      <c r="J1787" s="248">
        <f t="shared" si="190"/>
        <v>0</v>
      </c>
      <c r="K1787" s="330">
        <f t="shared" si="191"/>
        <v>-33.591999999999999</v>
      </c>
      <c r="L1787" s="313"/>
      <c r="M1787" s="228">
        <f t="shared" si="192"/>
        <v>0</v>
      </c>
      <c r="N1787" s="228">
        <f t="shared" si="195"/>
        <v>0</v>
      </c>
      <c r="O1787" s="228">
        <f t="shared" si="196"/>
        <v>0</v>
      </c>
      <c r="P1787" s="228">
        <f t="shared" si="196"/>
        <v>0</v>
      </c>
      <c r="Q1787" s="228">
        <f t="shared" si="193"/>
        <v>0</v>
      </c>
      <c r="R1787" s="343">
        <f t="shared" si="194"/>
        <v>-33.591999999999999</v>
      </c>
      <c r="S1787" s="240"/>
      <c r="T1787" s="201"/>
      <c r="U1787" s="201"/>
      <c r="V1787" s="201"/>
    </row>
    <row r="1788" spans="1:22" ht="47.25" x14ac:dyDescent="0.25">
      <c r="A1788" s="6" t="s">
        <v>2151</v>
      </c>
      <c r="B1788" s="7" t="s">
        <v>2152</v>
      </c>
      <c r="C1788" s="6" t="s">
        <v>52</v>
      </c>
      <c r="D1788" s="323">
        <v>1423.7619999999999</v>
      </c>
      <c r="E1788" s="312"/>
      <c r="F1788" s="248"/>
      <c r="G1788" s="312"/>
      <c r="H1788" s="312"/>
      <c r="I1788" s="312"/>
      <c r="J1788" s="248">
        <f t="shared" si="190"/>
        <v>0</v>
      </c>
      <c r="K1788" s="330">
        <f t="shared" si="191"/>
        <v>-1423.7619999999999</v>
      </c>
      <c r="L1788" s="313"/>
      <c r="M1788" s="228">
        <f t="shared" si="192"/>
        <v>0</v>
      </c>
      <c r="N1788" s="228">
        <f t="shared" si="195"/>
        <v>0</v>
      </c>
      <c r="O1788" s="228">
        <f t="shared" si="196"/>
        <v>0</v>
      </c>
      <c r="P1788" s="228">
        <f t="shared" si="196"/>
        <v>0</v>
      </c>
      <c r="Q1788" s="228">
        <f t="shared" si="193"/>
        <v>0</v>
      </c>
      <c r="R1788" s="343">
        <f t="shared" si="194"/>
        <v>-1423.7619999999999</v>
      </c>
      <c r="S1788" s="240"/>
      <c r="T1788" s="201"/>
      <c r="U1788" s="201"/>
      <c r="V1788" s="201"/>
    </row>
    <row r="1789" spans="1:22" ht="31.5" x14ac:dyDescent="0.25">
      <c r="A1789" s="6" t="s">
        <v>2153</v>
      </c>
      <c r="B1789" s="7" t="s">
        <v>2154</v>
      </c>
      <c r="C1789" s="6" t="s">
        <v>52</v>
      </c>
      <c r="D1789" s="323">
        <v>83.16</v>
      </c>
      <c r="E1789" s="312"/>
      <c r="F1789" s="248"/>
      <c r="G1789" s="312"/>
      <c r="H1789" s="312"/>
      <c r="I1789" s="312"/>
      <c r="J1789" s="248">
        <f t="shared" si="190"/>
        <v>0</v>
      </c>
      <c r="K1789" s="330">
        <f t="shared" si="191"/>
        <v>-83.16</v>
      </c>
      <c r="L1789" s="313"/>
      <c r="M1789" s="228">
        <f t="shared" si="192"/>
        <v>0</v>
      </c>
      <c r="N1789" s="228">
        <f t="shared" si="195"/>
        <v>0</v>
      </c>
      <c r="O1789" s="228">
        <f t="shared" si="196"/>
        <v>0</v>
      </c>
      <c r="P1789" s="228">
        <f t="shared" si="196"/>
        <v>0</v>
      </c>
      <c r="Q1789" s="228">
        <f t="shared" si="193"/>
        <v>0</v>
      </c>
      <c r="R1789" s="343">
        <f t="shared" si="194"/>
        <v>-83.16</v>
      </c>
      <c r="S1789" s="240"/>
      <c r="T1789" s="201"/>
      <c r="U1789" s="201"/>
      <c r="V1789" s="201"/>
    </row>
    <row r="1790" spans="1:22" ht="15.75" x14ac:dyDescent="0.25">
      <c r="A1790" s="6" t="s">
        <v>2155</v>
      </c>
      <c r="B1790" s="7" t="s">
        <v>2156</v>
      </c>
      <c r="C1790" s="6" t="s">
        <v>52</v>
      </c>
      <c r="D1790" s="323">
        <v>83.3</v>
      </c>
      <c r="E1790" s="312"/>
      <c r="F1790" s="248"/>
      <c r="G1790" s="312"/>
      <c r="H1790" s="312"/>
      <c r="I1790" s="312"/>
      <c r="J1790" s="248">
        <f t="shared" si="190"/>
        <v>0</v>
      </c>
      <c r="K1790" s="330">
        <f t="shared" si="191"/>
        <v>-83.3</v>
      </c>
      <c r="L1790" s="313"/>
      <c r="M1790" s="228">
        <f t="shared" si="192"/>
        <v>0</v>
      </c>
      <c r="N1790" s="228">
        <f t="shared" si="195"/>
        <v>0</v>
      </c>
      <c r="O1790" s="228">
        <f t="shared" si="196"/>
        <v>0</v>
      </c>
      <c r="P1790" s="228">
        <f t="shared" si="196"/>
        <v>0</v>
      </c>
      <c r="Q1790" s="228">
        <f t="shared" si="193"/>
        <v>0</v>
      </c>
      <c r="R1790" s="343">
        <f t="shared" si="194"/>
        <v>-83.3</v>
      </c>
      <c r="S1790" s="240"/>
      <c r="T1790" s="201"/>
      <c r="U1790" s="201"/>
      <c r="V1790" s="201"/>
    </row>
    <row r="1791" spans="1:22" ht="31.5" x14ac:dyDescent="0.25">
      <c r="A1791" s="6" t="s">
        <v>2157</v>
      </c>
      <c r="B1791" s="7" t="s">
        <v>423</v>
      </c>
      <c r="C1791" s="6" t="s">
        <v>52</v>
      </c>
      <c r="D1791" s="323">
        <v>1590.222</v>
      </c>
      <c r="E1791" s="312"/>
      <c r="F1791" s="248"/>
      <c r="G1791" s="312"/>
      <c r="H1791" s="312"/>
      <c r="I1791" s="312"/>
      <c r="J1791" s="248">
        <f t="shared" si="190"/>
        <v>0</v>
      </c>
      <c r="K1791" s="330">
        <f t="shared" si="191"/>
        <v>-1590.222</v>
      </c>
      <c r="L1791" s="313"/>
      <c r="M1791" s="228">
        <f t="shared" si="192"/>
        <v>0</v>
      </c>
      <c r="N1791" s="228">
        <f t="shared" si="195"/>
        <v>0</v>
      </c>
      <c r="O1791" s="228">
        <f t="shared" si="196"/>
        <v>0</v>
      </c>
      <c r="P1791" s="228">
        <f t="shared" si="196"/>
        <v>0</v>
      </c>
      <c r="Q1791" s="228">
        <f t="shared" si="193"/>
        <v>0</v>
      </c>
      <c r="R1791" s="343">
        <f t="shared" si="194"/>
        <v>-1590.222</v>
      </c>
      <c r="S1791" s="240"/>
      <c r="T1791" s="201"/>
      <c r="U1791" s="201"/>
      <c r="V1791" s="201"/>
    </row>
    <row r="1792" spans="1:22" ht="15.75" x14ac:dyDescent="0.25">
      <c r="A1792" s="6" t="s">
        <v>2158</v>
      </c>
      <c r="B1792" s="7" t="s">
        <v>2159</v>
      </c>
      <c r="C1792" s="6" t="s">
        <v>52</v>
      </c>
      <c r="D1792" s="323">
        <v>87.82</v>
      </c>
      <c r="E1792" s="312"/>
      <c r="F1792" s="248"/>
      <c r="G1792" s="312"/>
      <c r="H1792" s="312"/>
      <c r="I1792" s="312"/>
      <c r="J1792" s="248">
        <f t="shared" si="190"/>
        <v>0</v>
      </c>
      <c r="K1792" s="330">
        <f t="shared" si="191"/>
        <v>-87.82</v>
      </c>
      <c r="L1792" s="313"/>
      <c r="M1792" s="228">
        <f t="shared" si="192"/>
        <v>0</v>
      </c>
      <c r="N1792" s="228">
        <f t="shared" si="195"/>
        <v>0</v>
      </c>
      <c r="O1792" s="228">
        <f t="shared" si="196"/>
        <v>0</v>
      </c>
      <c r="P1792" s="228">
        <f t="shared" si="196"/>
        <v>0</v>
      </c>
      <c r="Q1792" s="228">
        <f t="shared" si="193"/>
        <v>0</v>
      </c>
      <c r="R1792" s="343">
        <f t="shared" si="194"/>
        <v>-87.82</v>
      </c>
      <c r="S1792" s="240"/>
      <c r="T1792" s="201"/>
      <c r="U1792" s="201"/>
      <c r="V1792" s="201"/>
    </row>
    <row r="1793" spans="1:22" ht="31.5" customHeight="1" x14ac:dyDescent="0.25">
      <c r="A1793" s="6" t="s">
        <v>2160</v>
      </c>
      <c r="B1793" s="7" t="s">
        <v>2161</v>
      </c>
      <c r="C1793" s="6" t="s">
        <v>52</v>
      </c>
      <c r="D1793" s="323">
        <v>87.82</v>
      </c>
      <c r="E1793" s="312"/>
      <c r="F1793" s="248"/>
      <c r="G1793" s="312"/>
      <c r="H1793" s="312"/>
      <c r="I1793" s="312"/>
      <c r="J1793" s="248">
        <f t="shared" si="190"/>
        <v>0</v>
      </c>
      <c r="K1793" s="330">
        <f t="shared" si="191"/>
        <v>-87.82</v>
      </c>
      <c r="L1793" s="313"/>
      <c r="M1793" s="228">
        <f t="shared" si="192"/>
        <v>0</v>
      </c>
      <c r="N1793" s="228">
        <f t="shared" si="195"/>
        <v>0</v>
      </c>
      <c r="O1793" s="228">
        <f t="shared" si="196"/>
        <v>0</v>
      </c>
      <c r="P1793" s="228">
        <f t="shared" si="196"/>
        <v>0</v>
      </c>
      <c r="Q1793" s="228">
        <f t="shared" si="193"/>
        <v>0</v>
      </c>
      <c r="R1793" s="343">
        <f t="shared" si="194"/>
        <v>-87.82</v>
      </c>
      <c r="S1793" s="240"/>
      <c r="T1793" s="201"/>
      <c r="U1793" s="201"/>
      <c r="V1793" s="201"/>
    </row>
    <row r="1794" spans="1:22" ht="31.5" x14ac:dyDescent="0.25">
      <c r="A1794" s="6" t="s">
        <v>2162</v>
      </c>
      <c r="B1794" s="7" t="s">
        <v>297</v>
      </c>
      <c r="C1794" s="6" t="s">
        <v>52</v>
      </c>
      <c r="D1794" s="323">
        <v>43.91</v>
      </c>
      <c r="E1794" s="316"/>
      <c r="F1794" s="317"/>
      <c r="G1794" s="316"/>
      <c r="H1794" s="316"/>
      <c r="I1794" s="316"/>
      <c r="J1794" s="248">
        <f t="shared" si="190"/>
        <v>0</v>
      </c>
      <c r="K1794" s="330">
        <f t="shared" si="191"/>
        <v>-43.91</v>
      </c>
      <c r="L1794" s="318"/>
      <c r="M1794" s="228">
        <f t="shared" si="192"/>
        <v>0</v>
      </c>
      <c r="N1794" s="228">
        <f t="shared" si="195"/>
        <v>0</v>
      </c>
      <c r="O1794" s="228">
        <f t="shared" si="196"/>
        <v>0</v>
      </c>
      <c r="P1794" s="228">
        <f t="shared" si="196"/>
        <v>0</v>
      </c>
      <c r="Q1794" s="228">
        <f t="shared" si="193"/>
        <v>0</v>
      </c>
      <c r="R1794" s="343">
        <f t="shared" si="194"/>
        <v>-43.91</v>
      </c>
      <c r="S1794" s="240"/>
      <c r="T1794" s="201"/>
      <c r="U1794" s="201"/>
      <c r="V1794" s="201"/>
    </row>
    <row r="1795" spans="1:22" ht="15.75" x14ac:dyDescent="0.25">
      <c r="A1795" s="2" t="s">
        <v>2163</v>
      </c>
      <c r="B1795" s="3" t="s">
        <v>2164</v>
      </c>
      <c r="C1795" s="2"/>
      <c r="D1795" s="324"/>
      <c r="E1795" s="312"/>
      <c r="F1795" s="248"/>
      <c r="G1795" s="312"/>
      <c r="H1795" s="312"/>
      <c r="I1795" s="312"/>
      <c r="J1795" s="248">
        <f t="shared" si="190"/>
        <v>0</v>
      </c>
      <c r="K1795" s="330">
        <f t="shared" si="191"/>
        <v>0</v>
      </c>
      <c r="L1795" s="313"/>
      <c r="M1795" s="228">
        <f t="shared" si="192"/>
        <v>0</v>
      </c>
      <c r="N1795" s="228">
        <f t="shared" si="195"/>
        <v>0</v>
      </c>
      <c r="O1795" s="228">
        <f t="shared" si="196"/>
        <v>0</v>
      </c>
      <c r="P1795" s="228">
        <f t="shared" si="196"/>
        <v>0</v>
      </c>
      <c r="Q1795" s="228">
        <f t="shared" si="193"/>
        <v>0</v>
      </c>
      <c r="R1795" s="343">
        <f t="shared" si="194"/>
        <v>0</v>
      </c>
      <c r="S1795" s="240"/>
      <c r="T1795" s="201"/>
      <c r="U1795" s="201"/>
      <c r="V1795" s="201"/>
    </row>
    <row r="1796" spans="1:22" ht="15.75" x14ac:dyDescent="0.25">
      <c r="A1796" s="2" t="s">
        <v>2165</v>
      </c>
      <c r="B1796" s="3" t="s">
        <v>2166</v>
      </c>
      <c r="C1796" s="2"/>
      <c r="D1796" s="324"/>
      <c r="E1796" s="312"/>
      <c r="F1796" s="248"/>
      <c r="G1796" s="312"/>
      <c r="H1796" s="312"/>
      <c r="I1796" s="312"/>
      <c r="J1796" s="248">
        <f t="shared" si="190"/>
        <v>0</v>
      </c>
      <c r="K1796" s="330">
        <f t="shared" si="191"/>
        <v>0</v>
      </c>
      <c r="L1796" s="313"/>
      <c r="M1796" s="228">
        <f t="shared" si="192"/>
        <v>0</v>
      </c>
      <c r="N1796" s="228">
        <f t="shared" si="195"/>
        <v>0</v>
      </c>
      <c r="O1796" s="228">
        <f t="shared" si="196"/>
        <v>0</v>
      </c>
      <c r="P1796" s="228">
        <f t="shared" si="196"/>
        <v>0</v>
      </c>
      <c r="Q1796" s="228">
        <f t="shared" si="193"/>
        <v>0</v>
      </c>
      <c r="R1796" s="343">
        <f t="shared" si="194"/>
        <v>0</v>
      </c>
      <c r="S1796" s="240"/>
      <c r="T1796" s="201"/>
      <c r="U1796" s="201"/>
      <c r="V1796" s="201"/>
    </row>
    <row r="1797" spans="1:22" ht="31.5" x14ac:dyDescent="0.25">
      <c r="A1797" s="6" t="s">
        <v>2167</v>
      </c>
      <c r="B1797" s="7" t="s">
        <v>2118</v>
      </c>
      <c r="C1797" s="6" t="s">
        <v>27</v>
      </c>
      <c r="D1797" s="323">
        <v>15.634</v>
      </c>
      <c r="E1797" s="312"/>
      <c r="F1797" s="248"/>
      <c r="G1797" s="312"/>
      <c r="H1797" s="312"/>
      <c r="I1797" s="312"/>
      <c r="J1797" s="248"/>
      <c r="K1797" s="330"/>
      <c r="L1797" s="313"/>
      <c r="M1797" s="228"/>
      <c r="N1797" s="228"/>
      <c r="O1797" s="228"/>
      <c r="P1797" s="228"/>
      <c r="Q1797" s="228"/>
      <c r="R1797" s="343">
        <f t="shared" si="194"/>
        <v>-15.634</v>
      </c>
      <c r="S1797" s="240"/>
      <c r="T1797" s="201"/>
      <c r="U1797" s="201"/>
      <c r="V1797" s="201"/>
    </row>
    <row r="1798" spans="1:22" ht="31.5" x14ac:dyDescent="0.25">
      <c r="A1798" s="6" t="s">
        <v>2168</v>
      </c>
      <c r="B1798" s="7" t="s">
        <v>43</v>
      </c>
      <c r="C1798" s="6" t="s">
        <v>27</v>
      </c>
      <c r="D1798" s="323">
        <v>3.827</v>
      </c>
      <c r="E1798" s="312"/>
      <c r="F1798" s="248"/>
      <c r="G1798" s="312"/>
      <c r="H1798" s="312"/>
      <c r="I1798" s="312"/>
      <c r="J1798" s="248"/>
      <c r="K1798" s="330"/>
      <c r="L1798" s="313"/>
      <c r="M1798" s="228"/>
      <c r="N1798" s="228"/>
      <c r="O1798" s="228"/>
      <c r="P1798" s="228"/>
      <c r="Q1798" s="228"/>
      <c r="R1798" s="343">
        <f t="shared" si="194"/>
        <v>-3.827</v>
      </c>
      <c r="S1798" s="240"/>
      <c r="T1798" s="201"/>
      <c r="U1798" s="201"/>
      <c r="V1798" s="201"/>
    </row>
    <row r="1799" spans="1:22" ht="31.5" x14ac:dyDescent="0.25">
      <c r="A1799" s="6" t="s">
        <v>2169</v>
      </c>
      <c r="B1799" s="7" t="s">
        <v>2170</v>
      </c>
      <c r="C1799" s="6" t="s">
        <v>27</v>
      </c>
      <c r="D1799" s="323">
        <v>11.365</v>
      </c>
      <c r="E1799" s="312"/>
      <c r="F1799" s="248"/>
      <c r="G1799" s="312"/>
      <c r="H1799" s="312"/>
      <c r="I1799" s="312"/>
      <c r="J1799" s="248"/>
      <c r="K1799" s="330"/>
      <c r="L1799" s="313"/>
      <c r="M1799" s="228"/>
      <c r="N1799" s="228"/>
      <c r="O1799" s="228"/>
      <c r="P1799" s="228"/>
      <c r="Q1799" s="228"/>
      <c r="R1799" s="343">
        <f t="shared" si="194"/>
        <v>-11.365</v>
      </c>
      <c r="S1799" s="240"/>
      <c r="T1799" s="201"/>
      <c r="U1799" s="201"/>
      <c r="V1799" s="201"/>
    </row>
    <row r="1800" spans="1:22" ht="31.5" x14ac:dyDescent="0.25">
      <c r="A1800" s="6" t="s">
        <v>2171</v>
      </c>
      <c r="B1800" s="7" t="s">
        <v>2172</v>
      </c>
      <c r="C1800" s="6" t="s">
        <v>27</v>
      </c>
      <c r="D1800" s="323">
        <v>11.365</v>
      </c>
      <c r="E1800" s="312"/>
      <c r="F1800" s="248"/>
      <c r="G1800" s="312"/>
      <c r="H1800" s="312"/>
      <c r="I1800" s="312"/>
      <c r="J1800" s="248"/>
      <c r="K1800" s="330"/>
      <c r="L1800" s="313"/>
      <c r="M1800" s="228"/>
      <c r="N1800" s="228"/>
      <c r="O1800" s="228"/>
      <c r="P1800" s="228"/>
      <c r="Q1800" s="228"/>
      <c r="R1800" s="343">
        <f t="shared" si="194"/>
        <v>-11.365</v>
      </c>
      <c r="S1800" s="240"/>
      <c r="T1800" s="201"/>
      <c r="U1800" s="201"/>
      <c r="V1800" s="201"/>
    </row>
    <row r="1801" spans="1:22" ht="31.5" x14ac:dyDescent="0.25">
      <c r="A1801" s="6" t="s">
        <v>2173</v>
      </c>
      <c r="B1801" s="7" t="s">
        <v>2050</v>
      </c>
      <c r="C1801" s="6" t="s">
        <v>37</v>
      </c>
      <c r="D1801" s="323">
        <v>26.637</v>
      </c>
      <c r="E1801" s="312"/>
      <c r="F1801" s="248"/>
      <c r="G1801" s="312"/>
      <c r="H1801" s="312"/>
      <c r="I1801" s="312"/>
      <c r="J1801" s="248"/>
      <c r="K1801" s="330"/>
      <c r="L1801" s="313"/>
      <c r="M1801" s="228"/>
      <c r="N1801" s="228"/>
      <c r="O1801" s="228"/>
      <c r="P1801" s="228"/>
      <c r="Q1801" s="228"/>
      <c r="R1801" s="343">
        <f t="shared" si="194"/>
        <v>-26.637</v>
      </c>
      <c r="S1801" s="240"/>
      <c r="T1801" s="201"/>
      <c r="U1801" s="201"/>
      <c r="V1801" s="201"/>
    </row>
    <row r="1802" spans="1:22" ht="47.25" x14ac:dyDescent="0.25">
      <c r="A1802" s="6" t="s">
        <v>2174</v>
      </c>
      <c r="B1802" s="7" t="s">
        <v>2175</v>
      </c>
      <c r="C1802" s="6" t="s">
        <v>37</v>
      </c>
      <c r="D1802" s="323">
        <v>91.078999999999994</v>
      </c>
      <c r="E1802" s="312"/>
      <c r="F1802" s="248"/>
      <c r="G1802" s="312"/>
      <c r="H1802" s="312"/>
      <c r="I1802" s="312"/>
      <c r="J1802" s="248"/>
      <c r="K1802" s="330"/>
      <c r="L1802" s="313"/>
      <c r="M1802" s="228"/>
      <c r="N1802" s="228"/>
      <c r="O1802" s="228"/>
      <c r="P1802" s="228"/>
      <c r="Q1802" s="228"/>
      <c r="R1802" s="343">
        <f t="shared" si="194"/>
        <v>-91.078999999999994</v>
      </c>
      <c r="S1802" s="240"/>
      <c r="T1802" s="201"/>
      <c r="U1802" s="201"/>
      <c r="V1802" s="201"/>
    </row>
    <row r="1803" spans="1:22" ht="15.75" x14ac:dyDescent="0.25">
      <c r="A1803" s="6" t="s">
        <v>2176</v>
      </c>
      <c r="B1803" s="7" t="s">
        <v>159</v>
      </c>
      <c r="C1803" s="6" t="s">
        <v>61</v>
      </c>
      <c r="D1803" s="323">
        <v>0.86499999999999999</v>
      </c>
      <c r="E1803" s="312"/>
      <c r="F1803" s="248"/>
      <c r="G1803" s="312"/>
      <c r="H1803" s="312"/>
      <c r="I1803" s="312"/>
      <c r="J1803" s="248">
        <f t="shared" si="190"/>
        <v>0</v>
      </c>
      <c r="K1803" s="330">
        <f t="shared" si="191"/>
        <v>-0.86499999999999999</v>
      </c>
      <c r="L1803" s="313"/>
      <c r="M1803" s="228">
        <f t="shared" si="192"/>
        <v>0</v>
      </c>
      <c r="N1803" s="228">
        <f t="shared" si="195"/>
        <v>0</v>
      </c>
      <c r="O1803" s="228">
        <f t="shared" si="196"/>
        <v>0</v>
      </c>
      <c r="P1803" s="228">
        <f t="shared" si="196"/>
        <v>0</v>
      </c>
      <c r="Q1803" s="228">
        <f t="shared" si="193"/>
        <v>0</v>
      </c>
      <c r="R1803" s="343">
        <f t="shared" si="194"/>
        <v>-0.86499999999999999</v>
      </c>
      <c r="S1803" s="240"/>
      <c r="T1803" s="201"/>
      <c r="U1803" s="201"/>
      <c r="V1803" s="201"/>
    </row>
    <row r="1804" spans="1:22" ht="47.25" x14ac:dyDescent="0.25">
      <c r="A1804" s="6" t="s">
        <v>2177</v>
      </c>
      <c r="B1804" s="7" t="s">
        <v>2178</v>
      </c>
      <c r="C1804" s="6" t="s">
        <v>37</v>
      </c>
      <c r="D1804" s="323">
        <v>232.08500000000001</v>
      </c>
      <c r="E1804" s="312"/>
      <c r="F1804" s="248"/>
      <c r="G1804" s="312"/>
      <c r="H1804" s="312"/>
      <c r="I1804" s="312"/>
      <c r="J1804" s="248">
        <f t="shared" si="190"/>
        <v>0</v>
      </c>
      <c r="K1804" s="330">
        <f t="shared" si="191"/>
        <v>-232.08500000000001</v>
      </c>
      <c r="L1804" s="313"/>
      <c r="M1804" s="228">
        <f t="shared" si="192"/>
        <v>0</v>
      </c>
      <c r="N1804" s="228">
        <f t="shared" si="195"/>
        <v>0</v>
      </c>
      <c r="O1804" s="228">
        <f t="shared" si="196"/>
        <v>0</v>
      </c>
      <c r="P1804" s="228">
        <f t="shared" si="196"/>
        <v>0</v>
      </c>
      <c r="Q1804" s="228">
        <f t="shared" si="193"/>
        <v>0</v>
      </c>
      <c r="R1804" s="343">
        <f t="shared" si="194"/>
        <v>-232.08500000000001</v>
      </c>
      <c r="S1804" s="240"/>
      <c r="T1804" s="201"/>
      <c r="U1804" s="201"/>
      <c r="V1804" s="201"/>
    </row>
    <row r="1805" spans="1:22" ht="15.75" x14ac:dyDescent="0.25">
      <c r="A1805" s="6" t="s">
        <v>2179</v>
      </c>
      <c r="B1805" s="7" t="s">
        <v>2180</v>
      </c>
      <c r="C1805" s="6" t="s">
        <v>61</v>
      </c>
      <c r="D1805" s="323">
        <v>14.643000000000001</v>
      </c>
      <c r="E1805" s="312"/>
      <c r="F1805" s="248"/>
      <c r="G1805" s="312"/>
      <c r="H1805" s="312"/>
      <c r="I1805" s="312"/>
      <c r="J1805" s="248">
        <f t="shared" si="190"/>
        <v>0</v>
      </c>
      <c r="K1805" s="330">
        <f t="shared" si="191"/>
        <v>-14.643000000000001</v>
      </c>
      <c r="L1805" s="313"/>
      <c r="M1805" s="228">
        <f t="shared" si="192"/>
        <v>0</v>
      </c>
      <c r="N1805" s="228">
        <f t="shared" si="195"/>
        <v>0</v>
      </c>
      <c r="O1805" s="228">
        <f t="shared" si="196"/>
        <v>0</v>
      </c>
      <c r="P1805" s="228">
        <f t="shared" si="196"/>
        <v>0</v>
      </c>
      <c r="Q1805" s="228">
        <f t="shared" si="193"/>
        <v>0</v>
      </c>
      <c r="R1805" s="343">
        <f t="shared" si="194"/>
        <v>-14.643000000000001</v>
      </c>
      <c r="S1805" s="240"/>
      <c r="T1805" s="201"/>
      <c r="U1805" s="201"/>
      <c r="V1805" s="201"/>
    </row>
    <row r="1806" spans="1:22" ht="15.75" x14ac:dyDescent="0.25">
      <c r="A1806" s="6" t="s">
        <v>2181</v>
      </c>
      <c r="B1806" s="7" t="s">
        <v>164</v>
      </c>
      <c r="C1806" s="6" t="s">
        <v>6</v>
      </c>
      <c r="D1806" s="323">
        <v>239.12</v>
      </c>
      <c r="E1806" s="312"/>
      <c r="F1806" s="248"/>
      <c r="G1806" s="312"/>
      <c r="H1806" s="312"/>
      <c r="I1806" s="312"/>
      <c r="J1806" s="248">
        <f t="shared" si="190"/>
        <v>0</v>
      </c>
      <c r="K1806" s="330">
        <f t="shared" si="191"/>
        <v>-239.12</v>
      </c>
      <c r="L1806" s="313"/>
      <c r="M1806" s="228">
        <f t="shared" si="192"/>
        <v>0</v>
      </c>
      <c r="N1806" s="228">
        <f t="shared" si="195"/>
        <v>0</v>
      </c>
      <c r="O1806" s="228">
        <f t="shared" si="196"/>
        <v>0</v>
      </c>
      <c r="P1806" s="228">
        <f t="shared" si="196"/>
        <v>0</v>
      </c>
      <c r="Q1806" s="228">
        <f t="shared" si="193"/>
        <v>0</v>
      </c>
      <c r="R1806" s="343">
        <f t="shared" si="194"/>
        <v>-239.12</v>
      </c>
      <c r="S1806" s="240"/>
      <c r="T1806" s="201"/>
      <c r="U1806" s="201"/>
      <c r="V1806" s="201"/>
    </row>
    <row r="1807" spans="1:22" ht="30" x14ac:dyDescent="0.25">
      <c r="A1807" s="234" t="s">
        <v>2182</v>
      </c>
      <c r="B1807" s="235" t="s">
        <v>2183</v>
      </c>
      <c r="C1807" s="234" t="s">
        <v>37</v>
      </c>
      <c r="D1807" s="312">
        <v>13.28</v>
      </c>
      <c r="E1807" s="312"/>
      <c r="F1807" s="248"/>
      <c r="G1807" s="312"/>
      <c r="H1807" s="312"/>
      <c r="I1807" s="312"/>
      <c r="J1807" s="248">
        <f t="shared" si="190"/>
        <v>0</v>
      </c>
      <c r="K1807" s="330">
        <f t="shared" si="191"/>
        <v>-13.28</v>
      </c>
      <c r="L1807" s="313"/>
      <c r="M1807" s="228">
        <f t="shared" si="192"/>
        <v>0</v>
      </c>
      <c r="N1807" s="228">
        <f t="shared" si="195"/>
        <v>0</v>
      </c>
      <c r="O1807" s="228">
        <f t="shared" si="196"/>
        <v>0</v>
      </c>
      <c r="P1807" s="228">
        <f t="shared" si="196"/>
        <v>0</v>
      </c>
      <c r="Q1807" s="228">
        <f t="shared" si="193"/>
        <v>0</v>
      </c>
      <c r="R1807" s="343">
        <f t="shared" si="194"/>
        <v>-13.28</v>
      </c>
      <c r="S1807" s="240"/>
      <c r="T1807" s="201"/>
      <c r="U1807" s="201"/>
      <c r="V1807" s="201"/>
    </row>
    <row r="1808" spans="1:22" ht="15.75" x14ac:dyDescent="0.25">
      <c r="A1808" s="234" t="s">
        <v>2184</v>
      </c>
      <c r="B1808" s="235" t="s">
        <v>1944</v>
      </c>
      <c r="C1808" s="234" t="s">
        <v>61</v>
      </c>
      <c r="D1808" s="312">
        <v>1.204</v>
      </c>
      <c r="E1808" s="312"/>
      <c r="F1808" s="248"/>
      <c r="G1808" s="312"/>
      <c r="H1808" s="312"/>
      <c r="I1808" s="312"/>
      <c r="J1808" s="248">
        <f t="shared" si="190"/>
        <v>0</v>
      </c>
      <c r="K1808" s="330">
        <f t="shared" si="191"/>
        <v>-1.204</v>
      </c>
      <c r="L1808" s="313"/>
      <c r="M1808" s="228">
        <f t="shared" si="192"/>
        <v>0</v>
      </c>
      <c r="N1808" s="228">
        <f t="shared" si="195"/>
        <v>0</v>
      </c>
      <c r="O1808" s="228">
        <f t="shared" si="196"/>
        <v>0</v>
      </c>
      <c r="P1808" s="228">
        <f t="shared" si="196"/>
        <v>0</v>
      </c>
      <c r="Q1808" s="228">
        <f t="shared" si="193"/>
        <v>0</v>
      </c>
      <c r="R1808" s="343">
        <f t="shared" si="194"/>
        <v>-1.204</v>
      </c>
      <c r="S1808" s="240"/>
      <c r="T1808" s="201"/>
      <c r="U1808" s="201"/>
      <c r="V1808" s="201"/>
    </row>
    <row r="1809" spans="1:22" ht="30" x14ac:dyDescent="0.25">
      <c r="A1809" s="234" t="s">
        <v>2185</v>
      </c>
      <c r="B1809" s="235" t="s">
        <v>2186</v>
      </c>
      <c r="C1809" s="234" t="s">
        <v>32</v>
      </c>
      <c r="D1809" s="312">
        <v>0.65800000000000003</v>
      </c>
      <c r="E1809" s="312"/>
      <c r="F1809" s="248"/>
      <c r="G1809" s="312"/>
      <c r="H1809" s="312"/>
      <c r="I1809" s="312"/>
      <c r="J1809" s="248">
        <f t="shared" si="190"/>
        <v>0</v>
      </c>
      <c r="K1809" s="330">
        <f t="shared" si="191"/>
        <v>-0.65800000000000003</v>
      </c>
      <c r="L1809" s="313"/>
      <c r="M1809" s="228">
        <f t="shared" si="192"/>
        <v>0</v>
      </c>
      <c r="N1809" s="228">
        <f t="shared" si="195"/>
        <v>0</v>
      </c>
      <c r="O1809" s="228">
        <f t="shared" si="196"/>
        <v>0</v>
      </c>
      <c r="P1809" s="228">
        <f t="shared" si="196"/>
        <v>0</v>
      </c>
      <c r="Q1809" s="228">
        <f t="shared" si="193"/>
        <v>0</v>
      </c>
      <c r="R1809" s="343">
        <f t="shared" si="194"/>
        <v>-0.65800000000000003</v>
      </c>
      <c r="S1809" s="240"/>
      <c r="T1809" s="201"/>
      <c r="U1809" s="201"/>
      <c r="V1809" s="201"/>
    </row>
    <row r="1810" spans="1:22" ht="30" x14ac:dyDescent="0.25">
      <c r="A1810" s="234" t="s">
        <v>2187</v>
      </c>
      <c r="B1810" s="235" t="s">
        <v>2188</v>
      </c>
      <c r="C1810" s="234" t="s">
        <v>32</v>
      </c>
      <c r="D1810" s="312">
        <v>47.804000000000002</v>
      </c>
      <c r="E1810" s="312"/>
      <c r="F1810" s="248">
        <f>D1810*0.7</f>
        <v>33.462800000000001</v>
      </c>
      <c r="G1810" s="312"/>
      <c r="H1810" s="312"/>
      <c r="I1810" s="312"/>
      <c r="J1810" s="248">
        <f t="shared" si="190"/>
        <v>33.462800000000001</v>
      </c>
      <c r="K1810" s="330">
        <f t="shared" si="191"/>
        <v>-14.341200000000001</v>
      </c>
      <c r="L1810" s="313"/>
      <c r="M1810" s="228">
        <f t="shared" si="192"/>
        <v>33.462800000000001</v>
      </c>
      <c r="N1810" s="228">
        <f t="shared" si="195"/>
        <v>0</v>
      </c>
      <c r="O1810" s="228">
        <f t="shared" si="196"/>
        <v>0</v>
      </c>
      <c r="P1810" s="228">
        <f t="shared" si="196"/>
        <v>0</v>
      </c>
      <c r="Q1810" s="228">
        <f t="shared" si="193"/>
        <v>33.462800000000001</v>
      </c>
      <c r="R1810" s="343">
        <f t="shared" si="194"/>
        <v>-14.341200000000001</v>
      </c>
      <c r="S1810" s="240"/>
      <c r="T1810" s="201"/>
      <c r="U1810" s="201"/>
      <c r="V1810" s="201"/>
    </row>
    <row r="1811" spans="1:22" ht="15.75" x14ac:dyDescent="0.25">
      <c r="A1811" s="230" t="s">
        <v>2189</v>
      </c>
      <c r="B1811" s="231" t="s">
        <v>2190</v>
      </c>
      <c r="C1811" s="230"/>
      <c r="D1811" s="316"/>
      <c r="E1811" s="316"/>
      <c r="F1811" s="317"/>
      <c r="G1811" s="316"/>
      <c r="H1811" s="316"/>
      <c r="I1811" s="316"/>
      <c r="J1811" s="248">
        <f t="shared" si="190"/>
        <v>0</v>
      </c>
      <c r="K1811" s="330">
        <f t="shared" si="191"/>
        <v>0</v>
      </c>
      <c r="L1811" s="318"/>
      <c r="M1811" s="228">
        <f t="shared" si="192"/>
        <v>0</v>
      </c>
      <c r="N1811" s="228">
        <f t="shared" si="195"/>
        <v>0</v>
      </c>
      <c r="O1811" s="228">
        <f t="shared" si="196"/>
        <v>0</v>
      </c>
      <c r="P1811" s="228">
        <f t="shared" si="196"/>
        <v>0</v>
      </c>
      <c r="Q1811" s="228">
        <f t="shared" si="193"/>
        <v>0</v>
      </c>
      <c r="R1811" s="343">
        <f t="shared" si="194"/>
        <v>0</v>
      </c>
      <c r="S1811" s="240"/>
      <c r="T1811" s="201"/>
      <c r="U1811" s="201"/>
      <c r="V1811" s="201"/>
    </row>
    <row r="1812" spans="1:22" ht="30" x14ac:dyDescent="0.25">
      <c r="A1812" s="234" t="s">
        <v>2191</v>
      </c>
      <c r="B1812" s="235" t="s">
        <v>136</v>
      </c>
      <c r="C1812" s="234" t="s">
        <v>52</v>
      </c>
      <c r="D1812" s="312">
        <v>910.86599999999999</v>
      </c>
      <c r="E1812" s="312"/>
      <c r="F1812" s="248"/>
      <c r="G1812" s="312"/>
      <c r="H1812" s="312"/>
      <c r="I1812" s="312"/>
      <c r="J1812" s="248">
        <f t="shared" si="190"/>
        <v>0</v>
      </c>
      <c r="K1812" s="330">
        <f t="shared" si="191"/>
        <v>-910.86599999999999</v>
      </c>
      <c r="L1812" s="313"/>
      <c r="M1812" s="228">
        <f t="shared" si="192"/>
        <v>0</v>
      </c>
      <c r="N1812" s="228">
        <f t="shared" si="195"/>
        <v>0</v>
      </c>
      <c r="O1812" s="228">
        <f t="shared" si="196"/>
        <v>0</v>
      </c>
      <c r="P1812" s="228">
        <f t="shared" si="196"/>
        <v>0</v>
      </c>
      <c r="Q1812" s="228">
        <f t="shared" si="193"/>
        <v>0</v>
      </c>
      <c r="R1812" s="343">
        <f t="shared" si="194"/>
        <v>-910.86599999999999</v>
      </c>
      <c r="S1812" s="240"/>
      <c r="T1812" s="201"/>
      <c r="U1812" s="201"/>
      <c r="V1812" s="201"/>
    </row>
    <row r="1813" spans="1:22" ht="30" x14ac:dyDescent="0.25">
      <c r="A1813" s="234" t="s">
        <v>2192</v>
      </c>
      <c r="B1813" s="235" t="s">
        <v>2193</v>
      </c>
      <c r="C1813" s="234" t="s">
        <v>52</v>
      </c>
      <c r="D1813" s="312">
        <v>910.86599999999999</v>
      </c>
      <c r="E1813" s="312"/>
      <c r="F1813" s="248"/>
      <c r="G1813" s="312"/>
      <c r="H1813" s="312"/>
      <c r="I1813" s="312"/>
      <c r="J1813" s="248">
        <f t="shared" si="190"/>
        <v>0</v>
      </c>
      <c r="K1813" s="330">
        <f t="shared" si="191"/>
        <v>-910.86599999999999</v>
      </c>
      <c r="L1813" s="313"/>
      <c r="M1813" s="228">
        <f t="shared" si="192"/>
        <v>0</v>
      </c>
      <c r="N1813" s="228">
        <f t="shared" si="195"/>
        <v>0</v>
      </c>
      <c r="O1813" s="228">
        <f t="shared" si="196"/>
        <v>0</v>
      </c>
      <c r="P1813" s="228">
        <f t="shared" si="196"/>
        <v>0</v>
      </c>
      <c r="Q1813" s="228">
        <f t="shared" si="193"/>
        <v>0</v>
      </c>
      <c r="R1813" s="343">
        <f t="shared" si="194"/>
        <v>-910.86599999999999</v>
      </c>
      <c r="S1813" s="240"/>
      <c r="T1813" s="201"/>
      <c r="U1813" s="201"/>
      <c r="V1813" s="201"/>
    </row>
    <row r="1814" spans="1:22" ht="30" x14ac:dyDescent="0.25">
      <c r="A1814" s="234" t="s">
        <v>2194</v>
      </c>
      <c r="B1814" s="235" t="s">
        <v>173</v>
      </c>
      <c r="C1814" s="234" t="s">
        <v>52</v>
      </c>
      <c r="D1814" s="312">
        <v>39.176000000000002</v>
      </c>
      <c r="E1814" s="312"/>
      <c r="F1814" s="248"/>
      <c r="G1814" s="312"/>
      <c r="H1814" s="312"/>
      <c r="I1814" s="312"/>
      <c r="J1814" s="248">
        <f t="shared" si="190"/>
        <v>0</v>
      </c>
      <c r="K1814" s="330">
        <f t="shared" si="191"/>
        <v>-39.176000000000002</v>
      </c>
      <c r="L1814" s="313"/>
      <c r="M1814" s="228">
        <f t="shared" si="192"/>
        <v>0</v>
      </c>
      <c r="N1814" s="228">
        <f t="shared" si="195"/>
        <v>0</v>
      </c>
      <c r="O1814" s="228">
        <f t="shared" si="196"/>
        <v>0</v>
      </c>
      <c r="P1814" s="228">
        <f t="shared" si="196"/>
        <v>0</v>
      </c>
      <c r="Q1814" s="228">
        <f t="shared" si="193"/>
        <v>0</v>
      </c>
      <c r="R1814" s="343">
        <f t="shared" si="194"/>
        <v>-39.176000000000002</v>
      </c>
      <c r="S1814" s="240"/>
      <c r="T1814" s="201"/>
      <c r="U1814" s="201"/>
      <c r="V1814" s="201"/>
    </row>
    <row r="1815" spans="1:22" ht="30" x14ac:dyDescent="0.25">
      <c r="A1815" s="234" t="s">
        <v>2195</v>
      </c>
      <c r="B1815" s="235" t="s">
        <v>175</v>
      </c>
      <c r="C1815" s="234" t="s">
        <v>52</v>
      </c>
      <c r="D1815" s="312">
        <v>593.79399999999998</v>
      </c>
      <c r="E1815" s="312"/>
      <c r="F1815" s="248"/>
      <c r="G1815" s="312"/>
      <c r="H1815" s="312"/>
      <c r="I1815" s="312"/>
      <c r="J1815" s="248">
        <f t="shared" si="190"/>
        <v>0</v>
      </c>
      <c r="K1815" s="330">
        <f t="shared" si="191"/>
        <v>-593.79399999999998</v>
      </c>
      <c r="L1815" s="313"/>
      <c r="M1815" s="228">
        <f t="shared" si="192"/>
        <v>0</v>
      </c>
      <c r="N1815" s="228">
        <f t="shared" si="195"/>
        <v>0</v>
      </c>
      <c r="O1815" s="228">
        <f t="shared" si="196"/>
        <v>0</v>
      </c>
      <c r="P1815" s="228">
        <f t="shared" si="196"/>
        <v>0</v>
      </c>
      <c r="Q1815" s="228">
        <f t="shared" si="193"/>
        <v>0</v>
      </c>
      <c r="R1815" s="343">
        <f t="shared" si="194"/>
        <v>-593.79399999999998</v>
      </c>
      <c r="S1815" s="240"/>
      <c r="T1815" s="201"/>
      <c r="U1815" s="201"/>
      <c r="V1815" s="201"/>
    </row>
    <row r="1816" spans="1:22" ht="30" x14ac:dyDescent="0.25">
      <c r="A1816" s="234" t="s">
        <v>2196</v>
      </c>
      <c r="B1816" s="235" t="s">
        <v>2197</v>
      </c>
      <c r="C1816" s="234" t="s">
        <v>52</v>
      </c>
      <c r="D1816" s="312">
        <v>593.79399999999998</v>
      </c>
      <c r="E1816" s="312"/>
      <c r="F1816" s="248"/>
      <c r="G1816" s="312"/>
      <c r="H1816" s="312"/>
      <c r="I1816" s="312"/>
      <c r="J1816" s="248">
        <f t="shared" si="190"/>
        <v>0</v>
      </c>
      <c r="K1816" s="330">
        <f t="shared" si="191"/>
        <v>-593.79399999999998</v>
      </c>
      <c r="L1816" s="313"/>
      <c r="M1816" s="228">
        <f t="shared" si="192"/>
        <v>0</v>
      </c>
      <c r="N1816" s="228">
        <f t="shared" si="195"/>
        <v>0</v>
      </c>
      <c r="O1816" s="228">
        <f t="shared" si="196"/>
        <v>0</v>
      </c>
      <c r="P1816" s="228">
        <f t="shared" si="196"/>
        <v>0</v>
      </c>
      <c r="Q1816" s="228">
        <f t="shared" si="193"/>
        <v>0</v>
      </c>
      <c r="R1816" s="343">
        <f t="shared" si="194"/>
        <v>-593.79399999999998</v>
      </c>
      <c r="S1816" s="240"/>
      <c r="T1816" s="201"/>
      <c r="U1816" s="201"/>
      <c r="V1816" s="201"/>
    </row>
    <row r="1817" spans="1:22" ht="15.75" x14ac:dyDescent="0.25">
      <c r="A1817" s="230" t="s">
        <v>2198</v>
      </c>
      <c r="B1817" s="231" t="s">
        <v>2199</v>
      </c>
      <c r="C1817" s="230"/>
      <c r="D1817" s="316"/>
      <c r="E1817" s="316"/>
      <c r="F1817" s="317"/>
      <c r="G1817" s="316"/>
      <c r="H1817" s="316"/>
      <c r="I1817" s="316"/>
      <c r="J1817" s="248">
        <f t="shared" si="190"/>
        <v>0</v>
      </c>
      <c r="K1817" s="330">
        <f t="shared" si="191"/>
        <v>0</v>
      </c>
      <c r="L1817" s="318"/>
      <c r="M1817" s="228">
        <f t="shared" si="192"/>
        <v>0</v>
      </c>
      <c r="N1817" s="228">
        <f t="shared" si="195"/>
        <v>0</v>
      </c>
      <c r="O1817" s="228">
        <f t="shared" si="196"/>
        <v>0</v>
      </c>
      <c r="P1817" s="228">
        <f t="shared" si="196"/>
        <v>0</v>
      </c>
      <c r="Q1817" s="228">
        <f t="shared" si="193"/>
        <v>0</v>
      </c>
      <c r="R1817" s="343">
        <f t="shared" si="194"/>
        <v>0</v>
      </c>
      <c r="S1817" s="240"/>
      <c r="T1817" s="201"/>
      <c r="U1817" s="201"/>
      <c r="V1817" s="201"/>
    </row>
    <row r="1818" spans="1:22" ht="30" x14ac:dyDescent="0.25">
      <c r="A1818" s="234" t="s">
        <v>2200</v>
      </c>
      <c r="B1818" s="235" t="s">
        <v>136</v>
      </c>
      <c r="C1818" s="234" t="s">
        <v>52</v>
      </c>
      <c r="D1818" s="312">
        <v>537.67999999999995</v>
      </c>
      <c r="E1818" s="312"/>
      <c r="F1818" s="248"/>
      <c r="G1818" s="312"/>
      <c r="H1818" s="312"/>
      <c r="I1818" s="312"/>
      <c r="J1818" s="248">
        <f t="shared" si="190"/>
        <v>0</v>
      </c>
      <c r="K1818" s="330">
        <f t="shared" si="191"/>
        <v>-537.67999999999995</v>
      </c>
      <c r="L1818" s="313"/>
      <c r="M1818" s="228">
        <f t="shared" si="192"/>
        <v>0</v>
      </c>
      <c r="N1818" s="228">
        <f t="shared" si="195"/>
        <v>0</v>
      </c>
      <c r="O1818" s="228">
        <f t="shared" si="196"/>
        <v>0</v>
      </c>
      <c r="P1818" s="228">
        <f t="shared" si="196"/>
        <v>0</v>
      </c>
      <c r="Q1818" s="228">
        <f t="shared" si="193"/>
        <v>0</v>
      </c>
      <c r="R1818" s="343">
        <f t="shared" si="194"/>
        <v>-537.67999999999995</v>
      </c>
      <c r="S1818" s="240"/>
      <c r="T1818" s="201"/>
      <c r="U1818" s="201"/>
      <c r="V1818" s="201"/>
    </row>
    <row r="1819" spans="1:22" ht="30" x14ac:dyDescent="0.25">
      <c r="A1819" s="234" t="s">
        <v>2201</v>
      </c>
      <c r="B1819" s="235" t="s">
        <v>180</v>
      </c>
      <c r="C1819" s="234" t="s">
        <v>52</v>
      </c>
      <c r="D1819" s="312">
        <v>537.67999999999995</v>
      </c>
      <c r="E1819" s="312"/>
      <c r="F1819" s="248"/>
      <c r="G1819" s="312"/>
      <c r="H1819" s="312"/>
      <c r="I1819" s="312"/>
      <c r="J1819" s="248">
        <f t="shared" si="190"/>
        <v>0</v>
      </c>
      <c r="K1819" s="330">
        <f t="shared" si="191"/>
        <v>-537.67999999999995</v>
      </c>
      <c r="L1819" s="313"/>
      <c r="M1819" s="228">
        <f t="shared" si="192"/>
        <v>0</v>
      </c>
      <c r="N1819" s="228">
        <f t="shared" si="195"/>
        <v>0</v>
      </c>
      <c r="O1819" s="228">
        <f t="shared" si="196"/>
        <v>0</v>
      </c>
      <c r="P1819" s="228">
        <f t="shared" si="196"/>
        <v>0</v>
      </c>
      <c r="Q1819" s="228">
        <f t="shared" si="193"/>
        <v>0</v>
      </c>
      <c r="R1819" s="343">
        <f t="shared" si="194"/>
        <v>-537.67999999999995</v>
      </c>
      <c r="S1819" s="240"/>
      <c r="T1819" s="201"/>
      <c r="U1819" s="201"/>
      <c r="V1819" s="201"/>
    </row>
    <row r="1820" spans="1:22" ht="15.75" x14ac:dyDescent="0.25">
      <c r="A1820" s="234" t="s">
        <v>2202</v>
      </c>
      <c r="B1820" s="235" t="s">
        <v>182</v>
      </c>
      <c r="C1820" s="234" t="s">
        <v>37</v>
      </c>
      <c r="D1820" s="312">
        <v>752.86500000000001</v>
      </c>
      <c r="E1820" s="312"/>
      <c r="F1820" s="248"/>
      <c r="G1820" s="312"/>
      <c r="H1820" s="312"/>
      <c r="I1820" s="312"/>
      <c r="J1820" s="248">
        <f t="shared" si="190"/>
        <v>0</v>
      </c>
      <c r="K1820" s="330">
        <f t="shared" si="191"/>
        <v>-752.86500000000001</v>
      </c>
      <c r="L1820" s="313"/>
      <c r="M1820" s="228">
        <f t="shared" si="192"/>
        <v>0</v>
      </c>
      <c r="N1820" s="228">
        <f t="shared" si="195"/>
        <v>0</v>
      </c>
      <c r="O1820" s="228">
        <f t="shared" si="196"/>
        <v>0</v>
      </c>
      <c r="P1820" s="228">
        <f t="shared" si="196"/>
        <v>0</v>
      </c>
      <c r="Q1820" s="228">
        <f t="shared" si="193"/>
        <v>0</v>
      </c>
      <c r="R1820" s="343">
        <f t="shared" si="194"/>
        <v>-752.86500000000001</v>
      </c>
      <c r="S1820" s="240"/>
      <c r="T1820" s="201"/>
      <c r="U1820" s="201"/>
      <c r="V1820" s="201"/>
    </row>
    <row r="1821" spans="1:22" ht="15.75" x14ac:dyDescent="0.25">
      <c r="A1821" s="230" t="s">
        <v>2203</v>
      </c>
      <c r="B1821" s="231" t="s">
        <v>2204</v>
      </c>
      <c r="C1821" s="230"/>
      <c r="D1821" s="316"/>
      <c r="E1821" s="316"/>
      <c r="F1821" s="317"/>
      <c r="G1821" s="316"/>
      <c r="H1821" s="316"/>
      <c r="I1821" s="316"/>
      <c r="J1821" s="248">
        <f t="shared" si="190"/>
        <v>0</v>
      </c>
      <c r="K1821" s="330">
        <f t="shared" si="191"/>
        <v>0</v>
      </c>
      <c r="L1821" s="318"/>
      <c r="M1821" s="228">
        <f t="shared" si="192"/>
        <v>0</v>
      </c>
      <c r="N1821" s="228">
        <f t="shared" si="195"/>
        <v>0</v>
      </c>
      <c r="O1821" s="228">
        <f t="shared" si="196"/>
        <v>0</v>
      </c>
      <c r="P1821" s="228">
        <f t="shared" si="196"/>
        <v>0</v>
      </c>
      <c r="Q1821" s="228">
        <f t="shared" si="193"/>
        <v>0</v>
      </c>
      <c r="R1821" s="343">
        <f t="shared" si="194"/>
        <v>0</v>
      </c>
      <c r="S1821" s="240"/>
      <c r="T1821" s="201"/>
      <c r="U1821" s="201"/>
      <c r="V1821" s="201"/>
    </row>
    <row r="1822" spans="1:22" ht="30" x14ac:dyDescent="0.25">
      <c r="A1822" s="234" t="s">
        <v>2205</v>
      </c>
      <c r="B1822" s="235" t="s">
        <v>2118</v>
      </c>
      <c r="C1822" s="234" t="s">
        <v>27</v>
      </c>
      <c r="D1822" s="312">
        <v>0.27400000000000002</v>
      </c>
      <c r="E1822" s="312"/>
      <c r="F1822" s="248">
        <f>D1822</f>
        <v>0.27400000000000002</v>
      </c>
      <c r="G1822" s="312"/>
      <c r="H1822" s="312"/>
      <c r="I1822" s="312"/>
      <c r="J1822" s="248">
        <f t="shared" si="190"/>
        <v>0.27400000000000002</v>
      </c>
      <c r="K1822" s="330">
        <f t="shared" si="191"/>
        <v>0</v>
      </c>
      <c r="L1822" s="313"/>
      <c r="M1822" s="228">
        <f t="shared" si="192"/>
        <v>0.27400000000000002</v>
      </c>
      <c r="N1822" s="228">
        <f t="shared" si="195"/>
        <v>0</v>
      </c>
      <c r="O1822" s="228">
        <f t="shared" si="196"/>
        <v>0</v>
      </c>
      <c r="P1822" s="228">
        <f t="shared" si="196"/>
        <v>0</v>
      </c>
      <c r="Q1822" s="228">
        <f t="shared" si="193"/>
        <v>0.27400000000000002</v>
      </c>
      <c r="R1822" s="343">
        <f t="shared" si="194"/>
        <v>0</v>
      </c>
      <c r="S1822" s="240"/>
      <c r="T1822" s="201"/>
      <c r="U1822" s="218">
        <v>1</v>
      </c>
      <c r="V1822" s="218" t="s">
        <v>3460</v>
      </c>
    </row>
    <row r="1823" spans="1:22" ht="30" x14ac:dyDescent="0.25">
      <c r="A1823" s="234" t="s">
        <v>2206</v>
      </c>
      <c r="B1823" s="235" t="s">
        <v>43</v>
      </c>
      <c r="C1823" s="234" t="s">
        <v>27</v>
      </c>
      <c r="D1823" s="312">
        <v>0.13900000000000001</v>
      </c>
      <c r="E1823" s="312"/>
      <c r="F1823" s="248">
        <f t="shared" ref="F1823:F1857" si="197">D1823</f>
        <v>0.13900000000000001</v>
      </c>
      <c r="G1823" s="312"/>
      <c r="H1823" s="312"/>
      <c r="I1823" s="312"/>
      <c r="J1823" s="248">
        <f t="shared" si="190"/>
        <v>0.13900000000000001</v>
      </c>
      <c r="K1823" s="330">
        <f t="shared" si="191"/>
        <v>0</v>
      </c>
      <c r="L1823" s="313"/>
      <c r="M1823" s="228">
        <f t="shared" si="192"/>
        <v>0.13900000000000001</v>
      </c>
      <c r="N1823" s="228">
        <f t="shared" si="195"/>
        <v>0</v>
      </c>
      <c r="O1823" s="228">
        <f t="shared" si="196"/>
        <v>0</v>
      </c>
      <c r="P1823" s="228">
        <f t="shared" si="196"/>
        <v>0</v>
      </c>
      <c r="Q1823" s="228">
        <f t="shared" si="193"/>
        <v>0.13900000000000001</v>
      </c>
      <c r="R1823" s="343">
        <f t="shared" si="194"/>
        <v>0</v>
      </c>
      <c r="S1823" s="240"/>
      <c r="T1823" s="201"/>
      <c r="U1823" s="218">
        <v>1</v>
      </c>
      <c r="V1823" s="201"/>
    </row>
    <row r="1824" spans="1:22" ht="30" x14ac:dyDescent="0.25">
      <c r="A1824" s="234" t="s">
        <v>2207</v>
      </c>
      <c r="B1824" s="235" t="s">
        <v>2208</v>
      </c>
      <c r="C1824" s="234" t="s">
        <v>27</v>
      </c>
      <c r="D1824" s="312">
        <v>0.124</v>
      </c>
      <c r="E1824" s="312"/>
      <c r="F1824" s="248">
        <f t="shared" si="197"/>
        <v>0.124</v>
      </c>
      <c r="G1824" s="312"/>
      <c r="H1824" s="312"/>
      <c r="I1824" s="312"/>
      <c r="J1824" s="248">
        <f t="shared" si="190"/>
        <v>0.124</v>
      </c>
      <c r="K1824" s="330">
        <f t="shared" si="191"/>
        <v>0</v>
      </c>
      <c r="L1824" s="313"/>
      <c r="M1824" s="228">
        <f t="shared" si="192"/>
        <v>0.124</v>
      </c>
      <c r="N1824" s="228">
        <f t="shared" si="195"/>
        <v>0</v>
      </c>
      <c r="O1824" s="228">
        <f t="shared" si="196"/>
        <v>0</v>
      </c>
      <c r="P1824" s="228">
        <f t="shared" si="196"/>
        <v>0</v>
      </c>
      <c r="Q1824" s="228">
        <f t="shared" si="193"/>
        <v>0.124</v>
      </c>
      <c r="R1824" s="343">
        <f t="shared" si="194"/>
        <v>0</v>
      </c>
      <c r="S1824" s="240"/>
      <c r="T1824" s="201"/>
      <c r="U1824" s="218">
        <v>1</v>
      </c>
      <c r="V1824" s="201"/>
    </row>
    <row r="1825" spans="1:22" ht="30" x14ac:dyDescent="0.25">
      <c r="A1825" s="234" t="s">
        <v>2209</v>
      </c>
      <c r="B1825" s="235" t="s">
        <v>2050</v>
      </c>
      <c r="C1825" s="234" t="s">
        <v>37</v>
      </c>
      <c r="D1825" s="312">
        <v>3.67</v>
      </c>
      <c r="E1825" s="312"/>
      <c r="F1825" s="248">
        <f t="shared" si="197"/>
        <v>3.67</v>
      </c>
      <c r="G1825" s="312"/>
      <c r="H1825" s="312"/>
      <c r="I1825" s="312"/>
      <c r="J1825" s="248">
        <f t="shared" si="190"/>
        <v>3.67</v>
      </c>
      <c r="K1825" s="330">
        <f t="shared" si="191"/>
        <v>0</v>
      </c>
      <c r="L1825" s="313"/>
      <c r="M1825" s="228">
        <f t="shared" si="192"/>
        <v>3.67</v>
      </c>
      <c r="N1825" s="228">
        <f t="shared" si="195"/>
        <v>0</v>
      </c>
      <c r="O1825" s="228">
        <f t="shared" si="196"/>
        <v>0</v>
      </c>
      <c r="P1825" s="228">
        <f t="shared" si="196"/>
        <v>0</v>
      </c>
      <c r="Q1825" s="228">
        <f t="shared" si="193"/>
        <v>3.67</v>
      </c>
      <c r="R1825" s="343">
        <f t="shared" si="194"/>
        <v>0</v>
      </c>
      <c r="S1825" s="240"/>
      <c r="T1825" s="201"/>
      <c r="U1825" s="218">
        <v>1</v>
      </c>
      <c r="V1825" s="201"/>
    </row>
    <row r="1826" spans="1:22" ht="30" x14ac:dyDescent="0.25">
      <c r="A1826" s="234" t="s">
        <v>2210</v>
      </c>
      <c r="B1826" s="235" t="s">
        <v>2124</v>
      </c>
      <c r="C1826" s="234" t="s">
        <v>37</v>
      </c>
      <c r="D1826" s="312">
        <v>4.2380000000000004</v>
      </c>
      <c r="E1826" s="312"/>
      <c r="F1826" s="248">
        <f t="shared" si="197"/>
        <v>4.2380000000000004</v>
      </c>
      <c r="G1826" s="312"/>
      <c r="H1826" s="312"/>
      <c r="I1826" s="312"/>
      <c r="J1826" s="248">
        <f t="shared" si="190"/>
        <v>4.2380000000000004</v>
      </c>
      <c r="K1826" s="330">
        <f t="shared" si="191"/>
        <v>0</v>
      </c>
      <c r="L1826" s="313"/>
      <c r="M1826" s="228">
        <f t="shared" si="192"/>
        <v>4.2380000000000004</v>
      </c>
      <c r="N1826" s="228">
        <f t="shared" si="195"/>
        <v>0</v>
      </c>
      <c r="O1826" s="228">
        <f t="shared" si="196"/>
        <v>0</v>
      </c>
      <c r="P1826" s="228">
        <f t="shared" si="196"/>
        <v>0</v>
      </c>
      <c r="Q1826" s="228">
        <f t="shared" si="193"/>
        <v>4.2380000000000004</v>
      </c>
      <c r="R1826" s="343">
        <f t="shared" si="194"/>
        <v>0</v>
      </c>
      <c r="S1826" s="240"/>
      <c r="T1826" s="201"/>
      <c r="U1826" s="218">
        <v>1</v>
      </c>
      <c r="V1826" s="201"/>
    </row>
    <row r="1827" spans="1:22" ht="15.75" x14ac:dyDescent="0.25">
      <c r="A1827" s="234" t="s">
        <v>2211</v>
      </c>
      <c r="B1827" s="235" t="s">
        <v>2054</v>
      </c>
      <c r="C1827" s="234" t="s">
        <v>61</v>
      </c>
      <c r="D1827" s="312">
        <v>0.1</v>
      </c>
      <c r="E1827" s="312"/>
      <c r="F1827" s="248">
        <f t="shared" si="197"/>
        <v>0.1</v>
      </c>
      <c r="G1827" s="312"/>
      <c r="H1827" s="312"/>
      <c r="I1827" s="312"/>
      <c r="J1827" s="248">
        <f t="shared" si="190"/>
        <v>0.1</v>
      </c>
      <c r="K1827" s="330">
        <f t="shared" si="191"/>
        <v>0</v>
      </c>
      <c r="L1827" s="313"/>
      <c r="M1827" s="228">
        <f t="shared" si="192"/>
        <v>0.1</v>
      </c>
      <c r="N1827" s="228">
        <f t="shared" si="195"/>
        <v>0</v>
      </c>
      <c r="O1827" s="228">
        <f t="shared" si="196"/>
        <v>0</v>
      </c>
      <c r="P1827" s="228">
        <f t="shared" si="196"/>
        <v>0</v>
      </c>
      <c r="Q1827" s="228">
        <f t="shared" si="193"/>
        <v>0.1</v>
      </c>
      <c r="R1827" s="343">
        <f t="shared" si="194"/>
        <v>0</v>
      </c>
      <c r="S1827" s="240"/>
      <c r="T1827" s="201"/>
      <c r="U1827" s="218">
        <v>1</v>
      </c>
      <c r="V1827" s="201"/>
    </row>
    <row r="1828" spans="1:22" ht="45" x14ac:dyDescent="0.25">
      <c r="A1828" s="234" t="s">
        <v>2212</v>
      </c>
      <c r="B1828" s="235" t="s">
        <v>2127</v>
      </c>
      <c r="C1828" s="234" t="s">
        <v>61</v>
      </c>
      <c r="D1828" s="312">
        <v>6.2E-2</v>
      </c>
      <c r="E1828" s="312"/>
      <c r="F1828" s="248">
        <f t="shared" si="197"/>
        <v>6.2E-2</v>
      </c>
      <c r="G1828" s="312"/>
      <c r="H1828" s="312"/>
      <c r="I1828" s="312"/>
      <c r="J1828" s="248">
        <f t="shared" si="190"/>
        <v>6.2E-2</v>
      </c>
      <c r="K1828" s="330">
        <f t="shared" si="191"/>
        <v>0</v>
      </c>
      <c r="L1828" s="313"/>
      <c r="M1828" s="228">
        <f t="shared" si="192"/>
        <v>6.2E-2</v>
      </c>
      <c r="N1828" s="228">
        <f t="shared" si="195"/>
        <v>0</v>
      </c>
      <c r="O1828" s="228">
        <f t="shared" si="196"/>
        <v>0</v>
      </c>
      <c r="P1828" s="228">
        <f t="shared" si="196"/>
        <v>0</v>
      </c>
      <c r="Q1828" s="228">
        <f t="shared" si="193"/>
        <v>6.2E-2</v>
      </c>
      <c r="R1828" s="343">
        <f t="shared" si="194"/>
        <v>0</v>
      </c>
      <c r="S1828" s="240"/>
      <c r="T1828" s="201"/>
      <c r="U1828" s="218">
        <v>1</v>
      </c>
      <c r="V1828" s="201"/>
    </row>
    <row r="1829" spans="1:22" ht="45" x14ac:dyDescent="0.25">
      <c r="A1829" s="234" t="s">
        <v>2213</v>
      </c>
      <c r="B1829" s="235" t="s">
        <v>2129</v>
      </c>
      <c r="C1829" s="234" t="s">
        <v>37</v>
      </c>
      <c r="D1829" s="312">
        <v>1.8</v>
      </c>
      <c r="E1829" s="312"/>
      <c r="F1829" s="248">
        <f t="shared" si="197"/>
        <v>1.8</v>
      </c>
      <c r="G1829" s="312"/>
      <c r="H1829" s="312"/>
      <c r="I1829" s="312"/>
      <c r="J1829" s="248">
        <f t="shared" si="190"/>
        <v>1.8</v>
      </c>
      <c r="K1829" s="330">
        <f t="shared" si="191"/>
        <v>0</v>
      </c>
      <c r="L1829" s="313"/>
      <c r="M1829" s="228">
        <f t="shared" si="192"/>
        <v>1.8</v>
      </c>
      <c r="N1829" s="228">
        <f t="shared" si="195"/>
        <v>0</v>
      </c>
      <c r="O1829" s="228">
        <f t="shared" si="196"/>
        <v>0</v>
      </c>
      <c r="P1829" s="228">
        <f t="shared" si="196"/>
        <v>0</v>
      </c>
      <c r="Q1829" s="228">
        <f t="shared" si="193"/>
        <v>1.8</v>
      </c>
      <c r="R1829" s="343">
        <f t="shared" si="194"/>
        <v>0</v>
      </c>
      <c r="S1829" s="240"/>
      <c r="T1829" s="201"/>
      <c r="U1829" s="218">
        <v>1</v>
      </c>
      <c r="V1829" s="201"/>
    </row>
    <row r="1830" spans="1:22" ht="45" x14ac:dyDescent="0.25">
      <c r="A1830" s="234" t="s">
        <v>2214</v>
      </c>
      <c r="B1830" s="235" t="s">
        <v>2127</v>
      </c>
      <c r="C1830" s="234" t="s">
        <v>61</v>
      </c>
      <c r="D1830" s="312">
        <v>0.35499999999999998</v>
      </c>
      <c r="E1830" s="312"/>
      <c r="F1830" s="248">
        <f t="shared" si="197"/>
        <v>0.35499999999999998</v>
      </c>
      <c r="G1830" s="312"/>
      <c r="H1830" s="312"/>
      <c r="I1830" s="312"/>
      <c r="J1830" s="248">
        <f t="shared" si="190"/>
        <v>0.35499999999999998</v>
      </c>
      <c r="K1830" s="330">
        <f t="shared" si="191"/>
        <v>0</v>
      </c>
      <c r="L1830" s="313"/>
      <c r="M1830" s="228">
        <f t="shared" si="192"/>
        <v>0.35499999999999998</v>
      </c>
      <c r="N1830" s="228">
        <f t="shared" si="195"/>
        <v>0</v>
      </c>
      <c r="O1830" s="228">
        <f t="shared" si="196"/>
        <v>0</v>
      </c>
      <c r="P1830" s="228">
        <f t="shared" si="196"/>
        <v>0</v>
      </c>
      <c r="Q1830" s="228">
        <f t="shared" si="193"/>
        <v>0.35499999999999998</v>
      </c>
      <c r="R1830" s="343">
        <f t="shared" si="194"/>
        <v>0</v>
      </c>
      <c r="S1830" s="240"/>
      <c r="T1830" s="201"/>
      <c r="U1830" s="218">
        <v>1</v>
      </c>
      <c r="V1830" s="201"/>
    </row>
    <row r="1831" spans="1:22" ht="30" x14ac:dyDescent="0.25">
      <c r="A1831" s="234" t="s">
        <v>2215</v>
      </c>
      <c r="B1831" s="235" t="s">
        <v>1950</v>
      </c>
      <c r="C1831" s="234" t="s">
        <v>37</v>
      </c>
      <c r="D1831" s="312">
        <v>5.5739999999999998</v>
      </c>
      <c r="E1831" s="312"/>
      <c r="F1831" s="248">
        <f t="shared" si="197"/>
        <v>5.5739999999999998</v>
      </c>
      <c r="G1831" s="312"/>
      <c r="H1831" s="312"/>
      <c r="I1831" s="312"/>
      <c r="J1831" s="248">
        <f t="shared" si="190"/>
        <v>5.5739999999999998</v>
      </c>
      <c r="K1831" s="330">
        <f t="shared" si="191"/>
        <v>0</v>
      </c>
      <c r="L1831" s="313"/>
      <c r="M1831" s="228">
        <f t="shared" si="192"/>
        <v>5.5739999999999998</v>
      </c>
      <c r="N1831" s="228">
        <f t="shared" si="195"/>
        <v>0</v>
      </c>
      <c r="O1831" s="228">
        <f t="shared" si="196"/>
        <v>0</v>
      </c>
      <c r="P1831" s="228">
        <f t="shared" si="196"/>
        <v>0</v>
      </c>
      <c r="Q1831" s="228">
        <f t="shared" si="193"/>
        <v>5.5739999999999998</v>
      </c>
      <c r="R1831" s="343">
        <f t="shared" si="194"/>
        <v>0</v>
      </c>
      <c r="S1831" s="240"/>
      <c r="T1831" s="201"/>
      <c r="U1831" s="218">
        <v>1</v>
      </c>
      <c r="V1831" s="201"/>
    </row>
    <row r="1832" spans="1:22" ht="15.75" x14ac:dyDescent="0.25">
      <c r="A1832" s="234" t="s">
        <v>2216</v>
      </c>
      <c r="B1832" s="235" t="s">
        <v>1944</v>
      </c>
      <c r="C1832" s="234" t="s">
        <v>61</v>
      </c>
      <c r="D1832" s="312">
        <v>0.55700000000000005</v>
      </c>
      <c r="E1832" s="312"/>
      <c r="F1832" s="248">
        <f t="shared" si="197"/>
        <v>0.55700000000000005</v>
      </c>
      <c r="G1832" s="312"/>
      <c r="H1832" s="312"/>
      <c r="I1832" s="312"/>
      <c r="J1832" s="248">
        <f t="shared" ref="J1832:J1903" si="198">F1832+G1832+H1832+I1832</f>
        <v>0.55700000000000005</v>
      </c>
      <c r="K1832" s="330">
        <f t="shared" ref="K1832:K1903" si="199">J1832-D1832</f>
        <v>0</v>
      </c>
      <c r="L1832" s="313"/>
      <c r="M1832" s="228">
        <f t="shared" ref="M1832:M1903" si="200">F1832</f>
        <v>0.55700000000000005</v>
      </c>
      <c r="N1832" s="228">
        <f t="shared" si="195"/>
        <v>0</v>
      </c>
      <c r="O1832" s="228">
        <f t="shared" si="196"/>
        <v>0</v>
      </c>
      <c r="P1832" s="228">
        <f t="shared" si="196"/>
        <v>0</v>
      </c>
      <c r="Q1832" s="228">
        <f t="shared" ref="Q1832:Q1903" si="201">M1832+N1832+O1832+P1832</f>
        <v>0.55700000000000005</v>
      </c>
      <c r="R1832" s="343">
        <f t="shared" ref="R1832:R1903" si="202">Q1832-D1832</f>
        <v>0</v>
      </c>
      <c r="S1832" s="240"/>
      <c r="T1832" s="201"/>
      <c r="U1832" s="218">
        <v>1</v>
      </c>
      <c r="V1832" s="201"/>
    </row>
    <row r="1833" spans="1:22" ht="30" x14ac:dyDescent="0.25">
      <c r="A1833" s="234" t="s">
        <v>2217</v>
      </c>
      <c r="B1833" s="235" t="s">
        <v>1950</v>
      </c>
      <c r="C1833" s="234" t="s">
        <v>37</v>
      </c>
      <c r="D1833" s="312">
        <v>5.2839999999999998</v>
      </c>
      <c r="E1833" s="312"/>
      <c r="F1833" s="248">
        <f t="shared" si="197"/>
        <v>5.2839999999999998</v>
      </c>
      <c r="G1833" s="312"/>
      <c r="H1833" s="312"/>
      <c r="I1833" s="312"/>
      <c r="J1833" s="248">
        <f t="shared" si="198"/>
        <v>5.2839999999999998</v>
      </c>
      <c r="K1833" s="330">
        <f t="shared" si="199"/>
        <v>0</v>
      </c>
      <c r="L1833" s="313"/>
      <c r="M1833" s="228">
        <f t="shared" si="200"/>
        <v>5.2839999999999998</v>
      </c>
      <c r="N1833" s="228">
        <f t="shared" si="195"/>
        <v>0</v>
      </c>
      <c r="O1833" s="228">
        <f t="shared" si="196"/>
        <v>0</v>
      </c>
      <c r="P1833" s="228">
        <f t="shared" si="196"/>
        <v>0</v>
      </c>
      <c r="Q1833" s="228">
        <f t="shared" si="201"/>
        <v>5.2839999999999998</v>
      </c>
      <c r="R1833" s="343">
        <f t="shared" si="202"/>
        <v>0</v>
      </c>
      <c r="S1833" s="240"/>
      <c r="T1833" s="201"/>
      <c r="U1833" s="218">
        <v>1</v>
      </c>
      <c r="V1833" s="201"/>
    </row>
    <row r="1834" spans="1:22" ht="45" x14ac:dyDescent="0.25">
      <c r="A1834" s="234" t="s">
        <v>2218</v>
      </c>
      <c r="B1834" s="235" t="s">
        <v>2135</v>
      </c>
      <c r="C1834" s="234" t="s">
        <v>61</v>
      </c>
      <c r="D1834" s="312">
        <v>0.42399999999999999</v>
      </c>
      <c r="E1834" s="312"/>
      <c r="F1834" s="248">
        <f t="shared" si="197"/>
        <v>0.42399999999999999</v>
      </c>
      <c r="G1834" s="312"/>
      <c r="H1834" s="312"/>
      <c r="I1834" s="312"/>
      <c r="J1834" s="248">
        <f t="shared" si="198"/>
        <v>0.42399999999999999</v>
      </c>
      <c r="K1834" s="330">
        <f t="shared" si="199"/>
        <v>0</v>
      </c>
      <c r="L1834" s="313"/>
      <c r="M1834" s="228">
        <f t="shared" si="200"/>
        <v>0.42399999999999999</v>
      </c>
      <c r="N1834" s="228">
        <f t="shared" si="195"/>
        <v>0</v>
      </c>
      <c r="O1834" s="228">
        <f t="shared" si="196"/>
        <v>0</v>
      </c>
      <c r="P1834" s="228">
        <f t="shared" si="196"/>
        <v>0</v>
      </c>
      <c r="Q1834" s="228">
        <f t="shared" si="201"/>
        <v>0.42399999999999999</v>
      </c>
      <c r="R1834" s="343">
        <f t="shared" si="202"/>
        <v>0</v>
      </c>
      <c r="S1834" s="240"/>
      <c r="T1834" s="201"/>
      <c r="U1834" s="218">
        <v>1</v>
      </c>
      <c r="V1834" s="201"/>
    </row>
    <row r="1835" spans="1:22" ht="30" x14ac:dyDescent="0.25">
      <c r="A1835" s="234" t="s">
        <v>2219</v>
      </c>
      <c r="B1835" s="235" t="s">
        <v>2220</v>
      </c>
      <c r="C1835" s="234" t="s">
        <v>37</v>
      </c>
      <c r="D1835" s="312">
        <v>12.878</v>
      </c>
      <c r="E1835" s="312"/>
      <c r="F1835" s="248">
        <f t="shared" si="197"/>
        <v>12.878</v>
      </c>
      <c r="G1835" s="312"/>
      <c r="H1835" s="312"/>
      <c r="I1835" s="312"/>
      <c r="J1835" s="248">
        <f t="shared" si="198"/>
        <v>12.878</v>
      </c>
      <c r="K1835" s="330">
        <f t="shared" si="199"/>
        <v>0</v>
      </c>
      <c r="L1835" s="313"/>
      <c r="M1835" s="228">
        <f t="shared" si="200"/>
        <v>12.878</v>
      </c>
      <c r="N1835" s="228">
        <f t="shared" si="195"/>
        <v>0</v>
      </c>
      <c r="O1835" s="228">
        <f t="shared" si="196"/>
        <v>0</v>
      </c>
      <c r="P1835" s="228">
        <f t="shared" si="196"/>
        <v>0</v>
      </c>
      <c r="Q1835" s="228">
        <f t="shared" si="201"/>
        <v>12.878</v>
      </c>
      <c r="R1835" s="343">
        <f t="shared" si="202"/>
        <v>0</v>
      </c>
      <c r="S1835" s="240"/>
      <c r="T1835" s="201"/>
      <c r="U1835" s="218">
        <v>1</v>
      </c>
      <c r="V1835" s="201"/>
    </row>
    <row r="1836" spans="1:22" ht="45" x14ac:dyDescent="0.25">
      <c r="A1836" s="234" t="s">
        <v>2221</v>
      </c>
      <c r="B1836" s="235" t="s">
        <v>1952</v>
      </c>
      <c r="C1836" s="234" t="s">
        <v>61</v>
      </c>
      <c r="D1836" s="312">
        <v>0.78</v>
      </c>
      <c r="E1836" s="312"/>
      <c r="F1836" s="248">
        <f t="shared" si="197"/>
        <v>0.78</v>
      </c>
      <c r="G1836" s="312"/>
      <c r="H1836" s="312"/>
      <c r="I1836" s="312"/>
      <c r="J1836" s="248">
        <f t="shared" si="198"/>
        <v>0.78</v>
      </c>
      <c r="K1836" s="330">
        <f t="shared" si="199"/>
        <v>0</v>
      </c>
      <c r="L1836" s="313"/>
      <c r="M1836" s="228">
        <f t="shared" si="200"/>
        <v>0.78</v>
      </c>
      <c r="N1836" s="228">
        <f t="shared" si="195"/>
        <v>0</v>
      </c>
      <c r="O1836" s="228">
        <f t="shared" si="196"/>
        <v>0</v>
      </c>
      <c r="P1836" s="228">
        <f t="shared" si="196"/>
        <v>0</v>
      </c>
      <c r="Q1836" s="228">
        <f t="shared" si="201"/>
        <v>0.78</v>
      </c>
      <c r="R1836" s="343">
        <f t="shared" si="202"/>
        <v>0</v>
      </c>
      <c r="S1836" s="240"/>
      <c r="T1836" s="201"/>
      <c r="U1836" s="218">
        <v>1</v>
      </c>
      <c r="V1836" s="201"/>
    </row>
    <row r="1837" spans="1:22" ht="30" x14ac:dyDescent="0.25">
      <c r="A1837" s="234" t="s">
        <v>2222</v>
      </c>
      <c r="B1837" s="235" t="s">
        <v>130</v>
      </c>
      <c r="C1837" s="234" t="s">
        <v>61</v>
      </c>
      <c r="D1837" s="312">
        <v>0.48</v>
      </c>
      <c r="E1837" s="312"/>
      <c r="F1837" s="248">
        <f t="shared" si="197"/>
        <v>0.48</v>
      </c>
      <c r="G1837" s="312"/>
      <c r="H1837" s="312"/>
      <c r="I1837" s="312"/>
      <c r="J1837" s="248">
        <f t="shared" si="198"/>
        <v>0.48</v>
      </c>
      <c r="K1837" s="330">
        <f t="shared" si="199"/>
        <v>0</v>
      </c>
      <c r="L1837" s="313"/>
      <c r="M1837" s="228">
        <f t="shared" si="200"/>
        <v>0.48</v>
      </c>
      <c r="N1837" s="228">
        <f t="shared" si="195"/>
        <v>0</v>
      </c>
      <c r="O1837" s="228">
        <f t="shared" si="196"/>
        <v>0</v>
      </c>
      <c r="P1837" s="228">
        <f t="shared" si="196"/>
        <v>0</v>
      </c>
      <c r="Q1837" s="228">
        <f t="shared" si="201"/>
        <v>0.48</v>
      </c>
      <c r="R1837" s="343">
        <f t="shared" si="202"/>
        <v>0</v>
      </c>
      <c r="S1837" s="240"/>
      <c r="T1837" s="201"/>
      <c r="U1837" s="218">
        <v>1</v>
      </c>
      <c r="V1837" s="201"/>
    </row>
    <row r="1838" spans="1:22" ht="30" x14ac:dyDescent="0.25">
      <c r="A1838" s="234" t="s">
        <v>2223</v>
      </c>
      <c r="B1838" s="235" t="s">
        <v>2224</v>
      </c>
      <c r="C1838" s="234" t="s">
        <v>37</v>
      </c>
      <c r="D1838" s="312">
        <v>2.3239999999999998</v>
      </c>
      <c r="E1838" s="312"/>
      <c r="F1838" s="248">
        <f t="shared" si="197"/>
        <v>2.3239999999999998</v>
      </c>
      <c r="G1838" s="312"/>
      <c r="H1838" s="312"/>
      <c r="I1838" s="312"/>
      <c r="J1838" s="248">
        <f t="shared" si="198"/>
        <v>2.3239999999999998</v>
      </c>
      <c r="K1838" s="330">
        <f t="shared" si="199"/>
        <v>0</v>
      </c>
      <c r="L1838" s="313"/>
      <c r="M1838" s="228">
        <f t="shared" si="200"/>
        <v>2.3239999999999998</v>
      </c>
      <c r="N1838" s="228">
        <f t="shared" si="195"/>
        <v>0</v>
      </c>
      <c r="O1838" s="228">
        <f t="shared" si="196"/>
        <v>0</v>
      </c>
      <c r="P1838" s="228">
        <f t="shared" si="196"/>
        <v>0</v>
      </c>
      <c r="Q1838" s="228">
        <f t="shared" si="201"/>
        <v>2.3239999999999998</v>
      </c>
      <c r="R1838" s="343">
        <f t="shared" si="202"/>
        <v>0</v>
      </c>
      <c r="S1838" s="240"/>
      <c r="T1838" s="201"/>
      <c r="U1838" s="218">
        <v>1</v>
      </c>
      <c r="V1838" s="201"/>
    </row>
    <row r="1839" spans="1:22" ht="15.75" x14ac:dyDescent="0.25">
      <c r="A1839" s="234" t="s">
        <v>2225</v>
      </c>
      <c r="B1839" s="235" t="s">
        <v>1944</v>
      </c>
      <c r="C1839" s="234" t="s">
        <v>61</v>
      </c>
      <c r="D1839" s="312">
        <v>0.04</v>
      </c>
      <c r="E1839" s="312"/>
      <c r="F1839" s="248">
        <f t="shared" si="197"/>
        <v>0.04</v>
      </c>
      <c r="G1839" s="312"/>
      <c r="H1839" s="312"/>
      <c r="I1839" s="312"/>
      <c r="J1839" s="248">
        <f t="shared" si="198"/>
        <v>0.04</v>
      </c>
      <c r="K1839" s="330">
        <f t="shared" si="199"/>
        <v>0</v>
      </c>
      <c r="L1839" s="313"/>
      <c r="M1839" s="228">
        <f t="shared" si="200"/>
        <v>0.04</v>
      </c>
      <c r="N1839" s="228">
        <f t="shared" si="195"/>
        <v>0</v>
      </c>
      <c r="O1839" s="228">
        <f t="shared" si="196"/>
        <v>0</v>
      </c>
      <c r="P1839" s="228">
        <f t="shared" si="196"/>
        <v>0</v>
      </c>
      <c r="Q1839" s="228">
        <f t="shared" si="201"/>
        <v>0.04</v>
      </c>
      <c r="R1839" s="343">
        <f t="shared" si="202"/>
        <v>0</v>
      </c>
      <c r="S1839" s="240"/>
      <c r="T1839" s="201"/>
      <c r="U1839" s="218">
        <v>1</v>
      </c>
      <c r="V1839" s="201"/>
    </row>
    <row r="1840" spans="1:22" ht="30" x14ac:dyDescent="0.25">
      <c r="A1840" s="234" t="s">
        <v>2226</v>
      </c>
      <c r="B1840" s="235" t="s">
        <v>1954</v>
      </c>
      <c r="C1840" s="234" t="s">
        <v>32</v>
      </c>
      <c r="D1840" s="312">
        <v>0.22500000000000001</v>
      </c>
      <c r="E1840" s="312"/>
      <c r="F1840" s="248">
        <f t="shared" si="197"/>
        <v>0.22500000000000001</v>
      </c>
      <c r="G1840" s="312"/>
      <c r="H1840" s="312"/>
      <c r="I1840" s="312"/>
      <c r="J1840" s="248">
        <f t="shared" si="198"/>
        <v>0.22500000000000001</v>
      </c>
      <c r="K1840" s="330">
        <f t="shared" si="199"/>
        <v>0</v>
      </c>
      <c r="L1840" s="313"/>
      <c r="M1840" s="228">
        <f t="shared" si="200"/>
        <v>0.22500000000000001</v>
      </c>
      <c r="N1840" s="228">
        <f t="shared" si="195"/>
        <v>0</v>
      </c>
      <c r="O1840" s="228">
        <f t="shared" si="196"/>
        <v>0</v>
      </c>
      <c r="P1840" s="228">
        <f t="shared" si="196"/>
        <v>0</v>
      </c>
      <c r="Q1840" s="228">
        <f t="shared" si="201"/>
        <v>0.22500000000000001</v>
      </c>
      <c r="R1840" s="343">
        <f t="shared" si="202"/>
        <v>0</v>
      </c>
      <c r="S1840" s="240"/>
      <c r="T1840" s="201"/>
      <c r="U1840" s="218">
        <v>1</v>
      </c>
      <c r="V1840" s="201"/>
    </row>
    <row r="1841" spans="1:22" ht="45" x14ac:dyDescent="0.25">
      <c r="A1841" s="234" t="s">
        <v>2227</v>
      </c>
      <c r="B1841" s="235" t="s">
        <v>2137</v>
      </c>
      <c r="C1841" s="234" t="s">
        <v>32</v>
      </c>
      <c r="D1841" s="312">
        <v>0.33300000000000002</v>
      </c>
      <c r="E1841" s="312"/>
      <c r="F1841" s="248">
        <f t="shared" si="197"/>
        <v>0.33300000000000002</v>
      </c>
      <c r="G1841" s="312"/>
      <c r="H1841" s="312"/>
      <c r="I1841" s="312"/>
      <c r="J1841" s="248">
        <f t="shared" si="198"/>
        <v>0.33300000000000002</v>
      </c>
      <c r="K1841" s="330">
        <f t="shared" si="199"/>
        <v>0</v>
      </c>
      <c r="L1841" s="313"/>
      <c r="M1841" s="228">
        <f t="shared" si="200"/>
        <v>0.33300000000000002</v>
      </c>
      <c r="N1841" s="228">
        <f t="shared" si="195"/>
        <v>0</v>
      </c>
      <c r="O1841" s="228">
        <f t="shared" si="196"/>
        <v>0</v>
      </c>
      <c r="P1841" s="228">
        <f t="shared" si="196"/>
        <v>0</v>
      </c>
      <c r="Q1841" s="228">
        <f t="shared" si="201"/>
        <v>0.33300000000000002</v>
      </c>
      <c r="R1841" s="343">
        <f t="shared" si="202"/>
        <v>0</v>
      </c>
      <c r="S1841" s="240"/>
      <c r="T1841" s="201"/>
      <c r="U1841" s="218">
        <v>1</v>
      </c>
      <c r="V1841" s="201"/>
    </row>
    <row r="1842" spans="1:22" ht="45" x14ac:dyDescent="0.25">
      <c r="A1842" s="234" t="s">
        <v>2228</v>
      </c>
      <c r="B1842" s="235" t="s">
        <v>2139</v>
      </c>
      <c r="C1842" s="234" t="s">
        <v>32</v>
      </c>
      <c r="D1842" s="312">
        <v>1.089</v>
      </c>
      <c r="E1842" s="312"/>
      <c r="F1842" s="248">
        <f t="shared" si="197"/>
        <v>1.089</v>
      </c>
      <c r="G1842" s="312"/>
      <c r="H1842" s="312"/>
      <c r="I1842" s="312"/>
      <c r="J1842" s="248">
        <f t="shared" si="198"/>
        <v>1.089</v>
      </c>
      <c r="K1842" s="330">
        <f t="shared" si="199"/>
        <v>0</v>
      </c>
      <c r="L1842" s="313"/>
      <c r="M1842" s="228">
        <f t="shared" si="200"/>
        <v>1.089</v>
      </c>
      <c r="N1842" s="228">
        <f t="shared" si="195"/>
        <v>0</v>
      </c>
      <c r="O1842" s="228">
        <f t="shared" si="196"/>
        <v>0</v>
      </c>
      <c r="P1842" s="228">
        <f t="shared" si="196"/>
        <v>0</v>
      </c>
      <c r="Q1842" s="228">
        <f t="shared" si="201"/>
        <v>1.089</v>
      </c>
      <c r="R1842" s="343">
        <f t="shared" si="202"/>
        <v>0</v>
      </c>
      <c r="S1842" s="240"/>
      <c r="T1842" s="201"/>
      <c r="U1842" s="218">
        <v>1</v>
      </c>
      <c r="V1842" s="201"/>
    </row>
    <row r="1843" spans="1:22" ht="45" x14ac:dyDescent="0.25">
      <c r="A1843" s="234" t="s">
        <v>2229</v>
      </c>
      <c r="B1843" s="235" t="s">
        <v>2142</v>
      </c>
      <c r="C1843" s="234" t="s">
        <v>32</v>
      </c>
      <c r="D1843" s="312">
        <v>5.6000000000000001E-2</v>
      </c>
      <c r="E1843" s="312"/>
      <c r="F1843" s="248">
        <f t="shared" si="197"/>
        <v>5.6000000000000001E-2</v>
      </c>
      <c r="G1843" s="312"/>
      <c r="H1843" s="312"/>
      <c r="I1843" s="312"/>
      <c r="J1843" s="248">
        <f t="shared" si="198"/>
        <v>5.6000000000000001E-2</v>
      </c>
      <c r="K1843" s="330">
        <f t="shared" si="199"/>
        <v>0</v>
      </c>
      <c r="L1843" s="313"/>
      <c r="M1843" s="228">
        <f t="shared" si="200"/>
        <v>5.6000000000000001E-2</v>
      </c>
      <c r="N1843" s="228">
        <f t="shared" si="195"/>
        <v>0</v>
      </c>
      <c r="O1843" s="228">
        <f t="shared" si="196"/>
        <v>0</v>
      </c>
      <c r="P1843" s="228">
        <f t="shared" si="196"/>
        <v>0</v>
      </c>
      <c r="Q1843" s="228">
        <f t="shared" si="201"/>
        <v>5.6000000000000001E-2</v>
      </c>
      <c r="R1843" s="343">
        <f t="shared" si="202"/>
        <v>0</v>
      </c>
      <c r="S1843" s="240"/>
      <c r="T1843" s="201"/>
      <c r="U1843" s="218">
        <v>1</v>
      </c>
      <c r="V1843" s="201"/>
    </row>
    <row r="1844" spans="1:22" ht="45" x14ac:dyDescent="0.25">
      <c r="A1844" s="234" t="s">
        <v>2230</v>
      </c>
      <c r="B1844" s="235" t="s">
        <v>2231</v>
      </c>
      <c r="C1844" s="234" t="s">
        <v>32</v>
      </c>
      <c r="D1844" s="312">
        <v>0.45300000000000001</v>
      </c>
      <c r="E1844" s="312"/>
      <c r="F1844" s="248">
        <f t="shared" si="197"/>
        <v>0.45300000000000001</v>
      </c>
      <c r="G1844" s="312"/>
      <c r="H1844" s="312"/>
      <c r="I1844" s="312"/>
      <c r="J1844" s="248">
        <f t="shared" si="198"/>
        <v>0.45300000000000001</v>
      </c>
      <c r="K1844" s="330">
        <f t="shared" si="199"/>
        <v>0</v>
      </c>
      <c r="L1844" s="313"/>
      <c r="M1844" s="228">
        <f t="shared" si="200"/>
        <v>0.45300000000000001</v>
      </c>
      <c r="N1844" s="228">
        <f t="shared" si="195"/>
        <v>0</v>
      </c>
      <c r="O1844" s="228">
        <f t="shared" si="196"/>
        <v>0</v>
      </c>
      <c r="P1844" s="228">
        <f t="shared" si="196"/>
        <v>0</v>
      </c>
      <c r="Q1844" s="228">
        <f t="shared" si="201"/>
        <v>0.45300000000000001</v>
      </c>
      <c r="R1844" s="343">
        <f t="shared" si="202"/>
        <v>0</v>
      </c>
      <c r="S1844" s="240"/>
      <c r="T1844" s="201"/>
      <c r="U1844" s="218">
        <v>1</v>
      </c>
      <c r="V1844" s="201"/>
    </row>
    <row r="1845" spans="1:22" ht="45" x14ac:dyDescent="0.25">
      <c r="A1845" s="234" t="s">
        <v>2232</v>
      </c>
      <c r="B1845" s="235" t="s">
        <v>2233</v>
      </c>
      <c r="C1845" s="234" t="s">
        <v>32</v>
      </c>
      <c r="D1845" s="312">
        <v>1.153</v>
      </c>
      <c r="E1845" s="312"/>
      <c r="F1845" s="248">
        <f t="shared" si="197"/>
        <v>1.153</v>
      </c>
      <c r="G1845" s="312"/>
      <c r="H1845" s="312"/>
      <c r="I1845" s="312"/>
      <c r="J1845" s="248">
        <f t="shared" si="198"/>
        <v>1.153</v>
      </c>
      <c r="K1845" s="330">
        <f t="shared" si="199"/>
        <v>0</v>
      </c>
      <c r="L1845" s="313"/>
      <c r="M1845" s="228">
        <f t="shared" si="200"/>
        <v>1.153</v>
      </c>
      <c r="N1845" s="228">
        <f t="shared" si="195"/>
        <v>0</v>
      </c>
      <c r="O1845" s="228">
        <f t="shared" si="196"/>
        <v>0</v>
      </c>
      <c r="P1845" s="228">
        <f t="shared" si="196"/>
        <v>0</v>
      </c>
      <c r="Q1845" s="228">
        <f t="shared" si="201"/>
        <v>1.153</v>
      </c>
      <c r="R1845" s="343">
        <f t="shared" si="202"/>
        <v>0</v>
      </c>
      <c r="S1845" s="240"/>
      <c r="T1845" s="201"/>
      <c r="U1845" s="218">
        <v>1</v>
      </c>
      <c r="V1845" s="201"/>
    </row>
    <row r="1846" spans="1:22" ht="45" x14ac:dyDescent="0.25">
      <c r="A1846" s="234" t="s">
        <v>2234</v>
      </c>
      <c r="B1846" s="235" t="s">
        <v>2235</v>
      </c>
      <c r="C1846" s="234" t="s">
        <v>32</v>
      </c>
      <c r="D1846" s="312">
        <v>5.8999999999999997E-2</v>
      </c>
      <c r="E1846" s="312"/>
      <c r="F1846" s="248">
        <f t="shared" si="197"/>
        <v>5.8999999999999997E-2</v>
      </c>
      <c r="G1846" s="312"/>
      <c r="H1846" s="312"/>
      <c r="I1846" s="312"/>
      <c r="J1846" s="248">
        <f t="shared" si="198"/>
        <v>5.8999999999999997E-2</v>
      </c>
      <c r="K1846" s="330">
        <f t="shared" si="199"/>
        <v>0</v>
      </c>
      <c r="L1846" s="313"/>
      <c r="M1846" s="228">
        <f t="shared" si="200"/>
        <v>5.8999999999999997E-2</v>
      </c>
      <c r="N1846" s="228">
        <f t="shared" si="195"/>
        <v>0</v>
      </c>
      <c r="O1846" s="228">
        <f t="shared" si="196"/>
        <v>0</v>
      </c>
      <c r="P1846" s="228">
        <f t="shared" si="196"/>
        <v>0</v>
      </c>
      <c r="Q1846" s="228">
        <f t="shared" si="201"/>
        <v>5.8999999999999997E-2</v>
      </c>
      <c r="R1846" s="343">
        <f t="shared" si="202"/>
        <v>0</v>
      </c>
      <c r="S1846" s="240"/>
      <c r="T1846" s="201"/>
      <c r="U1846" s="218">
        <v>1</v>
      </c>
      <c r="V1846" s="201"/>
    </row>
    <row r="1847" spans="1:22" ht="45" x14ac:dyDescent="0.25">
      <c r="A1847" s="234" t="s">
        <v>2236</v>
      </c>
      <c r="B1847" s="235" t="s">
        <v>2237</v>
      </c>
      <c r="C1847" s="234" t="s">
        <v>32</v>
      </c>
      <c r="D1847" s="312">
        <v>2.5000000000000001E-2</v>
      </c>
      <c r="E1847" s="312"/>
      <c r="F1847" s="248">
        <f t="shared" si="197"/>
        <v>2.5000000000000001E-2</v>
      </c>
      <c r="G1847" s="312"/>
      <c r="H1847" s="312"/>
      <c r="I1847" s="312"/>
      <c r="J1847" s="248">
        <f t="shared" si="198"/>
        <v>2.5000000000000001E-2</v>
      </c>
      <c r="K1847" s="330">
        <f t="shared" si="199"/>
        <v>0</v>
      </c>
      <c r="L1847" s="313"/>
      <c r="M1847" s="228">
        <f t="shared" si="200"/>
        <v>2.5000000000000001E-2</v>
      </c>
      <c r="N1847" s="228">
        <f t="shared" ref="N1847:N1918" si="203">G1847</f>
        <v>0</v>
      </c>
      <c r="O1847" s="228">
        <f t="shared" ref="O1847:P1918" si="204">H1847</f>
        <v>0</v>
      </c>
      <c r="P1847" s="228">
        <f t="shared" si="204"/>
        <v>0</v>
      </c>
      <c r="Q1847" s="228">
        <f t="shared" si="201"/>
        <v>2.5000000000000001E-2</v>
      </c>
      <c r="R1847" s="343">
        <f t="shared" si="202"/>
        <v>0</v>
      </c>
      <c r="S1847" s="240"/>
      <c r="T1847" s="201"/>
      <c r="U1847" s="218">
        <v>1</v>
      </c>
      <c r="V1847" s="201"/>
    </row>
    <row r="1848" spans="1:22" ht="30" x14ac:dyDescent="0.25">
      <c r="A1848" s="234" t="s">
        <v>2238</v>
      </c>
      <c r="B1848" s="235" t="s">
        <v>1940</v>
      </c>
      <c r="C1848" s="234" t="s">
        <v>37</v>
      </c>
      <c r="D1848" s="312">
        <v>7.8</v>
      </c>
      <c r="E1848" s="312"/>
      <c r="F1848" s="248">
        <f t="shared" si="197"/>
        <v>7.8</v>
      </c>
      <c r="G1848" s="312"/>
      <c r="H1848" s="312"/>
      <c r="I1848" s="312"/>
      <c r="J1848" s="248">
        <f t="shared" si="198"/>
        <v>7.8</v>
      </c>
      <c r="K1848" s="330">
        <f t="shared" si="199"/>
        <v>0</v>
      </c>
      <c r="L1848" s="313"/>
      <c r="M1848" s="228">
        <f t="shared" si="200"/>
        <v>7.8</v>
      </c>
      <c r="N1848" s="228">
        <f t="shared" si="203"/>
        <v>0</v>
      </c>
      <c r="O1848" s="228">
        <f t="shared" si="204"/>
        <v>0</v>
      </c>
      <c r="P1848" s="228">
        <f t="shared" si="204"/>
        <v>0</v>
      </c>
      <c r="Q1848" s="228">
        <f t="shared" si="201"/>
        <v>7.8</v>
      </c>
      <c r="R1848" s="343">
        <f t="shared" si="202"/>
        <v>0</v>
      </c>
      <c r="S1848" s="240"/>
      <c r="T1848" s="201"/>
      <c r="U1848" s="218">
        <v>1</v>
      </c>
      <c r="V1848" s="201"/>
    </row>
    <row r="1849" spans="1:22" ht="45" x14ac:dyDescent="0.25">
      <c r="A1849" s="234" t="s">
        <v>2239</v>
      </c>
      <c r="B1849" s="235" t="s">
        <v>2240</v>
      </c>
      <c r="C1849" s="234" t="s">
        <v>37</v>
      </c>
      <c r="D1849" s="312">
        <v>0.94199999999999995</v>
      </c>
      <c r="E1849" s="312"/>
      <c r="F1849" s="248">
        <f t="shared" si="197"/>
        <v>0.94199999999999995</v>
      </c>
      <c r="G1849" s="312"/>
      <c r="H1849" s="312"/>
      <c r="I1849" s="312"/>
      <c r="J1849" s="248">
        <f t="shared" si="198"/>
        <v>0.94199999999999995</v>
      </c>
      <c r="K1849" s="330">
        <f t="shared" si="199"/>
        <v>0</v>
      </c>
      <c r="L1849" s="313"/>
      <c r="M1849" s="228">
        <f t="shared" si="200"/>
        <v>0.94199999999999995</v>
      </c>
      <c r="N1849" s="228">
        <f t="shared" si="203"/>
        <v>0</v>
      </c>
      <c r="O1849" s="228">
        <f t="shared" si="204"/>
        <v>0</v>
      </c>
      <c r="P1849" s="228">
        <f t="shared" si="204"/>
        <v>0</v>
      </c>
      <c r="Q1849" s="228">
        <f t="shared" si="201"/>
        <v>0.94199999999999995</v>
      </c>
      <c r="R1849" s="343">
        <f t="shared" si="202"/>
        <v>0</v>
      </c>
      <c r="S1849" s="240"/>
      <c r="T1849" s="201"/>
      <c r="U1849" s="218">
        <v>1</v>
      </c>
      <c r="V1849" s="201"/>
    </row>
    <row r="1850" spans="1:22" ht="45" x14ac:dyDescent="0.25">
      <c r="A1850" s="234" t="s">
        <v>2241</v>
      </c>
      <c r="B1850" s="235" t="s">
        <v>2242</v>
      </c>
      <c r="C1850" s="234" t="s">
        <v>37</v>
      </c>
      <c r="D1850" s="312">
        <v>2.5920000000000001</v>
      </c>
      <c r="E1850" s="312"/>
      <c r="F1850" s="248">
        <f t="shared" si="197"/>
        <v>2.5920000000000001</v>
      </c>
      <c r="G1850" s="312"/>
      <c r="H1850" s="312"/>
      <c r="I1850" s="312"/>
      <c r="J1850" s="248">
        <f t="shared" si="198"/>
        <v>2.5920000000000001</v>
      </c>
      <c r="K1850" s="330">
        <f t="shared" si="199"/>
        <v>0</v>
      </c>
      <c r="L1850" s="313"/>
      <c r="M1850" s="228">
        <f t="shared" si="200"/>
        <v>2.5920000000000001</v>
      </c>
      <c r="N1850" s="228">
        <f t="shared" si="203"/>
        <v>0</v>
      </c>
      <c r="O1850" s="228">
        <f t="shared" si="204"/>
        <v>0</v>
      </c>
      <c r="P1850" s="228">
        <f t="shared" si="204"/>
        <v>0</v>
      </c>
      <c r="Q1850" s="228">
        <f t="shared" si="201"/>
        <v>2.5920000000000001</v>
      </c>
      <c r="R1850" s="343">
        <f t="shared" si="202"/>
        <v>0</v>
      </c>
      <c r="S1850" s="240"/>
      <c r="T1850" s="201"/>
      <c r="U1850" s="218">
        <v>1</v>
      </c>
      <c r="V1850" s="201"/>
    </row>
    <row r="1851" spans="1:22" ht="45" x14ac:dyDescent="0.25">
      <c r="A1851" s="234" t="s">
        <v>2243</v>
      </c>
      <c r="B1851" s="235" t="s">
        <v>2244</v>
      </c>
      <c r="C1851" s="234" t="s">
        <v>37</v>
      </c>
      <c r="D1851" s="312">
        <v>25.977</v>
      </c>
      <c r="E1851" s="312"/>
      <c r="F1851" s="248">
        <f t="shared" si="197"/>
        <v>25.977</v>
      </c>
      <c r="G1851" s="312"/>
      <c r="H1851" s="312"/>
      <c r="I1851" s="312"/>
      <c r="J1851" s="248">
        <f t="shared" si="198"/>
        <v>25.977</v>
      </c>
      <c r="K1851" s="330">
        <f t="shared" si="199"/>
        <v>0</v>
      </c>
      <c r="L1851" s="313"/>
      <c r="M1851" s="228">
        <f t="shared" si="200"/>
        <v>25.977</v>
      </c>
      <c r="N1851" s="228">
        <f t="shared" si="203"/>
        <v>0</v>
      </c>
      <c r="O1851" s="228">
        <f t="shared" si="204"/>
        <v>0</v>
      </c>
      <c r="P1851" s="228">
        <f t="shared" si="204"/>
        <v>0</v>
      </c>
      <c r="Q1851" s="228">
        <f t="shared" si="201"/>
        <v>25.977</v>
      </c>
      <c r="R1851" s="343">
        <f t="shared" si="202"/>
        <v>0</v>
      </c>
      <c r="S1851" s="240"/>
      <c r="T1851" s="201"/>
      <c r="U1851" s="218">
        <v>1</v>
      </c>
      <c r="V1851" s="201"/>
    </row>
    <row r="1852" spans="1:22" ht="45" x14ac:dyDescent="0.25">
      <c r="A1852" s="234" t="s">
        <v>2245</v>
      </c>
      <c r="B1852" s="235" t="s">
        <v>319</v>
      </c>
      <c r="C1852" s="234" t="s">
        <v>52</v>
      </c>
      <c r="D1852" s="312">
        <v>215.59</v>
      </c>
      <c r="E1852" s="312"/>
      <c r="F1852" s="248">
        <f t="shared" si="197"/>
        <v>215.59</v>
      </c>
      <c r="G1852" s="312"/>
      <c r="H1852" s="312"/>
      <c r="I1852" s="312"/>
      <c r="J1852" s="248">
        <f t="shared" si="198"/>
        <v>215.59</v>
      </c>
      <c r="K1852" s="330">
        <f t="shared" si="199"/>
        <v>0</v>
      </c>
      <c r="L1852" s="313"/>
      <c r="M1852" s="228">
        <f t="shared" si="200"/>
        <v>215.59</v>
      </c>
      <c r="N1852" s="228">
        <f t="shared" si="203"/>
        <v>0</v>
      </c>
      <c r="O1852" s="228">
        <f t="shared" si="204"/>
        <v>0</v>
      </c>
      <c r="P1852" s="228">
        <f t="shared" si="204"/>
        <v>0</v>
      </c>
      <c r="Q1852" s="228">
        <f t="shared" si="201"/>
        <v>215.59</v>
      </c>
      <c r="R1852" s="343">
        <f t="shared" si="202"/>
        <v>0</v>
      </c>
      <c r="S1852" s="240"/>
      <c r="T1852" s="201"/>
      <c r="U1852" s="218">
        <v>1</v>
      </c>
      <c r="V1852" s="201"/>
    </row>
    <row r="1853" spans="1:22" ht="45" x14ac:dyDescent="0.25">
      <c r="A1853" s="234" t="s">
        <v>2246</v>
      </c>
      <c r="B1853" s="235" t="s">
        <v>342</v>
      </c>
      <c r="C1853" s="234" t="s">
        <v>52</v>
      </c>
      <c r="D1853" s="312">
        <v>136.72</v>
      </c>
      <c r="E1853" s="312"/>
      <c r="F1853" s="248">
        <f t="shared" si="197"/>
        <v>136.72</v>
      </c>
      <c r="G1853" s="312"/>
      <c r="H1853" s="312"/>
      <c r="I1853" s="312"/>
      <c r="J1853" s="248">
        <f t="shared" si="198"/>
        <v>136.72</v>
      </c>
      <c r="K1853" s="330">
        <f t="shared" si="199"/>
        <v>0</v>
      </c>
      <c r="L1853" s="313"/>
      <c r="M1853" s="228">
        <f t="shared" si="200"/>
        <v>136.72</v>
      </c>
      <c r="N1853" s="228">
        <f t="shared" si="203"/>
        <v>0</v>
      </c>
      <c r="O1853" s="228">
        <f t="shared" si="204"/>
        <v>0</v>
      </c>
      <c r="P1853" s="228">
        <f t="shared" si="204"/>
        <v>0</v>
      </c>
      <c r="Q1853" s="228">
        <f t="shared" si="201"/>
        <v>136.72</v>
      </c>
      <c r="R1853" s="343">
        <f t="shared" si="202"/>
        <v>0</v>
      </c>
      <c r="S1853" s="240"/>
      <c r="T1853" s="201"/>
      <c r="U1853" s="218">
        <v>1</v>
      </c>
      <c r="V1853" s="201"/>
    </row>
    <row r="1854" spans="1:22" ht="30" x14ac:dyDescent="0.25">
      <c r="A1854" s="234" t="s">
        <v>2247</v>
      </c>
      <c r="B1854" s="235" t="s">
        <v>2154</v>
      </c>
      <c r="C1854" s="234" t="s">
        <v>52</v>
      </c>
      <c r="D1854" s="312">
        <v>19.5</v>
      </c>
      <c r="E1854" s="312"/>
      <c r="F1854" s="248">
        <f t="shared" si="197"/>
        <v>19.5</v>
      </c>
      <c r="G1854" s="312"/>
      <c r="H1854" s="312"/>
      <c r="I1854" s="312"/>
      <c r="J1854" s="248">
        <f t="shared" si="198"/>
        <v>19.5</v>
      </c>
      <c r="K1854" s="330">
        <f t="shared" si="199"/>
        <v>0</v>
      </c>
      <c r="L1854" s="313"/>
      <c r="M1854" s="228">
        <f t="shared" si="200"/>
        <v>19.5</v>
      </c>
      <c r="N1854" s="228">
        <f t="shared" si="203"/>
        <v>0</v>
      </c>
      <c r="O1854" s="228">
        <f t="shared" si="204"/>
        <v>0</v>
      </c>
      <c r="P1854" s="228">
        <f t="shared" si="204"/>
        <v>0</v>
      </c>
      <c r="Q1854" s="228">
        <f t="shared" si="201"/>
        <v>19.5</v>
      </c>
      <c r="R1854" s="343">
        <f t="shared" si="202"/>
        <v>0</v>
      </c>
      <c r="S1854" s="240"/>
      <c r="T1854" s="201"/>
      <c r="U1854" s="218">
        <v>1</v>
      </c>
      <c r="V1854" s="201"/>
    </row>
    <row r="1855" spans="1:22" ht="15.75" x14ac:dyDescent="0.25">
      <c r="A1855" s="234" t="s">
        <v>2248</v>
      </c>
      <c r="B1855" s="235" t="s">
        <v>2249</v>
      </c>
      <c r="C1855" s="234" t="s">
        <v>52</v>
      </c>
      <c r="D1855" s="312">
        <v>78</v>
      </c>
      <c r="E1855" s="312"/>
      <c r="F1855" s="248">
        <f t="shared" si="197"/>
        <v>78</v>
      </c>
      <c r="G1855" s="312"/>
      <c r="H1855" s="312"/>
      <c r="I1855" s="312"/>
      <c r="J1855" s="248">
        <f t="shared" si="198"/>
        <v>78</v>
      </c>
      <c r="K1855" s="330">
        <f t="shared" si="199"/>
        <v>0</v>
      </c>
      <c r="L1855" s="313"/>
      <c r="M1855" s="228">
        <f t="shared" si="200"/>
        <v>78</v>
      </c>
      <c r="N1855" s="228">
        <f t="shared" si="203"/>
        <v>0</v>
      </c>
      <c r="O1855" s="228">
        <f t="shared" si="204"/>
        <v>0</v>
      </c>
      <c r="P1855" s="228">
        <f t="shared" si="204"/>
        <v>0</v>
      </c>
      <c r="Q1855" s="228">
        <f t="shared" si="201"/>
        <v>78</v>
      </c>
      <c r="R1855" s="343">
        <f t="shared" si="202"/>
        <v>0</v>
      </c>
      <c r="S1855" s="240"/>
      <c r="T1855" s="201"/>
      <c r="U1855" s="218">
        <v>1</v>
      </c>
      <c r="V1855" s="201"/>
    </row>
    <row r="1856" spans="1:22" s="49" customFormat="1" ht="30" x14ac:dyDescent="0.25">
      <c r="A1856" s="241" t="s">
        <v>2250</v>
      </c>
      <c r="B1856" s="242" t="s">
        <v>2251</v>
      </c>
      <c r="C1856" s="241" t="s">
        <v>52</v>
      </c>
      <c r="D1856" s="319">
        <v>45.8</v>
      </c>
      <c r="E1856" s="319"/>
      <c r="F1856" s="248">
        <f t="shared" si="197"/>
        <v>45.8</v>
      </c>
      <c r="G1856" s="319"/>
      <c r="H1856" s="319"/>
      <c r="I1856" s="319"/>
      <c r="J1856" s="248">
        <f t="shared" si="198"/>
        <v>45.8</v>
      </c>
      <c r="K1856" s="330">
        <f t="shared" si="199"/>
        <v>0</v>
      </c>
      <c r="L1856" s="320"/>
      <c r="M1856" s="228">
        <f t="shared" si="200"/>
        <v>45.8</v>
      </c>
      <c r="N1856" s="228">
        <f t="shared" si="203"/>
        <v>0</v>
      </c>
      <c r="O1856" s="228">
        <f t="shared" si="204"/>
        <v>0</v>
      </c>
      <c r="P1856" s="228">
        <f t="shared" si="204"/>
        <v>0</v>
      </c>
      <c r="Q1856" s="228">
        <f t="shared" si="201"/>
        <v>45.8</v>
      </c>
      <c r="R1856" s="343">
        <f t="shared" si="202"/>
        <v>0</v>
      </c>
      <c r="S1856" s="243"/>
      <c r="T1856" s="207"/>
      <c r="U1856" s="207"/>
      <c r="V1856" s="219" t="s">
        <v>3462</v>
      </c>
    </row>
    <row r="1857" spans="1:22" s="49" customFormat="1" ht="15.75" x14ac:dyDescent="0.25">
      <c r="A1857" s="241" t="s">
        <v>2252</v>
      </c>
      <c r="B1857" s="242" t="s">
        <v>2253</v>
      </c>
      <c r="C1857" s="241" t="s">
        <v>52</v>
      </c>
      <c r="D1857" s="319">
        <v>89.6</v>
      </c>
      <c r="E1857" s="319"/>
      <c r="F1857" s="248">
        <f t="shared" si="197"/>
        <v>89.6</v>
      </c>
      <c r="G1857" s="319"/>
      <c r="H1857" s="319"/>
      <c r="I1857" s="319"/>
      <c r="J1857" s="248">
        <f t="shared" si="198"/>
        <v>89.6</v>
      </c>
      <c r="K1857" s="330">
        <f t="shared" si="199"/>
        <v>0</v>
      </c>
      <c r="L1857" s="320"/>
      <c r="M1857" s="228">
        <f t="shared" si="200"/>
        <v>89.6</v>
      </c>
      <c r="N1857" s="228">
        <f t="shared" si="203"/>
        <v>0</v>
      </c>
      <c r="O1857" s="228">
        <f t="shared" si="204"/>
        <v>0</v>
      </c>
      <c r="P1857" s="228">
        <f t="shared" si="204"/>
        <v>0</v>
      </c>
      <c r="Q1857" s="228">
        <f t="shared" si="201"/>
        <v>89.6</v>
      </c>
      <c r="R1857" s="343">
        <f t="shared" si="202"/>
        <v>0</v>
      </c>
      <c r="S1857" s="243"/>
      <c r="T1857" s="207"/>
      <c r="U1857" s="207"/>
      <c r="V1857" s="219" t="s">
        <v>3462</v>
      </c>
    </row>
    <row r="1858" spans="1:22" ht="15.75" x14ac:dyDescent="0.25">
      <c r="A1858" s="234" t="s">
        <v>2254</v>
      </c>
      <c r="B1858" s="235" t="s">
        <v>2255</v>
      </c>
      <c r="C1858" s="234" t="s">
        <v>52</v>
      </c>
      <c r="D1858" s="312">
        <v>81.92</v>
      </c>
      <c r="E1858" s="312"/>
      <c r="F1858" s="248"/>
      <c r="G1858" s="312"/>
      <c r="H1858" s="312"/>
      <c r="I1858" s="312"/>
      <c r="J1858" s="248">
        <f t="shared" si="198"/>
        <v>0</v>
      </c>
      <c r="K1858" s="330">
        <f t="shared" si="199"/>
        <v>-81.92</v>
      </c>
      <c r="L1858" s="313"/>
      <c r="M1858" s="228">
        <f t="shared" si="200"/>
        <v>0</v>
      </c>
      <c r="N1858" s="228">
        <f t="shared" si="203"/>
        <v>0</v>
      </c>
      <c r="O1858" s="228">
        <f t="shared" si="204"/>
        <v>0</v>
      </c>
      <c r="P1858" s="228">
        <f t="shared" si="204"/>
        <v>0</v>
      </c>
      <c r="Q1858" s="228">
        <f t="shared" si="201"/>
        <v>0</v>
      </c>
      <c r="R1858" s="343">
        <f t="shared" si="202"/>
        <v>-81.92</v>
      </c>
      <c r="S1858" s="240"/>
      <c r="T1858" s="201"/>
      <c r="U1858" s="201"/>
      <c r="V1858" s="201"/>
    </row>
    <row r="1859" spans="1:22" ht="30" x14ac:dyDescent="0.25">
      <c r="A1859" s="234" t="s">
        <v>2256</v>
      </c>
      <c r="B1859" s="235" t="s">
        <v>2257</v>
      </c>
      <c r="C1859" s="234" t="s">
        <v>52</v>
      </c>
      <c r="D1859" s="312">
        <v>34.26</v>
      </c>
      <c r="E1859" s="312"/>
      <c r="F1859" s="248"/>
      <c r="G1859" s="312"/>
      <c r="H1859" s="312"/>
      <c r="I1859" s="312"/>
      <c r="J1859" s="248">
        <f t="shared" si="198"/>
        <v>0</v>
      </c>
      <c r="K1859" s="330">
        <f t="shared" si="199"/>
        <v>-34.26</v>
      </c>
      <c r="L1859" s="313"/>
      <c r="M1859" s="228">
        <f t="shared" si="200"/>
        <v>0</v>
      </c>
      <c r="N1859" s="228">
        <f t="shared" si="203"/>
        <v>0</v>
      </c>
      <c r="O1859" s="228">
        <f t="shared" si="204"/>
        <v>0</v>
      </c>
      <c r="P1859" s="228">
        <f t="shared" si="204"/>
        <v>0</v>
      </c>
      <c r="Q1859" s="228">
        <f t="shared" si="201"/>
        <v>0</v>
      </c>
      <c r="R1859" s="343">
        <f t="shared" si="202"/>
        <v>-34.26</v>
      </c>
      <c r="S1859" s="240"/>
      <c r="T1859" s="201"/>
      <c r="U1859" s="201"/>
      <c r="V1859" s="201"/>
    </row>
    <row r="1860" spans="1:22" ht="30" x14ac:dyDescent="0.25">
      <c r="A1860" s="234" t="s">
        <v>2258</v>
      </c>
      <c r="B1860" s="235" t="s">
        <v>2259</v>
      </c>
      <c r="C1860" s="234" t="s">
        <v>52</v>
      </c>
      <c r="D1860" s="312">
        <v>135.4</v>
      </c>
      <c r="E1860" s="312"/>
      <c r="F1860" s="248"/>
      <c r="G1860" s="312"/>
      <c r="H1860" s="312"/>
      <c r="I1860" s="312"/>
      <c r="J1860" s="248">
        <f t="shared" si="198"/>
        <v>0</v>
      </c>
      <c r="K1860" s="330">
        <f t="shared" si="199"/>
        <v>-135.4</v>
      </c>
      <c r="L1860" s="313"/>
      <c r="M1860" s="228">
        <f t="shared" si="200"/>
        <v>0</v>
      </c>
      <c r="N1860" s="228">
        <f t="shared" si="203"/>
        <v>0</v>
      </c>
      <c r="O1860" s="228">
        <f t="shared" si="204"/>
        <v>0</v>
      </c>
      <c r="P1860" s="228">
        <f t="shared" si="204"/>
        <v>0</v>
      </c>
      <c r="Q1860" s="228">
        <f t="shared" si="201"/>
        <v>0</v>
      </c>
      <c r="R1860" s="343">
        <f t="shared" si="202"/>
        <v>-135.4</v>
      </c>
      <c r="S1860" s="240"/>
      <c r="T1860" s="201"/>
      <c r="U1860" s="201"/>
      <c r="V1860" s="201"/>
    </row>
    <row r="1861" spans="1:22" ht="30" x14ac:dyDescent="0.25">
      <c r="A1861" s="234" t="s">
        <v>2260</v>
      </c>
      <c r="B1861" s="235" t="s">
        <v>418</v>
      </c>
      <c r="C1861" s="234" t="s">
        <v>52</v>
      </c>
      <c r="D1861" s="312">
        <v>135.4</v>
      </c>
      <c r="E1861" s="312"/>
      <c r="F1861" s="248"/>
      <c r="G1861" s="312"/>
      <c r="H1861" s="312"/>
      <c r="I1861" s="312"/>
      <c r="J1861" s="248">
        <f t="shared" si="198"/>
        <v>0</v>
      </c>
      <c r="K1861" s="330">
        <f t="shared" si="199"/>
        <v>-135.4</v>
      </c>
      <c r="L1861" s="313"/>
      <c r="M1861" s="228">
        <f t="shared" si="200"/>
        <v>0</v>
      </c>
      <c r="N1861" s="228">
        <f t="shared" si="203"/>
        <v>0</v>
      </c>
      <c r="O1861" s="228">
        <f t="shared" si="204"/>
        <v>0</v>
      </c>
      <c r="P1861" s="228">
        <f t="shared" si="204"/>
        <v>0</v>
      </c>
      <c r="Q1861" s="228">
        <f t="shared" si="201"/>
        <v>0</v>
      </c>
      <c r="R1861" s="343">
        <f t="shared" si="202"/>
        <v>-135.4</v>
      </c>
      <c r="S1861" s="240"/>
      <c r="T1861" s="201"/>
      <c r="U1861" s="201"/>
      <c r="V1861" s="201"/>
    </row>
    <row r="1862" spans="1:22" ht="30" x14ac:dyDescent="0.25">
      <c r="A1862" s="234" t="s">
        <v>2261</v>
      </c>
      <c r="B1862" s="235" t="s">
        <v>2262</v>
      </c>
      <c r="C1862" s="234" t="s">
        <v>52</v>
      </c>
      <c r="D1862" s="312">
        <v>14.52</v>
      </c>
      <c r="E1862" s="312"/>
      <c r="F1862" s="248"/>
      <c r="G1862" s="312"/>
      <c r="H1862" s="312"/>
      <c r="I1862" s="312"/>
      <c r="J1862" s="248">
        <f t="shared" si="198"/>
        <v>0</v>
      </c>
      <c r="K1862" s="330">
        <f t="shared" si="199"/>
        <v>-14.52</v>
      </c>
      <c r="L1862" s="313"/>
      <c r="M1862" s="228">
        <f t="shared" si="200"/>
        <v>0</v>
      </c>
      <c r="N1862" s="228">
        <f t="shared" si="203"/>
        <v>0</v>
      </c>
      <c r="O1862" s="228">
        <f t="shared" si="204"/>
        <v>0</v>
      </c>
      <c r="P1862" s="228">
        <f t="shared" si="204"/>
        <v>0</v>
      </c>
      <c r="Q1862" s="228">
        <f t="shared" si="201"/>
        <v>0</v>
      </c>
      <c r="R1862" s="343">
        <f t="shared" si="202"/>
        <v>-14.52</v>
      </c>
      <c r="S1862" s="240"/>
      <c r="T1862" s="201"/>
      <c r="U1862" s="201"/>
      <c r="V1862" s="201"/>
    </row>
    <row r="1863" spans="1:22" ht="30" x14ac:dyDescent="0.25">
      <c r="A1863" s="234" t="s">
        <v>2263</v>
      </c>
      <c r="B1863" s="235" t="s">
        <v>2264</v>
      </c>
      <c r="C1863" s="234" t="s">
        <v>52</v>
      </c>
      <c r="D1863" s="312">
        <v>10.199999999999999</v>
      </c>
      <c r="E1863" s="312"/>
      <c r="F1863" s="248"/>
      <c r="G1863" s="312"/>
      <c r="H1863" s="312"/>
      <c r="I1863" s="312"/>
      <c r="J1863" s="248">
        <f t="shared" si="198"/>
        <v>0</v>
      </c>
      <c r="K1863" s="330">
        <f t="shared" si="199"/>
        <v>-10.199999999999999</v>
      </c>
      <c r="L1863" s="313"/>
      <c r="M1863" s="228">
        <f t="shared" si="200"/>
        <v>0</v>
      </c>
      <c r="N1863" s="228">
        <f t="shared" si="203"/>
        <v>0</v>
      </c>
      <c r="O1863" s="228">
        <f t="shared" si="204"/>
        <v>0</v>
      </c>
      <c r="P1863" s="228">
        <f t="shared" si="204"/>
        <v>0</v>
      </c>
      <c r="Q1863" s="228">
        <f t="shared" si="201"/>
        <v>0</v>
      </c>
      <c r="R1863" s="343">
        <f t="shared" si="202"/>
        <v>-10.199999999999999</v>
      </c>
      <c r="S1863" s="240"/>
      <c r="T1863" s="201"/>
      <c r="U1863" s="201"/>
      <c r="V1863" s="201"/>
    </row>
    <row r="1864" spans="1:22" ht="15.75" x14ac:dyDescent="0.25">
      <c r="A1864" s="234" t="s">
        <v>2265</v>
      </c>
      <c r="B1864" s="235" t="s">
        <v>2266</v>
      </c>
      <c r="C1864" s="234" t="s">
        <v>52</v>
      </c>
      <c r="D1864" s="312">
        <v>24.72</v>
      </c>
      <c r="E1864" s="312"/>
      <c r="F1864" s="248"/>
      <c r="G1864" s="312"/>
      <c r="H1864" s="312"/>
      <c r="I1864" s="312"/>
      <c r="J1864" s="248">
        <f t="shared" si="198"/>
        <v>0</v>
      </c>
      <c r="K1864" s="330">
        <f t="shared" si="199"/>
        <v>-24.72</v>
      </c>
      <c r="L1864" s="313"/>
      <c r="M1864" s="228">
        <f t="shared" si="200"/>
        <v>0</v>
      </c>
      <c r="N1864" s="228">
        <f t="shared" si="203"/>
        <v>0</v>
      </c>
      <c r="O1864" s="228">
        <f t="shared" si="204"/>
        <v>0</v>
      </c>
      <c r="P1864" s="228">
        <f t="shared" si="204"/>
        <v>0</v>
      </c>
      <c r="Q1864" s="228">
        <f t="shared" si="201"/>
        <v>0</v>
      </c>
      <c r="R1864" s="343">
        <f t="shared" si="202"/>
        <v>-24.72</v>
      </c>
      <c r="S1864" s="240"/>
      <c r="T1864" s="201"/>
      <c r="U1864" s="201"/>
      <c r="V1864" s="201"/>
    </row>
    <row r="1865" spans="1:22" ht="15.75" x14ac:dyDescent="0.25">
      <c r="A1865" s="234" t="s">
        <v>2267</v>
      </c>
      <c r="B1865" s="235" t="s">
        <v>2268</v>
      </c>
      <c r="C1865" s="234" t="s">
        <v>52</v>
      </c>
      <c r="D1865" s="312">
        <v>352.31</v>
      </c>
      <c r="E1865" s="312"/>
      <c r="F1865" s="248"/>
      <c r="G1865" s="312"/>
      <c r="H1865" s="312"/>
      <c r="I1865" s="312"/>
      <c r="J1865" s="248">
        <f t="shared" si="198"/>
        <v>0</v>
      </c>
      <c r="K1865" s="330">
        <f t="shared" si="199"/>
        <v>-352.31</v>
      </c>
      <c r="L1865" s="313"/>
      <c r="M1865" s="228">
        <f t="shared" si="200"/>
        <v>0</v>
      </c>
      <c r="N1865" s="228">
        <f t="shared" si="203"/>
        <v>0</v>
      </c>
      <c r="O1865" s="228">
        <f t="shared" si="204"/>
        <v>0</v>
      </c>
      <c r="P1865" s="228">
        <f t="shared" si="204"/>
        <v>0</v>
      </c>
      <c r="Q1865" s="228">
        <f t="shared" si="201"/>
        <v>0</v>
      </c>
      <c r="R1865" s="343">
        <f t="shared" si="202"/>
        <v>-352.31</v>
      </c>
      <c r="S1865" s="240"/>
      <c r="T1865" s="201"/>
      <c r="U1865" s="201"/>
      <c r="V1865" s="201"/>
    </row>
    <row r="1866" spans="1:22" ht="15.75" x14ac:dyDescent="0.25">
      <c r="A1866" s="234" t="s">
        <v>2269</v>
      </c>
      <c r="B1866" s="235" t="s">
        <v>2270</v>
      </c>
      <c r="C1866" s="234" t="s">
        <v>52</v>
      </c>
      <c r="D1866" s="312">
        <v>177.56</v>
      </c>
      <c r="E1866" s="312"/>
      <c r="F1866" s="248"/>
      <c r="G1866" s="312"/>
      <c r="H1866" s="312"/>
      <c r="I1866" s="312"/>
      <c r="J1866" s="248">
        <f t="shared" si="198"/>
        <v>0</v>
      </c>
      <c r="K1866" s="330">
        <f t="shared" si="199"/>
        <v>-177.56</v>
      </c>
      <c r="L1866" s="313"/>
      <c r="M1866" s="228">
        <f t="shared" si="200"/>
        <v>0</v>
      </c>
      <c r="N1866" s="228">
        <f t="shared" si="203"/>
        <v>0</v>
      </c>
      <c r="O1866" s="228">
        <f t="shared" si="204"/>
        <v>0</v>
      </c>
      <c r="P1866" s="228">
        <f t="shared" si="204"/>
        <v>0</v>
      </c>
      <c r="Q1866" s="228">
        <f t="shared" si="201"/>
        <v>0</v>
      </c>
      <c r="R1866" s="343">
        <f t="shared" si="202"/>
        <v>-177.56</v>
      </c>
      <c r="S1866" s="240"/>
      <c r="T1866" s="201"/>
      <c r="U1866" s="201"/>
      <c r="V1866" s="201"/>
    </row>
    <row r="1867" spans="1:22" ht="30" x14ac:dyDescent="0.25">
      <c r="A1867" s="234" t="s">
        <v>2271</v>
      </c>
      <c r="B1867" s="235" t="s">
        <v>2272</v>
      </c>
      <c r="C1867" s="234" t="s">
        <v>52</v>
      </c>
      <c r="D1867" s="312">
        <v>315.14999999999998</v>
      </c>
      <c r="E1867" s="312"/>
      <c r="F1867" s="248"/>
      <c r="G1867" s="312"/>
      <c r="H1867" s="312"/>
      <c r="I1867" s="312"/>
      <c r="J1867" s="248">
        <f t="shared" si="198"/>
        <v>0</v>
      </c>
      <c r="K1867" s="330">
        <f t="shared" si="199"/>
        <v>-315.14999999999998</v>
      </c>
      <c r="L1867" s="313"/>
      <c r="M1867" s="228">
        <f t="shared" si="200"/>
        <v>0</v>
      </c>
      <c r="N1867" s="228">
        <f t="shared" si="203"/>
        <v>0</v>
      </c>
      <c r="O1867" s="228">
        <f t="shared" si="204"/>
        <v>0</v>
      </c>
      <c r="P1867" s="228">
        <f t="shared" si="204"/>
        <v>0</v>
      </c>
      <c r="Q1867" s="228">
        <f t="shared" si="201"/>
        <v>0</v>
      </c>
      <c r="R1867" s="343">
        <f t="shared" si="202"/>
        <v>-315.14999999999998</v>
      </c>
      <c r="S1867" s="240"/>
      <c r="T1867" s="201"/>
      <c r="U1867" s="201"/>
      <c r="V1867" s="201"/>
    </row>
    <row r="1868" spans="1:22" ht="30" x14ac:dyDescent="0.25">
      <c r="A1868" s="234" t="s">
        <v>2273</v>
      </c>
      <c r="B1868" s="235" t="s">
        <v>429</v>
      </c>
      <c r="C1868" s="234" t="s">
        <v>52</v>
      </c>
      <c r="D1868" s="312">
        <v>214.72</v>
      </c>
      <c r="E1868" s="312"/>
      <c r="F1868" s="248"/>
      <c r="G1868" s="312"/>
      <c r="H1868" s="312"/>
      <c r="I1868" s="312"/>
      <c r="J1868" s="248">
        <f t="shared" si="198"/>
        <v>0</v>
      </c>
      <c r="K1868" s="330">
        <f t="shared" si="199"/>
        <v>-214.72</v>
      </c>
      <c r="L1868" s="313"/>
      <c r="M1868" s="228">
        <f t="shared" si="200"/>
        <v>0</v>
      </c>
      <c r="N1868" s="228">
        <f t="shared" si="203"/>
        <v>0</v>
      </c>
      <c r="O1868" s="228">
        <f t="shared" si="204"/>
        <v>0</v>
      </c>
      <c r="P1868" s="228">
        <f t="shared" si="204"/>
        <v>0</v>
      </c>
      <c r="Q1868" s="228">
        <f t="shared" si="201"/>
        <v>0</v>
      </c>
      <c r="R1868" s="343">
        <f t="shared" si="202"/>
        <v>-214.72</v>
      </c>
      <c r="S1868" s="240"/>
      <c r="T1868" s="201"/>
      <c r="U1868" s="201"/>
      <c r="V1868" s="201"/>
    </row>
    <row r="1869" spans="1:22" ht="15.75" x14ac:dyDescent="0.25">
      <c r="A1869" s="234" t="s">
        <v>2274</v>
      </c>
      <c r="B1869" s="235" t="s">
        <v>1129</v>
      </c>
      <c r="C1869" s="234" t="s">
        <v>9</v>
      </c>
      <c r="D1869" s="312">
        <v>3</v>
      </c>
      <c r="E1869" s="312"/>
      <c r="F1869" s="248"/>
      <c r="G1869" s="312"/>
      <c r="H1869" s="312"/>
      <c r="I1869" s="312"/>
      <c r="J1869" s="248">
        <f t="shared" si="198"/>
        <v>0</v>
      </c>
      <c r="K1869" s="330">
        <f t="shared" si="199"/>
        <v>-3</v>
      </c>
      <c r="L1869" s="313"/>
      <c r="M1869" s="228">
        <f t="shared" si="200"/>
        <v>0</v>
      </c>
      <c r="N1869" s="228">
        <f t="shared" si="203"/>
        <v>0</v>
      </c>
      <c r="O1869" s="228">
        <f t="shared" si="204"/>
        <v>0</v>
      </c>
      <c r="P1869" s="228">
        <f t="shared" si="204"/>
        <v>0</v>
      </c>
      <c r="Q1869" s="228">
        <f t="shared" si="201"/>
        <v>0</v>
      </c>
      <c r="R1869" s="343">
        <f t="shared" si="202"/>
        <v>-3</v>
      </c>
      <c r="S1869" s="240"/>
      <c r="T1869" s="201"/>
      <c r="U1869" s="201"/>
      <c r="V1869" s="201"/>
    </row>
    <row r="1870" spans="1:22" ht="15.75" x14ac:dyDescent="0.25">
      <c r="A1870" s="234" t="s">
        <v>2275</v>
      </c>
      <c r="B1870" s="235" t="s">
        <v>1117</v>
      </c>
      <c r="C1870" s="234" t="s">
        <v>9</v>
      </c>
      <c r="D1870" s="312">
        <v>2</v>
      </c>
      <c r="E1870" s="312"/>
      <c r="F1870" s="248"/>
      <c r="G1870" s="312"/>
      <c r="H1870" s="312"/>
      <c r="I1870" s="312"/>
      <c r="J1870" s="248">
        <f t="shared" si="198"/>
        <v>0</v>
      </c>
      <c r="K1870" s="330">
        <f t="shared" si="199"/>
        <v>-2</v>
      </c>
      <c r="L1870" s="313"/>
      <c r="M1870" s="228">
        <f t="shared" si="200"/>
        <v>0</v>
      </c>
      <c r="N1870" s="228">
        <f t="shared" si="203"/>
        <v>0</v>
      </c>
      <c r="O1870" s="228">
        <f t="shared" si="204"/>
        <v>0</v>
      </c>
      <c r="P1870" s="228">
        <f t="shared" si="204"/>
        <v>0</v>
      </c>
      <c r="Q1870" s="228">
        <f t="shared" si="201"/>
        <v>0</v>
      </c>
      <c r="R1870" s="343">
        <f t="shared" si="202"/>
        <v>-2</v>
      </c>
      <c r="S1870" s="240"/>
      <c r="T1870" s="201"/>
      <c r="U1870" s="201"/>
      <c r="V1870" s="201"/>
    </row>
    <row r="1871" spans="1:22" ht="30" x14ac:dyDescent="0.25">
      <c r="A1871" s="234" t="s">
        <v>2276</v>
      </c>
      <c r="B1871" s="235" t="s">
        <v>1073</v>
      </c>
      <c r="C1871" s="234" t="s">
        <v>248</v>
      </c>
      <c r="D1871" s="312">
        <v>9</v>
      </c>
      <c r="E1871" s="312"/>
      <c r="F1871" s="248"/>
      <c r="G1871" s="312"/>
      <c r="H1871" s="312"/>
      <c r="I1871" s="312"/>
      <c r="J1871" s="248">
        <f t="shared" si="198"/>
        <v>0</v>
      </c>
      <c r="K1871" s="330">
        <f t="shared" si="199"/>
        <v>-9</v>
      </c>
      <c r="L1871" s="313"/>
      <c r="M1871" s="228">
        <f t="shared" si="200"/>
        <v>0</v>
      </c>
      <c r="N1871" s="228">
        <f t="shared" si="203"/>
        <v>0</v>
      </c>
      <c r="O1871" s="228">
        <f t="shared" si="204"/>
        <v>0</v>
      </c>
      <c r="P1871" s="228">
        <f t="shared" si="204"/>
        <v>0</v>
      </c>
      <c r="Q1871" s="228">
        <f t="shared" si="201"/>
        <v>0</v>
      </c>
      <c r="R1871" s="343">
        <f t="shared" si="202"/>
        <v>-9</v>
      </c>
      <c r="S1871" s="240"/>
      <c r="T1871" s="201"/>
      <c r="U1871" s="201"/>
      <c r="V1871" s="201"/>
    </row>
    <row r="1872" spans="1:22" ht="15.75" x14ac:dyDescent="0.25">
      <c r="A1872" s="234" t="s">
        <v>2277</v>
      </c>
      <c r="B1872" s="235" t="s">
        <v>2278</v>
      </c>
      <c r="C1872" s="234" t="s">
        <v>6</v>
      </c>
      <c r="D1872" s="312">
        <v>20</v>
      </c>
      <c r="E1872" s="312"/>
      <c r="F1872" s="248"/>
      <c r="G1872" s="312"/>
      <c r="H1872" s="312"/>
      <c r="I1872" s="312"/>
      <c r="J1872" s="248">
        <f t="shared" si="198"/>
        <v>0</v>
      </c>
      <c r="K1872" s="330">
        <f t="shared" si="199"/>
        <v>-20</v>
      </c>
      <c r="L1872" s="313"/>
      <c r="M1872" s="228">
        <f t="shared" si="200"/>
        <v>0</v>
      </c>
      <c r="N1872" s="228">
        <f t="shared" si="203"/>
        <v>0</v>
      </c>
      <c r="O1872" s="228">
        <f t="shared" si="204"/>
        <v>0</v>
      </c>
      <c r="P1872" s="228">
        <f t="shared" si="204"/>
        <v>0</v>
      </c>
      <c r="Q1872" s="228">
        <f t="shared" si="201"/>
        <v>0</v>
      </c>
      <c r="R1872" s="343">
        <f t="shared" si="202"/>
        <v>-20</v>
      </c>
      <c r="S1872" s="240"/>
      <c r="T1872" s="201"/>
      <c r="U1872" s="201"/>
      <c r="V1872" s="201"/>
    </row>
    <row r="1873" spans="1:22" ht="15.75" x14ac:dyDescent="0.25">
      <c r="A1873" s="234" t="s">
        <v>2279</v>
      </c>
      <c r="B1873" s="235" t="s">
        <v>2280</v>
      </c>
      <c r="C1873" s="234" t="s">
        <v>6</v>
      </c>
      <c r="D1873" s="312">
        <v>65</v>
      </c>
      <c r="E1873" s="312"/>
      <c r="F1873" s="248"/>
      <c r="G1873" s="312"/>
      <c r="H1873" s="312"/>
      <c r="I1873" s="312"/>
      <c r="J1873" s="248">
        <f t="shared" si="198"/>
        <v>0</v>
      </c>
      <c r="K1873" s="330">
        <f t="shared" si="199"/>
        <v>-65</v>
      </c>
      <c r="L1873" s="313"/>
      <c r="M1873" s="228">
        <f t="shared" si="200"/>
        <v>0</v>
      </c>
      <c r="N1873" s="228">
        <f t="shared" si="203"/>
        <v>0</v>
      </c>
      <c r="O1873" s="228">
        <f t="shared" si="204"/>
        <v>0</v>
      </c>
      <c r="P1873" s="228">
        <f t="shared" si="204"/>
        <v>0</v>
      </c>
      <c r="Q1873" s="228">
        <f t="shared" si="201"/>
        <v>0</v>
      </c>
      <c r="R1873" s="343">
        <f t="shared" si="202"/>
        <v>-65</v>
      </c>
      <c r="S1873" s="240"/>
      <c r="T1873" s="201"/>
      <c r="U1873" s="201"/>
      <c r="V1873" s="201"/>
    </row>
    <row r="1874" spans="1:22" ht="15.75" x14ac:dyDescent="0.25">
      <c r="A1874" s="234" t="s">
        <v>2281</v>
      </c>
      <c r="B1874" s="235" t="s">
        <v>2282</v>
      </c>
      <c r="C1874" s="234" t="s">
        <v>6</v>
      </c>
      <c r="D1874" s="312">
        <v>100</v>
      </c>
      <c r="E1874" s="312"/>
      <c r="F1874" s="248"/>
      <c r="G1874" s="312"/>
      <c r="H1874" s="312"/>
      <c r="I1874" s="312"/>
      <c r="J1874" s="248">
        <f t="shared" si="198"/>
        <v>0</v>
      </c>
      <c r="K1874" s="330">
        <f t="shared" si="199"/>
        <v>-100</v>
      </c>
      <c r="L1874" s="313"/>
      <c r="M1874" s="228">
        <f t="shared" si="200"/>
        <v>0</v>
      </c>
      <c r="N1874" s="228">
        <f t="shared" si="203"/>
        <v>0</v>
      </c>
      <c r="O1874" s="228">
        <f t="shared" si="204"/>
        <v>0</v>
      </c>
      <c r="P1874" s="228">
        <f t="shared" si="204"/>
        <v>0</v>
      </c>
      <c r="Q1874" s="228">
        <f t="shared" si="201"/>
        <v>0</v>
      </c>
      <c r="R1874" s="343">
        <f t="shared" si="202"/>
        <v>-100</v>
      </c>
      <c r="S1874" s="240"/>
      <c r="T1874" s="201"/>
      <c r="U1874" s="201"/>
      <c r="V1874" s="201"/>
    </row>
    <row r="1875" spans="1:22" ht="15.75" x14ac:dyDescent="0.25">
      <c r="A1875" s="234" t="s">
        <v>2283</v>
      </c>
      <c r="B1875" s="235" t="s">
        <v>2284</v>
      </c>
      <c r="C1875" s="234" t="s">
        <v>6</v>
      </c>
      <c r="D1875" s="312">
        <v>20</v>
      </c>
      <c r="E1875" s="312"/>
      <c r="F1875" s="248"/>
      <c r="G1875" s="312"/>
      <c r="H1875" s="312"/>
      <c r="I1875" s="312"/>
      <c r="J1875" s="248">
        <f t="shared" si="198"/>
        <v>0</v>
      </c>
      <c r="K1875" s="330">
        <f t="shared" si="199"/>
        <v>-20</v>
      </c>
      <c r="L1875" s="313"/>
      <c r="M1875" s="228">
        <f t="shared" si="200"/>
        <v>0</v>
      </c>
      <c r="N1875" s="228">
        <f t="shared" si="203"/>
        <v>0</v>
      </c>
      <c r="O1875" s="228">
        <f t="shared" si="204"/>
        <v>0</v>
      </c>
      <c r="P1875" s="228">
        <f t="shared" si="204"/>
        <v>0</v>
      </c>
      <c r="Q1875" s="228">
        <f t="shared" si="201"/>
        <v>0</v>
      </c>
      <c r="R1875" s="343">
        <f t="shared" si="202"/>
        <v>-20</v>
      </c>
      <c r="S1875" s="240"/>
      <c r="T1875" s="201"/>
      <c r="U1875" s="201"/>
      <c r="V1875" s="201"/>
    </row>
    <row r="1876" spans="1:22" ht="15.75" x14ac:dyDescent="0.25">
      <c r="A1876" s="234" t="s">
        <v>2285</v>
      </c>
      <c r="B1876" s="235" t="s">
        <v>2286</v>
      </c>
      <c r="C1876" s="234" t="s">
        <v>6</v>
      </c>
      <c r="D1876" s="312">
        <v>32.5</v>
      </c>
      <c r="E1876" s="312"/>
      <c r="F1876" s="248"/>
      <c r="G1876" s="312"/>
      <c r="H1876" s="312"/>
      <c r="I1876" s="312"/>
      <c r="J1876" s="248">
        <f t="shared" si="198"/>
        <v>0</v>
      </c>
      <c r="K1876" s="330">
        <f t="shared" si="199"/>
        <v>-32.5</v>
      </c>
      <c r="L1876" s="313"/>
      <c r="M1876" s="228">
        <f t="shared" si="200"/>
        <v>0</v>
      </c>
      <c r="N1876" s="228">
        <f t="shared" si="203"/>
        <v>0</v>
      </c>
      <c r="O1876" s="228">
        <f t="shared" si="204"/>
        <v>0</v>
      </c>
      <c r="P1876" s="228">
        <f t="shared" si="204"/>
        <v>0</v>
      </c>
      <c r="Q1876" s="228">
        <f t="shared" si="201"/>
        <v>0</v>
      </c>
      <c r="R1876" s="343">
        <f t="shared" si="202"/>
        <v>-32.5</v>
      </c>
      <c r="S1876" s="240"/>
      <c r="T1876" s="201"/>
      <c r="U1876" s="201"/>
      <c r="V1876" s="201"/>
    </row>
    <row r="1877" spans="1:22" ht="15.75" x14ac:dyDescent="0.25">
      <c r="A1877" s="234" t="s">
        <v>2287</v>
      </c>
      <c r="B1877" s="235" t="s">
        <v>2288</v>
      </c>
      <c r="C1877" s="234" t="s">
        <v>6</v>
      </c>
      <c r="D1877" s="312">
        <v>50</v>
      </c>
      <c r="E1877" s="312"/>
      <c r="F1877" s="248"/>
      <c r="G1877" s="312"/>
      <c r="H1877" s="312"/>
      <c r="I1877" s="312"/>
      <c r="J1877" s="248">
        <f t="shared" si="198"/>
        <v>0</v>
      </c>
      <c r="K1877" s="330">
        <f t="shared" si="199"/>
        <v>-50</v>
      </c>
      <c r="L1877" s="313"/>
      <c r="M1877" s="228">
        <f t="shared" si="200"/>
        <v>0</v>
      </c>
      <c r="N1877" s="228">
        <f t="shared" si="203"/>
        <v>0</v>
      </c>
      <c r="O1877" s="228">
        <f t="shared" si="204"/>
        <v>0</v>
      </c>
      <c r="P1877" s="228">
        <f t="shared" si="204"/>
        <v>0</v>
      </c>
      <c r="Q1877" s="228">
        <f t="shared" si="201"/>
        <v>0</v>
      </c>
      <c r="R1877" s="343">
        <f t="shared" si="202"/>
        <v>-50</v>
      </c>
      <c r="S1877" s="240"/>
      <c r="T1877" s="201"/>
      <c r="U1877" s="201"/>
      <c r="V1877" s="201"/>
    </row>
    <row r="1878" spans="1:22" ht="15.75" x14ac:dyDescent="0.25">
      <c r="A1878" s="234" t="s">
        <v>2289</v>
      </c>
      <c r="B1878" s="235" t="s">
        <v>2290</v>
      </c>
      <c r="C1878" s="234" t="s">
        <v>9</v>
      </c>
      <c r="D1878" s="312">
        <v>1</v>
      </c>
      <c r="E1878" s="312"/>
      <c r="F1878" s="248"/>
      <c r="G1878" s="312"/>
      <c r="H1878" s="312"/>
      <c r="I1878" s="312"/>
      <c r="J1878" s="248">
        <f t="shared" si="198"/>
        <v>0</v>
      </c>
      <c r="K1878" s="330">
        <f t="shared" si="199"/>
        <v>-1</v>
      </c>
      <c r="L1878" s="313"/>
      <c r="M1878" s="228">
        <f t="shared" si="200"/>
        <v>0</v>
      </c>
      <c r="N1878" s="228">
        <f t="shared" si="203"/>
        <v>0</v>
      </c>
      <c r="O1878" s="228">
        <f t="shared" si="204"/>
        <v>0</v>
      </c>
      <c r="P1878" s="228">
        <f t="shared" si="204"/>
        <v>0</v>
      </c>
      <c r="Q1878" s="228">
        <f t="shared" si="201"/>
        <v>0</v>
      </c>
      <c r="R1878" s="343">
        <f t="shared" si="202"/>
        <v>-1</v>
      </c>
      <c r="S1878" s="240"/>
      <c r="T1878" s="201"/>
      <c r="U1878" s="201"/>
      <c r="V1878" s="201"/>
    </row>
    <row r="1879" spans="1:22" ht="15.75" x14ac:dyDescent="0.25">
      <c r="A1879" s="234" t="s">
        <v>2291</v>
      </c>
      <c r="B1879" s="235" t="s">
        <v>2292</v>
      </c>
      <c r="C1879" s="234" t="s">
        <v>9</v>
      </c>
      <c r="D1879" s="312">
        <v>3</v>
      </c>
      <c r="E1879" s="312"/>
      <c r="F1879" s="248"/>
      <c r="G1879" s="312"/>
      <c r="H1879" s="312"/>
      <c r="I1879" s="312"/>
      <c r="J1879" s="248">
        <f t="shared" si="198"/>
        <v>0</v>
      </c>
      <c r="K1879" s="330">
        <f t="shared" si="199"/>
        <v>-3</v>
      </c>
      <c r="L1879" s="313"/>
      <c r="M1879" s="228">
        <f t="shared" si="200"/>
        <v>0</v>
      </c>
      <c r="N1879" s="228">
        <f t="shared" si="203"/>
        <v>0</v>
      </c>
      <c r="O1879" s="228">
        <f t="shared" si="204"/>
        <v>0</v>
      </c>
      <c r="P1879" s="228">
        <f t="shared" si="204"/>
        <v>0</v>
      </c>
      <c r="Q1879" s="228">
        <f t="shared" si="201"/>
        <v>0</v>
      </c>
      <c r="R1879" s="343">
        <f t="shared" si="202"/>
        <v>-3</v>
      </c>
      <c r="S1879" s="240"/>
      <c r="T1879" s="201"/>
      <c r="U1879" s="201"/>
      <c r="V1879" s="201"/>
    </row>
    <row r="1880" spans="1:22" ht="15.75" x14ac:dyDescent="0.25">
      <c r="A1880" s="234" t="s">
        <v>2293</v>
      </c>
      <c r="B1880" s="235" t="s">
        <v>2294</v>
      </c>
      <c r="C1880" s="234" t="s">
        <v>9</v>
      </c>
      <c r="D1880" s="312">
        <v>1</v>
      </c>
      <c r="E1880" s="312"/>
      <c r="F1880" s="248"/>
      <c r="G1880" s="312"/>
      <c r="H1880" s="312"/>
      <c r="I1880" s="312"/>
      <c r="J1880" s="248">
        <f t="shared" si="198"/>
        <v>0</v>
      </c>
      <c r="K1880" s="330">
        <f t="shared" si="199"/>
        <v>-1</v>
      </c>
      <c r="L1880" s="313"/>
      <c r="M1880" s="228">
        <f t="shared" si="200"/>
        <v>0</v>
      </c>
      <c r="N1880" s="228">
        <f t="shared" si="203"/>
        <v>0</v>
      </c>
      <c r="O1880" s="228">
        <f t="shared" si="204"/>
        <v>0</v>
      </c>
      <c r="P1880" s="228">
        <f t="shared" si="204"/>
        <v>0</v>
      </c>
      <c r="Q1880" s="228">
        <f t="shared" si="201"/>
        <v>0</v>
      </c>
      <c r="R1880" s="343">
        <f t="shared" si="202"/>
        <v>-1</v>
      </c>
      <c r="S1880" s="240"/>
      <c r="T1880" s="201"/>
      <c r="U1880" s="201"/>
      <c r="V1880" s="201"/>
    </row>
    <row r="1881" spans="1:22" ht="15.75" x14ac:dyDescent="0.25">
      <c r="A1881" s="234" t="s">
        <v>2295</v>
      </c>
      <c r="B1881" s="235" t="s">
        <v>495</v>
      </c>
      <c r="C1881" s="234" t="s">
        <v>248</v>
      </c>
      <c r="D1881" s="312">
        <v>1</v>
      </c>
      <c r="E1881" s="312"/>
      <c r="F1881" s="248"/>
      <c r="G1881" s="312"/>
      <c r="H1881" s="312"/>
      <c r="I1881" s="312"/>
      <c r="J1881" s="248">
        <f t="shared" si="198"/>
        <v>0</v>
      </c>
      <c r="K1881" s="330">
        <f t="shared" si="199"/>
        <v>-1</v>
      </c>
      <c r="L1881" s="313"/>
      <c r="M1881" s="228">
        <f t="shared" si="200"/>
        <v>0</v>
      </c>
      <c r="N1881" s="228">
        <f t="shared" si="203"/>
        <v>0</v>
      </c>
      <c r="O1881" s="228">
        <f t="shared" si="204"/>
        <v>0</v>
      </c>
      <c r="P1881" s="228">
        <f t="shared" si="204"/>
        <v>0</v>
      </c>
      <c r="Q1881" s="228">
        <f t="shared" si="201"/>
        <v>0</v>
      </c>
      <c r="R1881" s="343">
        <f t="shared" si="202"/>
        <v>-1</v>
      </c>
      <c r="S1881" s="240"/>
      <c r="T1881" s="201"/>
      <c r="U1881" s="201"/>
      <c r="V1881" s="201"/>
    </row>
    <row r="1882" spans="1:22" ht="30" x14ac:dyDescent="0.25">
      <c r="A1882" s="234" t="s">
        <v>2296</v>
      </c>
      <c r="B1882" s="235" t="s">
        <v>2297</v>
      </c>
      <c r="C1882" s="234" t="s">
        <v>248</v>
      </c>
      <c r="D1882" s="312">
        <v>1</v>
      </c>
      <c r="E1882" s="312"/>
      <c r="F1882" s="248"/>
      <c r="G1882" s="312"/>
      <c r="H1882" s="312"/>
      <c r="I1882" s="312"/>
      <c r="J1882" s="248">
        <f t="shared" si="198"/>
        <v>0</v>
      </c>
      <c r="K1882" s="330">
        <f t="shared" si="199"/>
        <v>-1</v>
      </c>
      <c r="L1882" s="313"/>
      <c r="M1882" s="228">
        <f t="shared" si="200"/>
        <v>0</v>
      </c>
      <c r="N1882" s="228">
        <f t="shared" si="203"/>
        <v>0</v>
      </c>
      <c r="O1882" s="228">
        <f t="shared" si="204"/>
        <v>0</v>
      </c>
      <c r="P1882" s="228">
        <f t="shared" si="204"/>
        <v>0</v>
      </c>
      <c r="Q1882" s="228">
        <f t="shared" si="201"/>
        <v>0</v>
      </c>
      <c r="R1882" s="343">
        <f t="shared" si="202"/>
        <v>-1</v>
      </c>
      <c r="S1882" s="240"/>
      <c r="T1882" s="201"/>
      <c r="U1882" s="201"/>
      <c r="V1882" s="201"/>
    </row>
    <row r="1883" spans="1:22" ht="15.75" x14ac:dyDescent="0.25">
      <c r="A1883" s="2" t="s">
        <v>4696</v>
      </c>
      <c r="B1883" s="3" t="s">
        <v>4697</v>
      </c>
      <c r="C1883" s="2"/>
      <c r="D1883" s="4" t="s">
        <v>3</v>
      </c>
      <c r="E1883" s="312"/>
      <c r="F1883" s="248"/>
      <c r="G1883" s="312"/>
      <c r="H1883" s="312"/>
      <c r="I1883" s="312"/>
      <c r="J1883" s="248"/>
      <c r="K1883" s="330"/>
      <c r="L1883" s="313"/>
      <c r="M1883" s="228"/>
      <c r="N1883" s="228"/>
      <c r="O1883" s="228"/>
      <c r="P1883" s="228"/>
      <c r="Q1883" s="228"/>
      <c r="R1883" s="343"/>
      <c r="S1883" s="240"/>
      <c r="T1883" s="201"/>
      <c r="U1883" s="201"/>
      <c r="V1883" s="201"/>
    </row>
    <row r="1884" spans="1:22" ht="15.75" x14ac:dyDescent="0.25">
      <c r="A1884" s="2" t="s">
        <v>4698</v>
      </c>
      <c r="B1884" s="3" t="s">
        <v>4699</v>
      </c>
      <c r="C1884" s="2"/>
      <c r="D1884" s="4" t="s">
        <v>3</v>
      </c>
      <c r="E1884" s="312"/>
      <c r="F1884" s="248"/>
      <c r="G1884" s="312"/>
      <c r="H1884" s="312"/>
      <c r="I1884" s="312"/>
      <c r="J1884" s="248"/>
      <c r="K1884" s="330"/>
      <c r="L1884" s="313"/>
      <c r="M1884" s="228"/>
      <c r="N1884" s="228"/>
      <c r="O1884" s="228"/>
      <c r="P1884" s="228"/>
      <c r="Q1884" s="228"/>
      <c r="R1884" s="343"/>
      <c r="S1884" s="240"/>
      <c r="T1884" s="201"/>
      <c r="U1884" s="201"/>
      <c r="V1884" s="201"/>
    </row>
    <row r="1885" spans="1:22" ht="31.5" x14ac:dyDescent="0.25">
      <c r="A1885" s="6" t="s">
        <v>4700</v>
      </c>
      <c r="B1885" s="7" t="s">
        <v>4701</v>
      </c>
      <c r="C1885" s="6" t="s">
        <v>1911</v>
      </c>
      <c r="D1885" s="8">
        <v>1</v>
      </c>
      <c r="E1885" s="312"/>
      <c r="F1885" s="248"/>
      <c r="G1885" s="312"/>
      <c r="H1885" s="312"/>
      <c r="I1885" s="312"/>
      <c r="J1885" s="248"/>
      <c r="K1885" s="330"/>
      <c r="L1885" s="313"/>
      <c r="M1885" s="228"/>
      <c r="N1885" s="228"/>
      <c r="O1885" s="228"/>
      <c r="P1885" s="228"/>
      <c r="Q1885" s="228"/>
      <c r="R1885" s="343"/>
      <c r="S1885" s="240"/>
      <c r="T1885" s="201"/>
      <c r="U1885" s="201"/>
      <c r="V1885" s="201"/>
    </row>
    <row r="1886" spans="1:22" ht="15.75" x14ac:dyDescent="0.25">
      <c r="A1886" s="6" t="s">
        <v>4702</v>
      </c>
      <c r="B1886" s="7" t="s">
        <v>4703</v>
      </c>
      <c r="C1886" s="6" t="s">
        <v>32</v>
      </c>
      <c r="D1886" s="8">
        <v>6</v>
      </c>
      <c r="E1886" s="312"/>
      <c r="F1886" s="248"/>
      <c r="G1886" s="312"/>
      <c r="H1886" s="312"/>
      <c r="I1886" s="312"/>
      <c r="J1886" s="248"/>
      <c r="K1886" s="330"/>
      <c r="L1886" s="313"/>
      <c r="M1886" s="228"/>
      <c r="N1886" s="228"/>
      <c r="O1886" s="228"/>
      <c r="P1886" s="228"/>
      <c r="Q1886" s="228"/>
      <c r="R1886" s="343"/>
      <c r="S1886" s="240"/>
      <c r="T1886" s="201"/>
      <c r="U1886" s="201"/>
      <c r="V1886" s="201"/>
    </row>
    <row r="1887" spans="1:22" ht="15.75" x14ac:dyDescent="0.25">
      <c r="A1887" s="6" t="s">
        <v>4704</v>
      </c>
      <c r="B1887" s="7" t="s">
        <v>4705</v>
      </c>
      <c r="C1887" s="6" t="s">
        <v>499</v>
      </c>
      <c r="D1887" s="8">
        <v>3</v>
      </c>
      <c r="E1887" s="312"/>
      <c r="F1887" s="248"/>
      <c r="G1887" s="312"/>
      <c r="H1887" s="312"/>
      <c r="I1887" s="312"/>
      <c r="J1887" s="248"/>
      <c r="K1887" s="330"/>
      <c r="L1887" s="313"/>
      <c r="M1887" s="228"/>
      <c r="N1887" s="228"/>
      <c r="O1887" s="228"/>
      <c r="P1887" s="228"/>
      <c r="Q1887" s="228"/>
      <c r="R1887" s="343"/>
      <c r="S1887" s="240"/>
      <c r="T1887" s="201"/>
      <c r="U1887" s="201"/>
      <c r="V1887" s="201"/>
    </row>
    <row r="1888" spans="1:22" ht="31.5" x14ac:dyDescent="0.25">
      <c r="A1888" s="6" t="s">
        <v>4706</v>
      </c>
      <c r="B1888" s="7" t="s">
        <v>4707</v>
      </c>
      <c r="C1888" s="6" t="s">
        <v>499</v>
      </c>
      <c r="D1888" s="8">
        <v>1</v>
      </c>
      <c r="E1888" s="312"/>
      <c r="F1888" s="248"/>
      <c r="G1888" s="312"/>
      <c r="H1888" s="312"/>
      <c r="I1888" s="312"/>
      <c r="J1888" s="248"/>
      <c r="K1888" s="330"/>
      <c r="L1888" s="313"/>
      <c r="M1888" s="228"/>
      <c r="N1888" s="228"/>
      <c r="O1888" s="228"/>
      <c r="P1888" s="228"/>
      <c r="Q1888" s="228"/>
      <c r="R1888" s="343"/>
      <c r="S1888" s="240"/>
      <c r="T1888" s="201"/>
      <c r="U1888" s="201"/>
      <c r="V1888" s="201"/>
    </row>
    <row r="1889" spans="1:22" ht="15.75" x14ac:dyDescent="0.25">
      <c r="A1889" s="6" t="s">
        <v>4708</v>
      </c>
      <c r="B1889" s="7" t="s">
        <v>4709</v>
      </c>
      <c r="C1889" s="6" t="s">
        <v>499</v>
      </c>
      <c r="D1889" s="8">
        <v>1</v>
      </c>
      <c r="E1889" s="312"/>
      <c r="F1889" s="248"/>
      <c r="G1889" s="312"/>
      <c r="H1889" s="312"/>
      <c r="I1889" s="312"/>
      <c r="J1889" s="248"/>
      <c r="K1889" s="330"/>
      <c r="L1889" s="313"/>
      <c r="M1889" s="228"/>
      <c r="N1889" s="228"/>
      <c r="O1889" s="228"/>
      <c r="P1889" s="228"/>
      <c r="Q1889" s="228"/>
      <c r="R1889" s="343"/>
      <c r="S1889" s="240"/>
      <c r="T1889" s="201"/>
      <c r="U1889" s="201"/>
      <c r="V1889" s="201"/>
    </row>
    <row r="1890" spans="1:22" ht="15.75" x14ac:dyDescent="0.25">
      <c r="A1890" s="6" t="s">
        <v>4710</v>
      </c>
      <c r="B1890" s="7" t="s">
        <v>4711</v>
      </c>
      <c r="C1890" s="6" t="s">
        <v>499</v>
      </c>
      <c r="D1890" s="8">
        <v>2</v>
      </c>
      <c r="E1890" s="312"/>
      <c r="F1890" s="248"/>
      <c r="G1890" s="312"/>
      <c r="H1890" s="312"/>
      <c r="I1890" s="312"/>
      <c r="J1890" s="248"/>
      <c r="K1890" s="330"/>
      <c r="L1890" s="313"/>
      <c r="M1890" s="228"/>
      <c r="N1890" s="228"/>
      <c r="O1890" s="228"/>
      <c r="P1890" s="228"/>
      <c r="Q1890" s="228"/>
      <c r="R1890" s="343"/>
      <c r="S1890" s="240"/>
      <c r="T1890" s="201"/>
      <c r="U1890" s="201"/>
      <c r="V1890" s="201"/>
    </row>
    <row r="1891" spans="1:22" ht="15.75" x14ac:dyDescent="0.25">
      <c r="A1891" s="230" t="s">
        <v>3645</v>
      </c>
      <c r="B1891" s="231" t="s">
        <v>3646</v>
      </c>
      <c r="C1891" s="230"/>
      <c r="D1891" s="316"/>
      <c r="E1891" s="312"/>
      <c r="F1891" s="248"/>
      <c r="G1891" s="312"/>
      <c r="H1891" s="312"/>
      <c r="I1891" s="312"/>
      <c r="J1891" s="248">
        <f t="shared" si="198"/>
        <v>0</v>
      </c>
      <c r="K1891" s="330">
        <f t="shared" si="199"/>
        <v>0</v>
      </c>
      <c r="L1891" s="313"/>
      <c r="M1891" s="228">
        <f t="shared" si="200"/>
        <v>0</v>
      </c>
      <c r="N1891" s="228">
        <f t="shared" si="203"/>
        <v>0</v>
      </c>
      <c r="O1891" s="228">
        <f t="shared" si="204"/>
        <v>0</v>
      </c>
      <c r="P1891" s="228">
        <f t="shared" si="204"/>
        <v>0</v>
      </c>
      <c r="Q1891" s="228">
        <f t="shared" si="201"/>
        <v>0</v>
      </c>
      <c r="R1891" s="343">
        <f t="shared" si="202"/>
        <v>0</v>
      </c>
      <c r="S1891" s="240"/>
      <c r="T1891" s="201"/>
      <c r="U1891" s="201"/>
      <c r="V1891" s="201"/>
    </row>
    <row r="1892" spans="1:22" ht="45" x14ac:dyDescent="0.25">
      <c r="A1892" s="234" t="s">
        <v>3647</v>
      </c>
      <c r="B1892" s="235" t="s">
        <v>3648</v>
      </c>
      <c r="C1892" s="234" t="s">
        <v>6</v>
      </c>
      <c r="D1892" s="312">
        <v>376</v>
      </c>
      <c r="E1892" s="312"/>
      <c r="F1892" s="248"/>
      <c r="G1892" s="312"/>
      <c r="H1892" s="312">
        <v>376</v>
      </c>
      <c r="I1892" s="312"/>
      <c r="J1892" s="248">
        <f t="shared" si="198"/>
        <v>376</v>
      </c>
      <c r="K1892" s="330">
        <f t="shared" si="199"/>
        <v>0</v>
      </c>
      <c r="L1892" s="313"/>
      <c r="M1892" s="228">
        <f t="shared" si="200"/>
        <v>0</v>
      </c>
      <c r="N1892" s="228">
        <f t="shared" si="203"/>
        <v>0</v>
      </c>
      <c r="O1892" s="228">
        <f t="shared" si="204"/>
        <v>376</v>
      </c>
      <c r="P1892" s="228">
        <f t="shared" si="204"/>
        <v>0</v>
      </c>
      <c r="Q1892" s="228">
        <f t="shared" si="201"/>
        <v>376</v>
      </c>
      <c r="R1892" s="343">
        <f t="shared" si="202"/>
        <v>0</v>
      </c>
      <c r="S1892" s="240"/>
      <c r="T1892" s="201"/>
      <c r="U1892" s="201"/>
      <c r="V1892" s="201"/>
    </row>
    <row r="1893" spans="1:22" ht="30" x14ac:dyDescent="0.25">
      <c r="A1893" s="234" t="s">
        <v>3649</v>
      </c>
      <c r="B1893" s="235" t="s">
        <v>3650</v>
      </c>
      <c r="C1893" s="234" t="s">
        <v>14</v>
      </c>
      <c r="D1893" s="312">
        <v>3.76</v>
      </c>
      <c r="E1893" s="312"/>
      <c r="F1893" s="248"/>
      <c r="G1893" s="312"/>
      <c r="H1893" s="312"/>
      <c r="I1893" s="312"/>
      <c r="J1893" s="248">
        <f t="shared" si="198"/>
        <v>0</v>
      </c>
      <c r="K1893" s="330">
        <f t="shared" si="199"/>
        <v>-3.76</v>
      </c>
      <c r="L1893" s="313"/>
      <c r="M1893" s="228">
        <f t="shared" si="200"/>
        <v>0</v>
      </c>
      <c r="N1893" s="228">
        <f t="shared" si="203"/>
        <v>0</v>
      </c>
      <c r="O1893" s="228">
        <f t="shared" si="204"/>
        <v>0</v>
      </c>
      <c r="P1893" s="228">
        <f t="shared" si="204"/>
        <v>0</v>
      </c>
      <c r="Q1893" s="228">
        <f t="shared" si="201"/>
        <v>0</v>
      </c>
      <c r="R1893" s="343">
        <f t="shared" si="202"/>
        <v>-3.76</v>
      </c>
      <c r="S1893" s="240"/>
      <c r="T1893" s="201"/>
      <c r="U1893" s="201"/>
      <c r="V1893" s="201"/>
    </row>
    <row r="1894" spans="1:22" ht="15.75" x14ac:dyDescent="0.25">
      <c r="A1894" s="234" t="s">
        <v>3651</v>
      </c>
      <c r="B1894" s="235" t="s">
        <v>3652</v>
      </c>
      <c r="C1894" s="234" t="s">
        <v>9</v>
      </c>
      <c r="D1894" s="312">
        <v>42</v>
      </c>
      <c r="E1894" s="312"/>
      <c r="F1894" s="248"/>
      <c r="G1894" s="312"/>
      <c r="H1894" s="312"/>
      <c r="I1894" s="312"/>
      <c r="J1894" s="248">
        <f t="shared" si="198"/>
        <v>0</v>
      </c>
      <c r="K1894" s="330">
        <f t="shared" si="199"/>
        <v>-42</v>
      </c>
      <c r="L1894" s="313"/>
      <c r="M1894" s="228">
        <f t="shared" si="200"/>
        <v>0</v>
      </c>
      <c r="N1894" s="228">
        <f t="shared" si="203"/>
        <v>0</v>
      </c>
      <c r="O1894" s="228">
        <f t="shared" si="204"/>
        <v>0</v>
      </c>
      <c r="P1894" s="228">
        <f t="shared" si="204"/>
        <v>0</v>
      </c>
      <c r="Q1894" s="228">
        <f t="shared" si="201"/>
        <v>0</v>
      </c>
      <c r="R1894" s="343">
        <f t="shared" si="202"/>
        <v>-42</v>
      </c>
      <c r="S1894" s="240"/>
      <c r="T1894" s="201"/>
      <c r="U1894" s="201"/>
      <c r="V1894" s="201"/>
    </row>
    <row r="1895" spans="1:22" ht="30" x14ac:dyDescent="0.25">
      <c r="A1895" s="234" t="s">
        <v>3653</v>
      </c>
      <c r="B1895" s="235" t="s">
        <v>3654</v>
      </c>
      <c r="C1895" s="234" t="s">
        <v>3655</v>
      </c>
      <c r="D1895" s="312">
        <v>4.2</v>
      </c>
      <c r="E1895" s="312"/>
      <c r="F1895" s="248"/>
      <c r="G1895" s="312"/>
      <c r="H1895" s="312"/>
      <c r="I1895" s="312"/>
      <c r="J1895" s="248">
        <f t="shared" si="198"/>
        <v>0</v>
      </c>
      <c r="K1895" s="330">
        <f t="shared" si="199"/>
        <v>-4.2</v>
      </c>
      <c r="L1895" s="313"/>
      <c r="M1895" s="228">
        <f t="shared" si="200"/>
        <v>0</v>
      </c>
      <c r="N1895" s="228">
        <f t="shared" si="203"/>
        <v>0</v>
      </c>
      <c r="O1895" s="228">
        <f t="shared" si="204"/>
        <v>0</v>
      </c>
      <c r="P1895" s="228">
        <f t="shared" si="204"/>
        <v>0</v>
      </c>
      <c r="Q1895" s="228">
        <f t="shared" si="201"/>
        <v>0</v>
      </c>
      <c r="R1895" s="343">
        <f t="shared" si="202"/>
        <v>-4.2</v>
      </c>
      <c r="S1895" s="240"/>
      <c r="T1895" s="201"/>
      <c r="U1895" s="201"/>
      <c r="V1895" s="201"/>
    </row>
    <row r="1896" spans="1:22" ht="15.75" x14ac:dyDescent="0.25">
      <c r="A1896" s="234" t="s">
        <v>3656</v>
      </c>
      <c r="B1896" s="235" t="s">
        <v>3657</v>
      </c>
      <c r="C1896" s="234" t="s">
        <v>6</v>
      </c>
      <c r="D1896" s="312">
        <v>27</v>
      </c>
      <c r="E1896" s="312"/>
      <c r="F1896" s="248"/>
      <c r="G1896" s="312"/>
      <c r="H1896" s="312"/>
      <c r="I1896" s="312"/>
      <c r="J1896" s="248">
        <f t="shared" si="198"/>
        <v>0</v>
      </c>
      <c r="K1896" s="330">
        <f t="shared" si="199"/>
        <v>-27</v>
      </c>
      <c r="L1896" s="313"/>
      <c r="M1896" s="228">
        <f t="shared" si="200"/>
        <v>0</v>
      </c>
      <c r="N1896" s="228">
        <f t="shared" si="203"/>
        <v>0</v>
      </c>
      <c r="O1896" s="228">
        <f t="shared" si="204"/>
        <v>0</v>
      </c>
      <c r="P1896" s="228">
        <f t="shared" si="204"/>
        <v>0</v>
      </c>
      <c r="Q1896" s="228">
        <f t="shared" si="201"/>
        <v>0</v>
      </c>
      <c r="R1896" s="343">
        <f t="shared" si="202"/>
        <v>-27</v>
      </c>
      <c r="S1896" s="240"/>
      <c r="T1896" s="201"/>
      <c r="U1896" s="201"/>
      <c r="V1896" s="201"/>
    </row>
    <row r="1897" spans="1:22" ht="30" x14ac:dyDescent="0.25">
      <c r="A1897" s="234" t="s">
        <v>3658</v>
      </c>
      <c r="B1897" s="235" t="s">
        <v>3659</v>
      </c>
      <c r="C1897" s="234" t="s">
        <v>14</v>
      </c>
      <c r="D1897" s="312">
        <v>11</v>
      </c>
      <c r="E1897" s="312"/>
      <c r="F1897" s="248"/>
      <c r="G1897" s="312"/>
      <c r="H1897" s="312"/>
      <c r="I1897" s="312"/>
      <c r="J1897" s="248">
        <f t="shared" si="198"/>
        <v>0</v>
      </c>
      <c r="K1897" s="330">
        <f t="shared" si="199"/>
        <v>-11</v>
      </c>
      <c r="L1897" s="313"/>
      <c r="M1897" s="228">
        <f t="shared" si="200"/>
        <v>0</v>
      </c>
      <c r="N1897" s="228">
        <f t="shared" si="203"/>
        <v>0</v>
      </c>
      <c r="O1897" s="228">
        <f t="shared" si="204"/>
        <v>0</v>
      </c>
      <c r="P1897" s="228">
        <f t="shared" si="204"/>
        <v>0</v>
      </c>
      <c r="Q1897" s="228">
        <f t="shared" si="201"/>
        <v>0</v>
      </c>
      <c r="R1897" s="343">
        <f t="shared" si="202"/>
        <v>-11</v>
      </c>
      <c r="S1897" s="240"/>
      <c r="T1897" s="201"/>
      <c r="U1897" s="201"/>
      <c r="V1897" s="201"/>
    </row>
    <row r="1898" spans="1:22" ht="15.75" x14ac:dyDescent="0.25">
      <c r="A1898" s="234" t="s">
        <v>3660</v>
      </c>
      <c r="B1898" s="235" t="s">
        <v>3661</v>
      </c>
      <c r="C1898" s="234" t="s">
        <v>248</v>
      </c>
      <c r="D1898" s="312">
        <v>3</v>
      </c>
      <c r="E1898" s="312"/>
      <c r="F1898" s="248"/>
      <c r="G1898" s="312"/>
      <c r="H1898" s="312"/>
      <c r="I1898" s="312"/>
      <c r="J1898" s="248">
        <f t="shared" si="198"/>
        <v>0</v>
      </c>
      <c r="K1898" s="330">
        <f t="shared" si="199"/>
        <v>-3</v>
      </c>
      <c r="L1898" s="313"/>
      <c r="M1898" s="228">
        <f t="shared" si="200"/>
        <v>0</v>
      </c>
      <c r="N1898" s="228">
        <f t="shared" si="203"/>
        <v>0</v>
      </c>
      <c r="O1898" s="228">
        <f t="shared" si="204"/>
        <v>0</v>
      </c>
      <c r="P1898" s="228">
        <f t="shared" si="204"/>
        <v>0</v>
      </c>
      <c r="Q1898" s="228">
        <f t="shared" si="201"/>
        <v>0</v>
      </c>
      <c r="R1898" s="343">
        <f t="shared" si="202"/>
        <v>-3</v>
      </c>
      <c r="S1898" s="240"/>
      <c r="T1898" s="201"/>
      <c r="U1898" s="201"/>
      <c r="V1898" s="201"/>
    </row>
    <row r="1899" spans="1:22" ht="30" x14ac:dyDescent="0.25">
      <c r="A1899" s="234" t="s">
        <v>3662</v>
      </c>
      <c r="B1899" s="235" t="s">
        <v>3663</v>
      </c>
      <c r="C1899" s="234" t="s">
        <v>3664</v>
      </c>
      <c r="D1899" s="312">
        <v>3</v>
      </c>
      <c r="E1899" s="312"/>
      <c r="F1899" s="248"/>
      <c r="G1899" s="312"/>
      <c r="H1899" s="312"/>
      <c r="I1899" s="312"/>
      <c r="J1899" s="248">
        <f t="shared" si="198"/>
        <v>0</v>
      </c>
      <c r="K1899" s="330">
        <f t="shared" si="199"/>
        <v>-3</v>
      </c>
      <c r="L1899" s="313"/>
      <c r="M1899" s="228">
        <f t="shared" si="200"/>
        <v>0</v>
      </c>
      <c r="N1899" s="228">
        <f t="shared" si="203"/>
        <v>0</v>
      </c>
      <c r="O1899" s="228">
        <f t="shared" si="204"/>
        <v>0</v>
      </c>
      <c r="P1899" s="228">
        <f t="shared" si="204"/>
        <v>0</v>
      </c>
      <c r="Q1899" s="228">
        <f t="shared" si="201"/>
        <v>0</v>
      </c>
      <c r="R1899" s="343">
        <f t="shared" si="202"/>
        <v>-3</v>
      </c>
      <c r="S1899" s="240"/>
      <c r="T1899" s="201"/>
      <c r="U1899" s="201"/>
      <c r="V1899" s="201"/>
    </row>
    <row r="1900" spans="1:22" ht="15.75" x14ac:dyDescent="0.25">
      <c r="A1900" s="234" t="s">
        <v>3665</v>
      </c>
      <c r="B1900" s="235" t="s">
        <v>3666</v>
      </c>
      <c r="C1900" s="234" t="s">
        <v>248</v>
      </c>
      <c r="D1900" s="312">
        <v>2</v>
      </c>
      <c r="E1900" s="312"/>
      <c r="F1900" s="248"/>
      <c r="G1900" s="312"/>
      <c r="H1900" s="312"/>
      <c r="I1900" s="312"/>
      <c r="J1900" s="248">
        <f t="shared" si="198"/>
        <v>0</v>
      </c>
      <c r="K1900" s="330">
        <f t="shared" si="199"/>
        <v>-2</v>
      </c>
      <c r="L1900" s="313"/>
      <c r="M1900" s="228">
        <f t="shared" si="200"/>
        <v>0</v>
      </c>
      <c r="N1900" s="228">
        <f t="shared" si="203"/>
        <v>0</v>
      </c>
      <c r="O1900" s="228">
        <f t="shared" si="204"/>
        <v>0</v>
      </c>
      <c r="P1900" s="228">
        <f t="shared" si="204"/>
        <v>0</v>
      </c>
      <c r="Q1900" s="228">
        <f t="shared" si="201"/>
        <v>0</v>
      </c>
      <c r="R1900" s="343">
        <f t="shared" si="202"/>
        <v>-2</v>
      </c>
      <c r="S1900" s="240"/>
      <c r="T1900" s="201"/>
      <c r="U1900" s="201"/>
      <c r="V1900" s="201"/>
    </row>
    <row r="1901" spans="1:22" ht="30" x14ac:dyDescent="0.25">
      <c r="A1901" s="234" t="s">
        <v>3667</v>
      </c>
      <c r="B1901" s="235" t="s">
        <v>3668</v>
      </c>
      <c r="C1901" s="234" t="s">
        <v>3664</v>
      </c>
      <c r="D1901" s="312">
        <v>6</v>
      </c>
      <c r="E1901" s="312"/>
      <c r="F1901" s="248"/>
      <c r="G1901" s="312"/>
      <c r="H1901" s="312"/>
      <c r="I1901" s="312"/>
      <c r="J1901" s="248">
        <f t="shared" si="198"/>
        <v>0</v>
      </c>
      <c r="K1901" s="330">
        <f t="shared" si="199"/>
        <v>-6</v>
      </c>
      <c r="L1901" s="313"/>
      <c r="M1901" s="228">
        <f t="shared" si="200"/>
        <v>0</v>
      </c>
      <c r="N1901" s="228">
        <f t="shared" si="203"/>
        <v>0</v>
      </c>
      <c r="O1901" s="228">
        <f t="shared" si="204"/>
        <v>0</v>
      </c>
      <c r="P1901" s="228">
        <f t="shared" si="204"/>
        <v>0</v>
      </c>
      <c r="Q1901" s="228">
        <f t="shared" si="201"/>
        <v>0</v>
      </c>
      <c r="R1901" s="343">
        <f t="shared" si="202"/>
        <v>-6</v>
      </c>
      <c r="S1901" s="240"/>
      <c r="T1901" s="201"/>
      <c r="U1901" s="201"/>
      <c r="V1901" s="201"/>
    </row>
    <row r="1902" spans="1:22" ht="30" x14ac:dyDescent="0.25">
      <c r="A1902" s="234" t="s">
        <v>3669</v>
      </c>
      <c r="B1902" s="235" t="s">
        <v>3670</v>
      </c>
      <c r="C1902" s="234" t="s">
        <v>248</v>
      </c>
      <c r="D1902" s="312">
        <v>6</v>
      </c>
      <c r="E1902" s="312"/>
      <c r="F1902" s="248"/>
      <c r="G1902" s="312"/>
      <c r="H1902" s="312"/>
      <c r="I1902" s="312"/>
      <c r="J1902" s="248">
        <f t="shared" si="198"/>
        <v>0</v>
      </c>
      <c r="K1902" s="330">
        <f t="shared" si="199"/>
        <v>-6</v>
      </c>
      <c r="L1902" s="313"/>
      <c r="M1902" s="228">
        <f t="shared" si="200"/>
        <v>0</v>
      </c>
      <c r="N1902" s="228">
        <f t="shared" si="203"/>
        <v>0</v>
      </c>
      <c r="O1902" s="228">
        <f t="shared" si="204"/>
        <v>0</v>
      </c>
      <c r="P1902" s="228">
        <f t="shared" si="204"/>
        <v>0</v>
      </c>
      <c r="Q1902" s="228">
        <f t="shared" si="201"/>
        <v>0</v>
      </c>
      <c r="R1902" s="343">
        <f t="shared" si="202"/>
        <v>-6</v>
      </c>
      <c r="S1902" s="240"/>
      <c r="T1902" s="201"/>
      <c r="U1902" s="201"/>
      <c r="V1902" s="201"/>
    </row>
    <row r="1903" spans="1:22" ht="15.75" x14ac:dyDescent="0.25">
      <c r="A1903" s="234" t="s">
        <v>3671</v>
      </c>
      <c r="B1903" s="235" t="s">
        <v>3672</v>
      </c>
      <c r="C1903" s="234" t="s">
        <v>3673</v>
      </c>
      <c r="D1903" s="312">
        <v>49.1</v>
      </c>
      <c r="E1903" s="312"/>
      <c r="F1903" s="248"/>
      <c r="G1903" s="312"/>
      <c r="H1903" s="312"/>
      <c r="I1903" s="312"/>
      <c r="J1903" s="248">
        <f t="shared" si="198"/>
        <v>0</v>
      </c>
      <c r="K1903" s="330">
        <f t="shared" si="199"/>
        <v>-49.1</v>
      </c>
      <c r="L1903" s="313"/>
      <c r="M1903" s="228">
        <f t="shared" si="200"/>
        <v>0</v>
      </c>
      <c r="N1903" s="228">
        <f t="shared" si="203"/>
        <v>0</v>
      </c>
      <c r="O1903" s="228">
        <f t="shared" si="204"/>
        <v>0</v>
      </c>
      <c r="P1903" s="228">
        <f t="shared" si="204"/>
        <v>0</v>
      </c>
      <c r="Q1903" s="228">
        <f t="shared" si="201"/>
        <v>0</v>
      </c>
      <c r="R1903" s="343">
        <f t="shared" si="202"/>
        <v>-49.1</v>
      </c>
      <c r="S1903" s="240"/>
      <c r="T1903" s="201"/>
      <c r="U1903" s="201"/>
      <c r="V1903" s="201"/>
    </row>
    <row r="1904" spans="1:22" ht="15.75" x14ac:dyDescent="0.25">
      <c r="A1904" s="234" t="s">
        <v>3674</v>
      </c>
      <c r="B1904" s="235" t="s">
        <v>3675</v>
      </c>
      <c r="C1904" s="234" t="s">
        <v>1399</v>
      </c>
      <c r="D1904" s="312">
        <v>8</v>
      </c>
      <c r="E1904" s="312"/>
      <c r="F1904" s="248"/>
      <c r="G1904" s="312"/>
      <c r="H1904" s="312"/>
      <c r="I1904" s="312"/>
      <c r="J1904" s="248">
        <f t="shared" ref="J1904:J1967" si="205">F1904+G1904+H1904+I1904</f>
        <v>0</v>
      </c>
      <c r="K1904" s="330">
        <f t="shared" ref="K1904:K1967" si="206">J1904-D1904</f>
        <v>-8</v>
      </c>
      <c r="L1904" s="313"/>
      <c r="M1904" s="228">
        <f t="shared" ref="M1904:M1967" si="207">F1904</f>
        <v>0</v>
      </c>
      <c r="N1904" s="228">
        <f t="shared" si="203"/>
        <v>0</v>
      </c>
      <c r="O1904" s="228">
        <f t="shared" si="204"/>
        <v>0</v>
      </c>
      <c r="P1904" s="228">
        <f t="shared" si="204"/>
        <v>0</v>
      </c>
      <c r="Q1904" s="228">
        <f t="shared" ref="Q1904:Q1967" si="208">M1904+N1904+O1904+P1904</f>
        <v>0</v>
      </c>
      <c r="R1904" s="343">
        <f t="shared" ref="R1904:R1967" si="209">Q1904-D1904</f>
        <v>-8</v>
      </c>
      <c r="S1904" s="240"/>
      <c r="T1904" s="201"/>
      <c r="U1904" s="201"/>
      <c r="V1904" s="201"/>
    </row>
    <row r="1905" spans="1:22" ht="30" x14ac:dyDescent="0.25">
      <c r="A1905" s="234" t="s">
        <v>3676</v>
      </c>
      <c r="B1905" s="235" t="s">
        <v>3677</v>
      </c>
      <c r="C1905" s="234" t="s">
        <v>442</v>
      </c>
      <c r="D1905" s="312">
        <v>5.2</v>
      </c>
      <c r="E1905" s="312"/>
      <c r="F1905" s="248"/>
      <c r="G1905" s="312"/>
      <c r="H1905" s="312"/>
      <c r="I1905" s="312"/>
      <c r="J1905" s="248">
        <f t="shared" si="205"/>
        <v>0</v>
      </c>
      <c r="K1905" s="330">
        <f t="shared" si="206"/>
        <v>-5.2</v>
      </c>
      <c r="L1905" s="313"/>
      <c r="M1905" s="228">
        <f t="shared" si="207"/>
        <v>0</v>
      </c>
      <c r="N1905" s="228">
        <f t="shared" si="203"/>
        <v>0</v>
      </c>
      <c r="O1905" s="228">
        <f t="shared" si="204"/>
        <v>0</v>
      </c>
      <c r="P1905" s="228">
        <f t="shared" si="204"/>
        <v>0</v>
      </c>
      <c r="Q1905" s="228">
        <f t="shared" si="208"/>
        <v>0</v>
      </c>
      <c r="R1905" s="343">
        <f t="shared" si="209"/>
        <v>-5.2</v>
      </c>
      <c r="S1905" s="240"/>
      <c r="T1905" s="201"/>
      <c r="U1905" s="201"/>
      <c r="V1905" s="201"/>
    </row>
    <row r="1906" spans="1:22" ht="30" x14ac:dyDescent="0.25">
      <c r="A1906" s="234" t="s">
        <v>3678</v>
      </c>
      <c r="B1906" s="235" t="s">
        <v>3679</v>
      </c>
      <c r="C1906" s="234" t="s">
        <v>37</v>
      </c>
      <c r="D1906" s="312">
        <v>6.72</v>
      </c>
      <c r="E1906" s="312"/>
      <c r="F1906" s="248"/>
      <c r="G1906" s="312"/>
      <c r="H1906" s="312"/>
      <c r="I1906" s="312"/>
      <c r="J1906" s="248">
        <f t="shared" si="205"/>
        <v>0</v>
      </c>
      <c r="K1906" s="330">
        <f t="shared" si="206"/>
        <v>-6.72</v>
      </c>
      <c r="L1906" s="313"/>
      <c r="M1906" s="228">
        <f t="shared" si="207"/>
        <v>0</v>
      </c>
      <c r="N1906" s="228">
        <f t="shared" si="203"/>
        <v>0</v>
      </c>
      <c r="O1906" s="228">
        <f t="shared" si="204"/>
        <v>0</v>
      </c>
      <c r="P1906" s="228">
        <f t="shared" si="204"/>
        <v>0</v>
      </c>
      <c r="Q1906" s="228">
        <f t="shared" si="208"/>
        <v>0</v>
      </c>
      <c r="R1906" s="343">
        <f t="shared" si="209"/>
        <v>-6.72</v>
      </c>
      <c r="S1906" s="240"/>
      <c r="T1906" s="201"/>
      <c r="U1906" s="201"/>
      <c r="V1906" s="201"/>
    </row>
    <row r="1907" spans="1:22" ht="15.75" x14ac:dyDescent="0.25">
      <c r="A1907" s="234" t="s">
        <v>3680</v>
      </c>
      <c r="B1907" s="235" t="s">
        <v>3681</v>
      </c>
      <c r="C1907" s="234" t="s">
        <v>37</v>
      </c>
      <c r="D1907" s="312">
        <v>6.72</v>
      </c>
      <c r="E1907" s="312"/>
      <c r="F1907" s="248"/>
      <c r="G1907" s="312"/>
      <c r="H1907" s="312"/>
      <c r="I1907" s="312"/>
      <c r="J1907" s="248">
        <f t="shared" si="205"/>
        <v>0</v>
      </c>
      <c r="K1907" s="330">
        <f t="shared" si="206"/>
        <v>-6.72</v>
      </c>
      <c r="L1907" s="313"/>
      <c r="M1907" s="228">
        <f t="shared" si="207"/>
        <v>0</v>
      </c>
      <c r="N1907" s="228">
        <f t="shared" si="203"/>
        <v>0</v>
      </c>
      <c r="O1907" s="228">
        <f t="shared" si="204"/>
        <v>0</v>
      </c>
      <c r="P1907" s="228">
        <f t="shared" si="204"/>
        <v>0</v>
      </c>
      <c r="Q1907" s="228">
        <f t="shared" si="208"/>
        <v>0</v>
      </c>
      <c r="R1907" s="343">
        <f t="shared" si="209"/>
        <v>-6.72</v>
      </c>
      <c r="S1907" s="240"/>
      <c r="T1907" s="201"/>
      <c r="U1907" s="201"/>
      <c r="V1907" s="201"/>
    </row>
    <row r="1908" spans="1:22" ht="15.75" x14ac:dyDescent="0.25">
      <c r="A1908" s="234" t="s">
        <v>3682</v>
      </c>
      <c r="B1908" s="235" t="s">
        <v>3683</v>
      </c>
      <c r="C1908" s="234" t="s">
        <v>248</v>
      </c>
      <c r="D1908" s="312">
        <v>1</v>
      </c>
      <c r="E1908" s="312"/>
      <c r="F1908" s="248"/>
      <c r="G1908" s="312"/>
      <c r="H1908" s="312"/>
      <c r="I1908" s="312"/>
      <c r="J1908" s="248">
        <f t="shared" si="205"/>
        <v>0</v>
      </c>
      <c r="K1908" s="330">
        <f t="shared" si="206"/>
        <v>-1</v>
      </c>
      <c r="L1908" s="313"/>
      <c r="M1908" s="228">
        <f t="shared" si="207"/>
        <v>0</v>
      </c>
      <c r="N1908" s="228">
        <f t="shared" si="203"/>
        <v>0</v>
      </c>
      <c r="O1908" s="228">
        <f t="shared" si="204"/>
        <v>0</v>
      </c>
      <c r="P1908" s="228">
        <f t="shared" si="204"/>
        <v>0</v>
      </c>
      <c r="Q1908" s="228">
        <f t="shared" si="208"/>
        <v>0</v>
      </c>
      <c r="R1908" s="343">
        <f t="shared" si="209"/>
        <v>-1</v>
      </c>
      <c r="S1908" s="240"/>
      <c r="T1908" s="201"/>
      <c r="U1908" s="201"/>
      <c r="V1908" s="201"/>
    </row>
    <row r="1909" spans="1:22" ht="15.75" x14ac:dyDescent="0.25">
      <c r="A1909" s="230" t="s">
        <v>3684</v>
      </c>
      <c r="B1909" s="231" t="s">
        <v>3685</v>
      </c>
      <c r="C1909" s="230"/>
      <c r="D1909" s="316"/>
      <c r="E1909" s="312"/>
      <c r="F1909" s="248"/>
      <c r="G1909" s="312"/>
      <c r="H1909" s="312"/>
      <c r="I1909" s="312"/>
      <c r="J1909" s="248">
        <f t="shared" si="205"/>
        <v>0</v>
      </c>
      <c r="K1909" s="330">
        <f t="shared" si="206"/>
        <v>0</v>
      </c>
      <c r="L1909" s="313"/>
      <c r="M1909" s="228">
        <f t="shared" si="207"/>
        <v>0</v>
      </c>
      <c r="N1909" s="228">
        <f t="shared" si="203"/>
        <v>0</v>
      </c>
      <c r="O1909" s="228">
        <f t="shared" si="204"/>
        <v>0</v>
      </c>
      <c r="P1909" s="228">
        <f t="shared" si="204"/>
        <v>0</v>
      </c>
      <c r="Q1909" s="228">
        <f t="shared" si="208"/>
        <v>0</v>
      </c>
      <c r="R1909" s="343">
        <f t="shared" si="209"/>
        <v>0</v>
      </c>
      <c r="S1909" s="240"/>
      <c r="T1909" s="201"/>
      <c r="U1909" s="201"/>
      <c r="V1909" s="201"/>
    </row>
    <row r="1910" spans="1:22" ht="15.75" x14ac:dyDescent="0.25">
      <c r="A1910" s="234" t="s">
        <v>3686</v>
      </c>
      <c r="B1910" s="235" t="s">
        <v>3687</v>
      </c>
      <c r="C1910" s="234" t="s">
        <v>6</v>
      </c>
      <c r="D1910" s="312">
        <v>119</v>
      </c>
      <c r="E1910" s="312"/>
      <c r="F1910" s="248"/>
      <c r="G1910" s="312"/>
      <c r="H1910" s="312">
        <v>119</v>
      </c>
      <c r="I1910" s="312"/>
      <c r="J1910" s="248">
        <f t="shared" si="205"/>
        <v>119</v>
      </c>
      <c r="K1910" s="330">
        <f t="shared" si="206"/>
        <v>0</v>
      </c>
      <c r="L1910" s="313"/>
      <c r="M1910" s="228">
        <f t="shared" si="207"/>
        <v>0</v>
      </c>
      <c r="N1910" s="228">
        <f t="shared" si="203"/>
        <v>0</v>
      </c>
      <c r="O1910" s="228">
        <f t="shared" si="204"/>
        <v>119</v>
      </c>
      <c r="P1910" s="228">
        <f t="shared" si="204"/>
        <v>0</v>
      </c>
      <c r="Q1910" s="228">
        <f t="shared" si="208"/>
        <v>119</v>
      </c>
      <c r="R1910" s="343">
        <f t="shared" si="209"/>
        <v>0</v>
      </c>
      <c r="S1910" s="240"/>
      <c r="T1910" s="201"/>
      <c r="U1910" s="201"/>
      <c r="V1910" s="201"/>
    </row>
    <row r="1911" spans="1:22" ht="30" x14ac:dyDescent="0.25">
      <c r="A1911" s="234" t="s">
        <v>3688</v>
      </c>
      <c r="B1911" s="235" t="s">
        <v>3689</v>
      </c>
      <c r="C1911" s="234" t="s">
        <v>14</v>
      </c>
      <c r="D1911" s="312">
        <v>1.05</v>
      </c>
      <c r="E1911" s="312"/>
      <c r="F1911" s="248"/>
      <c r="G1911" s="312"/>
      <c r="H1911" s="312"/>
      <c r="I1911" s="312"/>
      <c r="J1911" s="248">
        <f t="shared" si="205"/>
        <v>0</v>
      </c>
      <c r="K1911" s="330">
        <f t="shared" si="206"/>
        <v>-1.05</v>
      </c>
      <c r="L1911" s="313"/>
      <c r="M1911" s="228">
        <f t="shared" si="207"/>
        <v>0</v>
      </c>
      <c r="N1911" s="228">
        <f t="shared" si="203"/>
        <v>0</v>
      </c>
      <c r="O1911" s="228">
        <f t="shared" si="204"/>
        <v>0</v>
      </c>
      <c r="P1911" s="228">
        <f t="shared" si="204"/>
        <v>0</v>
      </c>
      <c r="Q1911" s="228">
        <f t="shared" si="208"/>
        <v>0</v>
      </c>
      <c r="R1911" s="343">
        <f t="shared" si="209"/>
        <v>-1.05</v>
      </c>
      <c r="S1911" s="240"/>
      <c r="T1911" s="201"/>
      <c r="U1911" s="201"/>
      <c r="V1911" s="201"/>
    </row>
    <row r="1912" spans="1:22" ht="30" x14ac:dyDescent="0.25">
      <c r="A1912" s="234" t="s">
        <v>3690</v>
      </c>
      <c r="B1912" s="235" t="s">
        <v>3691</v>
      </c>
      <c r="C1912" s="234" t="s">
        <v>14</v>
      </c>
      <c r="D1912" s="312">
        <v>0.14000000000000001</v>
      </c>
      <c r="E1912" s="312"/>
      <c r="F1912" s="248"/>
      <c r="G1912" s="312"/>
      <c r="H1912" s="312"/>
      <c r="I1912" s="312"/>
      <c r="J1912" s="248">
        <f t="shared" si="205"/>
        <v>0</v>
      </c>
      <c r="K1912" s="330">
        <f t="shared" si="206"/>
        <v>-0.14000000000000001</v>
      </c>
      <c r="L1912" s="313"/>
      <c r="M1912" s="228">
        <f t="shared" si="207"/>
        <v>0</v>
      </c>
      <c r="N1912" s="228">
        <f t="shared" si="203"/>
        <v>0</v>
      </c>
      <c r="O1912" s="228">
        <f t="shared" si="204"/>
        <v>0</v>
      </c>
      <c r="P1912" s="228">
        <f t="shared" si="204"/>
        <v>0</v>
      </c>
      <c r="Q1912" s="228">
        <f t="shared" si="208"/>
        <v>0</v>
      </c>
      <c r="R1912" s="343">
        <f t="shared" si="209"/>
        <v>-0.14000000000000001</v>
      </c>
      <c r="S1912" s="240"/>
      <c r="T1912" s="201"/>
      <c r="U1912" s="201"/>
      <c r="V1912" s="201"/>
    </row>
    <row r="1913" spans="1:22" ht="30" x14ac:dyDescent="0.25">
      <c r="A1913" s="234" t="s">
        <v>3692</v>
      </c>
      <c r="B1913" s="235" t="s">
        <v>3693</v>
      </c>
      <c r="C1913" s="234" t="s">
        <v>37</v>
      </c>
      <c r="D1913" s="312">
        <v>47.25</v>
      </c>
      <c r="E1913" s="312"/>
      <c r="F1913" s="248"/>
      <c r="G1913" s="312"/>
      <c r="H1913" s="312"/>
      <c r="I1913" s="312"/>
      <c r="J1913" s="248">
        <f t="shared" si="205"/>
        <v>0</v>
      </c>
      <c r="K1913" s="330">
        <f t="shared" si="206"/>
        <v>-47.25</v>
      </c>
      <c r="L1913" s="313"/>
      <c r="M1913" s="228">
        <f t="shared" si="207"/>
        <v>0</v>
      </c>
      <c r="N1913" s="228">
        <f t="shared" si="203"/>
        <v>0</v>
      </c>
      <c r="O1913" s="228">
        <f t="shared" si="204"/>
        <v>0</v>
      </c>
      <c r="P1913" s="228">
        <f t="shared" si="204"/>
        <v>0</v>
      </c>
      <c r="Q1913" s="228">
        <f t="shared" si="208"/>
        <v>0</v>
      </c>
      <c r="R1913" s="343">
        <f t="shared" si="209"/>
        <v>-47.25</v>
      </c>
      <c r="S1913" s="240"/>
      <c r="T1913" s="201"/>
      <c r="U1913" s="201"/>
      <c r="V1913" s="201"/>
    </row>
    <row r="1914" spans="1:22" ht="30" x14ac:dyDescent="0.25">
      <c r="A1914" s="234" t="s">
        <v>3694</v>
      </c>
      <c r="B1914" s="235" t="s">
        <v>3695</v>
      </c>
      <c r="C1914" s="234" t="s">
        <v>14</v>
      </c>
      <c r="D1914" s="312">
        <v>1.05</v>
      </c>
      <c r="E1914" s="312"/>
      <c r="F1914" s="248"/>
      <c r="G1914" s="312"/>
      <c r="H1914" s="312"/>
      <c r="I1914" s="312"/>
      <c r="J1914" s="248">
        <f t="shared" si="205"/>
        <v>0</v>
      </c>
      <c r="K1914" s="330">
        <f t="shared" si="206"/>
        <v>-1.05</v>
      </c>
      <c r="L1914" s="313"/>
      <c r="M1914" s="228">
        <f t="shared" si="207"/>
        <v>0</v>
      </c>
      <c r="N1914" s="228">
        <f t="shared" si="203"/>
        <v>0</v>
      </c>
      <c r="O1914" s="228">
        <f t="shared" si="204"/>
        <v>0</v>
      </c>
      <c r="P1914" s="228">
        <f t="shared" si="204"/>
        <v>0</v>
      </c>
      <c r="Q1914" s="228">
        <f t="shared" si="208"/>
        <v>0</v>
      </c>
      <c r="R1914" s="343">
        <f t="shared" si="209"/>
        <v>-1.05</v>
      </c>
      <c r="S1914" s="240"/>
      <c r="T1914" s="201"/>
      <c r="U1914" s="201"/>
      <c r="V1914" s="201"/>
    </row>
    <row r="1915" spans="1:22" ht="15.75" x14ac:dyDescent="0.25">
      <c r="A1915" s="234" t="s">
        <v>3696</v>
      </c>
      <c r="B1915" s="235" t="s">
        <v>3697</v>
      </c>
      <c r="C1915" s="234" t="s">
        <v>37</v>
      </c>
      <c r="D1915" s="312">
        <v>14.28</v>
      </c>
      <c r="E1915" s="312"/>
      <c r="F1915" s="248"/>
      <c r="G1915" s="312"/>
      <c r="H1915" s="312"/>
      <c r="I1915" s="312"/>
      <c r="J1915" s="248">
        <f t="shared" si="205"/>
        <v>0</v>
      </c>
      <c r="K1915" s="330">
        <f t="shared" si="206"/>
        <v>-14.28</v>
      </c>
      <c r="L1915" s="313"/>
      <c r="M1915" s="228">
        <f t="shared" si="207"/>
        <v>0</v>
      </c>
      <c r="N1915" s="228">
        <f t="shared" si="203"/>
        <v>0</v>
      </c>
      <c r="O1915" s="228">
        <f t="shared" si="204"/>
        <v>0</v>
      </c>
      <c r="P1915" s="228">
        <f t="shared" si="204"/>
        <v>0</v>
      </c>
      <c r="Q1915" s="228">
        <f t="shared" si="208"/>
        <v>0</v>
      </c>
      <c r="R1915" s="343">
        <f t="shared" si="209"/>
        <v>-14.28</v>
      </c>
      <c r="S1915" s="240"/>
      <c r="T1915" s="201"/>
      <c r="U1915" s="201"/>
      <c r="V1915" s="201"/>
    </row>
    <row r="1916" spans="1:22" ht="15.75" x14ac:dyDescent="0.25">
      <c r="A1916" s="234" t="s">
        <v>3698</v>
      </c>
      <c r="B1916" s="235" t="s">
        <v>3699</v>
      </c>
      <c r="C1916" s="234" t="s">
        <v>3700</v>
      </c>
      <c r="D1916" s="312">
        <v>8.9999999999999998E-4</v>
      </c>
      <c r="E1916" s="312"/>
      <c r="F1916" s="248"/>
      <c r="G1916" s="312"/>
      <c r="H1916" s="312"/>
      <c r="I1916" s="312"/>
      <c r="J1916" s="248">
        <f t="shared" si="205"/>
        <v>0</v>
      </c>
      <c r="K1916" s="330">
        <f t="shared" si="206"/>
        <v>-8.9999999999999998E-4</v>
      </c>
      <c r="L1916" s="313"/>
      <c r="M1916" s="228">
        <f t="shared" si="207"/>
        <v>0</v>
      </c>
      <c r="N1916" s="228">
        <f t="shared" si="203"/>
        <v>0</v>
      </c>
      <c r="O1916" s="228">
        <f t="shared" si="204"/>
        <v>0</v>
      </c>
      <c r="P1916" s="228">
        <f t="shared" si="204"/>
        <v>0</v>
      </c>
      <c r="Q1916" s="228">
        <f t="shared" si="208"/>
        <v>0</v>
      </c>
      <c r="R1916" s="343">
        <f t="shared" si="209"/>
        <v>-8.9999999999999998E-4</v>
      </c>
      <c r="S1916" s="240"/>
      <c r="T1916" s="201"/>
      <c r="U1916" s="201"/>
      <c r="V1916" s="201"/>
    </row>
    <row r="1917" spans="1:22" ht="15.75" x14ac:dyDescent="0.25">
      <c r="A1917" s="234" t="s">
        <v>3701</v>
      </c>
      <c r="B1917" s="235" t="s">
        <v>3702</v>
      </c>
      <c r="C1917" s="234" t="s">
        <v>61</v>
      </c>
      <c r="D1917" s="312">
        <v>1.05</v>
      </c>
      <c r="E1917" s="312"/>
      <c r="F1917" s="248"/>
      <c r="G1917" s="312"/>
      <c r="H1917" s="312"/>
      <c r="I1917" s="312"/>
      <c r="J1917" s="248">
        <f t="shared" si="205"/>
        <v>0</v>
      </c>
      <c r="K1917" s="330">
        <f t="shared" si="206"/>
        <v>-1.05</v>
      </c>
      <c r="L1917" s="313"/>
      <c r="M1917" s="228">
        <f t="shared" si="207"/>
        <v>0</v>
      </c>
      <c r="N1917" s="228">
        <f t="shared" si="203"/>
        <v>0</v>
      </c>
      <c r="O1917" s="228">
        <f t="shared" si="204"/>
        <v>0</v>
      </c>
      <c r="P1917" s="228">
        <f t="shared" si="204"/>
        <v>0</v>
      </c>
      <c r="Q1917" s="228">
        <f t="shared" si="208"/>
        <v>0</v>
      </c>
      <c r="R1917" s="343">
        <f t="shared" si="209"/>
        <v>-1.05</v>
      </c>
      <c r="S1917" s="240"/>
      <c r="T1917" s="201"/>
      <c r="U1917" s="201"/>
      <c r="V1917" s="201"/>
    </row>
    <row r="1918" spans="1:22" ht="30" x14ac:dyDescent="0.25">
      <c r="A1918" s="234" t="s">
        <v>3703</v>
      </c>
      <c r="B1918" s="235" t="s">
        <v>3704</v>
      </c>
      <c r="C1918" s="234" t="s">
        <v>37</v>
      </c>
      <c r="D1918" s="312">
        <v>3.2</v>
      </c>
      <c r="E1918" s="312"/>
      <c r="F1918" s="248"/>
      <c r="G1918" s="312"/>
      <c r="H1918" s="312"/>
      <c r="I1918" s="312"/>
      <c r="J1918" s="248">
        <f t="shared" si="205"/>
        <v>0</v>
      </c>
      <c r="K1918" s="330">
        <f t="shared" si="206"/>
        <v>-3.2</v>
      </c>
      <c r="L1918" s="313"/>
      <c r="M1918" s="228">
        <f t="shared" si="207"/>
        <v>0</v>
      </c>
      <c r="N1918" s="228">
        <f t="shared" si="203"/>
        <v>0</v>
      </c>
      <c r="O1918" s="228">
        <f t="shared" si="204"/>
        <v>0</v>
      </c>
      <c r="P1918" s="228">
        <f t="shared" si="204"/>
        <v>0</v>
      </c>
      <c r="Q1918" s="228">
        <f t="shared" si="208"/>
        <v>0</v>
      </c>
      <c r="R1918" s="343">
        <f t="shared" si="209"/>
        <v>-3.2</v>
      </c>
      <c r="S1918" s="240"/>
      <c r="T1918" s="201"/>
      <c r="U1918" s="201"/>
      <c r="V1918" s="201"/>
    </row>
    <row r="1919" spans="1:22" ht="30" x14ac:dyDescent="0.25">
      <c r="A1919" s="234" t="s">
        <v>3705</v>
      </c>
      <c r="B1919" s="235" t="s">
        <v>3706</v>
      </c>
      <c r="C1919" s="234" t="s">
        <v>248</v>
      </c>
      <c r="D1919" s="312">
        <v>1</v>
      </c>
      <c r="E1919" s="312"/>
      <c r="F1919" s="248"/>
      <c r="G1919" s="312"/>
      <c r="H1919" s="312"/>
      <c r="I1919" s="312"/>
      <c r="J1919" s="248">
        <f t="shared" si="205"/>
        <v>0</v>
      </c>
      <c r="K1919" s="330">
        <f t="shared" si="206"/>
        <v>-1</v>
      </c>
      <c r="L1919" s="313"/>
      <c r="M1919" s="228">
        <f t="shared" si="207"/>
        <v>0</v>
      </c>
      <c r="N1919" s="228">
        <f t="shared" ref="N1919:N1982" si="210">G1919</f>
        <v>0</v>
      </c>
      <c r="O1919" s="228">
        <f t="shared" ref="O1919:P1982" si="211">H1919</f>
        <v>0</v>
      </c>
      <c r="P1919" s="228">
        <f t="shared" si="211"/>
        <v>0</v>
      </c>
      <c r="Q1919" s="228">
        <f t="shared" si="208"/>
        <v>0</v>
      </c>
      <c r="R1919" s="343">
        <f t="shared" si="209"/>
        <v>-1</v>
      </c>
      <c r="S1919" s="240"/>
      <c r="T1919" s="201"/>
      <c r="U1919" s="201"/>
      <c r="V1919" s="201"/>
    </row>
    <row r="1920" spans="1:22" ht="15.75" x14ac:dyDescent="0.25">
      <c r="A1920" s="234" t="s">
        <v>3707</v>
      </c>
      <c r="B1920" s="235" t="s">
        <v>3708</v>
      </c>
      <c r="C1920" s="234" t="s">
        <v>248</v>
      </c>
      <c r="D1920" s="312">
        <v>1</v>
      </c>
      <c r="E1920" s="312"/>
      <c r="F1920" s="248"/>
      <c r="G1920" s="312"/>
      <c r="H1920" s="312"/>
      <c r="I1920" s="312"/>
      <c r="J1920" s="248">
        <f t="shared" si="205"/>
        <v>0</v>
      </c>
      <c r="K1920" s="330">
        <f t="shared" si="206"/>
        <v>-1</v>
      </c>
      <c r="L1920" s="313"/>
      <c r="M1920" s="228">
        <f t="shared" si="207"/>
        <v>0</v>
      </c>
      <c r="N1920" s="228">
        <f t="shared" si="210"/>
        <v>0</v>
      </c>
      <c r="O1920" s="228">
        <f t="shared" si="211"/>
        <v>0</v>
      </c>
      <c r="P1920" s="228">
        <f t="shared" si="211"/>
        <v>0</v>
      </c>
      <c r="Q1920" s="228">
        <f t="shared" si="208"/>
        <v>0</v>
      </c>
      <c r="R1920" s="343">
        <f t="shared" si="209"/>
        <v>-1</v>
      </c>
      <c r="S1920" s="240"/>
      <c r="T1920" s="201"/>
      <c r="U1920" s="201"/>
      <c r="V1920" s="201"/>
    </row>
    <row r="1921" spans="1:22" ht="15.75" x14ac:dyDescent="0.25">
      <c r="A1921" s="234" t="s">
        <v>3709</v>
      </c>
      <c r="B1921" s="235" t="s">
        <v>3710</v>
      </c>
      <c r="C1921" s="234" t="s">
        <v>3673</v>
      </c>
      <c r="D1921" s="312">
        <v>1</v>
      </c>
      <c r="E1921" s="312"/>
      <c r="F1921" s="248"/>
      <c r="G1921" s="312"/>
      <c r="H1921" s="312"/>
      <c r="I1921" s="312"/>
      <c r="J1921" s="248">
        <f t="shared" si="205"/>
        <v>0</v>
      </c>
      <c r="K1921" s="330">
        <f t="shared" si="206"/>
        <v>-1</v>
      </c>
      <c r="L1921" s="313"/>
      <c r="M1921" s="228">
        <f t="shared" si="207"/>
        <v>0</v>
      </c>
      <c r="N1921" s="228">
        <f t="shared" si="210"/>
        <v>0</v>
      </c>
      <c r="O1921" s="228">
        <f t="shared" si="211"/>
        <v>0</v>
      </c>
      <c r="P1921" s="228">
        <f t="shared" si="211"/>
        <v>0</v>
      </c>
      <c r="Q1921" s="228">
        <f t="shared" si="208"/>
        <v>0</v>
      </c>
      <c r="R1921" s="343">
        <f t="shared" si="209"/>
        <v>-1</v>
      </c>
      <c r="S1921" s="240"/>
      <c r="T1921" s="201"/>
      <c r="U1921" s="201"/>
      <c r="V1921" s="201"/>
    </row>
    <row r="1922" spans="1:22" ht="15.75" x14ac:dyDescent="0.25">
      <c r="A1922" s="234" t="s">
        <v>3711</v>
      </c>
      <c r="B1922" s="235" t="s">
        <v>3712</v>
      </c>
      <c r="C1922" s="234" t="s">
        <v>248</v>
      </c>
      <c r="D1922" s="312">
        <v>1</v>
      </c>
      <c r="E1922" s="312"/>
      <c r="F1922" s="248"/>
      <c r="G1922" s="312"/>
      <c r="H1922" s="312"/>
      <c r="I1922" s="312"/>
      <c r="J1922" s="248">
        <f t="shared" si="205"/>
        <v>0</v>
      </c>
      <c r="K1922" s="330">
        <f t="shared" si="206"/>
        <v>-1</v>
      </c>
      <c r="L1922" s="313"/>
      <c r="M1922" s="228">
        <f t="shared" si="207"/>
        <v>0</v>
      </c>
      <c r="N1922" s="228">
        <f t="shared" si="210"/>
        <v>0</v>
      </c>
      <c r="O1922" s="228">
        <f t="shared" si="211"/>
        <v>0</v>
      </c>
      <c r="P1922" s="228">
        <f t="shared" si="211"/>
        <v>0</v>
      </c>
      <c r="Q1922" s="228">
        <f t="shared" si="208"/>
        <v>0</v>
      </c>
      <c r="R1922" s="343">
        <f t="shared" si="209"/>
        <v>-1</v>
      </c>
      <c r="S1922" s="240"/>
      <c r="T1922" s="201"/>
      <c r="U1922" s="201"/>
      <c r="V1922" s="201"/>
    </row>
    <row r="1923" spans="1:22" ht="30" x14ac:dyDescent="0.25">
      <c r="A1923" s="234" t="s">
        <v>3713</v>
      </c>
      <c r="B1923" s="235" t="s">
        <v>3714</v>
      </c>
      <c r="C1923" s="234" t="s">
        <v>3673</v>
      </c>
      <c r="D1923" s="312">
        <v>1</v>
      </c>
      <c r="E1923" s="312"/>
      <c r="F1923" s="248"/>
      <c r="G1923" s="312"/>
      <c r="H1923" s="312"/>
      <c r="I1923" s="312"/>
      <c r="J1923" s="248">
        <f t="shared" si="205"/>
        <v>0</v>
      </c>
      <c r="K1923" s="330">
        <f t="shared" si="206"/>
        <v>-1</v>
      </c>
      <c r="L1923" s="313"/>
      <c r="M1923" s="228">
        <f t="shared" si="207"/>
        <v>0</v>
      </c>
      <c r="N1923" s="228">
        <f t="shared" si="210"/>
        <v>0</v>
      </c>
      <c r="O1923" s="228">
        <f t="shared" si="211"/>
        <v>0</v>
      </c>
      <c r="P1923" s="228">
        <f t="shared" si="211"/>
        <v>0</v>
      </c>
      <c r="Q1923" s="228">
        <f t="shared" si="208"/>
        <v>0</v>
      </c>
      <c r="R1923" s="343">
        <f t="shared" si="209"/>
        <v>-1</v>
      </c>
      <c r="S1923" s="240"/>
      <c r="T1923" s="201"/>
      <c r="U1923" s="201"/>
      <c r="V1923" s="201"/>
    </row>
    <row r="1924" spans="1:22" ht="15.75" x14ac:dyDescent="0.25">
      <c r="A1924" s="234" t="s">
        <v>3715</v>
      </c>
      <c r="B1924" s="235" t="s">
        <v>3716</v>
      </c>
      <c r="C1924" s="234" t="s">
        <v>248</v>
      </c>
      <c r="D1924" s="312">
        <v>1</v>
      </c>
      <c r="E1924" s="312"/>
      <c r="F1924" s="248"/>
      <c r="G1924" s="312"/>
      <c r="H1924" s="312"/>
      <c r="I1924" s="312"/>
      <c r="J1924" s="248">
        <f t="shared" si="205"/>
        <v>0</v>
      </c>
      <c r="K1924" s="330">
        <f t="shared" si="206"/>
        <v>-1</v>
      </c>
      <c r="L1924" s="313"/>
      <c r="M1924" s="228">
        <f t="shared" si="207"/>
        <v>0</v>
      </c>
      <c r="N1924" s="228">
        <f t="shared" si="210"/>
        <v>0</v>
      </c>
      <c r="O1924" s="228">
        <f t="shared" si="211"/>
        <v>0</v>
      </c>
      <c r="P1924" s="228">
        <f t="shared" si="211"/>
        <v>0</v>
      </c>
      <c r="Q1924" s="228">
        <f t="shared" si="208"/>
        <v>0</v>
      </c>
      <c r="R1924" s="343">
        <f t="shared" si="209"/>
        <v>-1</v>
      </c>
      <c r="S1924" s="240"/>
      <c r="T1924" s="201"/>
      <c r="U1924" s="201"/>
      <c r="V1924" s="201"/>
    </row>
    <row r="1925" spans="1:22" ht="15.75" x14ac:dyDescent="0.25">
      <c r="A1925" s="230" t="s">
        <v>3717</v>
      </c>
      <c r="B1925" s="231" t="s">
        <v>3718</v>
      </c>
      <c r="C1925" s="230"/>
      <c r="D1925" s="316"/>
      <c r="E1925" s="312"/>
      <c r="F1925" s="248"/>
      <c r="G1925" s="312"/>
      <c r="H1925" s="312"/>
      <c r="I1925" s="312"/>
      <c r="J1925" s="248">
        <f t="shared" si="205"/>
        <v>0</v>
      </c>
      <c r="K1925" s="330">
        <f t="shared" si="206"/>
        <v>0</v>
      </c>
      <c r="L1925" s="313"/>
      <c r="M1925" s="228">
        <f t="shared" si="207"/>
        <v>0</v>
      </c>
      <c r="N1925" s="228">
        <f t="shared" si="210"/>
        <v>0</v>
      </c>
      <c r="O1925" s="228">
        <f t="shared" si="211"/>
        <v>0</v>
      </c>
      <c r="P1925" s="228">
        <f t="shared" si="211"/>
        <v>0</v>
      </c>
      <c r="Q1925" s="228">
        <f t="shared" si="208"/>
        <v>0</v>
      </c>
      <c r="R1925" s="343">
        <f t="shared" si="209"/>
        <v>0</v>
      </c>
      <c r="S1925" s="240"/>
      <c r="T1925" s="201"/>
      <c r="U1925" s="201"/>
      <c r="V1925" s="201"/>
    </row>
    <row r="1926" spans="1:22" ht="15.75" x14ac:dyDescent="0.25">
      <c r="A1926" s="234" t="s">
        <v>3719</v>
      </c>
      <c r="B1926" s="235" t="s">
        <v>3720</v>
      </c>
      <c r="C1926" s="234" t="s">
        <v>248</v>
      </c>
      <c r="D1926" s="312">
        <v>1</v>
      </c>
      <c r="E1926" s="312"/>
      <c r="F1926" s="248"/>
      <c r="G1926" s="312"/>
      <c r="H1926" s="312"/>
      <c r="I1926" s="312"/>
      <c r="J1926" s="248">
        <f t="shared" si="205"/>
        <v>0</v>
      </c>
      <c r="K1926" s="330">
        <f t="shared" si="206"/>
        <v>-1</v>
      </c>
      <c r="L1926" s="313"/>
      <c r="M1926" s="228">
        <f t="shared" si="207"/>
        <v>0</v>
      </c>
      <c r="N1926" s="228">
        <f t="shared" si="210"/>
        <v>0</v>
      </c>
      <c r="O1926" s="228">
        <f t="shared" si="211"/>
        <v>0</v>
      </c>
      <c r="P1926" s="228">
        <f t="shared" si="211"/>
        <v>0</v>
      </c>
      <c r="Q1926" s="228">
        <f t="shared" si="208"/>
        <v>0</v>
      </c>
      <c r="R1926" s="343">
        <f t="shared" si="209"/>
        <v>-1</v>
      </c>
      <c r="S1926" s="240"/>
      <c r="T1926" s="201"/>
      <c r="U1926" s="201"/>
      <c r="V1926" s="201"/>
    </row>
    <row r="1927" spans="1:22" ht="30" x14ac:dyDescent="0.25">
      <c r="A1927" s="234" t="s">
        <v>3721</v>
      </c>
      <c r="B1927" s="235" t="s">
        <v>3722</v>
      </c>
      <c r="C1927" s="234" t="s">
        <v>248</v>
      </c>
      <c r="D1927" s="312">
        <v>2</v>
      </c>
      <c r="E1927" s="312"/>
      <c r="F1927" s="248"/>
      <c r="G1927" s="312"/>
      <c r="H1927" s="312"/>
      <c r="I1927" s="312"/>
      <c r="J1927" s="248">
        <f t="shared" si="205"/>
        <v>0</v>
      </c>
      <c r="K1927" s="330">
        <f t="shared" si="206"/>
        <v>-2</v>
      </c>
      <c r="L1927" s="313"/>
      <c r="M1927" s="228">
        <f t="shared" si="207"/>
        <v>0</v>
      </c>
      <c r="N1927" s="228">
        <f t="shared" si="210"/>
        <v>0</v>
      </c>
      <c r="O1927" s="228">
        <f t="shared" si="211"/>
        <v>0</v>
      </c>
      <c r="P1927" s="228">
        <f t="shared" si="211"/>
        <v>0</v>
      </c>
      <c r="Q1927" s="228">
        <f t="shared" si="208"/>
        <v>0</v>
      </c>
      <c r="R1927" s="343">
        <f t="shared" si="209"/>
        <v>-2</v>
      </c>
      <c r="S1927" s="240"/>
      <c r="T1927" s="201"/>
      <c r="U1927" s="201"/>
      <c r="V1927" s="201"/>
    </row>
    <row r="1928" spans="1:22" ht="30" x14ac:dyDescent="0.25">
      <c r="A1928" s="234" t="s">
        <v>3723</v>
      </c>
      <c r="B1928" s="235" t="s">
        <v>3724</v>
      </c>
      <c r="C1928" s="234" t="s">
        <v>248</v>
      </c>
      <c r="D1928" s="312">
        <v>2</v>
      </c>
      <c r="E1928" s="312"/>
      <c r="F1928" s="248"/>
      <c r="G1928" s="312"/>
      <c r="H1928" s="312"/>
      <c r="I1928" s="312"/>
      <c r="J1928" s="248">
        <f t="shared" si="205"/>
        <v>0</v>
      </c>
      <c r="K1928" s="330">
        <f t="shared" si="206"/>
        <v>-2</v>
      </c>
      <c r="L1928" s="313"/>
      <c r="M1928" s="228">
        <f t="shared" si="207"/>
        <v>0</v>
      </c>
      <c r="N1928" s="228">
        <f t="shared" si="210"/>
        <v>0</v>
      </c>
      <c r="O1928" s="228">
        <f t="shared" si="211"/>
        <v>0</v>
      </c>
      <c r="P1928" s="228">
        <f t="shared" si="211"/>
        <v>0</v>
      </c>
      <c r="Q1928" s="228">
        <f t="shared" si="208"/>
        <v>0</v>
      </c>
      <c r="R1928" s="343">
        <f t="shared" si="209"/>
        <v>-2</v>
      </c>
      <c r="S1928" s="240"/>
      <c r="T1928" s="201"/>
      <c r="U1928" s="201"/>
      <c r="V1928" s="201"/>
    </row>
    <row r="1929" spans="1:22" ht="30.75" customHeight="1" x14ac:dyDescent="0.25">
      <c r="A1929" s="234" t="s">
        <v>3725</v>
      </c>
      <c r="B1929" s="235" t="s">
        <v>3726</v>
      </c>
      <c r="C1929" s="234" t="s">
        <v>248</v>
      </c>
      <c r="D1929" s="312">
        <v>1</v>
      </c>
      <c r="E1929" s="312"/>
      <c r="F1929" s="248"/>
      <c r="G1929" s="312"/>
      <c r="H1929" s="312"/>
      <c r="I1929" s="312"/>
      <c r="J1929" s="248">
        <f t="shared" si="205"/>
        <v>0</v>
      </c>
      <c r="K1929" s="330">
        <f t="shared" si="206"/>
        <v>-1</v>
      </c>
      <c r="L1929" s="313"/>
      <c r="M1929" s="228">
        <f t="shared" si="207"/>
        <v>0</v>
      </c>
      <c r="N1929" s="228">
        <f t="shared" si="210"/>
        <v>0</v>
      </c>
      <c r="O1929" s="228">
        <f t="shared" si="211"/>
        <v>0</v>
      </c>
      <c r="P1929" s="228">
        <f t="shared" si="211"/>
        <v>0</v>
      </c>
      <c r="Q1929" s="228">
        <f t="shared" si="208"/>
        <v>0</v>
      </c>
      <c r="R1929" s="343">
        <f t="shared" si="209"/>
        <v>-1</v>
      </c>
      <c r="S1929" s="240"/>
      <c r="T1929" s="201"/>
      <c r="U1929" s="201"/>
      <c r="V1929" s="201"/>
    </row>
    <row r="1930" spans="1:22" ht="22.5" customHeight="1" x14ac:dyDescent="0.25">
      <c r="A1930" s="234" t="s">
        <v>3727</v>
      </c>
      <c r="B1930" s="235" t="s">
        <v>3728</v>
      </c>
      <c r="C1930" s="234" t="s">
        <v>1872</v>
      </c>
      <c r="D1930" s="312">
        <v>3</v>
      </c>
      <c r="E1930" s="312"/>
      <c r="F1930" s="248"/>
      <c r="G1930" s="312"/>
      <c r="H1930" s="312"/>
      <c r="I1930" s="312"/>
      <c r="J1930" s="248">
        <f t="shared" si="205"/>
        <v>0</v>
      </c>
      <c r="K1930" s="330">
        <f t="shared" si="206"/>
        <v>-3</v>
      </c>
      <c r="L1930" s="313"/>
      <c r="M1930" s="228">
        <f t="shared" si="207"/>
        <v>0</v>
      </c>
      <c r="N1930" s="228">
        <f t="shared" si="210"/>
        <v>0</v>
      </c>
      <c r="O1930" s="228">
        <f t="shared" si="211"/>
        <v>0</v>
      </c>
      <c r="P1930" s="228">
        <f t="shared" si="211"/>
        <v>0</v>
      </c>
      <c r="Q1930" s="228">
        <f t="shared" si="208"/>
        <v>0</v>
      </c>
      <c r="R1930" s="343">
        <f t="shared" si="209"/>
        <v>-3</v>
      </c>
      <c r="S1930" s="240"/>
      <c r="T1930" s="201"/>
      <c r="U1930" s="201"/>
      <c r="V1930" s="201"/>
    </row>
    <row r="1931" spans="1:22" ht="30" x14ac:dyDescent="0.25">
      <c r="A1931" s="234" t="s">
        <v>3729</v>
      </c>
      <c r="B1931" s="235" t="s">
        <v>3730</v>
      </c>
      <c r="C1931" s="234" t="s">
        <v>1911</v>
      </c>
      <c r="D1931" s="312">
        <v>1</v>
      </c>
      <c r="E1931" s="312"/>
      <c r="F1931" s="248"/>
      <c r="G1931" s="312"/>
      <c r="H1931" s="312"/>
      <c r="I1931" s="312"/>
      <c r="J1931" s="248">
        <f t="shared" si="205"/>
        <v>0</v>
      </c>
      <c r="K1931" s="330">
        <f t="shared" si="206"/>
        <v>-1</v>
      </c>
      <c r="L1931" s="313"/>
      <c r="M1931" s="228">
        <f t="shared" si="207"/>
        <v>0</v>
      </c>
      <c r="N1931" s="228">
        <f t="shared" si="210"/>
        <v>0</v>
      </c>
      <c r="O1931" s="228">
        <f t="shared" si="211"/>
        <v>0</v>
      </c>
      <c r="P1931" s="228">
        <f t="shared" si="211"/>
        <v>0</v>
      </c>
      <c r="Q1931" s="228">
        <f t="shared" si="208"/>
        <v>0</v>
      </c>
      <c r="R1931" s="343">
        <f t="shared" si="209"/>
        <v>-1</v>
      </c>
      <c r="S1931" s="240"/>
      <c r="T1931" s="201"/>
      <c r="U1931" s="201"/>
      <c r="V1931" s="201"/>
    </row>
    <row r="1932" spans="1:22" ht="32.25" customHeight="1" x14ac:dyDescent="0.25">
      <c r="A1932" s="234" t="s">
        <v>3731</v>
      </c>
      <c r="B1932" s="235" t="s">
        <v>3732</v>
      </c>
      <c r="C1932" s="234" t="s">
        <v>1872</v>
      </c>
      <c r="D1932" s="312">
        <v>20</v>
      </c>
      <c r="E1932" s="312"/>
      <c r="F1932" s="248"/>
      <c r="G1932" s="312"/>
      <c r="H1932" s="312"/>
      <c r="I1932" s="312"/>
      <c r="J1932" s="248">
        <f t="shared" si="205"/>
        <v>0</v>
      </c>
      <c r="K1932" s="330">
        <f t="shared" si="206"/>
        <v>-20</v>
      </c>
      <c r="L1932" s="313"/>
      <c r="M1932" s="228">
        <f t="shared" si="207"/>
        <v>0</v>
      </c>
      <c r="N1932" s="228">
        <f t="shared" si="210"/>
        <v>0</v>
      </c>
      <c r="O1932" s="228">
        <f t="shared" si="211"/>
        <v>0</v>
      </c>
      <c r="P1932" s="228">
        <f t="shared" si="211"/>
        <v>0</v>
      </c>
      <c r="Q1932" s="228">
        <f t="shared" si="208"/>
        <v>0</v>
      </c>
      <c r="R1932" s="343">
        <f t="shared" si="209"/>
        <v>-20</v>
      </c>
      <c r="S1932" s="240"/>
      <c r="T1932" s="201"/>
      <c r="U1932" s="201"/>
      <c r="V1932" s="201"/>
    </row>
    <row r="1933" spans="1:22" ht="30" x14ac:dyDescent="0.25">
      <c r="A1933" s="234" t="s">
        <v>3733</v>
      </c>
      <c r="B1933" s="235" t="s">
        <v>3734</v>
      </c>
      <c r="C1933" s="234" t="s">
        <v>1911</v>
      </c>
      <c r="D1933" s="312">
        <v>1</v>
      </c>
      <c r="E1933" s="312"/>
      <c r="F1933" s="248"/>
      <c r="G1933" s="312"/>
      <c r="H1933" s="312"/>
      <c r="I1933" s="312"/>
      <c r="J1933" s="248">
        <f t="shared" si="205"/>
        <v>0</v>
      </c>
      <c r="K1933" s="330">
        <f t="shared" si="206"/>
        <v>-1</v>
      </c>
      <c r="L1933" s="313"/>
      <c r="M1933" s="228">
        <f t="shared" si="207"/>
        <v>0</v>
      </c>
      <c r="N1933" s="228">
        <f t="shared" si="210"/>
        <v>0</v>
      </c>
      <c r="O1933" s="228">
        <f t="shared" si="211"/>
        <v>0</v>
      </c>
      <c r="P1933" s="228">
        <f t="shared" si="211"/>
        <v>0</v>
      </c>
      <c r="Q1933" s="228">
        <f t="shared" si="208"/>
        <v>0</v>
      </c>
      <c r="R1933" s="343">
        <f t="shared" si="209"/>
        <v>-1</v>
      </c>
      <c r="S1933" s="240"/>
      <c r="T1933" s="201"/>
      <c r="U1933" s="201"/>
      <c r="V1933" s="201"/>
    </row>
    <row r="1934" spans="1:22" ht="15.75" x14ac:dyDescent="0.25">
      <c r="A1934" s="234" t="s">
        <v>3735</v>
      </c>
      <c r="B1934" s="235" t="s">
        <v>3736</v>
      </c>
      <c r="C1934" s="234" t="s">
        <v>9</v>
      </c>
      <c r="D1934" s="312">
        <v>1</v>
      </c>
      <c r="E1934" s="312"/>
      <c r="F1934" s="248"/>
      <c r="G1934" s="312"/>
      <c r="H1934" s="312"/>
      <c r="I1934" s="312"/>
      <c r="J1934" s="248">
        <f t="shared" si="205"/>
        <v>0</v>
      </c>
      <c r="K1934" s="330">
        <f t="shared" si="206"/>
        <v>-1</v>
      </c>
      <c r="L1934" s="313"/>
      <c r="M1934" s="228">
        <f t="shared" si="207"/>
        <v>0</v>
      </c>
      <c r="N1934" s="228">
        <f t="shared" si="210"/>
        <v>0</v>
      </c>
      <c r="O1934" s="228">
        <f t="shared" si="211"/>
        <v>0</v>
      </c>
      <c r="P1934" s="228">
        <f t="shared" si="211"/>
        <v>0</v>
      </c>
      <c r="Q1934" s="228">
        <f t="shared" si="208"/>
        <v>0</v>
      </c>
      <c r="R1934" s="343">
        <f t="shared" si="209"/>
        <v>-1</v>
      </c>
      <c r="S1934" s="240"/>
      <c r="T1934" s="201"/>
      <c r="U1934" s="201"/>
      <c r="V1934" s="201"/>
    </row>
    <row r="1935" spans="1:22" ht="30" x14ac:dyDescent="0.25">
      <c r="A1935" s="234" t="s">
        <v>3737</v>
      </c>
      <c r="B1935" s="235" t="s">
        <v>3738</v>
      </c>
      <c r="C1935" s="234" t="s">
        <v>3739</v>
      </c>
      <c r="D1935" s="312">
        <v>1</v>
      </c>
      <c r="E1935" s="312"/>
      <c r="F1935" s="248"/>
      <c r="G1935" s="312"/>
      <c r="H1935" s="312"/>
      <c r="I1935" s="312"/>
      <c r="J1935" s="248">
        <f t="shared" si="205"/>
        <v>0</v>
      </c>
      <c r="K1935" s="330">
        <f t="shared" si="206"/>
        <v>-1</v>
      </c>
      <c r="L1935" s="313"/>
      <c r="M1935" s="228">
        <f t="shared" si="207"/>
        <v>0</v>
      </c>
      <c r="N1935" s="228">
        <f t="shared" si="210"/>
        <v>0</v>
      </c>
      <c r="O1935" s="228">
        <f t="shared" si="211"/>
        <v>0</v>
      </c>
      <c r="P1935" s="228">
        <f t="shared" si="211"/>
        <v>0</v>
      </c>
      <c r="Q1935" s="228">
        <f t="shared" si="208"/>
        <v>0</v>
      </c>
      <c r="R1935" s="343">
        <f t="shared" si="209"/>
        <v>-1</v>
      </c>
      <c r="S1935" s="240"/>
      <c r="T1935" s="201"/>
      <c r="U1935" s="201"/>
      <c r="V1935" s="201"/>
    </row>
    <row r="1936" spans="1:22" ht="15.75" x14ac:dyDescent="0.25">
      <c r="A1936" s="234" t="s">
        <v>3740</v>
      </c>
      <c r="B1936" s="235" t="s">
        <v>3741</v>
      </c>
      <c r="C1936" s="234" t="s">
        <v>9</v>
      </c>
      <c r="D1936" s="312">
        <v>4</v>
      </c>
      <c r="E1936" s="312"/>
      <c r="F1936" s="248"/>
      <c r="G1936" s="312"/>
      <c r="H1936" s="312"/>
      <c r="I1936" s="312"/>
      <c r="J1936" s="248">
        <f t="shared" si="205"/>
        <v>0</v>
      </c>
      <c r="K1936" s="330">
        <f t="shared" si="206"/>
        <v>-4</v>
      </c>
      <c r="L1936" s="313"/>
      <c r="M1936" s="228">
        <f t="shared" si="207"/>
        <v>0</v>
      </c>
      <c r="N1936" s="228">
        <f t="shared" si="210"/>
        <v>0</v>
      </c>
      <c r="O1936" s="228">
        <f t="shared" si="211"/>
        <v>0</v>
      </c>
      <c r="P1936" s="228">
        <f t="shared" si="211"/>
        <v>0</v>
      </c>
      <c r="Q1936" s="228">
        <f t="shared" si="208"/>
        <v>0</v>
      </c>
      <c r="R1936" s="343">
        <f t="shared" si="209"/>
        <v>-4</v>
      </c>
      <c r="S1936" s="240"/>
      <c r="T1936" s="201"/>
      <c r="U1936" s="201"/>
      <c r="V1936" s="201"/>
    </row>
    <row r="1937" spans="1:22" ht="15.75" x14ac:dyDescent="0.25">
      <c r="A1937" s="234" t="s">
        <v>3742</v>
      </c>
      <c r="B1937" s="235" t="s">
        <v>3743</v>
      </c>
      <c r="C1937" s="234" t="s">
        <v>9</v>
      </c>
      <c r="D1937" s="312">
        <v>9</v>
      </c>
      <c r="E1937" s="312"/>
      <c r="F1937" s="248"/>
      <c r="G1937" s="312"/>
      <c r="H1937" s="312"/>
      <c r="I1937" s="312"/>
      <c r="J1937" s="248">
        <f t="shared" si="205"/>
        <v>0</v>
      </c>
      <c r="K1937" s="330">
        <f t="shared" si="206"/>
        <v>-9</v>
      </c>
      <c r="L1937" s="313"/>
      <c r="M1937" s="228">
        <f t="shared" si="207"/>
        <v>0</v>
      </c>
      <c r="N1937" s="228">
        <f t="shared" si="210"/>
        <v>0</v>
      </c>
      <c r="O1937" s="228">
        <f t="shared" si="211"/>
        <v>0</v>
      </c>
      <c r="P1937" s="228">
        <f t="shared" si="211"/>
        <v>0</v>
      </c>
      <c r="Q1937" s="228">
        <f t="shared" si="208"/>
        <v>0</v>
      </c>
      <c r="R1937" s="343">
        <f t="shared" si="209"/>
        <v>-9</v>
      </c>
      <c r="S1937" s="240"/>
      <c r="T1937" s="201"/>
      <c r="U1937" s="201"/>
      <c r="V1937" s="201"/>
    </row>
    <row r="1938" spans="1:22" ht="15.75" x14ac:dyDescent="0.25">
      <c r="A1938" s="234" t="s">
        <v>3744</v>
      </c>
      <c r="B1938" s="235" t="s">
        <v>3745</v>
      </c>
      <c r="C1938" s="234" t="s">
        <v>9</v>
      </c>
      <c r="D1938" s="312">
        <v>1</v>
      </c>
      <c r="E1938" s="312"/>
      <c r="F1938" s="248"/>
      <c r="G1938" s="312"/>
      <c r="H1938" s="312"/>
      <c r="I1938" s="312"/>
      <c r="J1938" s="248">
        <f t="shared" si="205"/>
        <v>0</v>
      </c>
      <c r="K1938" s="330">
        <f t="shared" si="206"/>
        <v>-1</v>
      </c>
      <c r="L1938" s="313"/>
      <c r="M1938" s="228">
        <f t="shared" si="207"/>
        <v>0</v>
      </c>
      <c r="N1938" s="228">
        <f t="shared" si="210"/>
        <v>0</v>
      </c>
      <c r="O1938" s="228">
        <f t="shared" si="211"/>
        <v>0</v>
      </c>
      <c r="P1938" s="228">
        <f t="shared" si="211"/>
        <v>0</v>
      </c>
      <c r="Q1938" s="228">
        <f t="shared" si="208"/>
        <v>0</v>
      </c>
      <c r="R1938" s="343">
        <f t="shared" si="209"/>
        <v>-1</v>
      </c>
      <c r="S1938" s="240"/>
      <c r="T1938" s="201"/>
      <c r="U1938" s="201"/>
      <c r="V1938" s="201"/>
    </row>
    <row r="1939" spans="1:22" ht="15.75" x14ac:dyDescent="0.25">
      <c r="A1939" s="234" t="s">
        <v>3746</v>
      </c>
      <c r="B1939" s="235" t="s">
        <v>3747</v>
      </c>
      <c r="C1939" s="234" t="s">
        <v>248</v>
      </c>
      <c r="D1939" s="312">
        <v>1</v>
      </c>
      <c r="E1939" s="312"/>
      <c r="F1939" s="248"/>
      <c r="G1939" s="312"/>
      <c r="H1939" s="312"/>
      <c r="I1939" s="312"/>
      <c r="J1939" s="248">
        <f t="shared" si="205"/>
        <v>0</v>
      </c>
      <c r="K1939" s="330">
        <f t="shared" si="206"/>
        <v>-1</v>
      </c>
      <c r="L1939" s="313"/>
      <c r="M1939" s="228">
        <f t="shared" si="207"/>
        <v>0</v>
      </c>
      <c r="N1939" s="228">
        <f t="shared" si="210"/>
        <v>0</v>
      </c>
      <c r="O1939" s="228">
        <f t="shared" si="211"/>
        <v>0</v>
      </c>
      <c r="P1939" s="228">
        <f t="shared" si="211"/>
        <v>0</v>
      </c>
      <c r="Q1939" s="228">
        <f t="shared" si="208"/>
        <v>0</v>
      </c>
      <c r="R1939" s="343">
        <f t="shared" si="209"/>
        <v>-1</v>
      </c>
      <c r="S1939" s="240"/>
      <c r="T1939" s="201"/>
      <c r="U1939" s="201"/>
      <c r="V1939" s="201"/>
    </row>
    <row r="1940" spans="1:22" ht="28.5" x14ac:dyDescent="0.25">
      <c r="A1940" s="230" t="s">
        <v>2298</v>
      </c>
      <c r="B1940" s="231" t="s">
        <v>2299</v>
      </c>
      <c r="C1940" s="230"/>
      <c r="D1940" s="316"/>
      <c r="E1940" s="316"/>
      <c r="F1940" s="317"/>
      <c r="G1940" s="316"/>
      <c r="H1940" s="316"/>
      <c r="I1940" s="316"/>
      <c r="J1940" s="248">
        <f t="shared" si="205"/>
        <v>0</v>
      </c>
      <c r="K1940" s="330">
        <f t="shared" si="206"/>
        <v>0</v>
      </c>
      <c r="L1940" s="318"/>
      <c r="M1940" s="228">
        <f t="shared" si="207"/>
        <v>0</v>
      </c>
      <c r="N1940" s="228">
        <f t="shared" si="210"/>
        <v>0</v>
      </c>
      <c r="O1940" s="228">
        <f t="shared" si="211"/>
        <v>0</v>
      </c>
      <c r="P1940" s="228">
        <f t="shared" si="211"/>
        <v>0</v>
      </c>
      <c r="Q1940" s="228">
        <f t="shared" si="208"/>
        <v>0</v>
      </c>
      <c r="R1940" s="343">
        <f t="shared" si="209"/>
        <v>0</v>
      </c>
      <c r="S1940" s="240"/>
      <c r="T1940" s="201"/>
      <c r="U1940" s="201"/>
      <c r="V1940" s="201"/>
    </row>
    <row r="1941" spans="1:22" ht="15.75" x14ac:dyDescent="0.25">
      <c r="A1941" s="234" t="s">
        <v>2300</v>
      </c>
      <c r="B1941" s="235" t="s">
        <v>2301</v>
      </c>
      <c r="C1941" s="234" t="s">
        <v>32</v>
      </c>
      <c r="D1941" s="312">
        <v>11.169</v>
      </c>
      <c r="E1941" s="312"/>
      <c r="F1941" s="248"/>
      <c r="G1941" s="312"/>
      <c r="H1941" s="312"/>
      <c r="I1941" s="312"/>
      <c r="J1941" s="248">
        <f t="shared" si="205"/>
        <v>0</v>
      </c>
      <c r="K1941" s="330">
        <f t="shared" si="206"/>
        <v>-11.169</v>
      </c>
      <c r="L1941" s="313"/>
      <c r="M1941" s="228">
        <f t="shared" si="207"/>
        <v>0</v>
      </c>
      <c r="N1941" s="228">
        <f t="shared" si="210"/>
        <v>0</v>
      </c>
      <c r="O1941" s="228">
        <f t="shared" si="211"/>
        <v>0</v>
      </c>
      <c r="P1941" s="228">
        <f t="shared" si="211"/>
        <v>0</v>
      </c>
      <c r="Q1941" s="228">
        <f t="shared" si="208"/>
        <v>0</v>
      </c>
      <c r="R1941" s="343">
        <f t="shared" si="209"/>
        <v>-11.169</v>
      </c>
      <c r="S1941" s="240"/>
      <c r="T1941" s="201"/>
      <c r="U1941" s="201"/>
      <c r="V1941" s="201"/>
    </row>
    <row r="1942" spans="1:22" ht="18" customHeight="1" x14ac:dyDescent="0.25">
      <c r="A1942" s="234" t="s">
        <v>2302</v>
      </c>
      <c r="B1942" s="235" t="s">
        <v>311</v>
      </c>
      <c r="C1942" s="234" t="s">
        <v>32</v>
      </c>
      <c r="D1942" s="312">
        <v>10.859</v>
      </c>
      <c r="E1942" s="312"/>
      <c r="F1942" s="248"/>
      <c r="G1942" s="312"/>
      <c r="H1942" s="312"/>
      <c r="I1942" s="312"/>
      <c r="J1942" s="248">
        <f t="shared" si="205"/>
        <v>0</v>
      </c>
      <c r="K1942" s="330">
        <f t="shared" si="206"/>
        <v>-10.859</v>
      </c>
      <c r="L1942" s="313"/>
      <c r="M1942" s="228">
        <f t="shared" si="207"/>
        <v>0</v>
      </c>
      <c r="N1942" s="228">
        <f t="shared" si="210"/>
        <v>0</v>
      </c>
      <c r="O1942" s="228">
        <f t="shared" si="211"/>
        <v>0</v>
      </c>
      <c r="P1942" s="228">
        <f t="shared" si="211"/>
        <v>0</v>
      </c>
      <c r="Q1942" s="228">
        <f t="shared" si="208"/>
        <v>0</v>
      </c>
      <c r="R1942" s="343">
        <f t="shared" si="209"/>
        <v>-10.859</v>
      </c>
      <c r="S1942" s="240"/>
      <c r="T1942" s="201"/>
      <c r="U1942" s="201"/>
      <c r="V1942" s="201"/>
    </row>
    <row r="1943" spans="1:22" ht="15.75" x14ac:dyDescent="0.25">
      <c r="A1943" s="234" t="s">
        <v>2303</v>
      </c>
      <c r="B1943" s="235" t="s">
        <v>2304</v>
      </c>
      <c r="C1943" s="234" t="s">
        <v>52</v>
      </c>
      <c r="D1943" s="312">
        <v>371.81200000000001</v>
      </c>
      <c r="E1943" s="312"/>
      <c r="F1943" s="248"/>
      <c r="G1943" s="312"/>
      <c r="H1943" s="312"/>
      <c r="I1943" s="312"/>
      <c r="J1943" s="248">
        <f t="shared" si="205"/>
        <v>0</v>
      </c>
      <c r="K1943" s="330">
        <f t="shared" si="206"/>
        <v>-371.81200000000001</v>
      </c>
      <c r="L1943" s="313"/>
      <c r="M1943" s="228">
        <f t="shared" si="207"/>
        <v>0</v>
      </c>
      <c r="N1943" s="228">
        <f t="shared" si="210"/>
        <v>0</v>
      </c>
      <c r="O1943" s="228">
        <f t="shared" si="211"/>
        <v>0</v>
      </c>
      <c r="P1943" s="228">
        <f t="shared" si="211"/>
        <v>0</v>
      </c>
      <c r="Q1943" s="228">
        <f t="shared" si="208"/>
        <v>0</v>
      </c>
      <c r="R1943" s="343">
        <f t="shared" si="209"/>
        <v>-371.81200000000001</v>
      </c>
      <c r="S1943" s="240"/>
      <c r="T1943" s="201"/>
      <c r="U1943" s="201"/>
      <c r="V1943" s="201"/>
    </row>
    <row r="1944" spans="1:22" ht="15.75" x14ac:dyDescent="0.25">
      <c r="A1944" s="234" t="s">
        <v>2305</v>
      </c>
      <c r="B1944" s="235" t="s">
        <v>2306</v>
      </c>
      <c r="C1944" s="234" t="s">
        <v>52</v>
      </c>
      <c r="D1944" s="312">
        <v>616.23199999999997</v>
      </c>
      <c r="E1944" s="312"/>
      <c r="F1944" s="248"/>
      <c r="G1944" s="312"/>
      <c r="H1944" s="312"/>
      <c r="I1944" s="312"/>
      <c r="J1944" s="248">
        <f t="shared" si="205"/>
        <v>0</v>
      </c>
      <c r="K1944" s="330">
        <f t="shared" si="206"/>
        <v>-616.23199999999997</v>
      </c>
      <c r="L1944" s="313"/>
      <c r="M1944" s="228">
        <f t="shared" si="207"/>
        <v>0</v>
      </c>
      <c r="N1944" s="228">
        <f t="shared" si="210"/>
        <v>0</v>
      </c>
      <c r="O1944" s="228">
        <f t="shared" si="211"/>
        <v>0</v>
      </c>
      <c r="P1944" s="228">
        <f t="shared" si="211"/>
        <v>0</v>
      </c>
      <c r="Q1944" s="228">
        <f t="shared" si="208"/>
        <v>0</v>
      </c>
      <c r="R1944" s="343">
        <f t="shared" si="209"/>
        <v>-616.23199999999997</v>
      </c>
      <c r="S1944" s="240"/>
      <c r="T1944" s="201"/>
      <c r="U1944" s="201"/>
      <c r="V1944" s="201"/>
    </row>
    <row r="1945" spans="1:22" ht="15.75" x14ac:dyDescent="0.25">
      <c r="A1945" s="234" t="s">
        <v>2307</v>
      </c>
      <c r="B1945" s="235" t="s">
        <v>2308</v>
      </c>
      <c r="C1945" s="234" t="s">
        <v>52</v>
      </c>
      <c r="D1945" s="312">
        <v>371.81200000000001</v>
      </c>
      <c r="E1945" s="312"/>
      <c r="F1945" s="248"/>
      <c r="G1945" s="312"/>
      <c r="H1945" s="312"/>
      <c r="I1945" s="312"/>
      <c r="J1945" s="248">
        <f t="shared" si="205"/>
        <v>0</v>
      </c>
      <c r="K1945" s="330">
        <f t="shared" si="206"/>
        <v>-371.81200000000001</v>
      </c>
      <c r="L1945" s="313"/>
      <c r="M1945" s="228">
        <f t="shared" si="207"/>
        <v>0</v>
      </c>
      <c r="N1945" s="228">
        <f t="shared" si="210"/>
        <v>0</v>
      </c>
      <c r="O1945" s="228">
        <f t="shared" si="211"/>
        <v>0</v>
      </c>
      <c r="P1945" s="228">
        <f t="shared" si="211"/>
        <v>0</v>
      </c>
      <c r="Q1945" s="228">
        <f t="shared" si="208"/>
        <v>0</v>
      </c>
      <c r="R1945" s="343">
        <f t="shared" si="209"/>
        <v>-371.81200000000001</v>
      </c>
      <c r="S1945" s="240"/>
      <c r="T1945" s="201"/>
      <c r="U1945" s="201"/>
      <c r="V1945" s="201"/>
    </row>
    <row r="1946" spans="1:22" ht="15.75" x14ac:dyDescent="0.25">
      <c r="A1946" s="230" t="s">
        <v>2309</v>
      </c>
      <c r="B1946" s="231" t="s">
        <v>2310</v>
      </c>
      <c r="C1946" s="230"/>
      <c r="D1946" s="316"/>
      <c r="E1946" s="316"/>
      <c r="F1946" s="317"/>
      <c r="G1946" s="316"/>
      <c r="H1946" s="316"/>
      <c r="I1946" s="316"/>
      <c r="J1946" s="248">
        <f t="shared" si="205"/>
        <v>0</v>
      </c>
      <c r="K1946" s="330">
        <f t="shared" si="206"/>
        <v>0</v>
      </c>
      <c r="L1946" s="318"/>
      <c r="M1946" s="228">
        <f t="shared" si="207"/>
        <v>0</v>
      </c>
      <c r="N1946" s="228">
        <f t="shared" si="210"/>
        <v>0</v>
      </c>
      <c r="O1946" s="228">
        <f t="shared" si="211"/>
        <v>0</v>
      </c>
      <c r="P1946" s="228">
        <f t="shared" si="211"/>
        <v>0</v>
      </c>
      <c r="Q1946" s="228">
        <f t="shared" si="208"/>
        <v>0</v>
      </c>
      <c r="R1946" s="343">
        <f t="shared" si="209"/>
        <v>0</v>
      </c>
      <c r="S1946" s="240"/>
      <c r="T1946" s="201"/>
      <c r="U1946" s="201"/>
      <c r="V1946" s="201"/>
    </row>
    <row r="1947" spans="1:22" ht="15.75" x14ac:dyDescent="0.25">
      <c r="A1947" s="234" t="s">
        <v>2311</v>
      </c>
      <c r="B1947" s="235" t="s">
        <v>2312</v>
      </c>
      <c r="C1947" s="234" t="s">
        <v>1911</v>
      </c>
      <c r="D1947" s="312">
        <v>1</v>
      </c>
      <c r="E1947" s="312"/>
      <c r="F1947" s="248"/>
      <c r="G1947" s="312"/>
      <c r="H1947" s="312"/>
      <c r="I1947" s="312"/>
      <c r="J1947" s="248">
        <f t="shared" si="205"/>
        <v>0</v>
      </c>
      <c r="K1947" s="330">
        <f t="shared" si="206"/>
        <v>-1</v>
      </c>
      <c r="L1947" s="313"/>
      <c r="M1947" s="228">
        <f t="shared" si="207"/>
        <v>0</v>
      </c>
      <c r="N1947" s="228">
        <f t="shared" si="210"/>
        <v>0</v>
      </c>
      <c r="O1947" s="228">
        <f t="shared" si="211"/>
        <v>0</v>
      </c>
      <c r="P1947" s="228">
        <f t="shared" si="211"/>
        <v>0</v>
      </c>
      <c r="Q1947" s="228">
        <f t="shared" si="208"/>
        <v>0</v>
      </c>
      <c r="R1947" s="343">
        <f t="shared" si="209"/>
        <v>-1</v>
      </c>
      <c r="S1947" s="240"/>
      <c r="T1947" s="201"/>
      <c r="U1947" s="201"/>
      <c r="V1947" s="201"/>
    </row>
    <row r="1948" spans="1:22" ht="15.75" x14ac:dyDescent="0.25">
      <c r="A1948" s="230" t="s">
        <v>3748</v>
      </c>
      <c r="B1948" s="231" t="s">
        <v>3749</v>
      </c>
      <c r="C1948" s="234"/>
      <c r="D1948" s="312"/>
      <c r="E1948" s="312"/>
      <c r="F1948" s="248"/>
      <c r="G1948" s="312"/>
      <c r="H1948" s="312"/>
      <c r="I1948" s="312"/>
      <c r="J1948" s="248">
        <f t="shared" si="205"/>
        <v>0</v>
      </c>
      <c r="K1948" s="330">
        <f t="shared" si="206"/>
        <v>0</v>
      </c>
      <c r="L1948" s="313"/>
      <c r="M1948" s="228">
        <f t="shared" si="207"/>
        <v>0</v>
      </c>
      <c r="N1948" s="228">
        <f t="shared" si="210"/>
        <v>0</v>
      </c>
      <c r="O1948" s="228">
        <f t="shared" si="211"/>
        <v>0</v>
      </c>
      <c r="P1948" s="228">
        <f t="shared" si="211"/>
        <v>0</v>
      </c>
      <c r="Q1948" s="228">
        <f t="shared" si="208"/>
        <v>0</v>
      </c>
      <c r="R1948" s="343">
        <f t="shared" si="209"/>
        <v>0</v>
      </c>
      <c r="S1948" s="240"/>
      <c r="T1948" s="201"/>
      <c r="U1948" s="201"/>
      <c r="V1948" s="201"/>
    </row>
    <row r="1949" spans="1:22" ht="15.75" x14ac:dyDescent="0.25">
      <c r="A1949" s="234" t="s">
        <v>3750</v>
      </c>
      <c r="B1949" s="235" t="s">
        <v>3751</v>
      </c>
      <c r="C1949" s="234" t="s">
        <v>1911</v>
      </c>
      <c r="D1949" s="312">
        <v>1</v>
      </c>
      <c r="E1949" s="312"/>
      <c r="F1949" s="248"/>
      <c r="G1949" s="312"/>
      <c r="H1949" s="312">
        <v>1</v>
      </c>
      <c r="I1949" s="312"/>
      <c r="J1949" s="248">
        <f t="shared" si="205"/>
        <v>1</v>
      </c>
      <c r="K1949" s="330">
        <f t="shared" si="206"/>
        <v>0</v>
      </c>
      <c r="L1949" s="313"/>
      <c r="M1949" s="228">
        <f t="shared" si="207"/>
        <v>0</v>
      </c>
      <c r="N1949" s="228">
        <f t="shared" si="210"/>
        <v>0</v>
      </c>
      <c r="O1949" s="228">
        <f t="shared" si="211"/>
        <v>1</v>
      </c>
      <c r="P1949" s="228">
        <f t="shared" si="211"/>
        <v>0</v>
      </c>
      <c r="Q1949" s="228">
        <f t="shared" si="208"/>
        <v>1</v>
      </c>
      <c r="R1949" s="343">
        <f t="shared" si="209"/>
        <v>0</v>
      </c>
      <c r="S1949" s="240"/>
      <c r="T1949" s="201"/>
      <c r="U1949" s="201"/>
      <c r="V1949" s="201"/>
    </row>
    <row r="1950" spans="1:22" ht="49.5" customHeight="1" x14ac:dyDescent="0.25">
      <c r="A1950" s="234" t="s">
        <v>3752</v>
      </c>
      <c r="B1950" s="235" t="s">
        <v>3753</v>
      </c>
      <c r="C1950" s="234" t="s">
        <v>499</v>
      </c>
      <c r="D1950" s="312">
        <v>1</v>
      </c>
      <c r="E1950" s="312"/>
      <c r="F1950" s="248"/>
      <c r="G1950" s="312"/>
      <c r="H1950" s="312"/>
      <c r="I1950" s="312"/>
      <c r="J1950" s="248">
        <f t="shared" si="205"/>
        <v>0</v>
      </c>
      <c r="K1950" s="330">
        <f t="shared" si="206"/>
        <v>-1</v>
      </c>
      <c r="L1950" s="313"/>
      <c r="M1950" s="228">
        <f t="shared" si="207"/>
        <v>0</v>
      </c>
      <c r="N1950" s="228">
        <f t="shared" si="210"/>
        <v>0</v>
      </c>
      <c r="O1950" s="228">
        <f t="shared" si="211"/>
        <v>0</v>
      </c>
      <c r="P1950" s="228">
        <f t="shared" si="211"/>
        <v>0</v>
      </c>
      <c r="Q1950" s="228">
        <f t="shared" si="208"/>
        <v>0</v>
      </c>
      <c r="R1950" s="343">
        <f t="shared" si="209"/>
        <v>-1</v>
      </c>
      <c r="S1950" s="240"/>
      <c r="T1950" s="201"/>
      <c r="U1950" s="201"/>
      <c r="V1950" s="201"/>
    </row>
    <row r="1951" spans="1:22" ht="15.75" x14ac:dyDescent="0.25">
      <c r="A1951" s="234" t="s">
        <v>3754</v>
      </c>
      <c r="B1951" s="235" t="s">
        <v>3755</v>
      </c>
      <c r="C1951" s="234" t="s">
        <v>499</v>
      </c>
      <c r="D1951" s="312">
        <v>1</v>
      </c>
      <c r="E1951" s="312"/>
      <c r="F1951" s="248"/>
      <c r="G1951" s="312"/>
      <c r="H1951" s="312"/>
      <c r="I1951" s="312"/>
      <c r="J1951" s="248">
        <f t="shared" si="205"/>
        <v>0</v>
      </c>
      <c r="K1951" s="330">
        <f t="shared" si="206"/>
        <v>-1</v>
      </c>
      <c r="L1951" s="313"/>
      <c r="M1951" s="228">
        <f t="shared" si="207"/>
        <v>0</v>
      </c>
      <c r="N1951" s="228">
        <f t="shared" si="210"/>
        <v>0</v>
      </c>
      <c r="O1951" s="228">
        <f t="shared" si="211"/>
        <v>0</v>
      </c>
      <c r="P1951" s="228">
        <f t="shared" si="211"/>
        <v>0</v>
      </c>
      <c r="Q1951" s="228">
        <f t="shared" si="208"/>
        <v>0</v>
      </c>
      <c r="R1951" s="343">
        <f t="shared" si="209"/>
        <v>-1</v>
      </c>
      <c r="S1951" s="240"/>
      <c r="T1951" s="201"/>
      <c r="U1951" s="201"/>
      <c r="V1951" s="201"/>
    </row>
    <row r="1952" spans="1:22" ht="15.75" x14ac:dyDescent="0.25">
      <c r="A1952" s="234" t="s">
        <v>3756</v>
      </c>
      <c r="B1952" s="235" t="s">
        <v>3757</v>
      </c>
      <c r="C1952" s="234" t="s">
        <v>499</v>
      </c>
      <c r="D1952" s="312">
        <v>1</v>
      </c>
      <c r="E1952" s="312"/>
      <c r="F1952" s="248"/>
      <c r="G1952" s="312"/>
      <c r="H1952" s="312"/>
      <c r="I1952" s="312"/>
      <c r="J1952" s="248">
        <f t="shared" si="205"/>
        <v>0</v>
      </c>
      <c r="K1952" s="330">
        <f t="shared" si="206"/>
        <v>-1</v>
      </c>
      <c r="L1952" s="313"/>
      <c r="M1952" s="228">
        <f t="shared" si="207"/>
        <v>0</v>
      </c>
      <c r="N1952" s="228">
        <f t="shared" si="210"/>
        <v>0</v>
      </c>
      <c r="O1952" s="228">
        <f t="shared" si="211"/>
        <v>0</v>
      </c>
      <c r="P1952" s="228">
        <f t="shared" si="211"/>
        <v>0</v>
      </c>
      <c r="Q1952" s="228">
        <f t="shared" si="208"/>
        <v>0</v>
      </c>
      <c r="R1952" s="343">
        <f t="shared" si="209"/>
        <v>-1</v>
      </c>
      <c r="S1952" s="240"/>
      <c r="T1952" s="201"/>
      <c r="U1952" s="201"/>
      <c r="V1952" s="201"/>
    </row>
    <row r="1953" spans="1:22" ht="15.75" x14ac:dyDescent="0.25">
      <c r="A1953" s="234" t="s">
        <v>3758</v>
      </c>
      <c r="B1953" s="235" t="s">
        <v>3759</v>
      </c>
      <c r="C1953" s="234" t="s">
        <v>499</v>
      </c>
      <c r="D1953" s="312">
        <v>1</v>
      </c>
      <c r="E1953" s="312"/>
      <c r="F1953" s="248"/>
      <c r="G1953" s="312"/>
      <c r="H1953" s="312"/>
      <c r="I1953" s="312"/>
      <c r="J1953" s="248">
        <f t="shared" si="205"/>
        <v>0</v>
      </c>
      <c r="K1953" s="330">
        <f t="shared" si="206"/>
        <v>-1</v>
      </c>
      <c r="L1953" s="313"/>
      <c r="M1953" s="228">
        <f t="shared" si="207"/>
        <v>0</v>
      </c>
      <c r="N1953" s="228">
        <f t="shared" si="210"/>
        <v>0</v>
      </c>
      <c r="O1953" s="228">
        <f t="shared" si="211"/>
        <v>0</v>
      </c>
      <c r="P1953" s="228">
        <f t="shared" si="211"/>
        <v>0</v>
      </c>
      <c r="Q1953" s="228">
        <f t="shared" si="208"/>
        <v>0</v>
      </c>
      <c r="R1953" s="343">
        <f t="shared" si="209"/>
        <v>-1</v>
      </c>
      <c r="S1953" s="240"/>
      <c r="T1953" s="201"/>
      <c r="U1953" s="201"/>
      <c r="V1953" s="201"/>
    </row>
    <row r="1954" spans="1:22" ht="15.75" x14ac:dyDescent="0.25">
      <c r="A1954" s="234" t="s">
        <v>3760</v>
      </c>
      <c r="B1954" s="235" t="s">
        <v>3761</v>
      </c>
      <c r="C1954" s="234" t="s">
        <v>248</v>
      </c>
      <c r="D1954" s="312">
        <v>2</v>
      </c>
      <c r="E1954" s="312"/>
      <c r="F1954" s="248"/>
      <c r="G1954" s="312"/>
      <c r="H1954" s="312"/>
      <c r="I1954" s="312"/>
      <c r="J1954" s="248">
        <f t="shared" si="205"/>
        <v>0</v>
      </c>
      <c r="K1954" s="330">
        <f t="shared" si="206"/>
        <v>-2</v>
      </c>
      <c r="L1954" s="313"/>
      <c r="M1954" s="228">
        <f t="shared" si="207"/>
        <v>0</v>
      </c>
      <c r="N1954" s="228">
        <f t="shared" si="210"/>
        <v>0</v>
      </c>
      <c r="O1954" s="228">
        <f t="shared" si="211"/>
        <v>0</v>
      </c>
      <c r="P1954" s="228">
        <f t="shared" si="211"/>
        <v>0</v>
      </c>
      <c r="Q1954" s="228">
        <f t="shared" si="208"/>
        <v>0</v>
      </c>
      <c r="R1954" s="343">
        <f t="shared" si="209"/>
        <v>-2</v>
      </c>
      <c r="S1954" s="240"/>
      <c r="T1954" s="201"/>
      <c r="U1954" s="201"/>
      <c r="V1954" s="201"/>
    </row>
    <row r="1955" spans="1:22" ht="15.75" x14ac:dyDescent="0.25">
      <c r="A1955" s="234" t="s">
        <v>3762</v>
      </c>
      <c r="B1955" s="235" t="s">
        <v>3763</v>
      </c>
      <c r="C1955" s="234" t="s">
        <v>248</v>
      </c>
      <c r="D1955" s="312">
        <v>1</v>
      </c>
      <c r="E1955" s="312"/>
      <c r="F1955" s="248"/>
      <c r="G1955" s="312"/>
      <c r="H1955" s="312"/>
      <c r="I1955" s="312"/>
      <c r="J1955" s="248">
        <f t="shared" si="205"/>
        <v>0</v>
      </c>
      <c r="K1955" s="330">
        <f t="shared" si="206"/>
        <v>-1</v>
      </c>
      <c r="L1955" s="313"/>
      <c r="M1955" s="228">
        <f t="shared" si="207"/>
        <v>0</v>
      </c>
      <c r="N1955" s="228">
        <f t="shared" si="210"/>
        <v>0</v>
      </c>
      <c r="O1955" s="228">
        <f t="shared" si="211"/>
        <v>0</v>
      </c>
      <c r="P1955" s="228">
        <f t="shared" si="211"/>
        <v>0</v>
      </c>
      <c r="Q1955" s="228">
        <f t="shared" si="208"/>
        <v>0</v>
      </c>
      <c r="R1955" s="343">
        <f t="shared" si="209"/>
        <v>-1</v>
      </c>
      <c r="S1955" s="240"/>
      <c r="T1955" s="201"/>
      <c r="U1955" s="201"/>
      <c r="V1955" s="201"/>
    </row>
    <row r="1956" spans="1:22" ht="15.75" x14ac:dyDescent="0.25">
      <c r="A1956" s="234" t="s">
        <v>3764</v>
      </c>
      <c r="B1956" s="235" t="s">
        <v>3765</v>
      </c>
      <c r="C1956" s="234" t="s">
        <v>248</v>
      </c>
      <c r="D1956" s="312">
        <v>1</v>
      </c>
      <c r="E1956" s="312"/>
      <c r="F1956" s="248"/>
      <c r="G1956" s="312"/>
      <c r="H1956" s="312"/>
      <c r="I1956" s="312"/>
      <c r="J1956" s="248">
        <f t="shared" si="205"/>
        <v>0</v>
      </c>
      <c r="K1956" s="330">
        <f t="shared" si="206"/>
        <v>-1</v>
      </c>
      <c r="L1956" s="313"/>
      <c r="M1956" s="228">
        <f t="shared" si="207"/>
        <v>0</v>
      </c>
      <c r="N1956" s="228">
        <f t="shared" si="210"/>
        <v>0</v>
      </c>
      <c r="O1956" s="228">
        <f t="shared" si="211"/>
        <v>0</v>
      </c>
      <c r="P1956" s="228">
        <f t="shared" si="211"/>
        <v>0</v>
      </c>
      <c r="Q1956" s="228">
        <f t="shared" si="208"/>
        <v>0</v>
      </c>
      <c r="R1956" s="343">
        <f t="shared" si="209"/>
        <v>-1</v>
      </c>
      <c r="S1956" s="240"/>
      <c r="T1956" s="201"/>
      <c r="U1956" s="201"/>
      <c r="V1956" s="201"/>
    </row>
    <row r="1957" spans="1:22" ht="15.75" x14ac:dyDescent="0.25">
      <c r="A1957" s="230" t="s">
        <v>2313</v>
      </c>
      <c r="B1957" s="231" t="s">
        <v>2314</v>
      </c>
      <c r="C1957" s="230"/>
      <c r="D1957" s="316"/>
      <c r="E1957" s="316"/>
      <c r="F1957" s="317"/>
      <c r="G1957" s="316"/>
      <c r="H1957" s="316"/>
      <c r="I1957" s="316"/>
      <c r="J1957" s="248">
        <f t="shared" si="205"/>
        <v>0</v>
      </c>
      <c r="K1957" s="330">
        <f t="shared" si="206"/>
        <v>0</v>
      </c>
      <c r="L1957" s="318"/>
      <c r="M1957" s="228">
        <f t="shared" si="207"/>
        <v>0</v>
      </c>
      <c r="N1957" s="228">
        <f t="shared" si="210"/>
        <v>0</v>
      </c>
      <c r="O1957" s="228">
        <f t="shared" si="211"/>
        <v>0</v>
      </c>
      <c r="P1957" s="228">
        <f t="shared" si="211"/>
        <v>0</v>
      </c>
      <c r="Q1957" s="228">
        <f t="shared" si="208"/>
        <v>0</v>
      </c>
      <c r="R1957" s="343">
        <f t="shared" si="209"/>
        <v>0</v>
      </c>
      <c r="S1957" s="240"/>
      <c r="T1957" s="201"/>
      <c r="U1957" s="201"/>
      <c r="V1957" s="201"/>
    </row>
    <row r="1958" spans="1:22" ht="15.75" x14ac:dyDescent="0.25">
      <c r="A1958" s="230" t="s">
        <v>2315</v>
      </c>
      <c r="B1958" s="231" t="s">
        <v>2316</v>
      </c>
      <c r="C1958" s="230"/>
      <c r="D1958" s="316"/>
      <c r="E1958" s="316"/>
      <c r="F1958" s="317"/>
      <c r="G1958" s="316"/>
      <c r="H1958" s="316"/>
      <c r="I1958" s="316"/>
      <c r="J1958" s="248">
        <f t="shared" si="205"/>
        <v>0</v>
      </c>
      <c r="K1958" s="330">
        <f t="shared" si="206"/>
        <v>0</v>
      </c>
      <c r="L1958" s="318"/>
      <c r="M1958" s="228">
        <f t="shared" si="207"/>
        <v>0</v>
      </c>
      <c r="N1958" s="228">
        <f t="shared" si="210"/>
        <v>0</v>
      </c>
      <c r="O1958" s="228">
        <f t="shared" si="211"/>
        <v>0</v>
      </c>
      <c r="P1958" s="228">
        <f t="shared" si="211"/>
        <v>0</v>
      </c>
      <c r="Q1958" s="228">
        <f t="shared" si="208"/>
        <v>0</v>
      </c>
      <c r="R1958" s="343">
        <f t="shared" si="209"/>
        <v>0</v>
      </c>
      <c r="S1958" s="240"/>
      <c r="T1958" s="201"/>
      <c r="U1958" s="201"/>
      <c r="V1958" s="201"/>
    </row>
    <row r="1959" spans="1:22" ht="15.75" x14ac:dyDescent="0.25">
      <c r="A1959" s="234" t="s">
        <v>2317</v>
      </c>
      <c r="B1959" s="235" t="s">
        <v>2318</v>
      </c>
      <c r="C1959" s="234" t="s">
        <v>248</v>
      </c>
      <c r="D1959" s="312">
        <v>1</v>
      </c>
      <c r="E1959" s="312"/>
      <c r="F1959" s="248"/>
      <c r="G1959" s="312"/>
      <c r="H1959" s="312"/>
      <c r="I1959" s="312"/>
      <c r="J1959" s="248">
        <f t="shared" si="205"/>
        <v>0</v>
      </c>
      <c r="K1959" s="330">
        <f t="shared" si="206"/>
        <v>-1</v>
      </c>
      <c r="L1959" s="313"/>
      <c r="M1959" s="228">
        <f t="shared" si="207"/>
        <v>0</v>
      </c>
      <c r="N1959" s="228">
        <f t="shared" si="210"/>
        <v>0</v>
      </c>
      <c r="O1959" s="228">
        <f t="shared" si="211"/>
        <v>0</v>
      </c>
      <c r="P1959" s="228">
        <f t="shared" si="211"/>
        <v>0</v>
      </c>
      <c r="Q1959" s="228">
        <f t="shared" si="208"/>
        <v>0</v>
      </c>
      <c r="R1959" s="343">
        <f t="shared" si="209"/>
        <v>-1</v>
      </c>
      <c r="S1959" s="240"/>
      <c r="T1959" s="201"/>
      <c r="U1959" s="201"/>
      <c r="V1959" s="201"/>
    </row>
    <row r="1960" spans="1:22" ht="15.75" x14ac:dyDescent="0.25">
      <c r="A1960" s="234" t="s">
        <v>2319</v>
      </c>
      <c r="B1960" s="235" t="s">
        <v>2320</v>
      </c>
      <c r="C1960" s="234" t="s">
        <v>248</v>
      </c>
      <c r="D1960" s="312">
        <v>1</v>
      </c>
      <c r="E1960" s="312"/>
      <c r="F1960" s="248"/>
      <c r="G1960" s="312"/>
      <c r="H1960" s="312"/>
      <c r="I1960" s="312"/>
      <c r="J1960" s="248">
        <f t="shared" si="205"/>
        <v>0</v>
      </c>
      <c r="K1960" s="330">
        <f t="shared" si="206"/>
        <v>-1</v>
      </c>
      <c r="L1960" s="313"/>
      <c r="M1960" s="228">
        <f t="shared" si="207"/>
        <v>0</v>
      </c>
      <c r="N1960" s="228">
        <f t="shared" si="210"/>
        <v>0</v>
      </c>
      <c r="O1960" s="228">
        <f t="shared" si="211"/>
        <v>0</v>
      </c>
      <c r="P1960" s="228">
        <f t="shared" si="211"/>
        <v>0</v>
      </c>
      <c r="Q1960" s="228">
        <f t="shared" si="208"/>
        <v>0</v>
      </c>
      <c r="R1960" s="343">
        <f t="shared" si="209"/>
        <v>-1</v>
      </c>
      <c r="S1960" s="240"/>
      <c r="T1960" s="201"/>
      <c r="U1960" s="201"/>
      <c r="V1960" s="201"/>
    </row>
    <row r="1961" spans="1:22" ht="15.75" x14ac:dyDescent="0.25">
      <c r="A1961" s="234" t="s">
        <v>2321</v>
      </c>
      <c r="B1961" s="235" t="s">
        <v>2322</v>
      </c>
      <c r="C1961" s="234" t="s">
        <v>248</v>
      </c>
      <c r="D1961" s="312">
        <v>1</v>
      </c>
      <c r="E1961" s="312"/>
      <c r="F1961" s="248"/>
      <c r="G1961" s="312"/>
      <c r="H1961" s="312"/>
      <c r="I1961" s="312"/>
      <c r="J1961" s="248">
        <f t="shared" si="205"/>
        <v>0</v>
      </c>
      <c r="K1961" s="330">
        <f t="shared" si="206"/>
        <v>-1</v>
      </c>
      <c r="L1961" s="313"/>
      <c r="M1961" s="228">
        <f t="shared" si="207"/>
        <v>0</v>
      </c>
      <c r="N1961" s="228">
        <f t="shared" si="210"/>
        <v>0</v>
      </c>
      <c r="O1961" s="228">
        <f t="shared" si="211"/>
        <v>0</v>
      </c>
      <c r="P1961" s="228">
        <f t="shared" si="211"/>
        <v>0</v>
      </c>
      <c r="Q1961" s="228">
        <f t="shared" si="208"/>
        <v>0</v>
      </c>
      <c r="R1961" s="343">
        <f t="shared" si="209"/>
        <v>-1</v>
      </c>
      <c r="S1961" s="240"/>
      <c r="T1961" s="201"/>
      <c r="U1961" s="201"/>
      <c r="V1961" s="201"/>
    </row>
    <row r="1962" spans="1:22" ht="15.75" x14ac:dyDescent="0.25">
      <c r="A1962" s="234" t="s">
        <v>2323</v>
      </c>
      <c r="B1962" s="235" t="s">
        <v>2324</v>
      </c>
      <c r="C1962" s="234" t="s">
        <v>248</v>
      </c>
      <c r="D1962" s="312">
        <v>1</v>
      </c>
      <c r="E1962" s="312"/>
      <c r="F1962" s="248"/>
      <c r="G1962" s="312"/>
      <c r="H1962" s="312"/>
      <c r="I1962" s="312"/>
      <c r="J1962" s="248">
        <f t="shared" si="205"/>
        <v>0</v>
      </c>
      <c r="K1962" s="330">
        <f t="shared" si="206"/>
        <v>-1</v>
      </c>
      <c r="L1962" s="313"/>
      <c r="M1962" s="228">
        <f t="shared" si="207"/>
        <v>0</v>
      </c>
      <c r="N1962" s="228">
        <f t="shared" si="210"/>
        <v>0</v>
      </c>
      <c r="O1962" s="228">
        <f t="shared" si="211"/>
        <v>0</v>
      </c>
      <c r="P1962" s="228">
        <f t="shared" si="211"/>
        <v>0</v>
      </c>
      <c r="Q1962" s="228">
        <f t="shared" si="208"/>
        <v>0</v>
      </c>
      <c r="R1962" s="343">
        <f t="shared" si="209"/>
        <v>-1</v>
      </c>
      <c r="S1962" s="240"/>
      <c r="T1962" s="201"/>
      <c r="U1962" s="201"/>
      <c r="V1962" s="201"/>
    </row>
    <row r="1963" spans="1:22" ht="15.75" x14ac:dyDescent="0.25">
      <c r="A1963" s="230" t="s">
        <v>2325</v>
      </c>
      <c r="B1963" s="231" t="s">
        <v>2326</v>
      </c>
      <c r="C1963" s="230"/>
      <c r="D1963" s="316"/>
      <c r="E1963" s="316"/>
      <c r="F1963" s="317"/>
      <c r="G1963" s="316"/>
      <c r="H1963" s="316"/>
      <c r="I1963" s="316"/>
      <c r="J1963" s="248">
        <f t="shared" si="205"/>
        <v>0</v>
      </c>
      <c r="K1963" s="330">
        <f t="shared" si="206"/>
        <v>0</v>
      </c>
      <c r="L1963" s="318"/>
      <c r="M1963" s="228">
        <f t="shared" si="207"/>
        <v>0</v>
      </c>
      <c r="N1963" s="228">
        <f t="shared" si="210"/>
        <v>0</v>
      </c>
      <c r="O1963" s="228">
        <f t="shared" si="211"/>
        <v>0</v>
      </c>
      <c r="P1963" s="228">
        <f t="shared" si="211"/>
        <v>0</v>
      </c>
      <c r="Q1963" s="228">
        <f t="shared" si="208"/>
        <v>0</v>
      </c>
      <c r="R1963" s="343">
        <f t="shared" si="209"/>
        <v>0</v>
      </c>
      <c r="S1963" s="240"/>
      <c r="T1963" s="201"/>
      <c r="U1963" s="201"/>
      <c r="V1963" s="201"/>
    </row>
    <row r="1964" spans="1:22" ht="15.75" x14ac:dyDescent="0.25">
      <c r="A1964" s="234" t="s">
        <v>2327</v>
      </c>
      <c r="B1964" s="235" t="s">
        <v>2328</v>
      </c>
      <c r="C1964" s="234" t="s">
        <v>248</v>
      </c>
      <c r="D1964" s="312">
        <v>274</v>
      </c>
      <c r="E1964" s="312"/>
      <c r="F1964" s="248"/>
      <c r="G1964" s="312"/>
      <c r="H1964" s="312"/>
      <c r="I1964" s="312"/>
      <c r="J1964" s="248">
        <f t="shared" si="205"/>
        <v>0</v>
      </c>
      <c r="K1964" s="330">
        <f t="shared" si="206"/>
        <v>-274</v>
      </c>
      <c r="L1964" s="313"/>
      <c r="M1964" s="228">
        <f t="shared" si="207"/>
        <v>0</v>
      </c>
      <c r="N1964" s="228">
        <f t="shared" si="210"/>
        <v>0</v>
      </c>
      <c r="O1964" s="228">
        <f t="shared" si="211"/>
        <v>0</v>
      </c>
      <c r="P1964" s="228">
        <f t="shared" si="211"/>
        <v>0</v>
      </c>
      <c r="Q1964" s="228">
        <f t="shared" si="208"/>
        <v>0</v>
      </c>
      <c r="R1964" s="343">
        <f t="shared" si="209"/>
        <v>-274</v>
      </c>
      <c r="S1964" s="240"/>
      <c r="T1964" s="201"/>
      <c r="U1964" s="201"/>
      <c r="V1964" s="201"/>
    </row>
    <row r="1965" spans="1:22" ht="15.75" x14ac:dyDescent="0.25">
      <c r="A1965" s="234" t="s">
        <v>2329</v>
      </c>
      <c r="B1965" s="235" t="s">
        <v>2330</v>
      </c>
      <c r="C1965" s="234" t="s">
        <v>248</v>
      </c>
      <c r="D1965" s="312">
        <v>63</v>
      </c>
      <c r="E1965" s="312"/>
      <c r="F1965" s="248"/>
      <c r="G1965" s="312"/>
      <c r="H1965" s="312"/>
      <c r="I1965" s="312"/>
      <c r="J1965" s="248">
        <f t="shared" si="205"/>
        <v>0</v>
      </c>
      <c r="K1965" s="330">
        <f t="shared" si="206"/>
        <v>-63</v>
      </c>
      <c r="L1965" s="313"/>
      <c r="M1965" s="228">
        <f t="shared" si="207"/>
        <v>0</v>
      </c>
      <c r="N1965" s="228">
        <f t="shared" si="210"/>
        <v>0</v>
      </c>
      <c r="O1965" s="228">
        <f t="shared" si="211"/>
        <v>0</v>
      </c>
      <c r="P1965" s="228">
        <f t="shared" si="211"/>
        <v>0</v>
      </c>
      <c r="Q1965" s="228">
        <f t="shared" si="208"/>
        <v>0</v>
      </c>
      <c r="R1965" s="343">
        <f t="shared" si="209"/>
        <v>-63</v>
      </c>
      <c r="S1965" s="240"/>
      <c r="T1965" s="201"/>
      <c r="U1965" s="201"/>
      <c r="V1965" s="201"/>
    </row>
    <row r="1966" spans="1:22" ht="15.75" x14ac:dyDescent="0.25">
      <c r="A1966" s="234" t="s">
        <v>2331</v>
      </c>
      <c r="B1966" s="235" t="s">
        <v>2332</v>
      </c>
      <c r="C1966" s="234" t="s">
        <v>1867</v>
      </c>
      <c r="D1966" s="312">
        <v>3</v>
      </c>
      <c r="E1966" s="312"/>
      <c r="F1966" s="248"/>
      <c r="G1966" s="312"/>
      <c r="H1966" s="312"/>
      <c r="I1966" s="312"/>
      <c r="J1966" s="248">
        <f t="shared" si="205"/>
        <v>0</v>
      </c>
      <c r="K1966" s="330">
        <f t="shared" si="206"/>
        <v>-3</v>
      </c>
      <c r="L1966" s="313"/>
      <c r="M1966" s="228">
        <f t="shared" si="207"/>
        <v>0</v>
      </c>
      <c r="N1966" s="228">
        <f t="shared" si="210"/>
        <v>0</v>
      </c>
      <c r="O1966" s="228">
        <f t="shared" si="211"/>
        <v>0</v>
      </c>
      <c r="P1966" s="228">
        <f t="shared" si="211"/>
        <v>0</v>
      </c>
      <c r="Q1966" s="228">
        <f t="shared" si="208"/>
        <v>0</v>
      </c>
      <c r="R1966" s="343">
        <f t="shared" si="209"/>
        <v>-3</v>
      </c>
      <c r="S1966" s="240"/>
      <c r="T1966" s="201"/>
      <c r="U1966" s="201"/>
      <c r="V1966" s="201"/>
    </row>
    <row r="1967" spans="1:22" ht="15.75" x14ac:dyDescent="0.25">
      <c r="A1967" s="234" t="s">
        <v>2333</v>
      </c>
      <c r="B1967" s="235" t="s">
        <v>2334</v>
      </c>
      <c r="C1967" s="234" t="s">
        <v>1867</v>
      </c>
      <c r="D1967" s="312">
        <v>1</v>
      </c>
      <c r="E1967" s="312"/>
      <c r="F1967" s="248"/>
      <c r="G1967" s="312"/>
      <c r="H1967" s="312"/>
      <c r="I1967" s="312"/>
      <c r="J1967" s="248">
        <f t="shared" si="205"/>
        <v>0</v>
      </c>
      <c r="K1967" s="330">
        <f t="shared" si="206"/>
        <v>-1</v>
      </c>
      <c r="L1967" s="313"/>
      <c r="M1967" s="228">
        <f t="shared" si="207"/>
        <v>0</v>
      </c>
      <c r="N1967" s="228">
        <f t="shared" si="210"/>
        <v>0</v>
      </c>
      <c r="O1967" s="228">
        <f t="shared" si="211"/>
        <v>0</v>
      </c>
      <c r="P1967" s="228">
        <f t="shared" si="211"/>
        <v>0</v>
      </c>
      <c r="Q1967" s="228">
        <f t="shared" si="208"/>
        <v>0</v>
      </c>
      <c r="R1967" s="343">
        <f t="shared" si="209"/>
        <v>-1</v>
      </c>
      <c r="S1967" s="240"/>
      <c r="T1967" s="201"/>
      <c r="U1967" s="201"/>
      <c r="V1967" s="201"/>
    </row>
    <row r="1968" spans="1:22" ht="15.75" x14ac:dyDescent="0.25">
      <c r="A1968" s="234" t="s">
        <v>2335</v>
      </c>
      <c r="B1968" s="235" t="s">
        <v>2336</v>
      </c>
      <c r="C1968" s="234" t="s">
        <v>1867</v>
      </c>
      <c r="D1968" s="312">
        <v>3</v>
      </c>
      <c r="E1968" s="312"/>
      <c r="F1968" s="248"/>
      <c r="G1968" s="312"/>
      <c r="H1968" s="312"/>
      <c r="I1968" s="312"/>
      <c r="J1968" s="248">
        <f t="shared" ref="J1968:J2031" si="212">F1968+G1968+H1968+I1968</f>
        <v>0</v>
      </c>
      <c r="K1968" s="330">
        <f t="shared" ref="K1968:K2031" si="213">J1968-D1968</f>
        <v>-3</v>
      </c>
      <c r="L1968" s="313"/>
      <c r="M1968" s="228">
        <f t="shared" ref="M1968:M2031" si="214">F1968</f>
        <v>0</v>
      </c>
      <c r="N1968" s="228">
        <f t="shared" si="210"/>
        <v>0</v>
      </c>
      <c r="O1968" s="228">
        <f t="shared" si="211"/>
        <v>0</v>
      </c>
      <c r="P1968" s="228">
        <f t="shared" si="211"/>
        <v>0</v>
      </c>
      <c r="Q1968" s="228">
        <f t="shared" ref="Q1968:Q2031" si="215">M1968+N1968+O1968+P1968</f>
        <v>0</v>
      </c>
      <c r="R1968" s="343">
        <f t="shared" ref="R1968:R2031" si="216">Q1968-D1968</f>
        <v>-3</v>
      </c>
      <c r="S1968" s="240"/>
      <c r="T1968" s="201"/>
      <c r="U1968" s="201"/>
      <c r="V1968" s="201"/>
    </row>
    <row r="1969" spans="1:22" ht="15.75" x14ac:dyDescent="0.25">
      <c r="A1969" s="234" t="s">
        <v>2337</v>
      </c>
      <c r="B1969" s="235" t="s">
        <v>2338</v>
      </c>
      <c r="C1969" s="234" t="s">
        <v>1867</v>
      </c>
      <c r="D1969" s="312">
        <v>12</v>
      </c>
      <c r="E1969" s="312"/>
      <c r="F1969" s="248"/>
      <c r="G1969" s="312"/>
      <c r="H1969" s="312"/>
      <c r="I1969" s="312"/>
      <c r="J1969" s="248">
        <f t="shared" si="212"/>
        <v>0</v>
      </c>
      <c r="K1969" s="330">
        <f t="shared" si="213"/>
        <v>-12</v>
      </c>
      <c r="L1969" s="313"/>
      <c r="M1969" s="228">
        <f t="shared" si="214"/>
        <v>0</v>
      </c>
      <c r="N1969" s="228">
        <f t="shared" si="210"/>
        <v>0</v>
      </c>
      <c r="O1969" s="228">
        <f t="shared" si="211"/>
        <v>0</v>
      </c>
      <c r="P1969" s="228">
        <f t="shared" si="211"/>
        <v>0</v>
      </c>
      <c r="Q1969" s="228">
        <f t="shared" si="215"/>
        <v>0</v>
      </c>
      <c r="R1969" s="343">
        <f t="shared" si="216"/>
        <v>-12</v>
      </c>
      <c r="S1969" s="240"/>
      <c r="T1969" s="201"/>
      <c r="U1969" s="201"/>
      <c r="V1969" s="201"/>
    </row>
    <row r="1970" spans="1:22" ht="15.75" x14ac:dyDescent="0.25">
      <c r="A1970" s="234" t="s">
        <v>2339</v>
      </c>
      <c r="B1970" s="235" t="s">
        <v>2340</v>
      </c>
      <c r="C1970" s="234" t="s">
        <v>1867</v>
      </c>
      <c r="D1970" s="312">
        <v>1</v>
      </c>
      <c r="E1970" s="312"/>
      <c r="F1970" s="248"/>
      <c r="G1970" s="312"/>
      <c r="H1970" s="312"/>
      <c r="I1970" s="312"/>
      <c r="J1970" s="248">
        <f t="shared" si="212"/>
        <v>0</v>
      </c>
      <c r="K1970" s="330">
        <f t="shared" si="213"/>
        <v>-1</v>
      </c>
      <c r="L1970" s="313"/>
      <c r="M1970" s="228">
        <f t="shared" si="214"/>
        <v>0</v>
      </c>
      <c r="N1970" s="228">
        <f t="shared" si="210"/>
        <v>0</v>
      </c>
      <c r="O1970" s="228">
        <f t="shared" si="211"/>
        <v>0</v>
      </c>
      <c r="P1970" s="228">
        <f t="shared" si="211"/>
        <v>0</v>
      </c>
      <c r="Q1970" s="228">
        <f t="shared" si="215"/>
        <v>0</v>
      </c>
      <c r="R1970" s="343">
        <f t="shared" si="216"/>
        <v>-1</v>
      </c>
      <c r="S1970" s="240"/>
      <c r="T1970" s="201"/>
      <c r="U1970" s="201"/>
      <c r="V1970" s="201"/>
    </row>
    <row r="1971" spans="1:22" ht="15.75" x14ac:dyDescent="0.25">
      <c r="A1971" s="234" t="s">
        <v>2341</v>
      </c>
      <c r="B1971" s="235" t="s">
        <v>2342</v>
      </c>
      <c r="C1971" s="234" t="s">
        <v>1867</v>
      </c>
      <c r="D1971" s="312">
        <v>2</v>
      </c>
      <c r="E1971" s="312"/>
      <c r="F1971" s="248"/>
      <c r="G1971" s="312"/>
      <c r="H1971" s="312"/>
      <c r="I1971" s="312"/>
      <c r="J1971" s="248">
        <f t="shared" si="212"/>
        <v>0</v>
      </c>
      <c r="K1971" s="330">
        <f t="shared" si="213"/>
        <v>-2</v>
      </c>
      <c r="L1971" s="313"/>
      <c r="M1971" s="228">
        <f t="shared" si="214"/>
        <v>0</v>
      </c>
      <c r="N1971" s="228">
        <f t="shared" si="210"/>
        <v>0</v>
      </c>
      <c r="O1971" s="228">
        <f t="shared" si="211"/>
        <v>0</v>
      </c>
      <c r="P1971" s="228">
        <f t="shared" si="211"/>
        <v>0</v>
      </c>
      <c r="Q1971" s="228">
        <f t="shared" si="215"/>
        <v>0</v>
      </c>
      <c r="R1971" s="343">
        <f t="shared" si="216"/>
        <v>-2</v>
      </c>
      <c r="S1971" s="240"/>
      <c r="T1971" s="201"/>
      <c r="U1971" s="201"/>
      <c r="V1971" s="201"/>
    </row>
    <row r="1972" spans="1:22" ht="15.75" x14ac:dyDescent="0.25">
      <c r="A1972" s="234" t="s">
        <v>2343</v>
      </c>
      <c r="B1972" s="235" t="s">
        <v>2344</v>
      </c>
      <c r="C1972" s="234" t="s">
        <v>1867</v>
      </c>
      <c r="D1972" s="312">
        <v>1</v>
      </c>
      <c r="E1972" s="312"/>
      <c r="F1972" s="248"/>
      <c r="G1972" s="312"/>
      <c r="H1972" s="312"/>
      <c r="I1972" s="312"/>
      <c r="J1972" s="248">
        <f t="shared" si="212"/>
        <v>0</v>
      </c>
      <c r="K1972" s="330">
        <f t="shared" si="213"/>
        <v>-1</v>
      </c>
      <c r="L1972" s="313"/>
      <c r="M1972" s="228">
        <f t="shared" si="214"/>
        <v>0</v>
      </c>
      <c r="N1972" s="228">
        <f t="shared" si="210"/>
        <v>0</v>
      </c>
      <c r="O1972" s="228">
        <f t="shared" si="211"/>
        <v>0</v>
      </c>
      <c r="P1972" s="228">
        <f t="shared" si="211"/>
        <v>0</v>
      </c>
      <c r="Q1972" s="228">
        <f t="shared" si="215"/>
        <v>0</v>
      </c>
      <c r="R1972" s="343">
        <f t="shared" si="216"/>
        <v>-1</v>
      </c>
      <c r="S1972" s="240"/>
      <c r="T1972" s="201"/>
      <c r="U1972" s="201"/>
      <c r="V1972" s="201"/>
    </row>
    <row r="1973" spans="1:22" ht="15.75" x14ac:dyDescent="0.25">
      <c r="A1973" s="234" t="s">
        <v>2345</v>
      </c>
      <c r="B1973" s="235" t="s">
        <v>2346</v>
      </c>
      <c r="C1973" s="234" t="s">
        <v>1867</v>
      </c>
      <c r="D1973" s="312">
        <v>2</v>
      </c>
      <c r="E1973" s="312"/>
      <c r="F1973" s="248"/>
      <c r="G1973" s="312"/>
      <c r="H1973" s="312"/>
      <c r="I1973" s="312"/>
      <c r="J1973" s="248">
        <f t="shared" si="212"/>
        <v>0</v>
      </c>
      <c r="K1973" s="330">
        <f t="shared" si="213"/>
        <v>-2</v>
      </c>
      <c r="L1973" s="313"/>
      <c r="M1973" s="228">
        <f t="shared" si="214"/>
        <v>0</v>
      </c>
      <c r="N1973" s="228">
        <f t="shared" si="210"/>
        <v>0</v>
      </c>
      <c r="O1973" s="228">
        <f t="shared" si="211"/>
        <v>0</v>
      </c>
      <c r="P1973" s="228">
        <f t="shared" si="211"/>
        <v>0</v>
      </c>
      <c r="Q1973" s="228">
        <f t="shared" si="215"/>
        <v>0</v>
      </c>
      <c r="R1973" s="343">
        <f t="shared" si="216"/>
        <v>-2</v>
      </c>
      <c r="S1973" s="240"/>
      <c r="T1973" s="201"/>
      <c r="U1973" s="201"/>
      <c r="V1973" s="201"/>
    </row>
    <row r="1974" spans="1:22" ht="15.75" x14ac:dyDescent="0.25">
      <c r="A1974" s="234" t="s">
        <v>2347</v>
      </c>
      <c r="B1974" s="235" t="s">
        <v>2348</v>
      </c>
      <c r="C1974" s="234" t="s">
        <v>1867</v>
      </c>
      <c r="D1974" s="312">
        <v>13</v>
      </c>
      <c r="E1974" s="312"/>
      <c r="F1974" s="248"/>
      <c r="G1974" s="312"/>
      <c r="H1974" s="312"/>
      <c r="I1974" s="312"/>
      <c r="J1974" s="248">
        <f t="shared" si="212"/>
        <v>0</v>
      </c>
      <c r="K1974" s="330">
        <f t="shared" si="213"/>
        <v>-13</v>
      </c>
      <c r="L1974" s="313"/>
      <c r="M1974" s="228">
        <f t="shared" si="214"/>
        <v>0</v>
      </c>
      <c r="N1974" s="228">
        <f t="shared" si="210"/>
        <v>0</v>
      </c>
      <c r="O1974" s="228">
        <f t="shared" si="211"/>
        <v>0</v>
      </c>
      <c r="P1974" s="228">
        <f t="shared" si="211"/>
        <v>0</v>
      </c>
      <c r="Q1974" s="228">
        <f t="shared" si="215"/>
        <v>0</v>
      </c>
      <c r="R1974" s="343">
        <f t="shared" si="216"/>
        <v>-13</v>
      </c>
      <c r="S1974" s="240"/>
      <c r="T1974" s="201"/>
      <c r="U1974" s="201"/>
      <c r="V1974" s="201"/>
    </row>
    <row r="1975" spans="1:22" ht="15.75" x14ac:dyDescent="0.25">
      <c r="A1975" s="234" t="s">
        <v>2349</v>
      </c>
      <c r="B1975" s="235" t="s">
        <v>2350</v>
      </c>
      <c r="C1975" s="234" t="s">
        <v>1867</v>
      </c>
      <c r="D1975" s="312">
        <v>1</v>
      </c>
      <c r="E1975" s="312"/>
      <c r="F1975" s="248"/>
      <c r="G1975" s="312"/>
      <c r="H1975" s="312"/>
      <c r="I1975" s="312"/>
      <c r="J1975" s="248">
        <f t="shared" si="212"/>
        <v>0</v>
      </c>
      <c r="K1975" s="330">
        <f t="shared" si="213"/>
        <v>-1</v>
      </c>
      <c r="L1975" s="313"/>
      <c r="M1975" s="228">
        <f t="shared" si="214"/>
        <v>0</v>
      </c>
      <c r="N1975" s="228">
        <f t="shared" si="210"/>
        <v>0</v>
      </c>
      <c r="O1975" s="228">
        <f t="shared" si="211"/>
        <v>0</v>
      </c>
      <c r="P1975" s="228">
        <f t="shared" si="211"/>
        <v>0</v>
      </c>
      <c r="Q1975" s="228">
        <f t="shared" si="215"/>
        <v>0</v>
      </c>
      <c r="R1975" s="343">
        <f t="shared" si="216"/>
        <v>-1</v>
      </c>
      <c r="S1975" s="240"/>
      <c r="T1975" s="201"/>
      <c r="U1975" s="201"/>
      <c r="V1975" s="201"/>
    </row>
    <row r="1976" spans="1:22" ht="15.75" x14ac:dyDescent="0.25">
      <c r="A1976" s="234" t="s">
        <v>2351</v>
      </c>
      <c r="B1976" s="235" t="s">
        <v>2352</v>
      </c>
      <c r="C1976" s="234" t="s">
        <v>1867</v>
      </c>
      <c r="D1976" s="312">
        <v>5</v>
      </c>
      <c r="E1976" s="312"/>
      <c r="F1976" s="248"/>
      <c r="G1976" s="312"/>
      <c r="H1976" s="312"/>
      <c r="I1976" s="312"/>
      <c r="J1976" s="248">
        <f t="shared" si="212"/>
        <v>0</v>
      </c>
      <c r="K1976" s="330">
        <f t="shared" si="213"/>
        <v>-5</v>
      </c>
      <c r="L1976" s="313"/>
      <c r="M1976" s="228">
        <f t="shared" si="214"/>
        <v>0</v>
      </c>
      <c r="N1976" s="228">
        <f t="shared" si="210"/>
        <v>0</v>
      </c>
      <c r="O1976" s="228">
        <f t="shared" si="211"/>
        <v>0</v>
      </c>
      <c r="P1976" s="228">
        <f t="shared" si="211"/>
        <v>0</v>
      </c>
      <c r="Q1976" s="228">
        <f t="shared" si="215"/>
        <v>0</v>
      </c>
      <c r="R1976" s="343">
        <f t="shared" si="216"/>
        <v>-5</v>
      </c>
      <c r="S1976" s="240"/>
      <c r="T1976" s="201"/>
      <c r="U1976" s="201"/>
      <c r="V1976" s="201"/>
    </row>
    <row r="1977" spans="1:22" ht="15.75" x14ac:dyDescent="0.25">
      <c r="A1977" s="234" t="s">
        <v>2353</v>
      </c>
      <c r="B1977" s="235" t="s">
        <v>2354</v>
      </c>
      <c r="C1977" s="234" t="s">
        <v>1867</v>
      </c>
      <c r="D1977" s="312">
        <v>2</v>
      </c>
      <c r="E1977" s="312"/>
      <c r="F1977" s="248"/>
      <c r="G1977" s="312"/>
      <c r="H1977" s="312"/>
      <c r="I1977" s="312"/>
      <c r="J1977" s="248">
        <f t="shared" si="212"/>
        <v>0</v>
      </c>
      <c r="K1977" s="330">
        <f t="shared" si="213"/>
        <v>-2</v>
      </c>
      <c r="L1977" s="313"/>
      <c r="M1977" s="228">
        <f t="shared" si="214"/>
        <v>0</v>
      </c>
      <c r="N1977" s="228">
        <f t="shared" si="210"/>
        <v>0</v>
      </c>
      <c r="O1977" s="228">
        <f t="shared" si="211"/>
        <v>0</v>
      </c>
      <c r="P1977" s="228">
        <f t="shared" si="211"/>
        <v>0</v>
      </c>
      <c r="Q1977" s="228">
        <f t="shared" si="215"/>
        <v>0</v>
      </c>
      <c r="R1977" s="343">
        <f t="shared" si="216"/>
        <v>-2</v>
      </c>
      <c r="S1977" s="240"/>
      <c r="T1977" s="201"/>
      <c r="U1977" s="201"/>
      <c r="V1977" s="201"/>
    </row>
    <row r="1978" spans="1:22" ht="15.75" x14ac:dyDescent="0.25">
      <c r="A1978" s="234" t="s">
        <v>2355</v>
      </c>
      <c r="B1978" s="235" t="s">
        <v>2356</v>
      </c>
      <c r="C1978" s="234" t="s">
        <v>1867</v>
      </c>
      <c r="D1978" s="312">
        <v>4</v>
      </c>
      <c r="E1978" s="312"/>
      <c r="F1978" s="248"/>
      <c r="G1978" s="312"/>
      <c r="H1978" s="312"/>
      <c r="I1978" s="312"/>
      <c r="J1978" s="248">
        <f t="shared" si="212"/>
        <v>0</v>
      </c>
      <c r="K1978" s="330">
        <f t="shared" si="213"/>
        <v>-4</v>
      </c>
      <c r="L1978" s="313"/>
      <c r="M1978" s="228">
        <f t="shared" si="214"/>
        <v>0</v>
      </c>
      <c r="N1978" s="228">
        <f t="shared" si="210"/>
        <v>0</v>
      </c>
      <c r="O1978" s="228">
        <f t="shared" si="211"/>
        <v>0</v>
      </c>
      <c r="P1978" s="228">
        <f t="shared" si="211"/>
        <v>0</v>
      </c>
      <c r="Q1978" s="228">
        <f t="shared" si="215"/>
        <v>0</v>
      </c>
      <c r="R1978" s="343">
        <f t="shared" si="216"/>
        <v>-4</v>
      </c>
      <c r="S1978" s="240"/>
      <c r="T1978" s="201"/>
      <c r="U1978" s="201"/>
      <c r="V1978" s="201"/>
    </row>
    <row r="1979" spans="1:22" ht="15.75" x14ac:dyDescent="0.25">
      <c r="A1979" s="234" t="s">
        <v>2357</v>
      </c>
      <c r="B1979" s="235" t="s">
        <v>2358</v>
      </c>
      <c r="C1979" s="234" t="s">
        <v>1867</v>
      </c>
      <c r="D1979" s="312">
        <v>25</v>
      </c>
      <c r="E1979" s="312"/>
      <c r="F1979" s="248"/>
      <c r="G1979" s="312"/>
      <c r="H1979" s="312"/>
      <c r="I1979" s="312"/>
      <c r="J1979" s="248">
        <f t="shared" si="212"/>
        <v>0</v>
      </c>
      <c r="K1979" s="330">
        <f t="shared" si="213"/>
        <v>-25</v>
      </c>
      <c r="L1979" s="313"/>
      <c r="M1979" s="228">
        <f t="shared" si="214"/>
        <v>0</v>
      </c>
      <c r="N1979" s="228">
        <f t="shared" si="210"/>
        <v>0</v>
      </c>
      <c r="O1979" s="228">
        <f t="shared" si="211"/>
        <v>0</v>
      </c>
      <c r="P1979" s="228">
        <f t="shared" si="211"/>
        <v>0</v>
      </c>
      <c r="Q1979" s="228">
        <f t="shared" si="215"/>
        <v>0</v>
      </c>
      <c r="R1979" s="343">
        <f t="shared" si="216"/>
        <v>-25</v>
      </c>
      <c r="S1979" s="240"/>
      <c r="T1979" s="201"/>
      <c r="U1979" s="201"/>
      <c r="V1979" s="201"/>
    </row>
    <row r="1980" spans="1:22" ht="21.75" customHeight="1" x14ac:dyDescent="0.25">
      <c r="A1980" s="230" t="s">
        <v>2359</v>
      </c>
      <c r="B1980" s="231" t="s">
        <v>2360</v>
      </c>
      <c r="C1980" s="230"/>
      <c r="D1980" s="316"/>
      <c r="E1980" s="316"/>
      <c r="F1980" s="317"/>
      <c r="G1980" s="316"/>
      <c r="H1980" s="316"/>
      <c r="I1980" s="316"/>
      <c r="J1980" s="248">
        <f t="shared" si="212"/>
        <v>0</v>
      </c>
      <c r="K1980" s="330">
        <f t="shared" si="213"/>
        <v>0</v>
      </c>
      <c r="L1980" s="318"/>
      <c r="M1980" s="228">
        <f t="shared" si="214"/>
        <v>0</v>
      </c>
      <c r="N1980" s="228">
        <f t="shared" si="210"/>
        <v>0</v>
      </c>
      <c r="O1980" s="228">
        <f t="shared" si="211"/>
        <v>0</v>
      </c>
      <c r="P1980" s="228">
        <f t="shared" si="211"/>
        <v>0</v>
      </c>
      <c r="Q1980" s="228">
        <f t="shared" si="215"/>
        <v>0</v>
      </c>
      <c r="R1980" s="343">
        <f t="shared" si="216"/>
        <v>0</v>
      </c>
      <c r="S1980" s="240"/>
      <c r="T1980" s="201"/>
      <c r="U1980" s="201"/>
      <c r="V1980" s="201"/>
    </row>
    <row r="1981" spans="1:22" ht="32.25" customHeight="1" x14ac:dyDescent="0.25">
      <c r="A1981" s="234" t="s">
        <v>2361</v>
      </c>
      <c r="B1981" s="235" t="s">
        <v>2362</v>
      </c>
      <c r="C1981" s="234" t="s">
        <v>248</v>
      </c>
      <c r="D1981" s="312">
        <v>3</v>
      </c>
      <c r="E1981" s="312"/>
      <c r="F1981" s="248"/>
      <c r="G1981" s="312"/>
      <c r="H1981" s="312"/>
      <c r="I1981" s="312"/>
      <c r="J1981" s="248">
        <f t="shared" si="212"/>
        <v>0</v>
      </c>
      <c r="K1981" s="330">
        <f t="shared" si="213"/>
        <v>-3</v>
      </c>
      <c r="L1981" s="313"/>
      <c r="M1981" s="228">
        <f t="shared" si="214"/>
        <v>0</v>
      </c>
      <c r="N1981" s="228">
        <f t="shared" si="210"/>
        <v>0</v>
      </c>
      <c r="O1981" s="228">
        <f t="shared" si="211"/>
        <v>0</v>
      </c>
      <c r="P1981" s="228">
        <f t="shared" si="211"/>
        <v>0</v>
      </c>
      <c r="Q1981" s="228">
        <f t="shared" si="215"/>
        <v>0</v>
      </c>
      <c r="R1981" s="343">
        <f t="shared" si="216"/>
        <v>-3</v>
      </c>
      <c r="S1981" s="240"/>
      <c r="T1981" s="201"/>
      <c r="U1981" s="201"/>
      <c r="V1981" s="201"/>
    </row>
    <row r="1982" spans="1:22" ht="30" x14ac:dyDescent="0.25">
      <c r="A1982" s="234" t="s">
        <v>2363</v>
      </c>
      <c r="B1982" s="235" t="s">
        <v>2364</v>
      </c>
      <c r="C1982" s="234" t="s">
        <v>2365</v>
      </c>
      <c r="D1982" s="312">
        <v>1</v>
      </c>
      <c r="E1982" s="312"/>
      <c r="F1982" s="248"/>
      <c r="G1982" s="312"/>
      <c r="H1982" s="312"/>
      <c r="I1982" s="312"/>
      <c r="J1982" s="248">
        <f t="shared" si="212"/>
        <v>0</v>
      </c>
      <c r="K1982" s="330">
        <f t="shared" si="213"/>
        <v>-1</v>
      </c>
      <c r="L1982" s="313"/>
      <c r="M1982" s="228">
        <f t="shared" si="214"/>
        <v>0</v>
      </c>
      <c r="N1982" s="228">
        <f t="shared" si="210"/>
        <v>0</v>
      </c>
      <c r="O1982" s="228">
        <f t="shared" si="211"/>
        <v>0</v>
      </c>
      <c r="P1982" s="228">
        <f t="shared" si="211"/>
        <v>0</v>
      </c>
      <c r="Q1982" s="228">
        <f t="shared" si="215"/>
        <v>0</v>
      </c>
      <c r="R1982" s="343">
        <f t="shared" si="216"/>
        <v>-1</v>
      </c>
      <c r="S1982" s="240"/>
      <c r="T1982" s="201"/>
      <c r="U1982" s="201"/>
      <c r="V1982" s="201"/>
    </row>
    <row r="1983" spans="1:22" ht="104.25" customHeight="1" x14ac:dyDescent="0.25">
      <c r="A1983" s="234" t="s">
        <v>2366</v>
      </c>
      <c r="B1983" s="235" t="s">
        <v>2367</v>
      </c>
      <c r="C1983" s="234" t="s">
        <v>2368</v>
      </c>
      <c r="D1983" s="312">
        <v>1</v>
      </c>
      <c r="E1983" s="312"/>
      <c r="F1983" s="248"/>
      <c r="G1983" s="312"/>
      <c r="H1983" s="312"/>
      <c r="I1983" s="312"/>
      <c r="J1983" s="248">
        <f t="shared" si="212"/>
        <v>0</v>
      </c>
      <c r="K1983" s="330">
        <f t="shared" si="213"/>
        <v>-1</v>
      </c>
      <c r="L1983" s="313"/>
      <c r="M1983" s="228">
        <f t="shared" si="214"/>
        <v>0</v>
      </c>
      <c r="N1983" s="228">
        <f t="shared" ref="N1983:N2046" si="217">G1983</f>
        <v>0</v>
      </c>
      <c r="O1983" s="228">
        <f t="shared" ref="O1983:P2046" si="218">H1983</f>
        <v>0</v>
      </c>
      <c r="P1983" s="228">
        <f t="shared" si="218"/>
        <v>0</v>
      </c>
      <c r="Q1983" s="228">
        <f t="shared" si="215"/>
        <v>0</v>
      </c>
      <c r="R1983" s="343">
        <f t="shared" si="216"/>
        <v>-1</v>
      </c>
      <c r="S1983" s="240"/>
      <c r="T1983" s="201"/>
      <c r="U1983" s="201"/>
      <c r="V1983" s="201"/>
    </row>
    <row r="1984" spans="1:22" ht="30" x14ac:dyDescent="0.25">
      <c r="A1984" s="234" t="s">
        <v>2369</v>
      </c>
      <c r="B1984" s="235" t="s">
        <v>2370</v>
      </c>
      <c r="C1984" s="234" t="s">
        <v>248</v>
      </c>
      <c r="D1984" s="312">
        <v>1</v>
      </c>
      <c r="E1984" s="312"/>
      <c r="F1984" s="248"/>
      <c r="G1984" s="312"/>
      <c r="H1984" s="312"/>
      <c r="I1984" s="312"/>
      <c r="J1984" s="248">
        <f t="shared" si="212"/>
        <v>0</v>
      </c>
      <c r="K1984" s="330">
        <f t="shared" si="213"/>
        <v>-1</v>
      </c>
      <c r="L1984" s="313"/>
      <c r="M1984" s="228">
        <f t="shared" si="214"/>
        <v>0</v>
      </c>
      <c r="N1984" s="228">
        <f t="shared" si="217"/>
        <v>0</v>
      </c>
      <c r="O1984" s="228">
        <f t="shared" si="218"/>
        <v>0</v>
      </c>
      <c r="P1984" s="228">
        <f t="shared" si="218"/>
        <v>0</v>
      </c>
      <c r="Q1984" s="228">
        <f t="shared" si="215"/>
        <v>0</v>
      </c>
      <c r="R1984" s="343">
        <f t="shared" si="216"/>
        <v>-1</v>
      </c>
      <c r="S1984" s="240"/>
      <c r="T1984" s="201"/>
      <c r="U1984" s="201"/>
      <c r="V1984" s="201"/>
    </row>
    <row r="1985" spans="1:22" ht="28.5" x14ac:dyDescent="0.25">
      <c r="A1985" s="230" t="s">
        <v>2371</v>
      </c>
      <c r="B1985" s="231" t="s">
        <v>2372</v>
      </c>
      <c r="C1985" s="230"/>
      <c r="D1985" s="316"/>
      <c r="E1985" s="316"/>
      <c r="F1985" s="317"/>
      <c r="G1985" s="316"/>
      <c r="H1985" s="316"/>
      <c r="I1985" s="316"/>
      <c r="J1985" s="248">
        <f t="shared" si="212"/>
        <v>0</v>
      </c>
      <c r="K1985" s="330">
        <f t="shared" si="213"/>
        <v>0</v>
      </c>
      <c r="L1985" s="318"/>
      <c r="M1985" s="228">
        <f t="shared" si="214"/>
        <v>0</v>
      </c>
      <c r="N1985" s="228">
        <f t="shared" si="217"/>
        <v>0</v>
      </c>
      <c r="O1985" s="228">
        <f t="shared" si="218"/>
        <v>0</v>
      </c>
      <c r="P1985" s="228">
        <f t="shared" si="218"/>
        <v>0</v>
      </c>
      <c r="Q1985" s="228">
        <f t="shared" si="215"/>
        <v>0</v>
      </c>
      <c r="R1985" s="343">
        <f t="shared" si="216"/>
        <v>0</v>
      </c>
      <c r="S1985" s="240"/>
      <c r="T1985" s="201"/>
      <c r="U1985" s="201"/>
      <c r="V1985" s="201"/>
    </row>
    <row r="1986" spans="1:22" ht="15.75" x14ac:dyDescent="0.25">
      <c r="A1986" s="234" t="s">
        <v>2373</v>
      </c>
      <c r="B1986" s="235" t="s">
        <v>2374</v>
      </c>
      <c r="C1986" s="234" t="s">
        <v>248</v>
      </c>
      <c r="D1986" s="312">
        <v>104</v>
      </c>
      <c r="E1986" s="312"/>
      <c r="F1986" s="248"/>
      <c r="G1986" s="312"/>
      <c r="H1986" s="312"/>
      <c r="I1986" s="312"/>
      <c r="J1986" s="248">
        <f t="shared" si="212"/>
        <v>0</v>
      </c>
      <c r="K1986" s="330">
        <f t="shared" si="213"/>
        <v>-104</v>
      </c>
      <c r="L1986" s="313"/>
      <c r="M1986" s="228">
        <f t="shared" si="214"/>
        <v>0</v>
      </c>
      <c r="N1986" s="228">
        <f t="shared" si="217"/>
        <v>0</v>
      </c>
      <c r="O1986" s="228">
        <f t="shared" si="218"/>
        <v>0</v>
      </c>
      <c r="P1986" s="228">
        <f t="shared" si="218"/>
        <v>0</v>
      </c>
      <c r="Q1986" s="228">
        <f t="shared" si="215"/>
        <v>0</v>
      </c>
      <c r="R1986" s="343">
        <f t="shared" si="216"/>
        <v>-104</v>
      </c>
      <c r="S1986" s="240"/>
      <c r="T1986" s="201"/>
      <c r="U1986" s="201"/>
      <c r="V1986" s="201"/>
    </row>
    <row r="1987" spans="1:22" ht="15.75" x14ac:dyDescent="0.25">
      <c r="A1987" s="234" t="s">
        <v>2375</v>
      </c>
      <c r="B1987" s="235" t="s">
        <v>2376</v>
      </c>
      <c r="C1987" s="234" t="s">
        <v>248</v>
      </c>
      <c r="D1987" s="312">
        <v>8</v>
      </c>
      <c r="E1987" s="312"/>
      <c r="F1987" s="248"/>
      <c r="G1987" s="312"/>
      <c r="H1987" s="312"/>
      <c r="I1987" s="312"/>
      <c r="J1987" s="248">
        <f t="shared" si="212"/>
        <v>0</v>
      </c>
      <c r="K1987" s="330">
        <f t="shared" si="213"/>
        <v>-8</v>
      </c>
      <c r="L1987" s="313"/>
      <c r="M1987" s="228">
        <f t="shared" si="214"/>
        <v>0</v>
      </c>
      <c r="N1987" s="228">
        <f t="shared" si="217"/>
        <v>0</v>
      </c>
      <c r="O1987" s="228">
        <f t="shared" si="218"/>
        <v>0</v>
      </c>
      <c r="P1987" s="228">
        <f t="shared" si="218"/>
        <v>0</v>
      </c>
      <c r="Q1987" s="228">
        <f t="shared" si="215"/>
        <v>0</v>
      </c>
      <c r="R1987" s="343">
        <f t="shared" si="216"/>
        <v>-8</v>
      </c>
      <c r="S1987" s="240"/>
      <c r="T1987" s="201"/>
      <c r="U1987" s="201"/>
      <c r="V1987" s="201"/>
    </row>
    <row r="1988" spans="1:22" ht="30" x14ac:dyDescent="0.25">
      <c r="A1988" s="234" t="s">
        <v>2377</v>
      </c>
      <c r="B1988" s="235" t="s">
        <v>2378</v>
      </c>
      <c r="C1988" s="234" t="s">
        <v>248</v>
      </c>
      <c r="D1988" s="312">
        <v>12</v>
      </c>
      <c r="E1988" s="312"/>
      <c r="F1988" s="248"/>
      <c r="G1988" s="312"/>
      <c r="H1988" s="312"/>
      <c r="I1988" s="312"/>
      <c r="J1988" s="248">
        <f t="shared" si="212"/>
        <v>0</v>
      </c>
      <c r="K1988" s="330">
        <f t="shared" si="213"/>
        <v>-12</v>
      </c>
      <c r="L1988" s="313"/>
      <c r="M1988" s="228">
        <f t="shared" si="214"/>
        <v>0</v>
      </c>
      <c r="N1988" s="228">
        <f t="shared" si="217"/>
        <v>0</v>
      </c>
      <c r="O1988" s="228">
        <f t="shared" si="218"/>
        <v>0</v>
      </c>
      <c r="P1988" s="228">
        <f t="shared" si="218"/>
        <v>0</v>
      </c>
      <c r="Q1988" s="228">
        <f t="shared" si="215"/>
        <v>0</v>
      </c>
      <c r="R1988" s="343">
        <f t="shared" si="216"/>
        <v>-12</v>
      </c>
      <c r="S1988" s="240"/>
      <c r="T1988" s="201"/>
      <c r="U1988" s="201"/>
      <c r="V1988" s="201"/>
    </row>
    <row r="1989" spans="1:22" ht="30" x14ac:dyDescent="0.25">
      <c r="A1989" s="234" t="s">
        <v>2379</v>
      </c>
      <c r="B1989" s="235" t="s">
        <v>2380</v>
      </c>
      <c r="C1989" s="234" t="s">
        <v>248</v>
      </c>
      <c r="D1989" s="312">
        <v>6</v>
      </c>
      <c r="E1989" s="312"/>
      <c r="F1989" s="248"/>
      <c r="G1989" s="312"/>
      <c r="H1989" s="312"/>
      <c r="I1989" s="312"/>
      <c r="J1989" s="248">
        <f t="shared" si="212"/>
        <v>0</v>
      </c>
      <c r="K1989" s="330">
        <f t="shared" si="213"/>
        <v>-6</v>
      </c>
      <c r="L1989" s="313"/>
      <c r="M1989" s="228">
        <f t="shared" si="214"/>
        <v>0</v>
      </c>
      <c r="N1989" s="228">
        <f t="shared" si="217"/>
        <v>0</v>
      </c>
      <c r="O1989" s="228">
        <f t="shared" si="218"/>
        <v>0</v>
      </c>
      <c r="P1989" s="228">
        <f t="shared" si="218"/>
        <v>0</v>
      </c>
      <c r="Q1989" s="228">
        <f t="shared" si="215"/>
        <v>0</v>
      </c>
      <c r="R1989" s="343">
        <f t="shared" si="216"/>
        <v>-6</v>
      </c>
      <c r="S1989" s="240"/>
      <c r="T1989" s="201"/>
      <c r="U1989" s="201"/>
      <c r="V1989" s="201"/>
    </row>
    <row r="1990" spans="1:22" ht="30" x14ac:dyDescent="0.25">
      <c r="A1990" s="234" t="s">
        <v>2381</v>
      </c>
      <c r="B1990" s="235" t="s">
        <v>2382</v>
      </c>
      <c r="C1990" s="234" t="s">
        <v>1867</v>
      </c>
      <c r="D1990" s="312">
        <v>6</v>
      </c>
      <c r="E1990" s="312"/>
      <c r="F1990" s="248"/>
      <c r="G1990" s="312"/>
      <c r="H1990" s="312"/>
      <c r="I1990" s="312"/>
      <c r="J1990" s="248">
        <f t="shared" si="212"/>
        <v>0</v>
      </c>
      <c r="K1990" s="330">
        <f t="shared" si="213"/>
        <v>-6</v>
      </c>
      <c r="L1990" s="313"/>
      <c r="M1990" s="228">
        <f t="shared" si="214"/>
        <v>0</v>
      </c>
      <c r="N1990" s="228">
        <f t="shared" si="217"/>
        <v>0</v>
      </c>
      <c r="O1990" s="228">
        <f t="shared" si="218"/>
        <v>0</v>
      </c>
      <c r="P1990" s="228">
        <f t="shared" si="218"/>
        <v>0</v>
      </c>
      <c r="Q1990" s="228">
        <f t="shared" si="215"/>
        <v>0</v>
      </c>
      <c r="R1990" s="343">
        <f t="shared" si="216"/>
        <v>-6</v>
      </c>
      <c r="S1990" s="240"/>
      <c r="T1990" s="201"/>
      <c r="U1990" s="201"/>
      <c r="V1990" s="201"/>
    </row>
    <row r="1991" spans="1:22" ht="30" x14ac:dyDescent="0.25">
      <c r="A1991" s="234" t="s">
        <v>2383</v>
      </c>
      <c r="B1991" s="235" t="s">
        <v>2384</v>
      </c>
      <c r="C1991" s="234" t="s">
        <v>1867</v>
      </c>
      <c r="D1991" s="312">
        <v>6</v>
      </c>
      <c r="E1991" s="312"/>
      <c r="F1991" s="248"/>
      <c r="G1991" s="312"/>
      <c r="H1991" s="312"/>
      <c r="I1991" s="312"/>
      <c r="J1991" s="248">
        <f t="shared" si="212"/>
        <v>0</v>
      </c>
      <c r="K1991" s="330">
        <f t="shared" si="213"/>
        <v>-6</v>
      </c>
      <c r="L1991" s="313"/>
      <c r="M1991" s="228">
        <f t="shared" si="214"/>
        <v>0</v>
      </c>
      <c r="N1991" s="228">
        <f t="shared" si="217"/>
        <v>0</v>
      </c>
      <c r="O1991" s="228">
        <f t="shared" si="218"/>
        <v>0</v>
      </c>
      <c r="P1991" s="228">
        <f t="shared" si="218"/>
        <v>0</v>
      </c>
      <c r="Q1991" s="228">
        <f t="shared" si="215"/>
        <v>0</v>
      </c>
      <c r="R1991" s="343">
        <f t="shared" si="216"/>
        <v>-6</v>
      </c>
      <c r="S1991" s="240"/>
      <c r="T1991" s="201"/>
      <c r="U1991" s="201"/>
      <c r="V1991" s="201"/>
    </row>
    <row r="1992" spans="1:22" ht="15.75" x14ac:dyDescent="0.25">
      <c r="A1992" s="234" t="s">
        <v>2385</v>
      </c>
      <c r="B1992" s="235" t="s">
        <v>2386</v>
      </c>
      <c r="C1992" s="234" t="s">
        <v>248</v>
      </c>
      <c r="D1992" s="312">
        <v>1</v>
      </c>
      <c r="E1992" s="312"/>
      <c r="F1992" s="248"/>
      <c r="G1992" s="312"/>
      <c r="H1992" s="312"/>
      <c r="I1992" s="312"/>
      <c r="J1992" s="248">
        <f t="shared" si="212"/>
        <v>0</v>
      </c>
      <c r="K1992" s="330">
        <f t="shared" si="213"/>
        <v>-1</v>
      </c>
      <c r="L1992" s="313"/>
      <c r="M1992" s="228">
        <f t="shared" si="214"/>
        <v>0</v>
      </c>
      <c r="N1992" s="228">
        <f t="shared" si="217"/>
        <v>0</v>
      </c>
      <c r="O1992" s="228">
        <f t="shared" si="218"/>
        <v>0</v>
      </c>
      <c r="P1992" s="228">
        <f t="shared" si="218"/>
        <v>0</v>
      </c>
      <c r="Q1992" s="228">
        <f t="shared" si="215"/>
        <v>0</v>
      </c>
      <c r="R1992" s="343">
        <f t="shared" si="216"/>
        <v>-1</v>
      </c>
      <c r="S1992" s="240"/>
      <c r="T1992" s="201"/>
      <c r="U1992" s="201"/>
      <c r="V1992" s="201"/>
    </row>
    <row r="1993" spans="1:22" ht="15.75" x14ac:dyDescent="0.25">
      <c r="A1993" s="234" t="s">
        <v>2387</v>
      </c>
      <c r="B1993" s="235" t="s">
        <v>2388</v>
      </c>
      <c r="C1993" s="234" t="s">
        <v>248</v>
      </c>
      <c r="D1993" s="312">
        <v>1</v>
      </c>
      <c r="E1993" s="312"/>
      <c r="F1993" s="248"/>
      <c r="G1993" s="312"/>
      <c r="H1993" s="312"/>
      <c r="I1993" s="312"/>
      <c r="J1993" s="248">
        <f t="shared" si="212"/>
        <v>0</v>
      </c>
      <c r="K1993" s="330">
        <f t="shared" si="213"/>
        <v>-1</v>
      </c>
      <c r="L1993" s="313"/>
      <c r="M1993" s="228">
        <f t="shared" si="214"/>
        <v>0</v>
      </c>
      <c r="N1993" s="228">
        <f t="shared" si="217"/>
        <v>0</v>
      </c>
      <c r="O1993" s="228">
        <f t="shared" si="218"/>
        <v>0</v>
      </c>
      <c r="P1993" s="228">
        <f t="shared" si="218"/>
        <v>0</v>
      </c>
      <c r="Q1993" s="228">
        <f t="shared" si="215"/>
        <v>0</v>
      </c>
      <c r="R1993" s="343">
        <f t="shared" si="216"/>
        <v>-1</v>
      </c>
      <c r="S1993" s="240"/>
      <c r="T1993" s="201"/>
      <c r="U1993" s="201"/>
      <c r="V1993" s="201"/>
    </row>
    <row r="1994" spans="1:22" ht="28.5" x14ac:dyDescent="0.25">
      <c r="A1994" s="230" t="s">
        <v>2389</v>
      </c>
      <c r="B1994" s="231" t="s">
        <v>2390</v>
      </c>
      <c r="C1994" s="230"/>
      <c r="D1994" s="316"/>
      <c r="E1994" s="316"/>
      <c r="F1994" s="317"/>
      <c r="G1994" s="316"/>
      <c r="H1994" s="316"/>
      <c r="I1994" s="316"/>
      <c r="J1994" s="248">
        <f t="shared" si="212"/>
        <v>0</v>
      </c>
      <c r="K1994" s="330">
        <f t="shared" si="213"/>
        <v>0</v>
      </c>
      <c r="L1994" s="318"/>
      <c r="M1994" s="228">
        <f t="shared" si="214"/>
        <v>0</v>
      </c>
      <c r="N1994" s="228">
        <f t="shared" si="217"/>
        <v>0</v>
      </c>
      <c r="O1994" s="228">
        <f t="shared" si="218"/>
        <v>0</v>
      </c>
      <c r="P1994" s="228">
        <f t="shared" si="218"/>
        <v>0</v>
      </c>
      <c r="Q1994" s="228">
        <f t="shared" si="215"/>
        <v>0</v>
      </c>
      <c r="R1994" s="343">
        <f t="shared" si="216"/>
        <v>0</v>
      </c>
      <c r="S1994" s="240"/>
      <c r="T1994" s="201"/>
      <c r="U1994" s="201"/>
      <c r="V1994" s="201"/>
    </row>
    <row r="1995" spans="1:22" ht="15.75" x14ac:dyDescent="0.25">
      <c r="A1995" s="234" t="s">
        <v>2391</v>
      </c>
      <c r="B1995" s="235" t="s">
        <v>2392</v>
      </c>
      <c r="C1995" s="234" t="s">
        <v>1867</v>
      </c>
      <c r="D1995" s="312">
        <v>1</v>
      </c>
      <c r="E1995" s="312"/>
      <c r="F1995" s="248"/>
      <c r="G1995" s="312"/>
      <c r="H1995" s="312"/>
      <c r="I1995" s="312"/>
      <c r="J1995" s="248">
        <f t="shared" si="212"/>
        <v>0</v>
      </c>
      <c r="K1995" s="330">
        <f t="shared" si="213"/>
        <v>-1</v>
      </c>
      <c r="L1995" s="313"/>
      <c r="M1995" s="228">
        <f t="shared" si="214"/>
        <v>0</v>
      </c>
      <c r="N1995" s="228">
        <f t="shared" si="217"/>
        <v>0</v>
      </c>
      <c r="O1995" s="228">
        <f t="shared" si="218"/>
        <v>0</v>
      </c>
      <c r="P1995" s="228">
        <f t="shared" si="218"/>
        <v>0</v>
      </c>
      <c r="Q1995" s="228">
        <f t="shared" si="215"/>
        <v>0</v>
      </c>
      <c r="R1995" s="343">
        <f t="shared" si="216"/>
        <v>-1</v>
      </c>
      <c r="S1995" s="240"/>
      <c r="T1995" s="201"/>
      <c r="U1995" s="201"/>
      <c r="V1995" s="201"/>
    </row>
    <row r="1996" spans="1:22" ht="15.75" x14ac:dyDescent="0.25">
      <c r="A1996" s="234" t="s">
        <v>2393</v>
      </c>
      <c r="B1996" s="235" t="s">
        <v>2394</v>
      </c>
      <c r="C1996" s="234" t="s">
        <v>1867</v>
      </c>
      <c r="D1996" s="312">
        <v>6</v>
      </c>
      <c r="E1996" s="312"/>
      <c r="F1996" s="248"/>
      <c r="G1996" s="312"/>
      <c r="H1996" s="312"/>
      <c r="I1996" s="312"/>
      <c r="J1996" s="248">
        <f t="shared" si="212"/>
        <v>0</v>
      </c>
      <c r="K1996" s="330">
        <f t="shared" si="213"/>
        <v>-6</v>
      </c>
      <c r="L1996" s="313"/>
      <c r="M1996" s="228">
        <f t="shared" si="214"/>
        <v>0</v>
      </c>
      <c r="N1996" s="228">
        <f t="shared" si="217"/>
        <v>0</v>
      </c>
      <c r="O1996" s="228">
        <f t="shared" si="218"/>
        <v>0</v>
      </c>
      <c r="P1996" s="228">
        <f t="shared" si="218"/>
        <v>0</v>
      </c>
      <c r="Q1996" s="228">
        <f t="shared" si="215"/>
        <v>0</v>
      </c>
      <c r="R1996" s="343">
        <f t="shared" si="216"/>
        <v>-6</v>
      </c>
      <c r="S1996" s="240"/>
      <c r="T1996" s="201"/>
      <c r="U1996" s="201"/>
      <c r="V1996" s="201"/>
    </row>
    <row r="1997" spans="1:22" ht="15.75" x14ac:dyDescent="0.25">
      <c r="A1997" s="234" t="s">
        <v>2395</v>
      </c>
      <c r="B1997" s="235" t="s">
        <v>2396</v>
      </c>
      <c r="C1997" s="234" t="s">
        <v>1867</v>
      </c>
      <c r="D1997" s="312">
        <v>3</v>
      </c>
      <c r="E1997" s="312"/>
      <c r="F1997" s="248"/>
      <c r="G1997" s="312"/>
      <c r="H1997" s="312"/>
      <c r="I1997" s="312"/>
      <c r="J1997" s="248">
        <f t="shared" si="212"/>
        <v>0</v>
      </c>
      <c r="K1997" s="330">
        <f t="shared" si="213"/>
        <v>-3</v>
      </c>
      <c r="L1997" s="313"/>
      <c r="M1997" s="228">
        <f t="shared" si="214"/>
        <v>0</v>
      </c>
      <c r="N1997" s="228">
        <f t="shared" si="217"/>
        <v>0</v>
      </c>
      <c r="O1997" s="228">
        <f t="shared" si="218"/>
        <v>0</v>
      </c>
      <c r="P1997" s="228">
        <f t="shared" si="218"/>
        <v>0</v>
      </c>
      <c r="Q1997" s="228">
        <f t="shared" si="215"/>
        <v>0</v>
      </c>
      <c r="R1997" s="343">
        <f t="shared" si="216"/>
        <v>-3</v>
      </c>
      <c r="S1997" s="240"/>
      <c r="T1997" s="201"/>
      <c r="U1997" s="201"/>
      <c r="V1997" s="201"/>
    </row>
    <row r="1998" spans="1:22" ht="28.5" x14ac:dyDescent="0.25">
      <c r="A1998" s="230" t="s">
        <v>2397</v>
      </c>
      <c r="B1998" s="231" t="s">
        <v>2398</v>
      </c>
      <c r="C1998" s="230"/>
      <c r="D1998" s="316"/>
      <c r="E1998" s="316"/>
      <c r="F1998" s="317"/>
      <c r="G1998" s="316"/>
      <c r="H1998" s="316"/>
      <c r="I1998" s="316"/>
      <c r="J1998" s="248">
        <f t="shared" si="212"/>
        <v>0</v>
      </c>
      <c r="K1998" s="330">
        <f t="shared" si="213"/>
        <v>0</v>
      </c>
      <c r="L1998" s="318"/>
      <c r="M1998" s="228">
        <f t="shared" si="214"/>
        <v>0</v>
      </c>
      <c r="N1998" s="228">
        <f t="shared" si="217"/>
        <v>0</v>
      </c>
      <c r="O1998" s="228">
        <f t="shared" si="218"/>
        <v>0</v>
      </c>
      <c r="P1998" s="228">
        <f t="shared" si="218"/>
        <v>0</v>
      </c>
      <c r="Q1998" s="228">
        <f t="shared" si="215"/>
        <v>0</v>
      </c>
      <c r="R1998" s="343">
        <f t="shared" si="216"/>
        <v>0</v>
      </c>
      <c r="S1998" s="240"/>
      <c r="T1998" s="201"/>
      <c r="U1998" s="201"/>
      <c r="V1998" s="201"/>
    </row>
    <row r="1999" spans="1:22" ht="15.75" x14ac:dyDescent="0.25">
      <c r="A1999" s="234" t="s">
        <v>2399</v>
      </c>
      <c r="B1999" s="235" t="s">
        <v>2400</v>
      </c>
      <c r="C1999" s="234" t="s">
        <v>1867</v>
      </c>
      <c r="D1999" s="312">
        <v>2</v>
      </c>
      <c r="E1999" s="312"/>
      <c r="F1999" s="248"/>
      <c r="G1999" s="312"/>
      <c r="H1999" s="312"/>
      <c r="I1999" s="312"/>
      <c r="J1999" s="248">
        <f t="shared" si="212"/>
        <v>0</v>
      </c>
      <c r="K1999" s="330">
        <f t="shared" si="213"/>
        <v>-2</v>
      </c>
      <c r="L1999" s="313"/>
      <c r="M1999" s="228">
        <f t="shared" si="214"/>
        <v>0</v>
      </c>
      <c r="N1999" s="228">
        <f t="shared" si="217"/>
        <v>0</v>
      </c>
      <c r="O1999" s="228">
        <f t="shared" si="218"/>
        <v>0</v>
      </c>
      <c r="P1999" s="228">
        <f t="shared" si="218"/>
        <v>0</v>
      </c>
      <c r="Q1999" s="228">
        <f t="shared" si="215"/>
        <v>0</v>
      </c>
      <c r="R1999" s="343">
        <f t="shared" si="216"/>
        <v>-2</v>
      </c>
      <c r="S1999" s="240"/>
      <c r="T1999" s="201"/>
      <c r="U1999" s="201"/>
      <c r="V1999" s="201"/>
    </row>
    <row r="2000" spans="1:22" ht="15.75" x14ac:dyDescent="0.25">
      <c r="A2000" s="234" t="s">
        <v>2401</v>
      </c>
      <c r="B2000" s="235" t="s">
        <v>2402</v>
      </c>
      <c r="C2000" s="234" t="s">
        <v>1867</v>
      </c>
      <c r="D2000" s="312">
        <v>2</v>
      </c>
      <c r="E2000" s="312"/>
      <c r="F2000" s="248"/>
      <c r="G2000" s="312"/>
      <c r="H2000" s="312"/>
      <c r="I2000" s="312"/>
      <c r="J2000" s="248">
        <f t="shared" si="212"/>
        <v>0</v>
      </c>
      <c r="K2000" s="330">
        <f t="shared" si="213"/>
        <v>-2</v>
      </c>
      <c r="L2000" s="313"/>
      <c r="M2000" s="228">
        <f t="shared" si="214"/>
        <v>0</v>
      </c>
      <c r="N2000" s="228">
        <f t="shared" si="217"/>
        <v>0</v>
      </c>
      <c r="O2000" s="228">
        <f t="shared" si="218"/>
        <v>0</v>
      </c>
      <c r="P2000" s="228">
        <f t="shared" si="218"/>
        <v>0</v>
      </c>
      <c r="Q2000" s="228">
        <f t="shared" si="215"/>
        <v>0</v>
      </c>
      <c r="R2000" s="343">
        <f t="shared" si="216"/>
        <v>-2</v>
      </c>
      <c r="S2000" s="240"/>
      <c r="T2000" s="201"/>
      <c r="U2000" s="201"/>
      <c r="V2000" s="201"/>
    </row>
    <row r="2001" spans="1:22" ht="15.75" x14ac:dyDescent="0.25">
      <c r="A2001" s="234" t="s">
        <v>2403</v>
      </c>
      <c r="B2001" s="235" t="s">
        <v>2404</v>
      </c>
      <c r="C2001" s="234" t="s">
        <v>1867</v>
      </c>
      <c r="D2001" s="312">
        <v>1</v>
      </c>
      <c r="E2001" s="312"/>
      <c r="F2001" s="248"/>
      <c r="G2001" s="312"/>
      <c r="H2001" s="312"/>
      <c r="I2001" s="312"/>
      <c r="J2001" s="248">
        <f t="shared" si="212"/>
        <v>0</v>
      </c>
      <c r="K2001" s="330">
        <f t="shared" si="213"/>
        <v>-1</v>
      </c>
      <c r="L2001" s="313"/>
      <c r="M2001" s="228">
        <f t="shared" si="214"/>
        <v>0</v>
      </c>
      <c r="N2001" s="228">
        <f t="shared" si="217"/>
        <v>0</v>
      </c>
      <c r="O2001" s="228">
        <f t="shared" si="218"/>
        <v>0</v>
      </c>
      <c r="P2001" s="228">
        <f t="shared" si="218"/>
        <v>0</v>
      </c>
      <c r="Q2001" s="228">
        <f t="shared" si="215"/>
        <v>0</v>
      </c>
      <c r="R2001" s="343">
        <f t="shared" si="216"/>
        <v>-1</v>
      </c>
      <c r="S2001" s="240"/>
      <c r="T2001" s="201"/>
      <c r="U2001" s="201"/>
      <c r="V2001" s="201"/>
    </row>
    <row r="2002" spans="1:22" ht="15.75" x14ac:dyDescent="0.25">
      <c r="A2002" s="234" t="s">
        <v>2405</v>
      </c>
      <c r="B2002" s="235" t="s">
        <v>2406</v>
      </c>
      <c r="C2002" s="234" t="s">
        <v>1867</v>
      </c>
      <c r="D2002" s="312">
        <v>1</v>
      </c>
      <c r="E2002" s="312"/>
      <c r="F2002" s="248"/>
      <c r="G2002" s="312"/>
      <c r="H2002" s="312"/>
      <c r="I2002" s="312"/>
      <c r="J2002" s="248">
        <f t="shared" si="212"/>
        <v>0</v>
      </c>
      <c r="K2002" s="330">
        <f t="shared" si="213"/>
        <v>-1</v>
      </c>
      <c r="L2002" s="313"/>
      <c r="M2002" s="228">
        <f t="shared" si="214"/>
        <v>0</v>
      </c>
      <c r="N2002" s="228">
        <f t="shared" si="217"/>
        <v>0</v>
      </c>
      <c r="O2002" s="228">
        <f t="shared" si="218"/>
        <v>0</v>
      </c>
      <c r="P2002" s="228">
        <f t="shared" si="218"/>
        <v>0</v>
      </c>
      <c r="Q2002" s="228">
        <f t="shared" si="215"/>
        <v>0</v>
      </c>
      <c r="R2002" s="343">
        <f t="shared" si="216"/>
        <v>-1</v>
      </c>
      <c r="S2002" s="240"/>
      <c r="T2002" s="201"/>
      <c r="U2002" s="201"/>
      <c r="V2002" s="201"/>
    </row>
    <row r="2003" spans="1:22" ht="15.75" x14ac:dyDescent="0.25">
      <c r="A2003" s="234" t="s">
        <v>2407</v>
      </c>
      <c r="B2003" s="235" t="s">
        <v>2408</v>
      </c>
      <c r="C2003" s="234" t="s">
        <v>1867</v>
      </c>
      <c r="D2003" s="312">
        <v>1</v>
      </c>
      <c r="E2003" s="312"/>
      <c r="F2003" s="248"/>
      <c r="G2003" s="312"/>
      <c r="H2003" s="312"/>
      <c r="I2003" s="312"/>
      <c r="J2003" s="248">
        <f t="shared" si="212"/>
        <v>0</v>
      </c>
      <c r="K2003" s="330">
        <f t="shared" si="213"/>
        <v>-1</v>
      </c>
      <c r="L2003" s="313"/>
      <c r="M2003" s="228">
        <f t="shared" si="214"/>
        <v>0</v>
      </c>
      <c r="N2003" s="228">
        <f t="shared" si="217"/>
        <v>0</v>
      </c>
      <c r="O2003" s="228">
        <f t="shared" si="218"/>
        <v>0</v>
      </c>
      <c r="P2003" s="228">
        <f t="shared" si="218"/>
        <v>0</v>
      </c>
      <c r="Q2003" s="228">
        <f t="shared" si="215"/>
        <v>0</v>
      </c>
      <c r="R2003" s="343">
        <f t="shared" si="216"/>
        <v>-1</v>
      </c>
      <c r="S2003" s="240"/>
      <c r="T2003" s="201"/>
      <c r="U2003" s="201"/>
      <c r="V2003" s="201"/>
    </row>
    <row r="2004" spans="1:22" ht="15.75" x14ac:dyDescent="0.25">
      <c r="A2004" s="234" t="s">
        <v>2409</v>
      </c>
      <c r="B2004" s="235" t="s">
        <v>2410</v>
      </c>
      <c r="C2004" s="234" t="s">
        <v>1867</v>
      </c>
      <c r="D2004" s="312">
        <v>4</v>
      </c>
      <c r="E2004" s="312"/>
      <c r="F2004" s="248"/>
      <c r="G2004" s="312"/>
      <c r="H2004" s="312"/>
      <c r="I2004" s="312"/>
      <c r="J2004" s="248">
        <f t="shared" si="212"/>
        <v>0</v>
      </c>
      <c r="K2004" s="330">
        <f t="shared" si="213"/>
        <v>-4</v>
      </c>
      <c r="L2004" s="313"/>
      <c r="M2004" s="228">
        <f t="shared" si="214"/>
        <v>0</v>
      </c>
      <c r="N2004" s="228">
        <f t="shared" si="217"/>
        <v>0</v>
      </c>
      <c r="O2004" s="228">
        <f t="shared" si="218"/>
        <v>0</v>
      </c>
      <c r="P2004" s="228">
        <f t="shared" si="218"/>
        <v>0</v>
      </c>
      <c r="Q2004" s="228">
        <f t="shared" si="215"/>
        <v>0</v>
      </c>
      <c r="R2004" s="343">
        <f t="shared" si="216"/>
        <v>-4</v>
      </c>
      <c r="S2004" s="240"/>
      <c r="T2004" s="201"/>
      <c r="U2004" s="201"/>
      <c r="V2004" s="201"/>
    </row>
    <row r="2005" spans="1:22" ht="15.75" x14ac:dyDescent="0.25">
      <c r="A2005" s="234" t="s">
        <v>2411</v>
      </c>
      <c r="B2005" s="235" t="s">
        <v>2412</v>
      </c>
      <c r="C2005" s="234" t="s">
        <v>1867</v>
      </c>
      <c r="D2005" s="312">
        <v>252</v>
      </c>
      <c r="E2005" s="312"/>
      <c r="F2005" s="248"/>
      <c r="G2005" s="312"/>
      <c r="H2005" s="312"/>
      <c r="I2005" s="312"/>
      <c r="J2005" s="248">
        <f t="shared" si="212"/>
        <v>0</v>
      </c>
      <c r="K2005" s="330">
        <f t="shared" si="213"/>
        <v>-252</v>
      </c>
      <c r="L2005" s="313"/>
      <c r="M2005" s="228">
        <f t="shared" si="214"/>
        <v>0</v>
      </c>
      <c r="N2005" s="228">
        <f t="shared" si="217"/>
        <v>0</v>
      </c>
      <c r="O2005" s="228">
        <f t="shared" si="218"/>
        <v>0</v>
      </c>
      <c r="P2005" s="228">
        <f t="shared" si="218"/>
        <v>0</v>
      </c>
      <c r="Q2005" s="228">
        <f t="shared" si="215"/>
        <v>0</v>
      </c>
      <c r="R2005" s="343">
        <f t="shared" si="216"/>
        <v>-252</v>
      </c>
      <c r="S2005" s="240"/>
      <c r="T2005" s="201"/>
      <c r="U2005" s="201"/>
      <c r="V2005" s="201"/>
    </row>
    <row r="2006" spans="1:22" ht="15.75" x14ac:dyDescent="0.25">
      <c r="A2006" s="234" t="s">
        <v>2413</v>
      </c>
      <c r="B2006" s="235" t="s">
        <v>2414</v>
      </c>
      <c r="C2006" s="234" t="s">
        <v>1867</v>
      </c>
      <c r="D2006" s="312">
        <v>26</v>
      </c>
      <c r="E2006" s="312"/>
      <c r="F2006" s="248"/>
      <c r="G2006" s="312"/>
      <c r="H2006" s="312"/>
      <c r="I2006" s="312"/>
      <c r="J2006" s="248">
        <f t="shared" si="212"/>
        <v>0</v>
      </c>
      <c r="K2006" s="330">
        <f t="shared" si="213"/>
        <v>-26</v>
      </c>
      <c r="L2006" s="313"/>
      <c r="M2006" s="228">
        <f t="shared" si="214"/>
        <v>0</v>
      </c>
      <c r="N2006" s="228">
        <f t="shared" si="217"/>
        <v>0</v>
      </c>
      <c r="O2006" s="228">
        <f t="shared" si="218"/>
        <v>0</v>
      </c>
      <c r="P2006" s="228">
        <f t="shared" si="218"/>
        <v>0</v>
      </c>
      <c r="Q2006" s="228">
        <f t="shared" si="215"/>
        <v>0</v>
      </c>
      <c r="R2006" s="343">
        <f t="shared" si="216"/>
        <v>-26</v>
      </c>
      <c r="S2006" s="240"/>
      <c r="T2006" s="201"/>
      <c r="U2006" s="201"/>
      <c r="V2006" s="201"/>
    </row>
    <row r="2007" spans="1:22" ht="15.75" x14ac:dyDescent="0.25">
      <c r="A2007" s="234" t="s">
        <v>2415</v>
      </c>
      <c r="B2007" s="235" t="s">
        <v>2416</v>
      </c>
      <c r="C2007" s="234" t="s">
        <v>1867</v>
      </c>
      <c r="D2007" s="312">
        <v>4</v>
      </c>
      <c r="E2007" s="312"/>
      <c r="F2007" s="248"/>
      <c r="G2007" s="312"/>
      <c r="H2007" s="312"/>
      <c r="I2007" s="312"/>
      <c r="J2007" s="248">
        <f t="shared" si="212"/>
        <v>0</v>
      </c>
      <c r="K2007" s="330">
        <f t="shared" si="213"/>
        <v>-4</v>
      </c>
      <c r="L2007" s="313"/>
      <c r="M2007" s="228">
        <f t="shared" si="214"/>
        <v>0</v>
      </c>
      <c r="N2007" s="228">
        <f t="shared" si="217"/>
        <v>0</v>
      </c>
      <c r="O2007" s="228">
        <f t="shared" si="218"/>
        <v>0</v>
      </c>
      <c r="P2007" s="228">
        <f t="shared" si="218"/>
        <v>0</v>
      </c>
      <c r="Q2007" s="228">
        <f t="shared" si="215"/>
        <v>0</v>
      </c>
      <c r="R2007" s="343">
        <f t="shared" si="216"/>
        <v>-4</v>
      </c>
      <c r="S2007" s="240"/>
      <c r="T2007" s="201"/>
      <c r="U2007" s="201"/>
      <c r="V2007" s="201"/>
    </row>
    <row r="2008" spans="1:22" ht="28.5" x14ac:dyDescent="0.25">
      <c r="A2008" s="230" t="s">
        <v>2417</v>
      </c>
      <c r="B2008" s="231" t="s">
        <v>2418</v>
      </c>
      <c r="C2008" s="230"/>
      <c r="D2008" s="316"/>
      <c r="E2008" s="316"/>
      <c r="F2008" s="317"/>
      <c r="G2008" s="316"/>
      <c r="H2008" s="316"/>
      <c r="I2008" s="316"/>
      <c r="J2008" s="248">
        <f t="shared" si="212"/>
        <v>0</v>
      </c>
      <c r="K2008" s="330">
        <f t="shared" si="213"/>
        <v>0</v>
      </c>
      <c r="L2008" s="318"/>
      <c r="M2008" s="228">
        <f t="shared" si="214"/>
        <v>0</v>
      </c>
      <c r="N2008" s="228">
        <f t="shared" si="217"/>
        <v>0</v>
      </c>
      <c r="O2008" s="228">
        <f t="shared" si="218"/>
        <v>0</v>
      </c>
      <c r="P2008" s="228">
        <f t="shared" si="218"/>
        <v>0</v>
      </c>
      <c r="Q2008" s="228">
        <f t="shared" si="215"/>
        <v>0</v>
      </c>
      <c r="R2008" s="343">
        <f t="shared" si="216"/>
        <v>0</v>
      </c>
      <c r="S2008" s="240"/>
      <c r="T2008" s="201"/>
      <c r="U2008" s="201"/>
      <c r="V2008" s="201"/>
    </row>
    <row r="2009" spans="1:22" ht="15.75" x14ac:dyDescent="0.25">
      <c r="A2009" s="234" t="s">
        <v>2419</v>
      </c>
      <c r="B2009" s="235" t="s">
        <v>2420</v>
      </c>
      <c r="C2009" s="234" t="s">
        <v>1867</v>
      </c>
      <c r="D2009" s="312">
        <v>114</v>
      </c>
      <c r="E2009" s="312"/>
      <c r="F2009" s="248"/>
      <c r="G2009" s="312"/>
      <c r="H2009" s="312"/>
      <c r="I2009" s="312"/>
      <c r="J2009" s="248">
        <f t="shared" si="212"/>
        <v>0</v>
      </c>
      <c r="K2009" s="330">
        <f t="shared" si="213"/>
        <v>-114</v>
      </c>
      <c r="L2009" s="313"/>
      <c r="M2009" s="228">
        <f t="shared" si="214"/>
        <v>0</v>
      </c>
      <c r="N2009" s="228">
        <f t="shared" si="217"/>
        <v>0</v>
      </c>
      <c r="O2009" s="228">
        <f t="shared" si="218"/>
        <v>0</v>
      </c>
      <c r="P2009" s="228">
        <f t="shared" si="218"/>
        <v>0</v>
      </c>
      <c r="Q2009" s="228">
        <f t="shared" si="215"/>
        <v>0</v>
      </c>
      <c r="R2009" s="343">
        <f t="shared" si="216"/>
        <v>-114</v>
      </c>
      <c r="S2009" s="240"/>
      <c r="T2009" s="201"/>
      <c r="U2009" s="201"/>
      <c r="V2009" s="201"/>
    </row>
    <row r="2010" spans="1:22" ht="15.75" x14ac:dyDescent="0.25">
      <c r="A2010" s="234" t="s">
        <v>2421</v>
      </c>
      <c r="B2010" s="235" t="s">
        <v>2422</v>
      </c>
      <c r="C2010" s="234" t="s">
        <v>1867</v>
      </c>
      <c r="D2010" s="312">
        <v>8</v>
      </c>
      <c r="E2010" s="312"/>
      <c r="F2010" s="248"/>
      <c r="G2010" s="312"/>
      <c r="H2010" s="312"/>
      <c r="I2010" s="312"/>
      <c r="J2010" s="248">
        <f t="shared" si="212"/>
        <v>0</v>
      </c>
      <c r="K2010" s="330">
        <f t="shared" si="213"/>
        <v>-8</v>
      </c>
      <c r="L2010" s="313"/>
      <c r="M2010" s="228">
        <f t="shared" si="214"/>
        <v>0</v>
      </c>
      <c r="N2010" s="228">
        <f t="shared" si="217"/>
        <v>0</v>
      </c>
      <c r="O2010" s="228">
        <f t="shared" si="218"/>
        <v>0</v>
      </c>
      <c r="P2010" s="228">
        <f t="shared" si="218"/>
        <v>0</v>
      </c>
      <c r="Q2010" s="228">
        <f t="shared" si="215"/>
        <v>0</v>
      </c>
      <c r="R2010" s="343">
        <f t="shared" si="216"/>
        <v>-8</v>
      </c>
      <c r="S2010" s="240"/>
      <c r="T2010" s="201"/>
      <c r="U2010" s="201"/>
      <c r="V2010" s="201"/>
    </row>
    <row r="2011" spans="1:22" ht="15.75" x14ac:dyDescent="0.25">
      <c r="A2011" s="234" t="s">
        <v>2423</v>
      </c>
      <c r="B2011" s="235" t="s">
        <v>2424</v>
      </c>
      <c r="C2011" s="234" t="s">
        <v>248</v>
      </c>
      <c r="D2011" s="312">
        <v>1</v>
      </c>
      <c r="E2011" s="312"/>
      <c r="F2011" s="248"/>
      <c r="G2011" s="312"/>
      <c r="H2011" s="312"/>
      <c r="I2011" s="312"/>
      <c r="J2011" s="248">
        <f t="shared" si="212"/>
        <v>0</v>
      </c>
      <c r="K2011" s="330">
        <f t="shared" si="213"/>
        <v>-1</v>
      </c>
      <c r="L2011" s="313"/>
      <c r="M2011" s="228">
        <f t="shared" si="214"/>
        <v>0</v>
      </c>
      <c r="N2011" s="228">
        <f t="shared" si="217"/>
        <v>0</v>
      </c>
      <c r="O2011" s="228">
        <f t="shared" si="218"/>
        <v>0</v>
      </c>
      <c r="P2011" s="228">
        <f t="shared" si="218"/>
        <v>0</v>
      </c>
      <c r="Q2011" s="228">
        <f t="shared" si="215"/>
        <v>0</v>
      </c>
      <c r="R2011" s="343">
        <f t="shared" si="216"/>
        <v>-1</v>
      </c>
      <c r="S2011" s="240"/>
      <c r="T2011" s="201"/>
      <c r="U2011" s="201"/>
      <c r="V2011" s="201"/>
    </row>
    <row r="2012" spans="1:22" ht="15.75" x14ac:dyDescent="0.25">
      <c r="A2012" s="234" t="s">
        <v>2425</v>
      </c>
      <c r="B2012" s="235" t="s">
        <v>2426</v>
      </c>
      <c r="C2012" s="234" t="s">
        <v>248</v>
      </c>
      <c r="D2012" s="312">
        <v>2</v>
      </c>
      <c r="E2012" s="312"/>
      <c r="F2012" s="248"/>
      <c r="G2012" s="312"/>
      <c r="H2012" s="312"/>
      <c r="I2012" s="312"/>
      <c r="J2012" s="248">
        <f t="shared" si="212"/>
        <v>0</v>
      </c>
      <c r="K2012" s="330">
        <f t="shared" si="213"/>
        <v>-2</v>
      </c>
      <c r="L2012" s="313"/>
      <c r="M2012" s="228">
        <f t="shared" si="214"/>
        <v>0</v>
      </c>
      <c r="N2012" s="228">
        <f t="shared" si="217"/>
        <v>0</v>
      </c>
      <c r="O2012" s="228">
        <f t="shared" si="218"/>
        <v>0</v>
      </c>
      <c r="P2012" s="228">
        <f t="shared" si="218"/>
        <v>0</v>
      </c>
      <c r="Q2012" s="228">
        <f t="shared" si="215"/>
        <v>0</v>
      </c>
      <c r="R2012" s="343">
        <f t="shared" si="216"/>
        <v>-2</v>
      </c>
      <c r="S2012" s="240"/>
      <c r="T2012" s="201"/>
      <c r="U2012" s="201"/>
      <c r="V2012" s="201"/>
    </row>
    <row r="2013" spans="1:22" ht="15.75" x14ac:dyDescent="0.25">
      <c r="A2013" s="234" t="s">
        <v>2427</v>
      </c>
      <c r="B2013" s="235" t="s">
        <v>2428</v>
      </c>
      <c r="C2013" s="234" t="s">
        <v>248</v>
      </c>
      <c r="D2013" s="312">
        <v>15</v>
      </c>
      <c r="E2013" s="312"/>
      <c r="F2013" s="248"/>
      <c r="G2013" s="312"/>
      <c r="H2013" s="312"/>
      <c r="I2013" s="312"/>
      <c r="J2013" s="248">
        <f t="shared" si="212"/>
        <v>0</v>
      </c>
      <c r="K2013" s="330">
        <f t="shared" si="213"/>
        <v>-15</v>
      </c>
      <c r="L2013" s="313"/>
      <c r="M2013" s="228">
        <f t="shared" si="214"/>
        <v>0</v>
      </c>
      <c r="N2013" s="228">
        <f t="shared" si="217"/>
        <v>0</v>
      </c>
      <c r="O2013" s="228">
        <f t="shared" si="218"/>
        <v>0</v>
      </c>
      <c r="P2013" s="228">
        <f t="shared" si="218"/>
        <v>0</v>
      </c>
      <c r="Q2013" s="228">
        <f t="shared" si="215"/>
        <v>0</v>
      </c>
      <c r="R2013" s="343">
        <f t="shared" si="216"/>
        <v>-15</v>
      </c>
      <c r="S2013" s="240"/>
      <c r="T2013" s="201"/>
      <c r="U2013" s="201"/>
      <c r="V2013" s="201"/>
    </row>
    <row r="2014" spans="1:22" ht="15.75" x14ac:dyDescent="0.25">
      <c r="A2014" s="234" t="s">
        <v>2429</v>
      </c>
      <c r="B2014" s="235" t="s">
        <v>2430</v>
      </c>
      <c r="C2014" s="234" t="s">
        <v>248</v>
      </c>
      <c r="D2014" s="312">
        <v>30</v>
      </c>
      <c r="E2014" s="312"/>
      <c r="F2014" s="248"/>
      <c r="G2014" s="312"/>
      <c r="H2014" s="312"/>
      <c r="I2014" s="312"/>
      <c r="J2014" s="248">
        <f t="shared" si="212"/>
        <v>0</v>
      </c>
      <c r="K2014" s="330">
        <f t="shared" si="213"/>
        <v>-30</v>
      </c>
      <c r="L2014" s="313"/>
      <c r="M2014" s="228">
        <f t="shared" si="214"/>
        <v>0</v>
      </c>
      <c r="N2014" s="228">
        <f t="shared" si="217"/>
        <v>0</v>
      </c>
      <c r="O2014" s="228">
        <f t="shared" si="218"/>
        <v>0</v>
      </c>
      <c r="P2014" s="228">
        <f t="shared" si="218"/>
        <v>0</v>
      </c>
      <c r="Q2014" s="228">
        <f t="shared" si="215"/>
        <v>0</v>
      </c>
      <c r="R2014" s="343">
        <f t="shared" si="216"/>
        <v>-30</v>
      </c>
      <c r="S2014" s="240"/>
      <c r="T2014" s="201"/>
      <c r="U2014" s="201"/>
      <c r="V2014" s="201"/>
    </row>
    <row r="2015" spans="1:22" ht="15.75" x14ac:dyDescent="0.25">
      <c r="A2015" s="230" t="s">
        <v>2431</v>
      </c>
      <c r="B2015" s="231" t="s">
        <v>2432</v>
      </c>
      <c r="C2015" s="230"/>
      <c r="D2015" s="316"/>
      <c r="E2015" s="316"/>
      <c r="F2015" s="317"/>
      <c r="G2015" s="316"/>
      <c r="H2015" s="316"/>
      <c r="I2015" s="316"/>
      <c r="J2015" s="248">
        <f t="shared" si="212"/>
        <v>0</v>
      </c>
      <c r="K2015" s="330">
        <f t="shared" si="213"/>
        <v>0</v>
      </c>
      <c r="L2015" s="318"/>
      <c r="M2015" s="228">
        <f t="shared" si="214"/>
        <v>0</v>
      </c>
      <c r="N2015" s="228">
        <f t="shared" si="217"/>
        <v>0</v>
      </c>
      <c r="O2015" s="228">
        <f t="shared" si="218"/>
        <v>0</v>
      </c>
      <c r="P2015" s="228">
        <f t="shared" si="218"/>
        <v>0</v>
      </c>
      <c r="Q2015" s="228">
        <f t="shared" si="215"/>
        <v>0</v>
      </c>
      <c r="R2015" s="343">
        <f t="shared" si="216"/>
        <v>0</v>
      </c>
      <c r="S2015" s="240"/>
      <c r="T2015" s="201"/>
      <c r="U2015" s="201"/>
      <c r="V2015" s="201"/>
    </row>
    <row r="2016" spans="1:22" ht="15.75" x14ac:dyDescent="0.25">
      <c r="A2016" s="234" t="s">
        <v>2433</v>
      </c>
      <c r="B2016" s="235" t="s">
        <v>2434</v>
      </c>
      <c r="C2016" s="234" t="s">
        <v>248</v>
      </c>
      <c r="D2016" s="312">
        <v>2</v>
      </c>
      <c r="E2016" s="312"/>
      <c r="F2016" s="248"/>
      <c r="G2016" s="312"/>
      <c r="H2016" s="312"/>
      <c r="I2016" s="312"/>
      <c r="J2016" s="248">
        <f t="shared" si="212"/>
        <v>0</v>
      </c>
      <c r="K2016" s="330">
        <f t="shared" si="213"/>
        <v>-2</v>
      </c>
      <c r="L2016" s="313"/>
      <c r="M2016" s="228">
        <f t="shared" si="214"/>
        <v>0</v>
      </c>
      <c r="N2016" s="228">
        <f t="shared" si="217"/>
        <v>0</v>
      </c>
      <c r="O2016" s="228">
        <f t="shared" si="218"/>
        <v>0</v>
      </c>
      <c r="P2016" s="228">
        <f t="shared" si="218"/>
        <v>0</v>
      </c>
      <c r="Q2016" s="228">
        <f t="shared" si="215"/>
        <v>0</v>
      </c>
      <c r="R2016" s="343">
        <f t="shared" si="216"/>
        <v>-2</v>
      </c>
      <c r="S2016" s="240"/>
      <c r="T2016" s="201"/>
      <c r="U2016" s="201"/>
      <c r="V2016" s="201"/>
    </row>
    <row r="2017" spans="1:22" ht="15.75" x14ac:dyDescent="0.25">
      <c r="A2017" s="234" t="s">
        <v>2435</v>
      </c>
      <c r="B2017" s="235" t="s">
        <v>2436</v>
      </c>
      <c r="C2017" s="234" t="s">
        <v>248</v>
      </c>
      <c r="D2017" s="312">
        <v>2</v>
      </c>
      <c r="E2017" s="312"/>
      <c r="F2017" s="248"/>
      <c r="G2017" s="312"/>
      <c r="H2017" s="312"/>
      <c r="I2017" s="312"/>
      <c r="J2017" s="248">
        <f t="shared" si="212"/>
        <v>0</v>
      </c>
      <c r="K2017" s="330">
        <f t="shared" si="213"/>
        <v>-2</v>
      </c>
      <c r="L2017" s="313"/>
      <c r="M2017" s="228">
        <f t="shared" si="214"/>
        <v>0</v>
      </c>
      <c r="N2017" s="228">
        <f t="shared" si="217"/>
        <v>0</v>
      </c>
      <c r="O2017" s="228">
        <f t="shared" si="218"/>
        <v>0</v>
      </c>
      <c r="P2017" s="228">
        <f t="shared" si="218"/>
        <v>0</v>
      </c>
      <c r="Q2017" s="228">
        <f t="shared" si="215"/>
        <v>0</v>
      </c>
      <c r="R2017" s="343">
        <f t="shared" si="216"/>
        <v>-2</v>
      </c>
      <c r="S2017" s="240"/>
      <c r="T2017" s="201"/>
      <c r="U2017" s="201"/>
      <c r="V2017" s="201"/>
    </row>
    <row r="2018" spans="1:22" ht="15.75" x14ac:dyDescent="0.25">
      <c r="A2018" s="234" t="s">
        <v>2437</v>
      </c>
      <c r="B2018" s="235" t="s">
        <v>2438</v>
      </c>
      <c r="C2018" s="234" t="s">
        <v>248</v>
      </c>
      <c r="D2018" s="312">
        <v>2</v>
      </c>
      <c r="E2018" s="312"/>
      <c r="F2018" s="248"/>
      <c r="G2018" s="312"/>
      <c r="H2018" s="312"/>
      <c r="I2018" s="312"/>
      <c r="J2018" s="248">
        <f t="shared" si="212"/>
        <v>0</v>
      </c>
      <c r="K2018" s="330">
        <f t="shared" si="213"/>
        <v>-2</v>
      </c>
      <c r="L2018" s="313"/>
      <c r="M2018" s="228">
        <f t="shared" si="214"/>
        <v>0</v>
      </c>
      <c r="N2018" s="228">
        <f t="shared" si="217"/>
        <v>0</v>
      </c>
      <c r="O2018" s="228">
        <f t="shared" si="218"/>
        <v>0</v>
      </c>
      <c r="P2018" s="228">
        <f t="shared" si="218"/>
        <v>0</v>
      </c>
      <c r="Q2018" s="228">
        <f t="shared" si="215"/>
        <v>0</v>
      </c>
      <c r="R2018" s="343">
        <f t="shared" si="216"/>
        <v>-2</v>
      </c>
      <c r="S2018" s="240"/>
      <c r="T2018" s="201"/>
      <c r="U2018" s="201"/>
      <c r="V2018" s="201"/>
    </row>
    <row r="2019" spans="1:22" ht="15.75" x14ac:dyDescent="0.25">
      <c r="A2019" s="234" t="s">
        <v>2439</v>
      </c>
      <c r="B2019" s="235" t="s">
        <v>2440</v>
      </c>
      <c r="C2019" s="234" t="s">
        <v>248</v>
      </c>
      <c r="D2019" s="312">
        <v>2</v>
      </c>
      <c r="E2019" s="312"/>
      <c r="F2019" s="248"/>
      <c r="G2019" s="312"/>
      <c r="H2019" s="312"/>
      <c r="I2019" s="312"/>
      <c r="J2019" s="248">
        <f t="shared" si="212"/>
        <v>0</v>
      </c>
      <c r="K2019" s="330">
        <f t="shared" si="213"/>
        <v>-2</v>
      </c>
      <c r="L2019" s="313"/>
      <c r="M2019" s="228">
        <f t="shared" si="214"/>
        <v>0</v>
      </c>
      <c r="N2019" s="228">
        <f t="shared" si="217"/>
        <v>0</v>
      </c>
      <c r="O2019" s="228">
        <f t="shared" si="218"/>
        <v>0</v>
      </c>
      <c r="P2019" s="228">
        <f t="shared" si="218"/>
        <v>0</v>
      </c>
      <c r="Q2019" s="228">
        <f t="shared" si="215"/>
        <v>0</v>
      </c>
      <c r="R2019" s="343">
        <f t="shared" si="216"/>
        <v>-2</v>
      </c>
      <c r="S2019" s="240"/>
      <c r="T2019" s="201"/>
      <c r="U2019" s="201"/>
      <c r="V2019" s="201"/>
    </row>
    <row r="2020" spans="1:22" ht="15.75" x14ac:dyDescent="0.25">
      <c r="A2020" s="234" t="s">
        <v>2441</v>
      </c>
      <c r="B2020" s="235" t="s">
        <v>2442</v>
      </c>
      <c r="C2020" s="234" t="s">
        <v>248</v>
      </c>
      <c r="D2020" s="312">
        <v>2</v>
      </c>
      <c r="E2020" s="312"/>
      <c r="F2020" s="248"/>
      <c r="G2020" s="312"/>
      <c r="H2020" s="312"/>
      <c r="I2020" s="312"/>
      <c r="J2020" s="248">
        <f t="shared" si="212"/>
        <v>0</v>
      </c>
      <c r="K2020" s="330">
        <f t="shared" si="213"/>
        <v>-2</v>
      </c>
      <c r="L2020" s="313"/>
      <c r="M2020" s="228">
        <f t="shared" si="214"/>
        <v>0</v>
      </c>
      <c r="N2020" s="228">
        <f t="shared" si="217"/>
        <v>0</v>
      </c>
      <c r="O2020" s="228">
        <f t="shared" si="218"/>
        <v>0</v>
      </c>
      <c r="P2020" s="228">
        <f t="shared" si="218"/>
        <v>0</v>
      </c>
      <c r="Q2020" s="228">
        <f t="shared" si="215"/>
        <v>0</v>
      </c>
      <c r="R2020" s="343">
        <f t="shared" si="216"/>
        <v>-2</v>
      </c>
      <c r="S2020" s="240"/>
      <c r="T2020" s="201"/>
      <c r="U2020" s="201"/>
      <c r="V2020" s="201"/>
    </row>
    <row r="2021" spans="1:22" ht="15.75" x14ac:dyDescent="0.25">
      <c r="A2021" s="234" t="s">
        <v>2443</v>
      </c>
      <c r="B2021" s="235" t="s">
        <v>2444</v>
      </c>
      <c r="C2021" s="234" t="s">
        <v>248</v>
      </c>
      <c r="D2021" s="312">
        <v>1</v>
      </c>
      <c r="E2021" s="312"/>
      <c r="F2021" s="248"/>
      <c r="G2021" s="312"/>
      <c r="H2021" s="312"/>
      <c r="I2021" s="312"/>
      <c r="J2021" s="248">
        <f t="shared" si="212"/>
        <v>0</v>
      </c>
      <c r="K2021" s="330">
        <f t="shared" si="213"/>
        <v>-1</v>
      </c>
      <c r="L2021" s="313"/>
      <c r="M2021" s="228">
        <f t="shared" si="214"/>
        <v>0</v>
      </c>
      <c r="N2021" s="228">
        <f t="shared" si="217"/>
        <v>0</v>
      </c>
      <c r="O2021" s="228">
        <f t="shared" si="218"/>
        <v>0</v>
      </c>
      <c r="P2021" s="228">
        <f t="shared" si="218"/>
        <v>0</v>
      </c>
      <c r="Q2021" s="228">
        <f t="shared" si="215"/>
        <v>0</v>
      </c>
      <c r="R2021" s="343">
        <f t="shared" si="216"/>
        <v>-1</v>
      </c>
      <c r="S2021" s="240"/>
      <c r="T2021" s="201"/>
      <c r="U2021" s="201"/>
      <c r="V2021" s="201"/>
    </row>
    <row r="2022" spans="1:22" ht="15.75" x14ac:dyDescent="0.25">
      <c r="A2022" s="234" t="s">
        <v>2445</v>
      </c>
      <c r="B2022" s="235" t="s">
        <v>2446</v>
      </c>
      <c r="C2022" s="234" t="s">
        <v>248</v>
      </c>
      <c r="D2022" s="312">
        <v>2</v>
      </c>
      <c r="E2022" s="312"/>
      <c r="F2022" s="248"/>
      <c r="G2022" s="312"/>
      <c r="H2022" s="312"/>
      <c r="I2022" s="312"/>
      <c r="J2022" s="248">
        <f t="shared" si="212"/>
        <v>0</v>
      </c>
      <c r="K2022" s="330">
        <f t="shared" si="213"/>
        <v>-2</v>
      </c>
      <c r="L2022" s="313"/>
      <c r="M2022" s="228">
        <f t="shared" si="214"/>
        <v>0</v>
      </c>
      <c r="N2022" s="228">
        <f t="shared" si="217"/>
        <v>0</v>
      </c>
      <c r="O2022" s="228">
        <f t="shared" si="218"/>
        <v>0</v>
      </c>
      <c r="P2022" s="228">
        <f t="shared" si="218"/>
        <v>0</v>
      </c>
      <c r="Q2022" s="228">
        <f t="shared" si="215"/>
        <v>0</v>
      </c>
      <c r="R2022" s="343">
        <f t="shared" si="216"/>
        <v>-2</v>
      </c>
      <c r="S2022" s="240"/>
      <c r="T2022" s="201"/>
      <c r="U2022" s="201"/>
      <c r="V2022" s="201"/>
    </row>
    <row r="2023" spans="1:22" ht="15.75" x14ac:dyDescent="0.25">
      <c r="A2023" s="234" t="s">
        <v>2447</v>
      </c>
      <c r="B2023" s="235" t="s">
        <v>2448</v>
      </c>
      <c r="C2023" s="234" t="s">
        <v>248</v>
      </c>
      <c r="D2023" s="312">
        <v>2</v>
      </c>
      <c r="E2023" s="312"/>
      <c r="F2023" s="248"/>
      <c r="G2023" s="312"/>
      <c r="H2023" s="312"/>
      <c r="I2023" s="312"/>
      <c r="J2023" s="248">
        <f t="shared" si="212"/>
        <v>0</v>
      </c>
      <c r="K2023" s="330">
        <f t="shared" si="213"/>
        <v>-2</v>
      </c>
      <c r="L2023" s="313"/>
      <c r="M2023" s="228">
        <f t="shared" si="214"/>
        <v>0</v>
      </c>
      <c r="N2023" s="228">
        <f t="shared" si="217"/>
        <v>0</v>
      </c>
      <c r="O2023" s="228">
        <f t="shared" si="218"/>
        <v>0</v>
      </c>
      <c r="P2023" s="228">
        <f t="shared" si="218"/>
        <v>0</v>
      </c>
      <c r="Q2023" s="228">
        <f t="shared" si="215"/>
        <v>0</v>
      </c>
      <c r="R2023" s="343">
        <f t="shared" si="216"/>
        <v>-2</v>
      </c>
      <c r="S2023" s="240"/>
      <c r="T2023" s="201"/>
      <c r="U2023" s="201"/>
      <c r="V2023" s="201"/>
    </row>
    <row r="2024" spans="1:22" ht="15.75" x14ac:dyDescent="0.25">
      <c r="A2024" s="234" t="s">
        <v>2449</v>
      </c>
      <c r="B2024" s="235" t="s">
        <v>2450</v>
      </c>
      <c r="C2024" s="234" t="s">
        <v>248</v>
      </c>
      <c r="D2024" s="312">
        <v>2</v>
      </c>
      <c r="E2024" s="312"/>
      <c r="F2024" s="248"/>
      <c r="G2024" s="312"/>
      <c r="H2024" s="312"/>
      <c r="I2024" s="312"/>
      <c r="J2024" s="248">
        <f t="shared" si="212"/>
        <v>0</v>
      </c>
      <c r="K2024" s="330">
        <f t="shared" si="213"/>
        <v>-2</v>
      </c>
      <c r="L2024" s="313"/>
      <c r="M2024" s="228">
        <f t="shared" si="214"/>
        <v>0</v>
      </c>
      <c r="N2024" s="228">
        <f t="shared" si="217"/>
        <v>0</v>
      </c>
      <c r="O2024" s="228">
        <f t="shared" si="218"/>
        <v>0</v>
      </c>
      <c r="P2024" s="228">
        <f t="shared" si="218"/>
        <v>0</v>
      </c>
      <c r="Q2024" s="228">
        <f t="shared" si="215"/>
        <v>0</v>
      </c>
      <c r="R2024" s="343">
        <f t="shared" si="216"/>
        <v>-2</v>
      </c>
      <c r="S2024" s="240"/>
      <c r="T2024" s="201"/>
      <c r="U2024" s="201"/>
      <c r="V2024" s="201"/>
    </row>
    <row r="2025" spans="1:22" ht="15.75" x14ac:dyDescent="0.25">
      <c r="A2025" s="234" t="s">
        <v>2451</v>
      </c>
      <c r="B2025" s="235" t="s">
        <v>2452</v>
      </c>
      <c r="C2025" s="234" t="s">
        <v>248</v>
      </c>
      <c r="D2025" s="312">
        <v>2</v>
      </c>
      <c r="E2025" s="312"/>
      <c r="F2025" s="248"/>
      <c r="G2025" s="312"/>
      <c r="H2025" s="312"/>
      <c r="I2025" s="312"/>
      <c r="J2025" s="248">
        <f t="shared" si="212"/>
        <v>0</v>
      </c>
      <c r="K2025" s="330">
        <f t="shared" si="213"/>
        <v>-2</v>
      </c>
      <c r="L2025" s="313"/>
      <c r="M2025" s="228">
        <f t="shared" si="214"/>
        <v>0</v>
      </c>
      <c r="N2025" s="228">
        <f t="shared" si="217"/>
        <v>0</v>
      </c>
      <c r="O2025" s="228">
        <f t="shared" si="218"/>
        <v>0</v>
      </c>
      <c r="P2025" s="228">
        <f t="shared" si="218"/>
        <v>0</v>
      </c>
      <c r="Q2025" s="228">
        <f t="shared" si="215"/>
        <v>0</v>
      </c>
      <c r="R2025" s="343">
        <f t="shared" si="216"/>
        <v>-2</v>
      </c>
      <c r="S2025" s="240"/>
      <c r="T2025" s="201"/>
      <c r="U2025" s="201"/>
      <c r="V2025" s="201"/>
    </row>
    <row r="2026" spans="1:22" ht="15.75" x14ac:dyDescent="0.25">
      <c r="A2026" s="234" t="s">
        <v>2453</v>
      </c>
      <c r="B2026" s="235" t="s">
        <v>2454</v>
      </c>
      <c r="C2026" s="234" t="s">
        <v>248</v>
      </c>
      <c r="D2026" s="312">
        <v>1</v>
      </c>
      <c r="E2026" s="312"/>
      <c r="F2026" s="248"/>
      <c r="G2026" s="312"/>
      <c r="H2026" s="312"/>
      <c r="I2026" s="312"/>
      <c r="J2026" s="248">
        <f t="shared" si="212"/>
        <v>0</v>
      </c>
      <c r="K2026" s="330">
        <f t="shared" si="213"/>
        <v>-1</v>
      </c>
      <c r="L2026" s="313"/>
      <c r="M2026" s="228">
        <f t="shared" si="214"/>
        <v>0</v>
      </c>
      <c r="N2026" s="228">
        <f t="shared" si="217"/>
        <v>0</v>
      </c>
      <c r="O2026" s="228">
        <f t="shared" si="218"/>
        <v>0</v>
      </c>
      <c r="P2026" s="228">
        <f t="shared" si="218"/>
        <v>0</v>
      </c>
      <c r="Q2026" s="228">
        <f t="shared" si="215"/>
        <v>0</v>
      </c>
      <c r="R2026" s="343">
        <f t="shared" si="216"/>
        <v>-1</v>
      </c>
      <c r="S2026" s="240"/>
      <c r="T2026" s="201"/>
      <c r="U2026" s="201"/>
      <c r="V2026" s="201"/>
    </row>
    <row r="2027" spans="1:22" ht="15.75" x14ac:dyDescent="0.25">
      <c r="A2027" s="234" t="s">
        <v>2455</v>
      </c>
      <c r="B2027" s="235" t="s">
        <v>2456</v>
      </c>
      <c r="C2027" s="234" t="s">
        <v>248</v>
      </c>
      <c r="D2027" s="312">
        <v>4</v>
      </c>
      <c r="E2027" s="312"/>
      <c r="F2027" s="248"/>
      <c r="G2027" s="312"/>
      <c r="H2027" s="312"/>
      <c r="I2027" s="312"/>
      <c r="J2027" s="248">
        <f t="shared" si="212"/>
        <v>0</v>
      </c>
      <c r="K2027" s="330">
        <f t="shared" si="213"/>
        <v>-4</v>
      </c>
      <c r="L2027" s="313"/>
      <c r="M2027" s="228">
        <f t="shared" si="214"/>
        <v>0</v>
      </c>
      <c r="N2027" s="228">
        <f t="shared" si="217"/>
        <v>0</v>
      </c>
      <c r="O2027" s="228">
        <f t="shared" si="218"/>
        <v>0</v>
      </c>
      <c r="P2027" s="228">
        <f t="shared" si="218"/>
        <v>0</v>
      </c>
      <c r="Q2027" s="228">
        <f t="shared" si="215"/>
        <v>0</v>
      </c>
      <c r="R2027" s="343">
        <f t="shared" si="216"/>
        <v>-4</v>
      </c>
      <c r="S2027" s="240"/>
      <c r="T2027" s="201"/>
      <c r="U2027" s="201"/>
      <c r="V2027" s="201"/>
    </row>
    <row r="2028" spans="1:22" ht="31.5" customHeight="1" x14ac:dyDescent="0.25">
      <c r="A2028" s="234" t="s">
        <v>2457</v>
      </c>
      <c r="B2028" s="235" t="s">
        <v>2458</v>
      </c>
      <c r="C2028" s="234" t="s">
        <v>248</v>
      </c>
      <c r="D2028" s="312">
        <v>1</v>
      </c>
      <c r="E2028" s="312"/>
      <c r="F2028" s="248"/>
      <c r="G2028" s="312"/>
      <c r="H2028" s="312"/>
      <c r="I2028" s="312"/>
      <c r="J2028" s="248">
        <f t="shared" si="212"/>
        <v>0</v>
      </c>
      <c r="K2028" s="330">
        <f t="shared" si="213"/>
        <v>-1</v>
      </c>
      <c r="L2028" s="313"/>
      <c r="M2028" s="228">
        <f t="shared" si="214"/>
        <v>0</v>
      </c>
      <c r="N2028" s="228">
        <f t="shared" si="217"/>
        <v>0</v>
      </c>
      <c r="O2028" s="228">
        <f t="shared" si="218"/>
        <v>0</v>
      </c>
      <c r="P2028" s="228">
        <f t="shared" si="218"/>
        <v>0</v>
      </c>
      <c r="Q2028" s="228">
        <f t="shared" si="215"/>
        <v>0</v>
      </c>
      <c r="R2028" s="343">
        <f t="shared" si="216"/>
        <v>-1</v>
      </c>
      <c r="S2028" s="240"/>
      <c r="T2028" s="201"/>
      <c r="U2028" s="201"/>
      <c r="V2028" s="201"/>
    </row>
    <row r="2029" spans="1:22" ht="15.75" x14ac:dyDescent="0.25">
      <c r="A2029" s="234" t="s">
        <v>2459</v>
      </c>
      <c r="B2029" s="235" t="s">
        <v>1863</v>
      </c>
      <c r="C2029" s="234" t="s">
        <v>6</v>
      </c>
      <c r="D2029" s="312">
        <v>50</v>
      </c>
      <c r="E2029" s="312"/>
      <c r="F2029" s="248"/>
      <c r="G2029" s="312"/>
      <c r="H2029" s="312"/>
      <c r="I2029" s="312"/>
      <c r="J2029" s="248">
        <f t="shared" si="212"/>
        <v>0</v>
      </c>
      <c r="K2029" s="330">
        <f t="shared" si="213"/>
        <v>-50</v>
      </c>
      <c r="L2029" s="313"/>
      <c r="M2029" s="228">
        <f t="shared" si="214"/>
        <v>0</v>
      </c>
      <c r="N2029" s="228">
        <f t="shared" si="217"/>
        <v>0</v>
      </c>
      <c r="O2029" s="228">
        <f t="shared" si="218"/>
        <v>0</v>
      </c>
      <c r="P2029" s="228">
        <f t="shared" si="218"/>
        <v>0</v>
      </c>
      <c r="Q2029" s="228">
        <f t="shared" si="215"/>
        <v>0</v>
      </c>
      <c r="R2029" s="343">
        <f t="shared" si="216"/>
        <v>-50</v>
      </c>
      <c r="S2029" s="240"/>
      <c r="T2029" s="201"/>
      <c r="U2029" s="201"/>
      <c r="V2029" s="201"/>
    </row>
    <row r="2030" spans="1:22" ht="28.5" x14ac:dyDescent="0.25">
      <c r="A2030" s="230" t="s">
        <v>2460</v>
      </c>
      <c r="B2030" s="231" t="s">
        <v>2461</v>
      </c>
      <c r="C2030" s="230"/>
      <c r="D2030" s="316"/>
      <c r="E2030" s="316"/>
      <c r="F2030" s="317"/>
      <c r="G2030" s="316"/>
      <c r="H2030" s="316"/>
      <c r="I2030" s="316"/>
      <c r="J2030" s="248">
        <f t="shared" si="212"/>
        <v>0</v>
      </c>
      <c r="K2030" s="330">
        <f t="shared" si="213"/>
        <v>0</v>
      </c>
      <c r="L2030" s="318"/>
      <c r="M2030" s="228">
        <f t="shared" si="214"/>
        <v>0</v>
      </c>
      <c r="N2030" s="228">
        <f t="shared" si="217"/>
        <v>0</v>
      </c>
      <c r="O2030" s="228">
        <f t="shared" si="218"/>
        <v>0</v>
      </c>
      <c r="P2030" s="228">
        <f t="shared" si="218"/>
        <v>0</v>
      </c>
      <c r="Q2030" s="228">
        <f t="shared" si="215"/>
        <v>0</v>
      </c>
      <c r="R2030" s="343">
        <f t="shared" si="216"/>
        <v>0</v>
      </c>
      <c r="S2030" s="240"/>
      <c r="T2030" s="201"/>
      <c r="U2030" s="201"/>
      <c r="V2030" s="201"/>
    </row>
    <row r="2031" spans="1:22" ht="15.75" x14ac:dyDescent="0.25">
      <c r="A2031" s="234" t="s">
        <v>2462</v>
      </c>
      <c r="B2031" s="235" t="s">
        <v>2463</v>
      </c>
      <c r="C2031" s="234" t="s">
        <v>248</v>
      </c>
      <c r="D2031" s="312">
        <v>1</v>
      </c>
      <c r="E2031" s="312"/>
      <c r="F2031" s="248"/>
      <c r="G2031" s="312"/>
      <c r="H2031" s="312"/>
      <c r="I2031" s="312"/>
      <c r="J2031" s="248">
        <f t="shared" si="212"/>
        <v>0</v>
      </c>
      <c r="K2031" s="330">
        <f t="shared" si="213"/>
        <v>-1</v>
      </c>
      <c r="L2031" s="313"/>
      <c r="M2031" s="228">
        <f t="shared" si="214"/>
        <v>0</v>
      </c>
      <c r="N2031" s="228">
        <f t="shared" si="217"/>
        <v>0</v>
      </c>
      <c r="O2031" s="228">
        <f t="shared" si="218"/>
        <v>0</v>
      </c>
      <c r="P2031" s="228">
        <f t="shared" si="218"/>
        <v>0</v>
      </c>
      <c r="Q2031" s="228">
        <f t="shared" si="215"/>
        <v>0</v>
      </c>
      <c r="R2031" s="343">
        <f t="shared" si="216"/>
        <v>-1</v>
      </c>
      <c r="S2031" s="240"/>
      <c r="T2031" s="201"/>
      <c r="U2031" s="201"/>
      <c r="V2031" s="201"/>
    </row>
    <row r="2032" spans="1:22" ht="15.75" x14ac:dyDescent="0.25">
      <c r="A2032" s="234" t="s">
        <v>2464</v>
      </c>
      <c r="B2032" s="235" t="s">
        <v>2465</v>
      </c>
      <c r="C2032" s="234" t="s">
        <v>248</v>
      </c>
      <c r="D2032" s="312">
        <v>2</v>
      </c>
      <c r="E2032" s="312"/>
      <c r="F2032" s="248"/>
      <c r="G2032" s="312"/>
      <c r="H2032" s="312"/>
      <c r="I2032" s="312"/>
      <c r="J2032" s="248">
        <f t="shared" ref="J2032:J2095" si="219">F2032+G2032+H2032+I2032</f>
        <v>0</v>
      </c>
      <c r="K2032" s="330">
        <f t="shared" ref="K2032:K2095" si="220">J2032-D2032</f>
        <v>-2</v>
      </c>
      <c r="L2032" s="313"/>
      <c r="M2032" s="228">
        <f t="shared" ref="M2032:M2095" si="221">F2032</f>
        <v>0</v>
      </c>
      <c r="N2032" s="228">
        <f t="shared" si="217"/>
        <v>0</v>
      </c>
      <c r="O2032" s="228">
        <f t="shared" si="218"/>
        <v>0</v>
      </c>
      <c r="P2032" s="228">
        <f t="shared" si="218"/>
        <v>0</v>
      </c>
      <c r="Q2032" s="228">
        <f t="shared" ref="Q2032:Q2095" si="222">M2032+N2032+O2032+P2032</f>
        <v>0</v>
      </c>
      <c r="R2032" s="343">
        <f t="shared" ref="R2032:R2095" si="223">Q2032-D2032</f>
        <v>-2</v>
      </c>
      <c r="S2032" s="240"/>
      <c r="T2032" s="201"/>
      <c r="U2032" s="201"/>
      <c r="V2032" s="201"/>
    </row>
    <row r="2033" spans="1:22" ht="22.5" customHeight="1" x14ac:dyDescent="0.25">
      <c r="A2033" s="234" t="s">
        <v>2466</v>
      </c>
      <c r="B2033" s="235" t="s">
        <v>2467</v>
      </c>
      <c r="C2033" s="234" t="s">
        <v>248</v>
      </c>
      <c r="D2033" s="312">
        <v>2</v>
      </c>
      <c r="E2033" s="312"/>
      <c r="F2033" s="248"/>
      <c r="G2033" s="312"/>
      <c r="H2033" s="312"/>
      <c r="I2033" s="312"/>
      <c r="J2033" s="248">
        <f t="shared" si="219"/>
        <v>0</v>
      </c>
      <c r="K2033" s="330">
        <f t="shared" si="220"/>
        <v>-2</v>
      </c>
      <c r="L2033" s="313"/>
      <c r="M2033" s="228">
        <f t="shared" si="221"/>
        <v>0</v>
      </c>
      <c r="N2033" s="228">
        <f t="shared" si="217"/>
        <v>0</v>
      </c>
      <c r="O2033" s="228">
        <f t="shared" si="218"/>
        <v>0</v>
      </c>
      <c r="P2033" s="228">
        <f t="shared" si="218"/>
        <v>0</v>
      </c>
      <c r="Q2033" s="228">
        <f t="shared" si="222"/>
        <v>0</v>
      </c>
      <c r="R2033" s="343">
        <f t="shared" si="223"/>
        <v>-2</v>
      </c>
      <c r="S2033" s="240"/>
      <c r="T2033" s="201"/>
      <c r="U2033" s="201"/>
      <c r="V2033" s="201"/>
    </row>
    <row r="2034" spans="1:22" ht="15.75" x14ac:dyDescent="0.25">
      <c r="A2034" s="234" t="s">
        <v>2468</v>
      </c>
      <c r="B2034" s="235" t="s">
        <v>2469</v>
      </c>
      <c r="C2034" s="234" t="s">
        <v>248</v>
      </c>
      <c r="D2034" s="312">
        <v>2</v>
      </c>
      <c r="E2034" s="312"/>
      <c r="F2034" s="248"/>
      <c r="G2034" s="312"/>
      <c r="H2034" s="312"/>
      <c r="I2034" s="312"/>
      <c r="J2034" s="248">
        <f t="shared" si="219"/>
        <v>0</v>
      </c>
      <c r="K2034" s="330">
        <f t="shared" si="220"/>
        <v>-2</v>
      </c>
      <c r="L2034" s="313"/>
      <c r="M2034" s="228">
        <f t="shared" si="221"/>
        <v>0</v>
      </c>
      <c r="N2034" s="228">
        <f t="shared" si="217"/>
        <v>0</v>
      </c>
      <c r="O2034" s="228">
        <f t="shared" si="218"/>
        <v>0</v>
      </c>
      <c r="P2034" s="228">
        <f t="shared" si="218"/>
        <v>0</v>
      </c>
      <c r="Q2034" s="228">
        <f t="shared" si="222"/>
        <v>0</v>
      </c>
      <c r="R2034" s="343">
        <f t="shared" si="223"/>
        <v>-2</v>
      </c>
      <c r="S2034" s="240"/>
      <c r="T2034" s="201"/>
      <c r="U2034" s="201"/>
      <c r="V2034" s="201"/>
    </row>
    <row r="2035" spans="1:22" ht="15.75" x14ac:dyDescent="0.25">
      <c r="A2035" s="234" t="s">
        <v>2470</v>
      </c>
      <c r="B2035" s="235" t="s">
        <v>2471</v>
      </c>
      <c r="C2035" s="234" t="s">
        <v>1867</v>
      </c>
      <c r="D2035" s="312">
        <v>2</v>
      </c>
      <c r="E2035" s="312"/>
      <c r="F2035" s="248"/>
      <c r="G2035" s="312"/>
      <c r="H2035" s="312"/>
      <c r="I2035" s="312"/>
      <c r="J2035" s="248">
        <f t="shared" si="219"/>
        <v>0</v>
      </c>
      <c r="K2035" s="330">
        <f t="shared" si="220"/>
        <v>-2</v>
      </c>
      <c r="L2035" s="313"/>
      <c r="M2035" s="228">
        <f t="shared" si="221"/>
        <v>0</v>
      </c>
      <c r="N2035" s="228">
        <f t="shared" si="217"/>
        <v>0</v>
      </c>
      <c r="O2035" s="228">
        <f t="shared" si="218"/>
        <v>0</v>
      </c>
      <c r="P2035" s="228">
        <f t="shared" si="218"/>
        <v>0</v>
      </c>
      <c r="Q2035" s="228">
        <f t="shared" si="222"/>
        <v>0</v>
      </c>
      <c r="R2035" s="343">
        <f t="shared" si="223"/>
        <v>-2</v>
      </c>
      <c r="S2035" s="240"/>
      <c r="T2035" s="201"/>
      <c r="U2035" s="201"/>
      <c r="V2035" s="201"/>
    </row>
    <row r="2036" spans="1:22" ht="28.5" x14ac:dyDescent="0.25">
      <c r="A2036" s="230" t="s">
        <v>2472</v>
      </c>
      <c r="B2036" s="231" t="s">
        <v>2473</v>
      </c>
      <c r="C2036" s="230"/>
      <c r="D2036" s="316"/>
      <c r="E2036" s="316"/>
      <c r="F2036" s="317"/>
      <c r="G2036" s="316"/>
      <c r="H2036" s="316"/>
      <c r="I2036" s="316"/>
      <c r="J2036" s="248">
        <f t="shared" si="219"/>
        <v>0</v>
      </c>
      <c r="K2036" s="330">
        <f t="shared" si="220"/>
        <v>0</v>
      </c>
      <c r="L2036" s="318"/>
      <c r="M2036" s="228">
        <f t="shared" si="221"/>
        <v>0</v>
      </c>
      <c r="N2036" s="228">
        <f t="shared" si="217"/>
        <v>0</v>
      </c>
      <c r="O2036" s="228">
        <f t="shared" si="218"/>
        <v>0</v>
      </c>
      <c r="P2036" s="228">
        <f t="shared" si="218"/>
        <v>0</v>
      </c>
      <c r="Q2036" s="228">
        <f t="shared" si="222"/>
        <v>0</v>
      </c>
      <c r="R2036" s="343">
        <f t="shared" si="223"/>
        <v>0</v>
      </c>
      <c r="S2036" s="240"/>
      <c r="T2036" s="201"/>
      <c r="U2036" s="201"/>
      <c r="V2036" s="201"/>
    </row>
    <row r="2037" spans="1:22" ht="15.75" x14ac:dyDescent="0.25">
      <c r="A2037" s="234" t="s">
        <v>2474</v>
      </c>
      <c r="B2037" s="235" t="s">
        <v>2475</v>
      </c>
      <c r="C2037" s="234" t="s">
        <v>248</v>
      </c>
      <c r="D2037" s="312">
        <v>10</v>
      </c>
      <c r="E2037" s="312"/>
      <c r="F2037" s="248"/>
      <c r="G2037" s="312"/>
      <c r="H2037" s="312"/>
      <c r="I2037" s="312"/>
      <c r="J2037" s="248">
        <f t="shared" si="219"/>
        <v>0</v>
      </c>
      <c r="K2037" s="330">
        <f t="shared" si="220"/>
        <v>-10</v>
      </c>
      <c r="L2037" s="313"/>
      <c r="M2037" s="228">
        <f t="shared" si="221"/>
        <v>0</v>
      </c>
      <c r="N2037" s="228">
        <f t="shared" si="217"/>
        <v>0</v>
      </c>
      <c r="O2037" s="228">
        <f t="shared" si="218"/>
        <v>0</v>
      </c>
      <c r="P2037" s="228">
        <f t="shared" si="218"/>
        <v>0</v>
      </c>
      <c r="Q2037" s="228">
        <f t="shared" si="222"/>
        <v>0</v>
      </c>
      <c r="R2037" s="343">
        <f t="shared" si="223"/>
        <v>-10</v>
      </c>
      <c r="S2037" s="240"/>
      <c r="T2037" s="201"/>
      <c r="U2037" s="201"/>
      <c r="V2037" s="201"/>
    </row>
    <row r="2038" spans="1:22" ht="15.75" x14ac:dyDescent="0.25">
      <c r="A2038" s="234" t="s">
        <v>2476</v>
      </c>
      <c r="B2038" s="235" t="s">
        <v>2477</v>
      </c>
      <c r="C2038" s="234" t="s">
        <v>248</v>
      </c>
      <c r="D2038" s="312">
        <v>4</v>
      </c>
      <c r="E2038" s="312"/>
      <c r="F2038" s="248"/>
      <c r="G2038" s="312"/>
      <c r="H2038" s="312"/>
      <c r="I2038" s="312"/>
      <c r="J2038" s="248">
        <f t="shared" si="219"/>
        <v>0</v>
      </c>
      <c r="K2038" s="330">
        <f t="shared" si="220"/>
        <v>-4</v>
      </c>
      <c r="L2038" s="313"/>
      <c r="M2038" s="228">
        <f t="shared" si="221"/>
        <v>0</v>
      </c>
      <c r="N2038" s="228">
        <f t="shared" si="217"/>
        <v>0</v>
      </c>
      <c r="O2038" s="228">
        <f t="shared" si="218"/>
        <v>0</v>
      </c>
      <c r="P2038" s="228">
        <f t="shared" si="218"/>
        <v>0</v>
      </c>
      <c r="Q2038" s="228">
        <f t="shared" si="222"/>
        <v>0</v>
      </c>
      <c r="R2038" s="343">
        <f t="shared" si="223"/>
        <v>-4</v>
      </c>
      <c r="S2038" s="240"/>
      <c r="T2038" s="201"/>
      <c r="U2038" s="201"/>
      <c r="V2038" s="201"/>
    </row>
    <row r="2039" spans="1:22" ht="23.25" customHeight="1" x14ac:dyDescent="0.25">
      <c r="A2039" s="234" t="s">
        <v>2478</v>
      </c>
      <c r="B2039" s="235" t="s">
        <v>2479</v>
      </c>
      <c r="C2039" s="234" t="s">
        <v>248</v>
      </c>
      <c r="D2039" s="312">
        <v>4</v>
      </c>
      <c r="E2039" s="312"/>
      <c r="F2039" s="248"/>
      <c r="G2039" s="312"/>
      <c r="H2039" s="312"/>
      <c r="I2039" s="312"/>
      <c r="J2039" s="248">
        <f t="shared" si="219"/>
        <v>0</v>
      </c>
      <c r="K2039" s="330">
        <f t="shared" si="220"/>
        <v>-4</v>
      </c>
      <c r="L2039" s="313"/>
      <c r="M2039" s="228">
        <f t="shared" si="221"/>
        <v>0</v>
      </c>
      <c r="N2039" s="228">
        <f t="shared" si="217"/>
        <v>0</v>
      </c>
      <c r="O2039" s="228">
        <f t="shared" si="218"/>
        <v>0</v>
      </c>
      <c r="P2039" s="228">
        <f t="shared" si="218"/>
        <v>0</v>
      </c>
      <c r="Q2039" s="228">
        <f t="shared" si="222"/>
        <v>0</v>
      </c>
      <c r="R2039" s="343">
        <f t="shared" si="223"/>
        <v>-4</v>
      </c>
      <c r="S2039" s="240"/>
      <c r="T2039" s="201"/>
      <c r="U2039" s="201"/>
      <c r="V2039" s="201"/>
    </row>
    <row r="2040" spans="1:22" ht="25.5" customHeight="1" x14ac:dyDescent="0.25">
      <c r="A2040" s="234" t="s">
        <v>2480</v>
      </c>
      <c r="B2040" s="235" t="s">
        <v>2481</v>
      </c>
      <c r="C2040" s="234" t="s">
        <v>248</v>
      </c>
      <c r="D2040" s="312">
        <v>3</v>
      </c>
      <c r="E2040" s="312"/>
      <c r="F2040" s="248"/>
      <c r="G2040" s="312"/>
      <c r="H2040" s="312"/>
      <c r="I2040" s="312"/>
      <c r="J2040" s="248">
        <f t="shared" si="219"/>
        <v>0</v>
      </c>
      <c r="K2040" s="330">
        <f t="shared" si="220"/>
        <v>-3</v>
      </c>
      <c r="L2040" s="313"/>
      <c r="M2040" s="228">
        <f t="shared" si="221"/>
        <v>0</v>
      </c>
      <c r="N2040" s="228">
        <f t="shared" si="217"/>
        <v>0</v>
      </c>
      <c r="O2040" s="228">
        <f t="shared" si="218"/>
        <v>0</v>
      </c>
      <c r="P2040" s="228">
        <f t="shared" si="218"/>
        <v>0</v>
      </c>
      <c r="Q2040" s="228">
        <f t="shared" si="222"/>
        <v>0</v>
      </c>
      <c r="R2040" s="343">
        <f t="shared" si="223"/>
        <v>-3</v>
      </c>
      <c r="S2040" s="240"/>
      <c r="T2040" s="201"/>
      <c r="U2040" s="201"/>
      <c r="V2040" s="201"/>
    </row>
    <row r="2041" spans="1:22" ht="25.5" customHeight="1" x14ac:dyDescent="0.25">
      <c r="A2041" s="234" t="s">
        <v>2482</v>
      </c>
      <c r="B2041" s="235" t="s">
        <v>2483</v>
      </c>
      <c r="C2041" s="234" t="s">
        <v>248</v>
      </c>
      <c r="D2041" s="312">
        <v>1</v>
      </c>
      <c r="E2041" s="312"/>
      <c r="F2041" s="248"/>
      <c r="G2041" s="312"/>
      <c r="H2041" s="312"/>
      <c r="I2041" s="312"/>
      <c r="J2041" s="248">
        <f t="shared" si="219"/>
        <v>0</v>
      </c>
      <c r="K2041" s="330">
        <f t="shared" si="220"/>
        <v>-1</v>
      </c>
      <c r="L2041" s="313"/>
      <c r="M2041" s="228">
        <f t="shared" si="221"/>
        <v>0</v>
      </c>
      <c r="N2041" s="228">
        <f t="shared" si="217"/>
        <v>0</v>
      </c>
      <c r="O2041" s="228">
        <f t="shared" si="218"/>
        <v>0</v>
      </c>
      <c r="P2041" s="228">
        <f t="shared" si="218"/>
        <v>0</v>
      </c>
      <c r="Q2041" s="228">
        <f t="shared" si="222"/>
        <v>0</v>
      </c>
      <c r="R2041" s="343">
        <f t="shared" si="223"/>
        <v>-1</v>
      </c>
      <c r="S2041" s="240"/>
      <c r="T2041" s="201"/>
      <c r="U2041" s="201"/>
      <c r="V2041" s="201"/>
    </row>
    <row r="2042" spans="1:22" ht="15.75" x14ac:dyDescent="0.25">
      <c r="A2042" s="234" t="s">
        <v>2484</v>
      </c>
      <c r="B2042" s="235" t="s">
        <v>2485</v>
      </c>
      <c r="C2042" s="234" t="s">
        <v>248</v>
      </c>
      <c r="D2042" s="312">
        <v>1</v>
      </c>
      <c r="E2042" s="312"/>
      <c r="F2042" s="248"/>
      <c r="G2042" s="312"/>
      <c r="H2042" s="312"/>
      <c r="I2042" s="312"/>
      <c r="J2042" s="248">
        <f t="shared" si="219"/>
        <v>0</v>
      </c>
      <c r="K2042" s="330">
        <f t="shared" si="220"/>
        <v>-1</v>
      </c>
      <c r="L2042" s="313"/>
      <c r="M2042" s="228">
        <f t="shared" si="221"/>
        <v>0</v>
      </c>
      <c r="N2042" s="228">
        <f t="shared" si="217"/>
        <v>0</v>
      </c>
      <c r="O2042" s="228">
        <f t="shared" si="218"/>
        <v>0</v>
      </c>
      <c r="P2042" s="228">
        <f t="shared" si="218"/>
        <v>0</v>
      </c>
      <c r="Q2042" s="228">
        <f t="shared" si="222"/>
        <v>0</v>
      </c>
      <c r="R2042" s="343">
        <f t="shared" si="223"/>
        <v>-1</v>
      </c>
      <c r="S2042" s="240"/>
      <c r="T2042" s="201"/>
      <c r="U2042" s="201"/>
      <c r="V2042" s="201"/>
    </row>
    <row r="2043" spans="1:22" ht="15.75" x14ac:dyDescent="0.25">
      <c r="A2043" s="234" t="s">
        <v>2486</v>
      </c>
      <c r="B2043" s="235" t="s">
        <v>2487</v>
      </c>
      <c r="C2043" s="234" t="s">
        <v>248</v>
      </c>
      <c r="D2043" s="312">
        <v>1</v>
      </c>
      <c r="E2043" s="312"/>
      <c r="F2043" s="248"/>
      <c r="G2043" s="312"/>
      <c r="H2043" s="312"/>
      <c r="I2043" s="312"/>
      <c r="J2043" s="248">
        <f t="shared" si="219"/>
        <v>0</v>
      </c>
      <c r="K2043" s="330">
        <f t="shared" si="220"/>
        <v>-1</v>
      </c>
      <c r="L2043" s="313"/>
      <c r="M2043" s="228">
        <f t="shared" si="221"/>
        <v>0</v>
      </c>
      <c r="N2043" s="228">
        <f t="shared" si="217"/>
        <v>0</v>
      </c>
      <c r="O2043" s="228">
        <f t="shared" si="218"/>
        <v>0</v>
      </c>
      <c r="P2043" s="228">
        <f t="shared" si="218"/>
        <v>0</v>
      </c>
      <c r="Q2043" s="228">
        <f t="shared" si="222"/>
        <v>0</v>
      </c>
      <c r="R2043" s="343">
        <f t="shared" si="223"/>
        <v>-1</v>
      </c>
      <c r="S2043" s="240"/>
      <c r="T2043" s="201"/>
      <c r="U2043" s="201"/>
      <c r="V2043" s="201"/>
    </row>
    <row r="2044" spans="1:22" ht="23.25" customHeight="1" x14ac:dyDescent="0.25">
      <c r="A2044" s="234" t="s">
        <v>2488</v>
      </c>
      <c r="B2044" s="235" t="s">
        <v>2489</v>
      </c>
      <c r="C2044" s="234" t="s">
        <v>248</v>
      </c>
      <c r="D2044" s="312">
        <v>1</v>
      </c>
      <c r="E2044" s="312"/>
      <c r="F2044" s="248"/>
      <c r="G2044" s="312"/>
      <c r="H2044" s="312"/>
      <c r="I2044" s="312"/>
      <c r="J2044" s="248">
        <f t="shared" si="219"/>
        <v>0</v>
      </c>
      <c r="K2044" s="330">
        <f t="shared" si="220"/>
        <v>-1</v>
      </c>
      <c r="L2044" s="313"/>
      <c r="M2044" s="228">
        <f t="shared" si="221"/>
        <v>0</v>
      </c>
      <c r="N2044" s="228">
        <f t="shared" si="217"/>
        <v>0</v>
      </c>
      <c r="O2044" s="228">
        <f t="shared" si="218"/>
        <v>0</v>
      </c>
      <c r="P2044" s="228">
        <f t="shared" si="218"/>
        <v>0</v>
      </c>
      <c r="Q2044" s="228">
        <f t="shared" si="222"/>
        <v>0</v>
      </c>
      <c r="R2044" s="343">
        <f t="shared" si="223"/>
        <v>-1</v>
      </c>
      <c r="S2044" s="240"/>
      <c r="T2044" s="201"/>
      <c r="U2044" s="201"/>
      <c r="V2044" s="201"/>
    </row>
    <row r="2045" spans="1:22" ht="25.5" customHeight="1" x14ac:dyDescent="0.25">
      <c r="A2045" s="234" t="s">
        <v>2490</v>
      </c>
      <c r="B2045" s="235" t="s">
        <v>2491</v>
      </c>
      <c r="C2045" s="234" t="s">
        <v>248</v>
      </c>
      <c r="D2045" s="312">
        <v>1</v>
      </c>
      <c r="E2045" s="312"/>
      <c r="F2045" s="248"/>
      <c r="G2045" s="312"/>
      <c r="H2045" s="312"/>
      <c r="I2045" s="312"/>
      <c r="J2045" s="248">
        <f t="shared" si="219"/>
        <v>0</v>
      </c>
      <c r="K2045" s="330">
        <f t="shared" si="220"/>
        <v>-1</v>
      </c>
      <c r="L2045" s="313"/>
      <c r="M2045" s="228">
        <f t="shared" si="221"/>
        <v>0</v>
      </c>
      <c r="N2045" s="228">
        <f t="shared" si="217"/>
        <v>0</v>
      </c>
      <c r="O2045" s="228">
        <f t="shared" si="218"/>
        <v>0</v>
      </c>
      <c r="P2045" s="228">
        <f t="shared" si="218"/>
        <v>0</v>
      </c>
      <c r="Q2045" s="228">
        <f t="shared" si="222"/>
        <v>0</v>
      </c>
      <c r="R2045" s="343">
        <f t="shared" si="223"/>
        <v>-1</v>
      </c>
      <c r="S2045" s="240"/>
      <c r="T2045" s="201"/>
      <c r="U2045" s="201"/>
      <c r="V2045" s="201"/>
    </row>
    <row r="2046" spans="1:22" ht="23.25" customHeight="1" x14ac:dyDescent="0.25">
      <c r="A2046" s="234" t="s">
        <v>2492</v>
      </c>
      <c r="B2046" s="235" t="s">
        <v>2493</v>
      </c>
      <c r="C2046" s="234" t="s">
        <v>248</v>
      </c>
      <c r="D2046" s="312">
        <v>4</v>
      </c>
      <c r="E2046" s="312"/>
      <c r="F2046" s="248"/>
      <c r="G2046" s="312"/>
      <c r="H2046" s="312"/>
      <c r="I2046" s="312"/>
      <c r="J2046" s="248">
        <f t="shared" si="219"/>
        <v>0</v>
      </c>
      <c r="K2046" s="330">
        <f t="shared" si="220"/>
        <v>-4</v>
      </c>
      <c r="L2046" s="313"/>
      <c r="M2046" s="228">
        <f t="shared" si="221"/>
        <v>0</v>
      </c>
      <c r="N2046" s="228">
        <f t="shared" si="217"/>
        <v>0</v>
      </c>
      <c r="O2046" s="228">
        <f t="shared" si="218"/>
        <v>0</v>
      </c>
      <c r="P2046" s="228">
        <f t="shared" si="218"/>
        <v>0</v>
      </c>
      <c r="Q2046" s="228">
        <f t="shared" si="222"/>
        <v>0</v>
      </c>
      <c r="R2046" s="343">
        <f t="shared" si="223"/>
        <v>-4</v>
      </c>
      <c r="S2046" s="240"/>
      <c r="T2046" s="201"/>
      <c r="U2046" s="201"/>
      <c r="V2046" s="201"/>
    </row>
    <row r="2047" spans="1:22" ht="23.25" customHeight="1" x14ac:dyDescent="0.25">
      <c r="A2047" s="234" t="s">
        <v>2494</v>
      </c>
      <c r="B2047" s="235" t="s">
        <v>2495</v>
      </c>
      <c r="C2047" s="234" t="s">
        <v>248</v>
      </c>
      <c r="D2047" s="312">
        <v>1</v>
      </c>
      <c r="E2047" s="312"/>
      <c r="F2047" s="248"/>
      <c r="G2047" s="312"/>
      <c r="H2047" s="312"/>
      <c r="I2047" s="312"/>
      <c r="J2047" s="248">
        <f t="shared" si="219"/>
        <v>0</v>
      </c>
      <c r="K2047" s="330">
        <f t="shared" si="220"/>
        <v>-1</v>
      </c>
      <c r="L2047" s="313"/>
      <c r="M2047" s="228">
        <f t="shared" si="221"/>
        <v>0</v>
      </c>
      <c r="N2047" s="228">
        <f t="shared" ref="N2047:N2110" si="224">G2047</f>
        <v>0</v>
      </c>
      <c r="O2047" s="228">
        <f t="shared" ref="O2047:P2110" si="225">H2047</f>
        <v>0</v>
      </c>
      <c r="P2047" s="228">
        <f t="shared" si="225"/>
        <v>0</v>
      </c>
      <c r="Q2047" s="228">
        <f t="shared" si="222"/>
        <v>0</v>
      </c>
      <c r="R2047" s="343">
        <f t="shared" si="223"/>
        <v>-1</v>
      </c>
      <c r="S2047" s="240"/>
      <c r="T2047" s="201"/>
      <c r="U2047" s="201"/>
      <c r="V2047" s="201"/>
    </row>
    <row r="2048" spans="1:22" ht="23.25" customHeight="1" x14ac:dyDescent="0.25">
      <c r="A2048" s="234" t="s">
        <v>2496</v>
      </c>
      <c r="B2048" s="235" t="s">
        <v>2497</v>
      </c>
      <c r="C2048" s="234" t="s">
        <v>248</v>
      </c>
      <c r="D2048" s="312">
        <v>3</v>
      </c>
      <c r="E2048" s="312"/>
      <c r="F2048" s="248"/>
      <c r="G2048" s="312"/>
      <c r="H2048" s="312"/>
      <c r="I2048" s="312"/>
      <c r="J2048" s="248">
        <f t="shared" si="219"/>
        <v>0</v>
      </c>
      <c r="K2048" s="330">
        <f t="shared" si="220"/>
        <v>-3</v>
      </c>
      <c r="L2048" s="313"/>
      <c r="M2048" s="228">
        <f t="shared" si="221"/>
        <v>0</v>
      </c>
      <c r="N2048" s="228">
        <f t="shared" si="224"/>
        <v>0</v>
      </c>
      <c r="O2048" s="228">
        <f t="shared" si="225"/>
        <v>0</v>
      </c>
      <c r="P2048" s="228">
        <f t="shared" si="225"/>
        <v>0</v>
      </c>
      <c r="Q2048" s="228">
        <f t="shared" si="222"/>
        <v>0</v>
      </c>
      <c r="R2048" s="343">
        <f t="shared" si="223"/>
        <v>-3</v>
      </c>
      <c r="S2048" s="240"/>
      <c r="T2048" s="201"/>
      <c r="U2048" s="201"/>
      <c r="V2048" s="201"/>
    </row>
    <row r="2049" spans="1:22" ht="28.5" x14ac:dyDescent="0.25">
      <c r="A2049" s="230" t="s">
        <v>2498</v>
      </c>
      <c r="B2049" s="231" t="s">
        <v>2499</v>
      </c>
      <c r="C2049" s="230"/>
      <c r="D2049" s="316"/>
      <c r="E2049" s="316"/>
      <c r="F2049" s="317"/>
      <c r="G2049" s="316"/>
      <c r="H2049" s="316"/>
      <c r="I2049" s="316"/>
      <c r="J2049" s="248">
        <f t="shared" si="219"/>
        <v>0</v>
      </c>
      <c r="K2049" s="330">
        <f t="shared" si="220"/>
        <v>0</v>
      </c>
      <c r="L2049" s="318"/>
      <c r="M2049" s="228">
        <f t="shared" si="221"/>
        <v>0</v>
      </c>
      <c r="N2049" s="228">
        <f t="shared" si="224"/>
        <v>0</v>
      </c>
      <c r="O2049" s="228">
        <f t="shared" si="225"/>
        <v>0</v>
      </c>
      <c r="P2049" s="228">
        <f t="shared" si="225"/>
        <v>0</v>
      </c>
      <c r="Q2049" s="228">
        <f t="shared" si="222"/>
        <v>0</v>
      </c>
      <c r="R2049" s="343">
        <f t="shared" si="223"/>
        <v>0</v>
      </c>
      <c r="S2049" s="240"/>
      <c r="T2049" s="201"/>
      <c r="U2049" s="201"/>
      <c r="V2049" s="201"/>
    </row>
    <row r="2050" spans="1:22" ht="15.75" x14ac:dyDescent="0.25">
      <c r="A2050" s="234" t="s">
        <v>2500</v>
      </c>
      <c r="B2050" s="235" t="s">
        <v>2501</v>
      </c>
      <c r="C2050" s="234" t="s">
        <v>2502</v>
      </c>
      <c r="D2050" s="312">
        <v>1</v>
      </c>
      <c r="E2050" s="312"/>
      <c r="F2050" s="248"/>
      <c r="G2050" s="312"/>
      <c r="H2050" s="312"/>
      <c r="I2050" s="312"/>
      <c r="J2050" s="248">
        <f t="shared" si="219"/>
        <v>0</v>
      </c>
      <c r="K2050" s="330">
        <f t="shared" si="220"/>
        <v>-1</v>
      </c>
      <c r="L2050" s="313"/>
      <c r="M2050" s="228">
        <f t="shared" si="221"/>
        <v>0</v>
      </c>
      <c r="N2050" s="228">
        <f t="shared" si="224"/>
        <v>0</v>
      </c>
      <c r="O2050" s="228">
        <f t="shared" si="225"/>
        <v>0</v>
      </c>
      <c r="P2050" s="228">
        <f t="shared" si="225"/>
        <v>0</v>
      </c>
      <c r="Q2050" s="228">
        <f t="shared" si="222"/>
        <v>0</v>
      </c>
      <c r="R2050" s="343">
        <f t="shared" si="223"/>
        <v>-1</v>
      </c>
      <c r="S2050" s="240"/>
      <c r="T2050" s="201"/>
      <c r="U2050" s="201"/>
      <c r="V2050" s="201"/>
    </row>
    <row r="2051" spans="1:22" ht="30" x14ac:dyDescent="0.25">
      <c r="A2051" s="234" t="s">
        <v>2503</v>
      </c>
      <c r="B2051" s="235" t="s">
        <v>2504</v>
      </c>
      <c r="C2051" s="234" t="s">
        <v>248</v>
      </c>
      <c r="D2051" s="312">
        <v>2</v>
      </c>
      <c r="E2051" s="312"/>
      <c r="F2051" s="248"/>
      <c r="G2051" s="312"/>
      <c r="H2051" s="312"/>
      <c r="I2051" s="312"/>
      <c r="J2051" s="248">
        <f t="shared" si="219"/>
        <v>0</v>
      </c>
      <c r="K2051" s="330">
        <f t="shared" si="220"/>
        <v>-2</v>
      </c>
      <c r="L2051" s="313"/>
      <c r="M2051" s="228">
        <f t="shared" si="221"/>
        <v>0</v>
      </c>
      <c r="N2051" s="228">
        <f t="shared" si="224"/>
        <v>0</v>
      </c>
      <c r="O2051" s="228">
        <f t="shared" si="225"/>
        <v>0</v>
      </c>
      <c r="P2051" s="228">
        <f t="shared" si="225"/>
        <v>0</v>
      </c>
      <c r="Q2051" s="228">
        <f t="shared" si="222"/>
        <v>0</v>
      </c>
      <c r="R2051" s="343">
        <f t="shared" si="223"/>
        <v>-2</v>
      </c>
      <c r="S2051" s="240"/>
      <c r="T2051" s="201"/>
      <c r="U2051" s="201"/>
      <c r="V2051" s="201"/>
    </row>
    <row r="2052" spans="1:22" ht="15.75" x14ac:dyDescent="0.25">
      <c r="A2052" s="230" t="s">
        <v>2505</v>
      </c>
      <c r="B2052" s="231" t="s">
        <v>2506</v>
      </c>
      <c r="C2052" s="230"/>
      <c r="D2052" s="316"/>
      <c r="E2052" s="316"/>
      <c r="F2052" s="317"/>
      <c r="G2052" s="316"/>
      <c r="H2052" s="316"/>
      <c r="I2052" s="316"/>
      <c r="J2052" s="248">
        <f t="shared" si="219"/>
        <v>0</v>
      </c>
      <c r="K2052" s="330">
        <f t="shared" si="220"/>
        <v>0</v>
      </c>
      <c r="L2052" s="318"/>
      <c r="M2052" s="228">
        <f t="shared" si="221"/>
        <v>0</v>
      </c>
      <c r="N2052" s="228">
        <f t="shared" si="224"/>
        <v>0</v>
      </c>
      <c r="O2052" s="228">
        <f t="shared" si="225"/>
        <v>0</v>
      </c>
      <c r="P2052" s="228">
        <f t="shared" si="225"/>
        <v>0</v>
      </c>
      <c r="Q2052" s="228">
        <f t="shared" si="222"/>
        <v>0</v>
      </c>
      <c r="R2052" s="343">
        <f t="shared" si="223"/>
        <v>0</v>
      </c>
      <c r="S2052" s="240"/>
      <c r="T2052" s="201"/>
      <c r="U2052" s="201"/>
      <c r="V2052" s="201"/>
    </row>
    <row r="2053" spans="1:22" ht="30" x14ac:dyDescent="0.25">
      <c r="A2053" s="234" t="s">
        <v>2507</v>
      </c>
      <c r="B2053" s="235" t="s">
        <v>2508</v>
      </c>
      <c r="C2053" s="234" t="s">
        <v>248</v>
      </c>
      <c r="D2053" s="312">
        <v>20</v>
      </c>
      <c r="E2053" s="312"/>
      <c r="F2053" s="248"/>
      <c r="G2053" s="312"/>
      <c r="H2053" s="312"/>
      <c r="I2053" s="312"/>
      <c r="J2053" s="248">
        <f t="shared" si="219"/>
        <v>0</v>
      </c>
      <c r="K2053" s="330">
        <f t="shared" si="220"/>
        <v>-20</v>
      </c>
      <c r="L2053" s="313"/>
      <c r="M2053" s="228">
        <f t="shared" si="221"/>
        <v>0</v>
      </c>
      <c r="N2053" s="228">
        <f t="shared" si="224"/>
        <v>0</v>
      </c>
      <c r="O2053" s="228">
        <f t="shared" si="225"/>
        <v>0</v>
      </c>
      <c r="P2053" s="228">
        <f t="shared" si="225"/>
        <v>0</v>
      </c>
      <c r="Q2053" s="228">
        <f t="shared" si="222"/>
        <v>0</v>
      </c>
      <c r="R2053" s="343">
        <f t="shared" si="223"/>
        <v>-20</v>
      </c>
      <c r="S2053" s="240"/>
      <c r="T2053" s="201"/>
      <c r="U2053" s="201"/>
      <c r="V2053" s="201"/>
    </row>
    <row r="2054" spans="1:22" ht="30" x14ac:dyDescent="0.25">
      <c r="A2054" s="234" t="s">
        <v>2509</v>
      </c>
      <c r="B2054" s="235" t="s">
        <v>2510</v>
      </c>
      <c r="C2054" s="234" t="s">
        <v>248</v>
      </c>
      <c r="D2054" s="312">
        <v>16</v>
      </c>
      <c r="E2054" s="312"/>
      <c r="F2054" s="248"/>
      <c r="G2054" s="312"/>
      <c r="H2054" s="312"/>
      <c r="I2054" s="312"/>
      <c r="J2054" s="248">
        <f t="shared" si="219"/>
        <v>0</v>
      </c>
      <c r="K2054" s="330">
        <f t="shared" si="220"/>
        <v>-16</v>
      </c>
      <c r="L2054" s="313"/>
      <c r="M2054" s="228">
        <f t="shared" si="221"/>
        <v>0</v>
      </c>
      <c r="N2054" s="228">
        <f t="shared" si="224"/>
        <v>0</v>
      </c>
      <c r="O2054" s="228">
        <f t="shared" si="225"/>
        <v>0</v>
      </c>
      <c r="P2054" s="228">
        <f t="shared" si="225"/>
        <v>0</v>
      </c>
      <c r="Q2054" s="228">
        <f t="shared" si="222"/>
        <v>0</v>
      </c>
      <c r="R2054" s="343">
        <f t="shared" si="223"/>
        <v>-16</v>
      </c>
      <c r="S2054" s="240"/>
      <c r="T2054" s="201"/>
      <c r="U2054" s="201"/>
      <c r="V2054" s="201"/>
    </row>
    <row r="2055" spans="1:22" ht="15.75" x14ac:dyDescent="0.25">
      <c r="A2055" s="234" t="s">
        <v>2511</v>
      </c>
      <c r="B2055" s="235" t="s">
        <v>2512</v>
      </c>
      <c r="C2055" s="234" t="s">
        <v>248</v>
      </c>
      <c r="D2055" s="312">
        <v>1</v>
      </c>
      <c r="E2055" s="312"/>
      <c r="F2055" s="248"/>
      <c r="G2055" s="312"/>
      <c r="H2055" s="312"/>
      <c r="I2055" s="312"/>
      <c r="J2055" s="248">
        <f t="shared" si="219"/>
        <v>0</v>
      </c>
      <c r="K2055" s="330">
        <f t="shared" si="220"/>
        <v>-1</v>
      </c>
      <c r="L2055" s="313"/>
      <c r="M2055" s="228">
        <f t="shared" si="221"/>
        <v>0</v>
      </c>
      <c r="N2055" s="228">
        <f t="shared" si="224"/>
        <v>0</v>
      </c>
      <c r="O2055" s="228">
        <f t="shared" si="225"/>
        <v>0</v>
      </c>
      <c r="P2055" s="228">
        <f t="shared" si="225"/>
        <v>0</v>
      </c>
      <c r="Q2055" s="228">
        <f t="shared" si="222"/>
        <v>0</v>
      </c>
      <c r="R2055" s="343">
        <f t="shared" si="223"/>
        <v>-1</v>
      </c>
      <c r="S2055" s="240"/>
      <c r="T2055" s="201"/>
      <c r="U2055" s="201"/>
      <c r="V2055" s="201"/>
    </row>
    <row r="2056" spans="1:22" ht="15.75" x14ac:dyDescent="0.25">
      <c r="A2056" s="234" t="s">
        <v>2513</v>
      </c>
      <c r="B2056" s="235" t="s">
        <v>2514</v>
      </c>
      <c r="C2056" s="234" t="s">
        <v>248</v>
      </c>
      <c r="D2056" s="312">
        <v>1</v>
      </c>
      <c r="E2056" s="312"/>
      <c r="F2056" s="248"/>
      <c r="G2056" s="312"/>
      <c r="H2056" s="312"/>
      <c r="I2056" s="312"/>
      <c r="J2056" s="248">
        <f t="shared" si="219"/>
        <v>0</v>
      </c>
      <c r="K2056" s="330">
        <f t="shared" si="220"/>
        <v>-1</v>
      </c>
      <c r="L2056" s="313"/>
      <c r="M2056" s="228">
        <f t="shared" si="221"/>
        <v>0</v>
      </c>
      <c r="N2056" s="228">
        <f t="shared" si="224"/>
        <v>0</v>
      </c>
      <c r="O2056" s="228">
        <f t="shared" si="225"/>
        <v>0</v>
      </c>
      <c r="P2056" s="228">
        <f t="shared" si="225"/>
        <v>0</v>
      </c>
      <c r="Q2056" s="228">
        <f t="shared" si="222"/>
        <v>0</v>
      </c>
      <c r="R2056" s="343">
        <f t="shared" si="223"/>
        <v>-1</v>
      </c>
      <c r="S2056" s="240"/>
      <c r="T2056" s="201"/>
      <c r="U2056" s="201"/>
      <c r="V2056" s="201"/>
    </row>
    <row r="2057" spans="1:22" ht="15.75" x14ac:dyDescent="0.25">
      <c r="A2057" s="234" t="s">
        <v>2515</v>
      </c>
      <c r="B2057" s="235" t="s">
        <v>2516</v>
      </c>
      <c r="C2057" s="234" t="s">
        <v>248</v>
      </c>
      <c r="D2057" s="312">
        <v>2</v>
      </c>
      <c r="E2057" s="312"/>
      <c r="F2057" s="248"/>
      <c r="G2057" s="312"/>
      <c r="H2057" s="312"/>
      <c r="I2057" s="312"/>
      <c r="J2057" s="248">
        <f t="shared" si="219"/>
        <v>0</v>
      </c>
      <c r="K2057" s="330">
        <f t="shared" si="220"/>
        <v>-2</v>
      </c>
      <c r="L2057" s="313"/>
      <c r="M2057" s="228">
        <f t="shared" si="221"/>
        <v>0</v>
      </c>
      <c r="N2057" s="228">
        <f t="shared" si="224"/>
        <v>0</v>
      </c>
      <c r="O2057" s="228">
        <f t="shared" si="225"/>
        <v>0</v>
      </c>
      <c r="P2057" s="228">
        <f t="shared" si="225"/>
        <v>0</v>
      </c>
      <c r="Q2057" s="228">
        <f t="shared" si="222"/>
        <v>0</v>
      </c>
      <c r="R2057" s="343">
        <f t="shared" si="223"/>
        <v>-2</v>
      </c>
      <c r="S2057" s="240"/>
      <c r="T2057" s="201"/>
      <c r="U2057" s="201"/>
      <c r="V2057" s="201"/>
    </row>
    <row r="2058" spans="1:22" ht="15.75" x14ac:dyDescent="0.25">
      <c r="A2058" s="234" t="s">
        <v>2517</v>
      </c>
      <c r="B2058" s="235" t="s">
        <v>2518</v>
      </c>
      <c r="C2058" s="234" t="s">
        <v>2519</v>
      </c>
      <c r="D2058" s="312">
        <v>10</v>
      </c>
      <c r="E2058" s="312"/>
      <c r="F2058" s="248"/>
      <c r="G2058" s="312"/>
      <c r="H2058" s="312"/>
      <c r="I2058" s="312"/>
      <c r="J2058" s="248">
        <f t="shared" si="219"/>
        <v>0</v>
      </c>
      <c r="K2058" s="330">
        <f t="shared" si="220"/>
        <v>-10</v>
      </c>
      <c r="L2058" s="313"/>
      <c r="M2058" s="228">
        <f t="shared" si="221"/>
        <v>0</v>
      </c>
      <c r="N2058" s="228">
        <f t="shared" si="224"/>
        <v>0</v>
      </c>
      <c r="O2058" s="228">
        <f t="shared" si="225"/>
        <v>0</v>
      </c>
      <c r="P2058" s="228">
        <f t="shared" si="225"/>
        <v>0</v>
      </c>
      <c r="Q2058" s="228">
        <f t="shared" si="222"/>
        <v>0</v>
      </c>
      <c r="R2058" s="343">
        <f t="shared" si="223"/>
        <v>-10</v>
      </c>
      <c r="S2058" s="240"/>
      <c r="T2058" s="201"/>
      <c r="U2058" s="201"/>
      <c r="V2058" s="201"/>
    </row>
    <row r="2059" spans="1:22" ht="15.75" x14ac:dyDescent="0.25">
      <c r="A2059" s="234" t="s">
        <v>2520</v>
      </c>
      <c r="B2059" s="235" t="s">
        <v>2521</v>
      </c>
      <c r="C2059" s="234" t="s">
        <v>248</v>
      </c>
      <c r="D2059" s="312">
        <v>1</v>
      </c>
      <c r="E2059" s="312"/>
      <c r="F2059" s="248"/>
      <c r="G2059" s="312"/>
      <c r="H2059" s="312"/>
      <c r="I2059" s="312"/>
      <c r="J2059" s="248">
        <f t="shared" si="219"/>
        <v>0</v>
      </c>
      <c r="K2059" s="330">
        <f t="shared" si="220"/>
        <v>-1</v>
      </c>
      <c r="L2059" s="313"/>
      <c r="M2059" s="228">
        <f t="shared" si="221"/>
        <v>0</v>
      </c>
      <c r="N2059" s="228">
        <f t="shared" si="224"/>
        <v>0</v>
      </c>
      <c r="O2059" s="228">
        <f t="shared" si="225"/>
        <v>0</v>
      </c>
      <c r="P2059" s="228">
        <f t="shared" si="225"/>
        <v>0</v>
      </c>
      <c r="Q2059" s="228">
        <f t="shared" si="222"/>
        <v>0</v>
      </c>
      <c r="R2059" s="343">
        <f t="shared" si="223"/>
        <v>-1</v>
      </c>
      <c r="S2059" s="240"/>
      <c r="T2059" s="201"/>
      <c r="U2059" s="201"/>
      <c r="V2059" s="201"/>
    </row>
    <row r="2060" spans="1:22" ht="15.75" x14ac:dyDescent="0.25">
      <c r="A2060" s="234" t="s">
        <v>2522</v>
      </c>
      <c r="B2060" s="235" t="s">
        <v>2523</v>
      </c>
      <c r="C2060" s="234" t="s">
        <v>248</v>
      </c>
      <c r="D2060" s="312">
        <v>1</v>
      </c>
      <c r="E2060" s="312"/>
      <c r="F2060" s="248"/>
      <c r="G2060" s="312"/>
      <c r="H2060" s="312"/>
      <c r="I2060" s="312"/>
      <c r="J2060" s="248">
        <f t="shared" si="219"/>
        <v>0</v>
      </c>
      <c r="K2060" s="330">
        <f t="shared" si="220"/>
        <v>-1</v>
      </c>
      <c r="L2060" s="313"/>
      <c r="M2060" s="228">
        <f t="shared" si="221"/>
        <v>0</v>
      </c>
      <c r="N2060" s="228">
        <f t="shared" si="224"/>
        <v>0</v>
      </c>
      <c r="O2060" s="228">
        <f t="shared" si="225"/>
        <v>0</v>
      </c>
      <c r="P2060" s="228">
        <f t="shared" si="225"/>
        <v>0</v>
      </c>
      <c r="Q2060" s="228">
        <f t="shared" si="222"/>
        <v>0</v>
      </c>
      <c r="R2060" s="343">
        <f t="shared" si="223"/>
        <v>-1</v>
      </c>
      <c r="S2060" s="240"/>
      <c r="T2060" s="201"/>
      <c r="U2060" s="201"/>
      <c r="V2060" s="201"/>
    </row>
    <row r="2061" spans="1:22" ht="15.75" x14ac:dyDescent="0.25">
      <c r="A2061" s="234" t="s">
        <v>2524</v>
      </c>
      <c r="B2061" s="235" t="s">
        <v>2525</v>
      </c>
      <c r="C2061" s="234" t="s">
        <v>1867</v>
      </c>
      <c r="D2061" s="312">
        <v>160</v>
      </c>
      <c r="E2061" s="312"/>
      <c r="F2061" s="248"/>
      <c r="G2061" s="312"/>
      <c r="H2061" s="312"/>
      <c r="I2061" s="312"/>
      <c r="J2061" s="248">
        <f t="shared" si="219"/>
        <v>0</v>
      </c>
      <c r="K2061" s="330">
        <f t="shared" si="220"/>
        <v>-160</v>
      </c>
      <c r="L2061" s="313"/>
      <c r="M2061" s="228">
        <f t="shared" si="221"/>
        <v>0</v>
      </c>
      <c r="N2061" s="228">
        <f t="shared" si="224"/>
        <v>0</v>
      </c>
      <c r="O2061" s="228">
        <f t="shared" si="225"/>
        <v>0</v>
      </c>
      <c r="P2061" s="228">
        <f t="shared" si="225"/>
        <v>0</v>
      </c>
      <c r="Q2061" s="228">
        <f t="shared" si="222"/>
        <v>0</v>
      </c>
      <c r="R2061" s="343">
        <f t="shared" si="223"/>
        <v>-160</v>
      </c>
      <c r="S2061" s="240"/>
      <c r="T2061" s="201"/>
      <c r="U2061" s="201"/>
      <c r="V2061" s="201"/>
    </row>
    <row r="2062" spans="1:22" ht="15.75" x14ac:dyDescent="0.25">
      <c r="A2062" s="230" t="s">
        <v>2526</v>
      </c>
      <c r="B2062" s="231" t="s">
        <v>2527</v>
      </c>
      <c r="C2062" s="230"/>
      <c r="D2062" s="316"/>
      <c r="E2062" s="316"/>
      <c r="F2062" s="317"/>
      <c r="G2062" s="316"/>
      <c r="H2062" s="316"/>
      <c r="I2062" s="316"/>
      <c r="J2062" s="248">
        <f t="shared" si="219"/>
        <v>0</v>
      </c>
      <c r="K2062" s="330">
        <f t="shared" si="220"/>
        <v>0</v>
      </c>
      <c r="L2062" s="318"/>
      <c r="M2062" s="228">
        <f t="shared" si="221"/>
        <v>0</v>
      </c>
      <c r="N2062" s="228">
        <f t="shared" si="224"/>
        <v>0</v>
      </c>
      <c r="O2062" s="228">
        <f t="shared" si="225"/>
        <v>0</v>
      </c>
      <c r="P2062" s="228">
        <f t="shared" si="225"/>
        <v>0</v>
      </c>
      <c r="Q2062" s="228">
        <f t="shared" si="222"/>
        <v>0</v>
      </c>
      <c r="R2062" s="343">
        <f t="shared" si="223"/>
        <v>0</v>
      </c>
      <c r="S2062" s="240"/>
      <c r="T2062" s="201"/>
      <c r="U2062" s="201"/>
      <c r="V2062" s="201"/>
    </row>
    <row r="2063" spans="1:22" ht="45" x14ac:dyDescent="0.25">
      <c r="A2063" s="234" t="s">
        <v>2528</v>
      </c>
      <c r="B2063" s="235" t="s">
        <v>2529</v>
      </c>
      <c r="C2063" s="234" t="s">
        <v>248</v>
      </c>
      <c r="D2063" s="312">
        <v>3</v>
      </c>
      <c r="E2063" s="312"/>
      <c r="F2063" s="248"/>
      <c r="G2063" s="312"/>
      <c r="H2063" s="312"/>
      <c r="I2063" s="312"/>
      <c r="J2063" s="248">
        <f t="shared" si="219"/>
        <v>0</v>
      </c>
      <c r="K2063" s="330">
        <f t="shared" si="220"/>
        <v>-3</v>
      </c>
      <c r="L2063" s="313"/>
      <c r="M2063" s="228">
        <f t="shared" si="221"/>
        <v>0</v>
      </c>
      <c r="N2063" s="228">
        <f t="shared" si="224"/>
        <v>0</v>
      </c>
      <c r="O2063" s="228">
        <f t="shared" si="225"/>
        <v>0</v>
      </c>
      <c r="P2063" s="228">
        <f t="shared" si="225"/>
        <v>0</v>
      </c>
      <c r="Q2063" s="228">
        <f t="shared" si="222"/>
        <v>0</v>
      </c>
      <c r="R2063" s="343">
        <f t="shared" si="223"/>
        <v>-3</v>
      </c>
      <c r="S2063" s="240"/>
      <c r="T2063" s="201"/>
      <c r="U2063" s="201"/>
      <c r="V2063" s="201"/>
    </row>
    <row r="2064" spans="1:22" ht="30" x14ac:dyDescent="0.25">
      <c r="A2064" s="234" t="s">
        <v>2530</v>
      </c>
      <c r="B2064" s="235" t="s">
        <v>2531</v>
      </c>
      <c r="C2064" s="234" t="s">
        <v>2532</v>
      </c>
      <c r="D2064" s="312">
        <v>1</v>
      </c>
      <c r="E2064" s="312"/>
      <c r="F2064" s="248"/>
      <c r="G2064" s="312"/>
      <c r="H2064" s="312"/>
      <c r="I2064" s="312"/>
      <c r="J2064" s="248">
        <f t="shared" si="219"/>
        <v>0</v>
      </c>
      <c r="K2064" s="330">
        <f t="shared" si="220"/>
        <v>-1</v>
      </c>
      <c r="L2064" s="313"/>
      <c r="M2064" s="228">
        <f t="shared" si="221"/>
        <v>0</v>
      </c>
      <c r="N2064" s="228">
        <f t="shared" si="224"/>
        <v>0</v>
      </c>
      <c r="O2064" s="228">
        <f t="shared" si="225"/>
        <v>0</v>
      </c>
      <c r="P2064" s="228">
        <f t="shared" si="225"/>
        <v>0</v>
      </c>
      <c r="Q2064" s="228">
        <f t="shared" si="222"/>
        <v>0</v>
      </c>
      <c r="R2064" s="343">
        <f t="shared" si="223"/>
        <v>-1</v>
      </c>
      <c r="S2064" s="240"/>
      <c r="T2064" s="201"/>
      <c r="U2064" s="201"/>
      <c r="V2064" s="201"/>
    </row>
    <row r="2065" spans="1:22" ht="30" x14ac:dyDescent="0.25">
      <c r="A2065" s="234" t="s">
        <v>2533</v>
      </c>
      <c r="B2065" s="235" t="s">
        <v>2534</v>
      </c>
      <c r="C2065" s="234" t="s">
        <v>2535</v>
      </c>
      <c r="D2065" s="312">
        <v>24</v>
      </c>
      <c r="E2065" s="312"/>
      <c r="F2065" s="248"/>
      <c r="G2065" s="312"/>
      <c r="H2065" s="312"/>
      <c r="I2065" s="312"/>
      <c r="J2065" s="248">
        <f t="shared" si="219"/>
        <v>0</v>
      </c>
      <c r="K2065" s="330">
        <f t="shared" si="220"/>
        <v>-24</v>
      </c>
      <c r="L2065" s="313"/>
      <c r="M2065" s="228">
        <f t="shared" si="221"/>
        <v>0</v>
      </c>
      <c r="N2065" s="228">
        <f t="shared" si="224"/>
        <v>0</v>
      </c>
      <c r="O2065" s="228">
        <f t="shared" si="225"/>
        <v>0</v>
      </c>
      <c r="P2065" s="228">
        <f t="shared" si="225"/>
        <v>0</v>
      </c>
      <c r="Q2065" s="228">
        <f t="shared" si="222"/>
        <v>0</v>
      </c>
      <c r="R2065" s="343">
        <f t="shared" si="223"/>
        <v>-24</v>
      </c>
      <c r="S2065" s="240"/>
      <c r="T2065" s="201"/>
      <c r="U2065" s="201"/>
      <c r="V2065" s="201"/>
    </row>
    <row r="2066" spans="1:22" ht="15.75" x14ac:dyDescent="0.25">
      <c r="A2066" s="234" t="s">
        <v>2536</v>
      </c>
      <c r="B2066" s="235" t="s">
        <v>2537</v>
      </c>
      <c r="C2066" s="234" t="s">
        <v>2532</v>
      </c>
      <c r="D2066" s="312">
        <v>1</v>
      </c>
      <c r="E2066" s="312"/>
      <c r="F2066" s="248"/>
      <c r="G2066" s="312"/>
      <c r="H2066" s="312"/>
      <c r="I2066" s="312"/>
      <c r="J2066" s="248">
        <f t="shared" si="219"/>
        <v>0</v>
      </c>
      <c r="K2066" s="330">
        <f t="shared" si="220"/>
        <v>-1</v>
      </c>
      <c r="L2066" s="313"/>
      <c r="M2066" s="228">
        <f t="shared" si="221"/>
        <v>0</v>
      </c>
      <c r="N2066" s="228">
        <f t="shared" si="224"/>
        <v>0</v>
      </c>
      <c r="O2066" s="228">
        <f t="shared" si="225"/>
        <v>0</v>
      </c>
      <c r="P2066" s="228">
        <f t="shared" si="225"/>
        <v>0</v>
      </c>
      <c r="Q2066" s="228">
        <f t="shared" si="222"/>
        <v>0</v>
      </c>
      <c r="R2066" s="343">
        <f t="shared" si="223"/>
        <v>-1</v>
      </c>
      <c r="S2066" s="240"/>
      <c r="T2066" s="201"/>
      <c r="U2066" s="201"/>
      <c r="V2066" s="201"/>
    </row>
    <row r="2067" spans="1:22" ht="15.75" x14ac:dyDescent="0.25">
      <c r="A2067" s="234" t="s">
        <v>2538</v>
      </c>
      <c r="B2067" s="235" t="s">
        <v>2539</v>
      </c>
      <c r="C2067" s="234" t="s">
        <v>1867</v>
      </c>
      <c r="D2067" s="312">
        <v>2</v>
      </c>
      <c r="E2067" s="312"/>
      <c r="F2067" s="248"/>
      <c r="G2067" s="312"/>
      <c r="H2067" s="312"/>
      <c r="I2067" s="312"/>
      <c r="J2067" s="248">
        <f t="shared" si="219"/>
        <v>0</v>
      </c>
      <c r="K2067" s="330">
        <f t="shared" si="220"/>
        <v>-2</v>
      </c>
      <c r="L2067" s="313"/>
      <c r="M2067" s="228">
        <f t="shared" si="221"/>
        <v>0</v>
      </c>
      <c r="N2067" s="228">
        <f t="shared" si="224"/>
        <v>0</v>
      </c>
      <c r="O2067" s="228">
        <f t="shared" si="225"/>
        <v>0</v>
      </c>
      <c r="P2067" s="228">
        <f t="shared" si="225"/>
        <v>0</v>
      </c>
      <c r="Q2067" s="228">
        <f t="shared" si="222"/>
        <v>0</v>
      </c>
      <c r="R2067" s="343">
        <f t="shared" si="223"/>
        <v>-2</v>
      </c>
      <c r="S2067" s="240"/>
      <c r="T2067" s="201"/>
      <c r="U2067" s="201"/>
      <c r="V2067" s="201"/>
    </row>
    <row r="2068" spans="1:22" ht="15.75" x14ac:dyDescent="0.25">
      <c r="A2068" s="234" t="s">
        <v>2540</v>
      </c>
      <c r="B2068" s="235" t="s">
        <v>2541</v>
      </c>
      <c r="C2068" s="234" t="s">
        <v>1867</v>
      </c>
      <c r="D2068" s="312">
        <v>1</v>
      </c>
      <c r="E2068" s="312"/>
      <c r="F2068" s="248"/>
      <c r="G2068" s="312"/>
      <c r="H2068" s="312"/>
      <c r="I2068" s="312"/>
      <c r="J2068" s="248">
        <f t="shared" si="219"/>
        <v>0</v>
      </c>
      <c r="K2068" s="330">
        <f t="shared" si="220"/>
        <v>-1</v>
      </c>
      <c r="L2068" s="313"/>
      <c r="M2068" s="228">
        <f t="shared" si="221"/>
        <v>0</v>
      </c>
      <c r="N2068" s="228">
        <f t="shared" si="224"/>
        <v>0</v>
      </c>
      <c r="O2068" s="228">
        <f t="shared" si="225"/>
        <v>0</v>
      </c>
      <c r="P2068" s="228">
        <f t="shared" si="225"/>
        <v>0</v>
      </c>
      <c r="Q2068" s="228">
        <f t="shared" si="222"/>
        <v>0</v>
      </c>
      <c r="R2068" s="343">
        <f t="shared" si="223"/>
        <v>-1</v>
      </c>
      <c r="S2068" s="240"/>
      <c r="T2068" s="201"/>
      <c r="U2068" s="201"/>
      <c r="V2068" s="201"/>
    </row>
    <row r="2069" spans="1:22" ht="28.5" x14ac:dyDescent="0.25">
      <c r="A2069" s="230" t="s">
        <v>2542</v>
      </c>
      <c r="B2069" s="231" t="s">
        <v>2543</v>
      </c>
      <c r="C2069" s="230"/>
      <c r="D2069" s="316"/>
      <c r="E2069" s="316"/>
      <c r="F2069" s="317"/>
      <c r="G2069" s="316"/>
      <c r="H2069" s="316"/>
      <c r="I2069" s="316"/>
      <c r="J2069" s="248">
        <f t="shared" si="219"/>
        <v>0</v>
      </c>
      <c r="K2069" s="330">
        <f t="shared" si="220"/>
        <v>0</v>
      </c>
      <c r="L2069" s="318"/>
      <c r="M2069" s="228">
        <f t="shared" si="221"/>
        <v>0</v>
      </c>
      <c r="N2069" s="228">
        <f t="shared" si="224"/>
        <v>0</v>
      </c>
      <c r="O2069" s="228">
        <f t="shared" si="225"/>
        <v>0</v>
      </c>
      <c r="P2069" s="228">
        <f t="shared" si="225"/>
        <v>0</v>
      </c>
      <c r="Q2069" s="228">
        <f t="shared" si="222"/>
        <v>0</v>
      </c>
      <c r="R2069" s="343">
        <f t="shared" si="223"/>
        <v>0</v>
      </c>
      <c r="S2069" s="240"/>
      <c r="T2069" s="201"/>
      <c r="U2069" s="201"/>
      <c r="V2069" s="201"/>
    </row>
    <row r="2070" spans="1:22" ht="45" x14ac:dyDescent="0.25">
      <c r="A2070" s="234" t="s">
        <v>2544</v>
      </c>
      <c r="B2070" s="235" t="s">
        <v>2545</v>
      </c>
      <c r="C2070" s="234" t="s">
        <v>248</v>
      </c>
      <c r="D2070" s="312">
        <v>1</v>
      </c>
      <c r="E2070" s="312"/>
      <c r="F2070" s="248"/>
      <c r="G2070" s="312"/>
      <c r="H2070" s="312"/>
      <c r="I2070" s="312"/>
      <c r="J2070" s="248">
        <f t="shared" si="219"/>
        <v>0</v>
      </c>
      <c r="K2070" s="330">
        <f t="shared" si="220"/>
        <v>-1</v>
      </c>
      <c r="L2070" s="313"/>
      <c r="M2070" s="228">
        <f t="shared" si="221"/>
        <v>0</v>
      </c>
      <c r="N2070" s="228">
        <f t="shared" si="224"/>
        <v>0</v>
      </c>
      <c r="O2070" s="228">
        <f t="shared" si="225"/>
        <v>0</v>
      </c>
      <c r="P2070" s="228">
        <f t="shared" si="225"/>
        <v>0</v>
      </c>
      <c r="Q2070" s="228">
        <f t="shared" si="222"/>
        <v>0</v>
      </c>
      <c r="R2070" s="343">
        <f t="shared" si="223"/>
        <v>-1</v>
      </c>
      <c r="S2070" s="240"/>
      <c r="T2070" s="201"/>
      <c r="U2070" s="201"/>
      <c r="V2070" s="201"/>
    </row>
    <row r="2071" spans="1:22" ht="15.75" x14ac:dyDescent="0.25">
      <c r="A2071" s="234" t="s">
        <v>2546</v>
      </c>
      <c r="B2071" s="235" t="s">
        <v>2547</v>
      </c>
      <c r="C2071" s="234" t="s">
        <v>248</v>
      </c>
      <c r="D2071" s="312">
        <v>2</v>
      </c>
      <c r="E2071" s="312"/>
      <c r="F2071" s="248"/>
      <c r="G2071" s="312"/>
      <c r="H2071" s="312"/>
      <c r="I2071" s="312"/>
      <c r="J2071" s="248">
        <f t="shared" si="219"/>
        <v>0</v>
      </c>
      <c r="K2071" s="330">
        <f t="shared" si="220"/>
        <v>-2</v>
      </c>
      <c r="L2071" s="313"/>
      <c r="M2071" s="228">
        <f t="shared" si="221"/>
        <v>0</v>
      </c>
      <c r="N2071" s="228">
        <f t="shared" si="224"/>
        <v>0</v>
      </c>
      <c r="O2071" s="228">
        <f t="shared" si="225"/>
        <v>0</v>
      </c>
      <c r="P2071" s="228">
        <f t="shared" si="225"/>
        <v>0</v>
      </c>
      <c r="Q2071" s="228">
        <f t="shared" si="222"/>
        <v>0</v>
      </c>
      <c r="R2071" s="343">
        <f t="shared" si="223"/>
        <v>-2</v>
      </c>
      <c r="S2071" s="240"/>
      <c r="T2071" s="201"/>
      <c r="U2071" s="201"/>
      <c r="V2071" s="201"/>
    </row>
    <row r="2072" spans="1:22" ht="15.75" x14ac:dyDescent="0.25">
      <c r="A2072" s="234" t="s">
        <v>2548</v>
      </c>
      <c r="B2072" s="235" t="s">
        <v>2549</v>
      </c>
      <c r="C2072" s="234" t="s">
        <v>248</v>
      </c>
      <c r="D2072" s="312">
        <v>2</v>
      </c>
      <c r="E2072" s="312"/>
      <c r="F2072" s="248"/>
      <c r="G2072" s="312"/>
      <c r="H2072" s="312"/>
      <c r="I2072" s="312"/>
      <c r="J2072" s="248">
        <f t="shared" si="219"/>
        <v>0</v>
      </c>
      <c r="K2072" s="330">
        <f t="shared" si="220"/>
        <v>-2</v>
      </c>
      <c r="L2072" s="313"/>
      <c r="M2072" s="228">
        <f t="shared" si="221"/>
        <v>0</v>
      </c>
      <c r="N2072" s="228">
        <f t="shared" si="224"/>
        <v>0</v>
      </c>
      <c r="O2072" s="228">
        <f t="shared" si="225"/>
        <v>0</v>
      </c>
      <c r="P2072" s="228">
        <f t="shared" si="225"/>
        <v>0</v>
      </c>
      <c r="Q2072" s="228">
        <f t="shared" si="222"/>
        <v>0</v>
      </c>
      <c r="R2072" s="343">
        <f t="shared" si="223"/>
        <v>-2</v>
      </c>
      <c r="S2072" s="240"/>
      <c r="T2072" s="201"/>
      <c r="U2072" s="201"/>
      <c r="V2072" s="201"/>
    </row>
    <row r="2073" spans="1:22" ht="15.75" x14ac:dyDescent="0.25">
      <c r="A2073" s="234" t="s">
        <v>2550</v>
      </c>
      <c r="B2073" s="235" t="s">
        <v>2551</v>
      </c>
      <c r="C2073" s="234" t="s">
        <v>248</v>
      </c>
      <c r="D2073" s="312">
        <v>2</v>
      </c>
      <c r="E2073" s="312"/>
      <c r="F2073" s="248"/>
      <c r="G2073" s="312"/>
      <c r="H2073" s="312"/>
      <c r="I2073" s="312"/>
      <c r="J2073" s="248">
        <f t="shared" si="219"/>
        <v>0</v>
      </c>
      <c r="K2073" s="330">
        <f t="shared" si="220"/>
        <v>-2</v>
      </c>
      <c r="L2073" s="313"/>
      <c r="M2073" s="228">
        <f t="shared" si="221"/>
        <v>0</v>
      </c>
      <c r="N2073" s="228">
        <f t="shared" si="224"/>
        <v>0</v>
      </c>
      <c r="O2073" s="228">
        <f t="shared" si="225"/>
        <v>0</v>
      </c>
      <c r="P2073" s="228">
        <f t="shared" si="225"/>
        <v>0</v>
      </c>
      <c r="Q2073" s="228">
        <f t="shared" si="222"/>
        <v>0</v>
      </c>
      <c r="R2073" s="343">
        <f t="shared" si="223"/>
        <v>-2</v>
      </c>
      <c r="S2073" s="240"/>
      <c r="T2073" s="201"/>
      <c r="U2073" s="201"/>
      <c r="V2073" s="201"/>
    </row>
    <row r="2074" spans="1:22" ht="15.75" x14ac:dyDescent="0.25">
      <c r="A2074" s="234" t="s">
        <v>2552</v>
      </c>
      <c r="B2074" s="235" t="s">
        <v>2525</v>
      </c>
      <c r="C2074" s="234" t="s">
        <v>1867</v>
      </c>
      <c r="D2074" s="312">
        <v>60</v>
      </c>
      <c r="E2074" s="312"/>
      <c r="F2074" s="248"/>
      <c r="G2074" s="312"/>
      <c r="H2074" s="312"/>
      <c r="I2074" s="312"/>
      <c r="J2074" s="248">
        <f t="shared" si="219"/>
        <v>0</v>
      </c>
      <c r="K2074" s="330">
        <f t="shared" si="220"/>
        <v>-60</v>
      </c>
      <c r="L2074" s="313"/>
      <c r="M2074" s="228">
        <f t="shared" si="221"/>
        <v>0</v>
      </c>
      <c r="N2074" s="228">
        <f t="shared" si="224"/>
        <v>0</v>
      </c>
      <c r="O2074" s="228">
        <f t="shared" si="225"/>
        <v>0</v>
      </c>
      <c r="P2074" s="228">
        <f t="shared" si="225"/>
        <v>0</v>
      </c>
      <c r="Q2074" s="228">
        <f t="shared" si="222"/>
        <v>0</v>
      </c>
      <c r="R2074" s="343">
        <f t="shared" si="223"/>
        <v>-60</v>
      </c>
      <c r="S2074" s="240"/>
      <c r="T2074" s="201"/>
      <c r="U2074" s="201"/>
      <c r="V2074" s="201"/>
    </row>
    <row r="2075" spans="1:22" ht="15.75" x14ac:dyDescent="0.25">
      <c r="A2075" s="234" t="s">
        <v>2553</v>
      </c>
      <c r="B2075" s="235" t="s">
        <v>2554</v>
      </c>
      <c r="C2075" s="234" t="s">
        <v>2555</v>
      </c>
      <c r="D2075" s="312">
        <v>20</v>
      </c>
      <c r="E2075" s="312"/>
      <c r="F2075" s="248"/>
      <c r="G2075" s="312"/>
      <c r="H2075" s="312"/>
      <c r="I2075" s="312"/>
      <c r="J2075" s="248">
        <f t="shared" si="219"/>
        <v>0</v>
      </c>
      <c r="K2075" s="330">
        <f t="shared" si="220"/>
        <v>-20</v>
      </c>
      <c r="L2075" s="313"/>
      <c r="M2075" s="228">
        <f t="shared" si="221"/>
        <v>0</v>
      </c>
      <c r="N2075" s="228">
        <f t="shared" si="224"/>
        <v>0</v>
      </c>
      <c r="O2075" s="228">
        <f t="shared" si="225"/>
        <v>0</v>
      </c>
      <c r="P2075" s="228">
        <f t="shared" si="225"/>
        <v>0</v>
      </c>
      <c r="Q2075" s="228">
        <f t="shared" si="222"/>
        <v>0</v>
      </c>
      <c r="R2075" s="343">
        <f t="shared" si="223"/>
        <v>-20</v>
      </c>
      <c r="S2075" s="240"/>
      <c r="T2075" s="201"/>
      <c r="U2075" s="201"/>
      <c r="V2075" s="201"/>
    </row>
    <row r="2076" spans="1:22" ht="15.75" x14ac:dyDescent="0.25">
      <c r="A2076" s="230" t="s">
        <v>2556</v>
      </c>
      <c r="B2076" s="231" t="s">
        <v>2557</v>
      </c>
      <c r="C2076" s="230"/>
      <c r="D2076" s="316"/>
      <c r="E2076" s="316"/>
      <c r="F2076" s="317"/>
      <c r="G2076" s="316"/>
      <c r="H2076" s="316"/>
      <c r="I2076" s="316"/>
      <c r="J2076" s="248">
        <f t="shared" si="219"/>
        <v>0</v>
      </c>
      <c r="K2076" s="330">
        <f t="shared" si="220"/>
        <v>0</v>
      </c>
      <c r="L2076" s="318"/>
      <c r="M2076" s="228">
        <f t="shared" si="221"/>
        <v>0</v>
      </c>
      <c r="N2076" s="228">
        <f t="shared" si="224"/>
        <v>0</v>
      </c>
      <c r="O2076" s="228">
        <f t="shared" si="225"/>
        <v>0</v>
      </c>
      <c r="P2076" s="228">
        <f t="shared" si="225"/>
        <v>0</v>
      </c>
      <c r="Q2076" s="228">
        <f t="shared" si="222"/>
        <v>0</v>
      </c>
      <c r="R2076" s="343">
        <f t="shared" si="223"/>
        <v>0</v>
      </c>
      <c r="S2076" s="240"/>
      <c r="T2076" s="201"/>
      <c r="U2076" s="201"/>
      <c r="V2076" s="201"/>
    </row>
    <row r="2077" spans="1:22" ht="36.75" customHeight="1" x14ac:dyDescent="0.25">
      <c r="A2077" s="234" t="s">
        <v>2558</v>
      </c>
      <c r="B2077" s="235" t="s">
        <v>2559</v>
      </c>
      <c r="C2077" s="234" t="s">
        <v>248</v>
      </c>
      <c r="D2077" s="312">
        <v>2</v>
      </c>
      <c r="E2077" s="312"/>
      <c r="F2077" s="248"/>
      <c r="G2077" s="312"/>
      <c r="H2077" s="312"/>
      <c r="I2077" s="312"/>
      <c r="J2077" s="248">
        <f t="shared" si="219"/>
        <v>0</v>
      </c>
      <c r="K2077" s="330">
        <f t="shared" si="220"/>
        <v>-2</v>
      </c>
      <c r="L2077" s="313"/>
      <c r="M2077" s="228">
        <f t="shared" si="221"/>
        <v>0</v>
      </c>
      <c r="N2077" s="228">
        <f t="shared" si="224"/>
        <v>0</v>
      </c>
      <c r="O2077" s="228">
        <f t="shared" si="225"/>
        <v>0</v>
      </c>
      <c r="P2077" s="228">
        <f t="shared" si="225"/>
        <v>0</v>
      </c>
      <c r="Q2077" s="228">
        <f t="shared" si="222"/>
        <v>0</v>
      </c>
      <c r="R2077" s="343">
        <f t="shared" si="223"/>
        <v>-2</v>
      </c>
      <c r="S2077" s="240"/>
      <c r="T2077" s="201"/>
      <c r="U2077" s="201"/>
      <c r="V2077" s="201"/>
    </row>
    <row r="2078" spans="1:22" ht="35.25" customHeight="1" x14ac:dyDescent="0.25">
      <c r="A2078" s="234" t="s">
        <v>2560</v>
      </c>
      <c r="B2078" s="235" t="s">
        <v>2559</v>
      </c>
      <c r="C2078" s="234" t="s">
        <v>248</v>
      </c>
      <c r="D2078" s="312">
        <v>3</v>
      </c>
      <c r="E2078" s="312"/>
      <c r="F2078" s="248"/>
      <c r="G2078" s="312"/>
      <c r="H2078" s="312"/>
      <c r="I2078" s="312"/>
      <c r="J2078" s="248">
        <f t="shared" si="219"/>
        <v>0</v>
      </c>
      <c r="K2078" s="330">
        <f t="shared" si="220"/>
        <v>-3</v>
      </c>
      <c r="L2078" s="313"/>
      <c r="M2078" s="228">
        <f t="shared" si="221"/>
        <v>0</v>
      </c>
      <c r="N2078" s="228">
        <f t="shared" si="224"/>
        <v>0</v>
      </c>
      <c r="O2078" s="228">
        <f t="shared" si="225"/>
        <v>0</v>
      </c>
      <c r="P2078" s="228">
        <f t="shared" si="225"/>
        <v>0</v>
      </c>
      <c r="Q2078" s="228">
        <f t="shared" si="222"/>
        <v>0</v>
      </c>
      <c r="R2078" s="343">
        <f t="shared" si="223"/>
        <v>-3</v>
      </c>
      <c r="S2078" s="240"/>
      <c r="T2078" s="201"/>
      <c r="U2078" s="201"/>
      <c r="V2078" s="201"/>
    </row>
    <row r="2079" spans="1:22" ht="30.75" customHeight="1" x14ac:dyDescent="0.25">
      <c r="A2079" s="234" t="s">
        <v>2561</v>
      </c>
      <c r="B2079" s="235" t="s">
        <v>2562</v>
      </c>
      <c r="C2079" s="234" t="s">
        <v>248</v>
      </c>
      <c r="D2079" s="312">
        <v>5</v>
      </c>
      <c r="E2079" s="312"/>
      <c r="F2079" s="248"/>
      <c r="G2079" s="312"/>
      <c r="H2079" s="312"/>
      <c r="I2079" s="312"/>
      <c r="J2079" s="248">
        <f t="shared" si="219"/>
        <v>0</v>
      </c>
      <c r="K2079" s="330">
        <f t="shared" si="220"/>
        <v>-5</v>
      </c>
      <c r="L2079" s="313"/>
      <c r="M2079" s="228">
        <f t="shared" si="221"/>
        <v>0</v>
      </c>
      <c r="N2079" s="228">
        <f t="shared" si="224"/>
        <v>0</v>
      </c>
      <c r="O2079" s="228">
        <f t="shared" si="225"/>
        <v>0</v>
      </c>
      <c r="P2079" s="228">
        <f t="shared" si="225"/>
        <v>0</v>
      </c>
      <c r="Q2079" s="228">
        <f t="shared" si="222"/>
        <v>0</v>
      </c>
      <c r="R2079" s="343">
        <f t="shared" si="223"/>
        <v>-5</v>
      </c>
      <c r="S2079" s="240"/>
      <c r="T2079" s="201"/>
      <c r="U2079" s="201"/>
      <c r="V2079" s="201"/>
    </row>
    <row r="2080" spans="1:22" ht="30" x14ac:dyDescent="0.25">
      <c r="A2080" s="234" t="s">
        <v>2563</v>
      </c>
      <c r="B2080" s="235" t="s">
        <v>2564</v>
      </c>
      <c r="C2080" s="234" t="s">
        <v>248</v>
      </c>
      <c r="D2080" s="312">
        <v>1</v>
      </c>
      <c r="E2080" s="312"/>
      <c r="F2080" s="248"/>
      <c r="G2080" s="312"/>
      <c r="H2080" s="312"/>
      <c r="I2080" s="312"/>
      <c r="J2080" s="248">
        <f t="shared" si="219"/>
        <v>0</v>
      </c>
      <c r="K2080" s="330">
        <f t="shared" si="220"/>
        <v>-1</v>
      </c>
      <c r="L2080" s="313"/>
      <c r="M2080" s="228">
        <f t="shared" si="221"/>
        <v>0</v>
      </c>
      <c r="N2080" s="228">
        <f t="shared" si="224"/>
        <v>0</v>
      </c>
      <c r="O2080" s="228">
        <f t="shared" si="225"/>
        <v>0</v>
      </c>
      <c r="P2080" s="228">
        <f t="shared" si="225"/>
        <v>0</v>
      </c>
      <c r="Q2080" s="228">
        <f t="shared" si="222"/>
        <v>0</v>
      </c>
      <c r="R2080" s="343">
        <f t="shared" si="223"/>
        <v>-1</v>
      </c>
      <c r="S2080" s="240"/>
      <c r="T2080" s="201"/>
      <c r="U2080" s="201"/>
      <c r="V2080" s="201"/>
    </row>
    <row r="2081" spans="1:22" ht="30" x14ac:dyDescent="0.25">
      <c r="A2081" s="234" t="s">
        <v>2565</v>
      </c>
      <c r="B2081" s="235" t="s">
        <v>2566</v>
      </c>
      <c r="C2081" s="234" t="s">
        <v>248</v>
      </c>
      <c r="D2081" s="312">
        <v>2</v>
      </c>
      <c r="E2081" s="312"/>
      <c r="F2081" s="248"/>
      <c r="G2081" s="312"/>
      <c r="H2081" s="312"/>
      <c r="I2081" s="312"/>
      <c r="J2081" s="248">
        <f t="shared" si="219"/>
        <v>0</v>
      </c>
      <c r="K2081" s="330">
        <f t="shared" si="220"/>
        <v>-2</v>
      </c>
      <c r="L2081" s="313"/>
      <c r="M2081" s="228">
        <f t="shared" si="221"/>
        <v>0</v>
      </c>
      <c r="N2081" s="228">
        <f t="shared" si="224"/>
        <v>0</v>
      </c>
      <c r="O2081" s="228">
        <f t="shared" si="225"/>
        <v>0</v>
      </c>
      <c r="P2081" s="228">
        <f t="shared" si="225"/>
        <v>0</v>
      </c>
      <c r="Q2081" s="228">
        <f t="shared" si="222"/>
        <v>0</v>
      </c>
      <c r="R2081" s="343">
        <f t="shared" si="223"/>
        <v>-2</v>
      </c>
      <c r="S2081" s="240"/>
      <c r="T2081" s="201"/>
      <c r="U2081" s="201"/>
      <c r="V2081" s="201"/>
    </row>
    <row r="2082" spans="1:22" ht="15.75" x14ac:dyDescent="0.25">
      <c r="A2082" s="234" t="s">
        <v>2567</v>
      </c>
      <c r="B2082" s="235" t="s">
        <v>2568</v>
      </c>
      <c r="C2082" s="234" t="s">
        <v>248</v>
      </c>
      <c r="D2082" s="312">
        <v>2</v>
      </c>
      <c r="E2082" s="312"/>
      <c r="F2082" s="248"/>
      <c r="G2082" s="312"/>
      <c r="H2082" s="312"/>
      <c r="I2082" s="312"/>
      <c r="J2082" s="248">
        <f t="shared" si="219"/>
        <v>0</v>
      </c>
      <c r="K2082" s="330">
        <f t="shared" si="220"/>
        <v>-2</v>
      </c>
      <c r="L2082" s="313"/>
      <c r="M2082" s="228">
        <f t="shared" si="221"/>
        <v>0</v>
      </c>
      <c r="N2082" s="228">
        <f t="shared" si="224"/>
        <v>0</v>
      </c>
      <c r="O2082" s="228">
        <f t="shared" si="225"/>
        <v>0</v>
      </c>
      <c r="P2082" s="228">
        <f t="shared" si="225"/>
        <v>0</v>
      </c>
      <c r="Q2082" s="228">
        <f t="shared" si="222"/>
        <v>0</v>
      </c>
      <c r="R2082" s="343">
        <f t="shared" si="223"/>
        <v>-2</v>
      </c>
      <c r="S2082" s="240"/>
      <c r="T2082" s="201"/>
      <c r="U2082" s="201"/>
      <c r="V2082" s="201"/>
    </row>
    <row r="2083" spans="1:22" ht="15.75" x14ac:dyDescent="0.25">
      <c r="A2083" s="234" t="s">
        <v>2569</v>
      </c>
      <c r="B2083" s="235" t="s">
        <v>2570</v>
      </c>
      <c r="C2083" s="234" t="s">
        <v>248</v>
      </c>
      <c r="D2083" s="312">
        <v>1</v>
      </c>
      <c r="E2083" s="312"/>
      <c r="F2083" s="248"/>
      <c r="G2083" s="312"/>
      <c r="H2083" s="312"/>
      <c r="I2083" s="312"/>
      <c r="J2083" s="248">
        <f t="shared" si="219"/>
        <v>0</v>
      </c>
      <c r="K2083" s="330">
        <f t="shared" si="220"/>
        <v>-1</v>
      </c>
      <c r="L2083" s="313"/>
      <c r="M2083" s="228">
        <f t="shared" si="221"/>
        <v>0</v>
      </c>
      <c r="N2083" s="228">
        <f t="shared" si="224"/>
        <v>0</v>
      </c>
      <c r="O2083" s="228">
        <f t="shared" si="225"/>
        <v>0</v>
      </c>
      <c r="P2083" s="228">
        <f t="shared" si="225"/>
        <v>0</v>
      </c>
      <c r="Q2083" s="228">
        <f t="shared" si="222"/>
        <v>0</v>
      </c>
      <c r="R2083" s="343">
        <f t="shared" si="223"/>
        <v>-1</v>
      </c>
      <c r="S2083" s="240"/>
      <c r="T2083" s="201"/>
      <c r="U2083" s="201"/>
      <c r="V2083" s="201"/>
    </row>
    <row r="2084" spans="1:22" ht="15.75" x14ac:dyDescent="0.25">
      <c r="A2084" s="234" t="s">
        <v>2571</v>
      </c>
      <c r="B2084" s="235" t="s">
        <v>2572</v>
      </c>
      <c r="C2084" s="234" t="s">
        <v>2573</v>
      </c>
      <c r="D2084" s="312">
        <v>6</v>
      </c>
      <c r="E2084" s="312"/>
      <c r="F2084" s="248"/>
      <c r="G2084" s="312"/>
      <c r="H2084" s="312"/>
      <c r="I2084" s="312"/>
      <c r="J2084" s="248">
        <f t="shared" si="219"/>
        <v>0</v>
      </c>
      <c r="K2084" s="330">
        <f t="shared" si="220"/>
        <v>-6</v>
      </c>
      <c r="L2084" s="313"/>
      <c r="M2084" s="228">
        <f t="shared" si="221"/>
        <v>0</v>
      </c>
      <c r="N2084" s="228">
        <f t="shared" si="224"/>
        <v>0</v>
      </c>
      <c r="O2084" s="228">
        <f t="shared" si="225"/>
        <v>0</v>
      </c>
      <c r="P2084" s="228">
        <f t="shared" si="225"/>
        <v>0</v>
      </c>
      <c r="Q2084" s="228">
        <f t="shared" si="222"/>
        <v>0</v>
      </c>
      <c r="R2084" s="343">
        <f t="shared" si="223"/>
        <v>-6</v>
      </c>
      <c r="S2084" s="240"/>
      <c r="T2084" s="201"/>
      <c r="U2084" s="201"/>
      <c r="V2084" s="201"/>
    </row>
    <row r="2085" spans="1:22" ht="15.75" x14ac:dyDescent="0.25">
      <c r="A2085" s="234" t="s">
        <v>2574</v>
      </c>
      <c r="B2085" s="235" t="s">
        <v>2575</v>
      </c>
      <c r="C2085" s="234" t="s">
        <v>2573</v>
      </c>
      <c r="D2085" s="312">
        <v>6</v>
      </c>
      <c r="E2085" s="312"/>
      <c r="F2085" s="248"/>
      <c r="G2085" s="312"/>
      <c r="H2085" s="312"/>
      <c r="I2085" s="312"/>
      <c r="J2085" s="248">
        <f t="shared" si="219"/>
        <v>0</v>
      </c>
      <c r="K2085" s="330">
        <f t="shared" si="220"/>
        <v>-6</v>
      </c>
      <c r="L2085" s="313"/>
      <c r="M2085" s="228">
        <f t="shared" si="221"/>
        <v>0</v>
      </c>
      <c r="N2085" s="228">
        <f t="shared" si="224"/>
        <v>0</v>
      </c>
      <c r="O2085" s="228">
        <f t="shared" si="225"/>
        <v>0</v>
      </c>
      <c r="P2085" s="228">
        <f t="shared" si="225"/>
        <v>0</v>
      </c>
      <c r="Q2085" s="228">
        <f t="shared" si="222"/>
        <v>0</v>
      </c>
      <c r="R2085" s="343">
        <f t="shared" si="223"/>
        <v>-6</v>
      </c>
      <c r="S2085" s="240"/>
      <c r="T2085" s="201"/>
      <c r="U2085" s="201"/>
      <c r="V2085" s="201"/>
    </row>
    <row r="2086" spans="1:22" ht="15.75" x14ac:dyDescent="0.25">
      <c r="A2086" s="234" t="s">
        <v>2576</v>
      </c>
      <c r="B2086" s="235" t="s">
        <v>2577</v>
      </c>
      <c r="C2086" s="234" t="s">
        <v>2573</v>
      </c>
      <c r="D2086" s="312">
        <v>6</v>
      </c>
      <c r="E2086" s="312"/>
      <c r="F2086" s="248"/>
      <c r="G2086" s="312"/>
      <c r="H2086" s="312"/>
      <c r="I2086" s="312"/>
      <c r="J2086" s="248">
        <f t="shared" si="219"/>
        <v>0</v>
      </c>
      <c r="K2086" s="330">
        <f t="shared" si="220"/>
        <v>-6</v>
      </c>
      <c r="L2086" s="313"/>
      <c r="M2086" s="228">
        <f t="shared" si="221"/>
        <v>0</v>
      </c>
      <c r="N2086" s="228">
        <f t="shared" si="224"/>
        <v>0</v>
      </c>
      <c r="O2086" s="228">
        <f t="shared" si="225"/>
        <v>0</v>
      </c>
      <c r="P2086" s="228">
        <f t="shared" si="225"/>
        <v>0</v>
      </c>
      <c r="Q2086" s="228">
        <f t="shared" si="222"/>
        <v>0</v>
      </c>
      <c r="R2086" s="343">
        <f t="shared" si="223"/>
        <v>-6</v>
      </c>
      <c r="S2086" s="240"/>
      <c r="T2086" s="201"/>
      <c r="U2086" s="201"/>
      <c r="V2086" s="201"/>
    </row>
    <row r="2087" spans="1:22" ht="15.75" x14ac:dyDescent="0.25">
      <c r="A2087" s="234" t="s">
        <v>2578</v>
      </c>
      <c r="B2087" s="235" t="s">
        <v>2579</v>
      </c>
      <c r="C2087" s="234" t="s">
        <v>2573</v>
      </c>
      <c r="D2087" s="312">
        <v>3</v>
      </c>
      <c r="E2087" s="312"/>
      <c r="F2087" s="248"/>
      <c r="G2087" s="312"/>
      <c r="H2087" s="312"/>
      <c r="I2087" s="312"/>
      <c r="J2087" s="248">
        <f t="shared" si="219"/>
        <v>0</v>
      </c>
      <c r="K2087" s="330">
        <f t="shared" si="220"/>
        <v>-3</v>
      </c>
      <c r="L2087" s="313"/>
      <c r="M2087" s="228">
        <f t="shared" si="221"/>
        <v>0</v>
      </c>
      <c r="N2087" s="228">
        <f t="shared" si="224"/>
        <v>0</v>
      </c>
      <c r="O2087" s="228">
        <f t="shared" si="225"/>
        <v>0</v>
      </c>
      <c r="P2087" s="228">
        <f t="shared" si="225"/>
        <v>0</v>
      </c>
      <c r="Q2087" s="228">
        <f t="shared" si="222"/>
        <v>0</v>
      </c>
      <c r="R2087" s="343">
        <f t="shared" si="223"/>
        <v>-3</v>
      </c>
      <c r="S2087" s="240"/>
      <c r="T2087" s="201"/>
      <c r="U2087" s="201"/>
      <c r="V2087" s="201"/>
    </row>
    <row r="2088" spans="1:22" ht="24" customHeight="1" x14ac:dyDescent="0.25">
      <c r="A2088" s="234" t="s">
        <v>2580</v>
      </c>
      <c r="B2088" s="235" t="s">
        <v>2581</v>
      </c>
      <c r="C2088" s="234" t="s">
        <v>2555</v>
      </c>
      <c r="D2088" s="312">
        <v>1</v>
      </c>
      <c r="E2088" s="312"/>
      <c r="F2088" s="248"/>
      <c r="G2088" s="312"/>
      <c r="H2088" s="312"/>
      <c r="I2088" s="312"/>
      <c r="J2088" s="248">
        <f t="shared" si="219"/>
        <v>0</v>
      </c>
      <c r="K2088" s="330">
        <f t="shared" si="220"/>
        <v>-1</v>
      </c>
      <c r="L2088" s="313"/>
      <c r="M2088" s="228">
        <f t="shared" si="221"/>
        <v>0</v>
      </c>
      <c r="N2088" s="228">
        <f t="shared" si="224"/>
        <v>0</v>
      </c>
      <c r="O2088" s="228">
        <f t="shared" si="225"/>
        <v>0</v>
      </c>
      <c r="P2088" s="228">
        <f t="shared" si="225"/>
        <v>0</v>
      </c>
      <c r="Q2088" s="228">
        <f t="shared" si="222"/>
        <v>0</v>
      </c>
      <c r="R2088" s="343">
        <f t="shared" si="223"/>
        <v>-1</v>
      </c>
      <c r="S2088" s="240"/>
      <c r="T2088" s="201"/>
      <c r="U2088" s="201"/>
      <c r="V2088" s="201"/>
    </row>
    <row r="2089" spans="1:22" ht="15.75" x14ac:dyDescent="0.25">
      <c r="A2089" s="234" t="s">
        <v>2582</v>
      </c>
      <c r="B2089" s="235" t="s">
        <v>2583</v>
      </c>
      <c r="C2089" s="234" t="s">
        <v>2502</v>
      </c>
      <c r="D2089" s="312">
        <v>4</v>
      </c>
      <c r="E2089" s="312"/>
      <c r="F2089" s="248"/>
      <c r="G2089" s="312"/>
      <c r="H2089" s="312"/>
      <c r="I2089" s="312"/>
      <c r="J2089" s="248">
        <f t="shared" si="219"/>
        <v>0</v>
      </c>
      <c r="K2089" s="330">
        <f t="shared" si="220"/>
        <v>-4</v>
      </c>
      <c r="L2089" s="313"/>
      <c r="M2089" s="228">
        <f t="shared" si="221"/>
        <v>0</v>
      </c>
      <c r="N2089" s="228">
        <f t="shared" si="224"/>
        <v>0</v>
      </c>
      <c r="O2089" s="228">
        <f t="shared" si="225"/>
        <v>0</v>
      </c>
      <c r="P2089" s="228">
        <f t="shared" si="225"/>
        <v>0</v>
      </c>
      <c r="Q2089" s="228">
        <f t="shared" si="222"/>
        <v>0</v>
      </c>
      <c r="R2089" s="343">
        <f t="shared" si="223"/>
        <v>-4</v>
      </c>
      <c r="S2089" s="240"/>
      <c r="T2089" s="201"/>
      <c r="U2089" s="201"/>
      <c r="V2089" s="201"/>
    </row>
    <row r="2090" spans="1:22" ht="15.75" x14ac:dyDescent="0.25">
      <c r="A2090" s="230" t="s">
        <v>2584</v>
      </c>
      <c r="B2090" s="231" t="s">
        <v>2585</v>
      </c>
      <c r="C2090" s="230"/>
      <c r="D2090" s="316"/>
      <c r="E2090" s="316"/>
      <c r="F2090" s="317"/>
      <c r="G2090" s="316"/>
      <c r="H2090" s="316"/>
      <c r="I2090" s="316"/>
      <c r="J2090" s="248">
        <f t="shared" si="219"/>
        <v>0</v>
      </c>
      <c r="K2090" s="330">
        <f t="shared" si="220"/>
        <v>0</v>
      </c>
      <c r="L2090" s="318"/>
      <c r="M2090" s="228">
        <f t="shared" si="221"/>
        <v>0</v>
      </c>
      <c r="N2090" s="228">
        <f t="shared" si="224"/>
        <v>0</v>
      </c>
      <c r="O2090" s="228">
        <f t="shared" si="225"/>
        <v>0</v>
      </c>
      <c r="P2090" s="228">
        <f t="shared" si="225"/>
        <v>0</v>
      </c>
      <c r="Q2090" s="228">
        <f t="shared" si="222"/>
        <v>0</v>
      </c>
      <c r="R2090" s="343">
        <f t="shared" si="223"/>
        <v>0</v>
      </c>
      <c r="S2090" s="240"/>
      <c r="T2090" s="201"/>
      <c r="U2090" s="201"/>
      <c r="V2090" s="201"/>
    </row>
    <row r="2091" spans="1:22" ht="45" x14ac:dyDescent="0.25">
      <c r="A2091" s="234" t="s">
        <v>2586</v>
      </c>
      <c r="B2091" s="235" t="s">
        <v>2587</v>
      </c>
      <c r="C2091" s="234" t="s">
        <v>248</v>
      </c>
      <c r="D2091" s="312">
        <v>1</v>
      </c>
      <c r="E2091" s="312"/>
      <c r="F2091" s="248"/>
      <c r="G2091" s="312"/>
      <c r="H2091" s="312"/>
      <c r="I2091" s="312"/>
      <c r="J2091" s="248">
        <f t="shared" si="219"/>
        <v>0</v>
      </c>
      <c r="K2091" s="330">
        <f t="shared" si="220"/>
        <v>-1</v>
      </c>
      <c r="L2091" s="313"/>
      <c r="M2091" s="228">
        <f t="shared" si="221"/>
        <v>0</v>
      </c>
      <c r="N2091" s="228">
        <f t="shared" si="224"/>
        <v>0</v>
      </c>
      <c r="O2091" s="228">
        <f t="shared" si="225"/>
        <v>0</v>
      </c>
      <c r="P2091" s="228">
        <f t="shared" si="225"/>
        <v>0</v>
      </c>
      <c r="Q2091" s="228">
        <f t="shared" si="222"/>
        <v>0</v>
      </c>
      <c r="R2091" s="343">
        <f t="shared" si="223"/>
        <v>-1</v>
      </c>
      <c r="S2091" s="240"/>
      <c r="T2091" s="201"/>
      <c r="U2091" s="201"/>
      <c r="V2091" s="201"/>
    </row>
    <row r="2092" spans="1:22" ht="15.75" x14ac:dyDescent="0.25">
      <c r="A2092" s="234" t="s">
        <v>2588</v>
      </c>
      <c r="B2092" s="235" t="s">
        <v>2589</v>
      </c>
      <c r="C2092" s="234" t="s">
        <v>1867</v>
      </c>
      <c r="D2092" s="312">
        <v>3</v>
      </c>
      <c r="E2092" s="312"/>
      <c r="F2092" s="248"/>
      <c r="G2092" s="312"/>
      <c r="H2092" s="312"/>
      <c r="I2092" s="312"/>
      <c r="J2092" s="248">
        <f t="shared" si="219"/>
        <v>0</v>
      </c>
      <c r="K2092" s="330">
        <f t="shared" si="220"/>
        <v>-3</v>
      </c>
      <c r="L2092" s="313"/>
      <c r="M2092" s="228">
        <f t="shared" si="221"/>
        <v>0</v>
      </c>
      <c r="N2092" s="228">
        <f t="shared" si="224"/>
        <v>0</v>
      </c>
      <c r="O2092" s="228">
        <f t="shared" si="225"/>
        <v>0</v>
      </c>
      <c r="P2092" s="228">
        <f t="shared" si="225"/>
        <v>0</v>
      </c>
      <c r="Q2092" s="228">
        <f t="shared" si="222"/>
        <v>0</v>
      </c>
      <c r="R2092" s="343">
        <f t="shared" si="223"/>
        <v>-3</v>
      </c>
      <c r="S2092" s="240"/>
      <c r="T2092" s="201"/>
      <c r="U2092" s="201"/>
      <c r="V2092" s="201"/>
    </row>
    <row r="2093" spans="1:22" ht="15.75" x14ac:dyDescent="0.25">
      <c r="A2093" s="234" t="s">
        <v>2590</v>
      </c>
      <c r="B2093" s="235" t="s">
        <v>2591</v>
      </c>
      <c r="C2093" s="234" t="s">
        <v>248</v>
      </c>
      <c r="D2093" s="312">
        <v>1</v>
      </c>
      <c r="E2093" s="312"/>
      <c r="F2093" s="248"/>
      <c r="G2093" s="312"/>
      <c r="H2093" s="312"/>
      <c r="I2093" s="312"/>
      <c r="J2093" s="248">
        <f t="shared" si="219"/>
        <v>0</v>
      </c>
      <c r="K2093" s="330">
        <f t="shared" si="220"/>
        <v>-1</v>
      </c>
      <c r="L2093" s="313"/>
      <c r="M2093" s="228">
        <f t="shared" si="221"/>
        <v>0</v>
      </c>
      <c r="N2093" s="228">
        <f t="shared" si="224"/>
        <v>0</v>
      </c>
      <c r="O2093" s="228">
        <f t="shared" si="225"/>
        <v>0</v>
      </c>
      <c r="P2093" s="228">
        <f t="shared" si="225"/>
        <v>0</v>
      </c>
      <c r="Q2093" s="228">
        <f t="shared" si="222"/>
        <v>0</v>
      </c>
      <c r="R2093" s="343">
        <f t="shared" si="223"/>
        <v>-1</v>
      </c>
      <c r="S2093" s="240"/>
      <c r="T2093" s="201"/>
      <c r="U2093" s="201"/>
      <c r="V2093" s="201"/>
    </row>
    <row r="2094" spans="1:22" ht="15.75" x14ac:dyDescent="0.25">
      <c r="A2094" s="234" t="s">
        <v>2592</v>
      </c>
      <c r="B2094" s="235" t="s">
        <v>2593</v>
      </c>
      <c r="C2094" s="234" t="s">
        <v>248</v>
      </c>
      <c r="D2094" s="312">
        <v>1</v>
      </c>
      <c r="E2094" s="312"/>
      <c r="F2094" s="248"/>
      <c r="G2094" s="312"/>
      <c r="H2094" s="312"/>
      <c r="I2094" s="312"/>
      <c r="J2094" s="248">
        <f t="shared" si="219"/>
        <v>0</v>
      </c>
      <c r="K2094" s="330">
        <f t="shared" si="220"/>
        <v>-1</v>
      </c>
      <c r="L2094" s="313"/>
      <c r="M2094" s="228">
        <f t="shared" si="221"/>
        <v>0</v>
      </c>
      <c r="N2094" s="228">
        <f t="shared" si="224"/>
        <v>0</v>
      </c>
      <c r="O2094" s="228">
        <f t="shared" si="225"/>
        <v>0</v>
      </c>
      <c r="P2094" s="228">
        <f t="shared" si="225"/>
        <v>0</v>
      </c>
      <c r="Q2094" s="228">
        <f t="shared" si="222"/>
        <v>0</v>
      </c>
      <c r="R2094" s="343">
        <f t="shared" si="223"/>
        <v>-1</v>
      </c>
      <c r="S2094" s="240"/>
      <c r="T2094" s="201"/>
      <c r="U2094" s="201"/>
      <c r="V2094" s="201"/>
    </row>
    <row r="2095" spans="1:22" ht="15.75" x14ac:dyDescent="0.25">
      <c r="A2095" s="234" t="s">
        <v>2594</v>
      </c>
      <c r="B2095" s="235" t="s">
        <v>2595</v>
      </c>
      <c r="C2095" s="234" t="s">
        <v>248</v>
      </c>
      <c r="D2095" s="312">
        <v>1</v>
      </c>
      <c r="E2095" s="312"/>
      <c r="F2095" s="248"/>
      <c r="G2095" s="312"/>
      <c r="H2095" s="312"/>
      <c r="I2095" s="312"/>
      <c r="J2095" s="248">
        <f t="shared" si="219"/>
        <v>0</v>
      </c>
      <c r="K2095" s="330">
        <f t="shared" si="220"/>
        <v>-1</v>
      </c>
      <c r="L2095" s="313"/>
      <c r="M2095" s="228">
        <f t="shared" si="221"/>
        <v>0</v>
      </c>
      <c r="N2095" s="228">
        <f t="shared" si="224"/>
        <v>0</v>
      </c>
      <c r="O2095" s="228">
        <f t="shared" si="225"/>
        <v>0</v>
      </c>
      <c r="P2095" s="228">
        <f t="shared" si="225"/>
        <v>0</v>
      </c>
      <c r="Q2095" s="228">
        <f t="shared" si="222"/>
        <v>0</v>
      </c>
      <c r="R2095" s="343">
        <f t="shared" si="223"/>
        <v>-1</v>
      </c>
      <c r="S2095" s="240"/>
      <c r="T2095" s="201"/>
      <c r="U2095" s="201"/>
      <c r="V2095" s="201"/>
    </row>
    <row r="2096" spans="1:22" ht="15.75" x14ac:dyDescent="0.25">
      <c r="A2096" s="234" t="s">
        <v>2596</v>
      </c>
      <c r="B2096" s="235" t="s">
        <v>2597</v>
      </c>
      <c r="C2096" s="234" t="s">
        <v>248</v>
      </c>
      <c r="D2096" s="312">
        <v>1</v>
      </c>
      <c r="E2096" s="312"/>
      <c r="F2096" s="248"/>
      <c r="G2096" s="312"/>
      <c r="H2096" s="312"/>
      <c r="I2096" s="312"/>
      <c r="J2096" s="248">
        <f t="shared" ref="J2096:J2151" si="226">F2096+G2096+H2096+I2096</f>
        <v>0</v>
      </c>
      <c r="K2096" s="330">
        <f t="shared" ref="K2096:K2151" si="227">J2096-D2096</f>
        <v>-1</v>
      </c>
      <c r="L2096" s="313"/>
      <c r="M2096" s="228">
        <f t="shared" ref="M2096:M2151" si="228">F2096</f>
        <v>0</v>
      </c>
      <c r="N2096" s="228">
        <f t="shared" si="224"/>
        <v>0</v>
      </c>
      <c r="O2096" s="228">
        <f t="shared" si="225"/>
        <v>0</v>
      </c>
      <c r="P2096" s="228">
        <f t="shared" si="225"/>
        <v>0</v>
      </c>
      <c r="Q2096" s="228">
        <f t="shared" ref="Q2096:Q2151" si="229">M2096+N2096+O2096+P2096</f>
        <v>0</v>
      </c>
      <c r="R2096" s="343">
        <f t="shared" ref="R2096:R2159" si="230">Q2096-D2096</f>
        <v>-1</v>
      </c>
      <c r="S2096" s="240"/>
      <c r="T2096" s="201"/>
      <c r="U2096" s="201"/>
      <c r="V2096" s="201"/>
    </row>
    <row r="2097" spans="1:22" ht="15.75" x14ac:dyDescent="0.25">
      <c r="A2097" s="230" t="s">
        <v>2598</v>
      </c>
      <c r="B2097" s="231" t="s">
        <v>2599</v>
      </c>
      <c r="C2097" s="230"/>
      <c r="D2097" s="316"/>
      <c r="E2097" s="316"/>
      <c r="F2097" s="317"/>
      <c r="G2097" s="316"/>
      <c r="H2097" s="316"/>
      <c r="I2097" s="316"/>
      <c r="J2097" s="248">
        <f t="shared" si="226"/>
        <v>0</v>
      </c>
      <c r="K2097" s="330">
        <f t="shared" si="227"/>
        <v>0</v>
      </c>
      <c r="L2097" s="318"/>
      <c r="M2097" s="228">
        <f t="shared" si="228"/>
        <v>0</v>
      </c>
      <c r="N2097" s="228">
        <f t="shared" si="224"/>
        <v>0</v>
      </c>
      <c r="O2097" s="228">
        <f t="shared" si="225"/>
        <v>0</v>
      </c>
      <c r="P2097" s="228">
        <f t="shared" si="225"/>
        <v>0</v>
      </c>
      <c r="Q2097" s="228">
        <f t="shared" si="229"/>
        <v>0</v>
      </c>
      <c r="R2097" s="343">
        <f t="shared" si="230"/>
        <v>0</v>
      </c>
      <c r="S2097" s="240"/>
      <c r="T2097" s="201"/>
      <c r="U2097" s="201"/>
      <c r="V2097" s="201"/>
    </row>
    <row r="2098" spans="1:22" ht="60" x14ac:dyDescent="0.25">
      <c r="A2098" s="234" t="s">
        <v>2600</v>
      </c>
      <c r="B2098" s="235" t="s">
        <v>2601</v>
      </c>
      <c r="C2098" s="234" t="s">
        <v>2532</v>
      </c>
      <c r="D2098" s="312">
        <v>1</v>
      </c>
      <c r="E2098" s="312"/>
      <c r="F2098" s="248"/>
      <c r="G2098" s="312"/>
      <c r="H2098" s="312"/>
      <c r="I2098" s="312"/>
      <c r="J2098" s="248">
        <f t="shared" si="226"/>
        <v>0</v>
      </c>
      <c r="K2098" s="330">
        <f t="shared" si="227"/>
        <v>-1</v>
      </c>
      <c r="L2098" s="313"/>
      <c r="M2098" s="228">
        <f t="shared" si="228"/>
        <v>0</v>
      </c>
      <c r="N2098" s="228">
        <f t="shared" si="224"/>
        <v>0</v>
      </c>
      <c r="O2098" s="228">
        <f t="shared" si="225"/>
        <v>0</v>
      </c>
      <c r="P2098" s="228">
        <f t="shared" si="225"/>
        <v>0</v>
      </c>
      <c r="Q2098" s="228">
        <f t="shared" si="229"/>
        <v>0</v>
      </c>
      <c r="R2098" s="343">
        <f t="shared" si="230"/>
        <v>-1</v>
      </c>
      <c r="S2098" s="240"/>
      <c r="T2098" s="201"/>
      <c r="U2098" s="201"/>
      <c r="V2098" s="201"/>
    </row>
    <row r="2099" spans="1:22" ht="15.75" x14ac:dyDescent="0.25">
      <c r="A2099" s="234" t="s">
        <v>2602</v>
      </c>
      <c r="B2099" s="235" t="s">
        <v>2603</v>
      </c>
      <c r="C2099" s="234" t="s">
        <v>248</v>
      </c>
      <c r="D2099" s="312">
        <v>3</v>
      </c>
      <c r="E2099" s="312"/>
      <c r="F2099" s="248"/>
      <c r="G2099" s="312"/>
      <c r="H2099" s="312"/>
      <c r="I2099" s="312"/>
      <c r="J2099" s="248">
        <f t="shared" si="226"/>
        <v>0</v>
      </c>
      <c r="K2099" s="330">
        <f t="shared" si="227"/>
        <v>-3</v>
      </c>
      <c r="L2099" s="313"/>
      <c r="M2099" s="228">
        <f t="shared" si="228"/>
        <v>0</v>
      </c>
      <c r="N2099" s="228">
        <f t="shared" si="224"/>
        <v>0</v>
      </c>
      <c r="O2099" s="228">
        <f t="shared" si="225"/>
        <v>0</v>
      </c>
      <c r="P2099" s="228">
        <f t="shared" si="225"/>
        <v>0</v>
      </c>
      <c r="Q2099" s="228">
        <f t="shared" si="229"/>
        <v>0</v>
      </c>
      <c r="R2099" s="343">
        <f t="shared" si="230"/>
        <v>-3</v>
      </c>
      <c r="S2099" s="240"/>
      <c r="T2099" s="201"/>
      <c r="U2099" s="201"/>
      <c r="V2099" s="201"/>
    </row>
    <row r="2100" spans="1:22" ht="15.75" x14ac:dyDescent="0.25">
      <c r="A2100" s="234" t="s">
        <v>2604</v>
      </c>
      <c r="B2100" s="235" t="s">
        <v>2605</v>
      </c>
      <c r="C2100" s="234" t="s">
        <v>248</v>
      </c>
      <c r="D2100" s="312">
        <v>5</v>
      </c>
      <c r="E2100" s="312"/>
      <c r="F2100" s="248"/>
      <c r="G2100" s="312"/>
      <c r="H2100" s="312"/>
      <c r="I2100" s="312"/>
      <c r="J2100" s="248">
        <f t="shared" si="226"/>
        <v>0</v>
      </c>
      <c r="K2100" s="330">
        <f t="shared" si="227"/>
        <v>-5</v>
      </c>
      <c r="L2100" s="313"/>
      <c r="M2100" s="228">
        <f t="shared" si="228"/>
        <v>0</v>
      </c>
      <c r="N2100" s="228">
        <f t="shared" si="224"/>
        <v>0</v>
      </c>
      <c r="O2100" s="228">
        <f t="shared" si="225"/>
        <v>0</v>
      </c>
      <c r="P2100" s="228">
        <f t="shared" si="225"/>
        <v>0</v>
      </c>
      <c r="Q2100" s="228">
        <f t="shared" si="229"/>
        <v>0</v>
      </c>
      <c r="R2100" s="343">
        <f t="shared" si="230"/>
        <v>-5</v>
      </c>
      <c r="S2100" s="240"/>
      <c r="T2100" s="201"/>
      <c r="U2100" s="201"/>
      <c r="V2100" s="201"/>
    </row>
    <row r="2101" spans="1:22" ht="30" x14ac:dyDescent="0.25">
      <c r="A2101" s="234" t="s">
        <v>2606</v>
      </c>
      <c r="B2101" s="235" t="s">
        <v>2607</v>
      </c>
      <c r="C2101" s="234" t="s">
        <v>248</v>
      </c>
      <c r="D2101" s="312">
        <v>3</v>
      </c>
      <c r="E2101" s="312"/>
      <c r="F2101" s="248"/>
      <c r="G2101" s="312"/>
      <c r="H2101" s="312"/>
      <c r="I2101" s="312"/>
      <c r="J2101" s="248">
        <f t="shared" si="226"/>
        <v>0</v>
      </c>
      <c r="K2101" s="330">
        <f t="shared" si="227"/>
        <v>-3</v>
      </c>
      <c r="L2101" s="313"/>
      <c r="M2101" s="228">
        <f t="shared" si="228"/>
        <v>0</v>
      </c>
      <c r="N2101" s="228">
        <f t="shared" si="224"/>
        <v>0</v>
      </c>
      <c r="O2101" s="228">
        <f t="shared" si="225"/>
        <v>0</v>
      </c>
      <c r="P2101" s="228">
        <f t="shared" si="225"/>
        <v>0</v>
      </c>
      <c r="Q2101" s="228">
        <f t="shared" si="229"/>
        <v>0</v>
      </c>
      <c r="R2101" s="343">
        <f t="shared" si="230"/>
        <v>-3</v>
      </c>
      <c r="S2101" s="240"/>
      <c r="T2101" s="201"/>
      <c r="U2101" s="201"/>
      <c r="V2101" s="201"/>
    </row>
    <row r="2102" spans="1:22" ht="15.75" x14ac:dyDescent="0.25">
      <c r="A2102" s="234" t="s">
        <v>2608</v>
      </c>
      <c r="B2102" s="235" t="s">
        <v>2609</v>
      </c>
      <c r="C2102" s="234" t="s">
        <v>2535</v>
      </c>
      <c r="D2102" s="312">
        <v>600</v>
      </c>
      <c r="E2102" s="312"/>
      <c r="F2102" s="248"/>
      <c r="G2102" s="312"/>
      <c r="H2102" s="312"/>
      <c r="I2102" s="312"/>
      <c r="J2102" s="248">
        <f t="shared" si="226"/>
        <v>0</v>
      </c>
      <c r="K2102" s="330">
        <f t="shared" si="227"/>
        <v>-600</v>
      </c>
      <c r="L2102" s="313"/>
      <c r="M2102" s="228">
        <f t="shared" si="228"/>
        <v>0</v>
      </c>
      <c r="N2102" s="228">
        <f t="shared" si="224"/>
        <v>0</v>
      </c>
      <c r="O2102" s="228">
        <f t="shared" si="225"/>
        <v>0</v>
      </c>
      <c r="P2102" s="228">
        <f t="shared" si="225"/>
        <v>0</v>
      </c>
      <c r="Q2102" s="228">
        <f t="shared" si="229"/>
        <v>0</v>
      </c>
      <c r="R2102" s="343">
        <f t="shared" si="230"/>
        <v>-600</v>
      </c>
      <c r="S2102" s="240"/>
      <c r="T2102" s="201"/>
      <c r="U2102" s="201"/>
      <c r="V2102" s="201"/>
    </row>
    <row r="2103" spans="1:22" ht="15.75" x14ac:dyDescent="0.25">
      <c r="A2103" s="234" t="s">
        <v>2610</v>
      </c>
      <c r="B2103" s="235" t="s">
        <v>2611</v>
      </c>
      <c r="C2103" s="234" t="s">
        <v>2535</v>
      </c>
      <c r="D2103" s="312">
        <v>300</v>
      </c>
      <c r="E2103" s="312"/>
      <c r="F2103" s="248"/>
      <c r="G2103" s="312"/>
      <c r="H2103" s="312"/>
      <c r="I2103" s="312"/>
      <c r="J2103" s="248">
        <f t="shared" si="226"/>
        <v>0</v>
      </c>
      <c r="K2103" s="330">
        <f t="shared" si="227"/>
        <v>-300</v>
      </c>
      <c r="L2103" s="313"/>
      <c r="M2103" s="228">
        <f t="shared" si="228"/>
        <v>0</v>
      </c>
      <c r="N2103" s="228">
        <f t="shared" si="224"/>
        <v>0</v>
      </c>
      <c r="O2103" s="228">
        <f t="shared" si="225"/>
        <v>0</v>
      </c>
      <c r="P2103" s="228">
        <f t="shared" si="225"/>
        <v>0</v>
      </c>
      <c r="Q2103" s="228">
        <f t="shared" si="229"/>
        <v>0</v>
      </c>
      <c r="R2103" s="343">
        <f t="shared" si="230"/>
        <v>-300</v>
      </c>
      <c r="S2103" s="240"/>
      <c r="T2103" s="201"/>
      <c r="U2103" s="201"/>
      <c r="V2103" s="201"/>
    </row>
    <row r="2104" spans="1:22" ht="15.75" x14ac:dyDescent="0.25">
      <c r="A2104" s="234" t="s">
        <v>2612</v>
      </c>
      <c r="B2104" s="235" t="s">
        <v>2613</v>
      </c>
      <c r="C2104" s="234" t="s">
        <v>2535</v>
      </c>
      <c r="D2104" s="312">
        <v>600</v>
      </c>
      <c r="E2104" s="312"/>
      <c r="F2104" s="248"/>
      <c r="G2104" s="312"/>
      <c r="H2104" s="312"/>
      <c r="I2104" s="312"/>
      <c r="J2104" s="248">
        <f t="shared" si="226"/>
        <v>0</v>
      </c>
      <c r="K2104" s="330">
        <f t="shared" si="227"/>
        <v>-600</v>
      </c>
      <c r="L2104" s="313"/>
      <c r="M2104" s="228">
        <f t="shared" si="228"/>
        <v>0</v>
      </c>
      <c r="N2104" s="228">
        <f t="shared" si="224"/>
        <v>0</v>
      </c>
      <c r="O2104" s="228">
        <f t="shared" si="225"/>
        <v>0</v>
      </c>
      <c r="P2104" s="228">
        <f t="shared" si="225"/>
        <v>0</v>
      </c>
      <c r="Q2104" s="228">
        <f t="shared" si="229"/>
        <v>0</v>
      </c>
      <c r="R2104" s="343">
        <f t="shared" si="230"/>
        <v>-600</v>
      </c>
      <c r="S2104" s="240"/>
      <c r="T2104" s="201"/>
      <c r="U2104" s="201"/>
      <c r="V2104" s="201"/>
    </row>
    <row r="2105" spans="1:22" ht="15.75" x14ac:dyDescent="0.25">
      <c r="A2105" s="234" t="s">
        <v>2614</v>
      </c>
      <c r="B2105" s="235" t="s">
        <v>2615</v>
      </c>
      <c r="C2105" s="234" t="s">
        <v>2535</v>
      </c>
      <c r="D2105" s="312">
        <v>600</v>
      </c>
      <c r="E2105" s="312"/>
      <c r="F2105" s="248"/>
      <c r="G2105" s="312"/>
      <c r="H2105" s="312"/>
      <c r="I2105" s="312"/>
      <c r="J2105" s="248">
        <f t="shared" si="226"/>
        <v>0</v>
      </c>
      <c r="K2105" s="330">
        <f t="shared" si="227"/>
        <v>-600</v>
      </c>
      <c r="L2105" s="313"/>
      <c r="M2105" s="228">
        <f t="shared" si="228"/>
        <v>0</v>
      </c>
      <c r="N2105" s="228">
        <f t="shared" si="224"/>
        <v>0</v>
      </c>
      <c r="O2105" s="228">
        <f t="shared" si="225"/>
        <v>0</v>
      </c>
      <c r="P2105" s="228">
        <f t="shared" si="225"/>
        <v>0</v>
      </c>
      <c r="Q2105" s="228">
        <f t="shared" si="229"/>
        <v>0</v>
      </c>
      <c r="R2105" s="343">
        <f t="shared" si="230"/>
        <v>-600</v>
      </c>
      <c r="S2105" s="240"/>
      <c r="T2105" s="201"/>
      <c r="U2105" s="201"/>
      <c r="V2105" s="201"/>
    </row>
    <row r="2106" spans="1:22" ht="15.75" x14ac:dyDescent="0.25">
      <c r="A2106" s="234" t="s">
        <v>2616</v>
      </c>
      <c r="B2106" s="235" t="s">
        <v>2617</v>
      </c>
      <c r="C2106" s="234" t="s">
        <v>2535</v>
      </c>
      <c r="D2106" s="312">
        <v>300</v>
      </c>
      <c r="E2106" s="312"/>
      <c r="F2106" s="248"/>
      <c r="G2106" s="312"/>
      <c r="H2106" s="312"/>
      <c r="I2106" s="312"/>
      <c r="J2106" s="248">
        <f t="shared" si="226"/>
        <v>0</v>
      </c>
      <c r="K2106" s="330">
        <f t="shared" si="227"/>
        <v>-300</v>
      </c>
      <c r="L2106" s="313"/>
      <c r="M2106" s="228">
        <f t="shared" si="228"/>
        <v>0</v>
      </c>
      <c r="N2106" s="228">
        <f t="shared" si="224"/>
        <v>0</v>
      </c>
      <c r="O2106" s="228">
        <f t="shared" si="225"/>
        <v>0</v>
      </c>
      <c r="P2106" s="228">
        <f t="shared" si="225"/>
        <v>0</v>
      </c>
      <c r="Q2106" s="228">
        <f t="shared" si="229"/>
        <v>0</v>
      </c>
      <c r="R2106" s="343">
        <f t="shared" si="230"/>
        <v>-300</v>
      </c>
      <c r="S2106" s="240"/>
      <c r="T2106" s="201"/>
      <c r="U2106" s="201"/>
      <c r="V2106" s="201"/>
    </row>
    <row r="2107" spans="1:22" ht="15.75" x14ac:dyDescent="0.25">
      <c r="A2107" s="234" t="s">
        <v>2618</v>
      </c>
      <c r="B2107" s="235" t="s">
        <v>2619</v>
      </c>
      <c r="C2107" s="234" t="s">
        <v>1867</v>
      </c>
      <c r="D2107" s="312">
        <v>36</v>
      </c>
      <c r="E2107" s="312"/>
      <c r="F2107" s="248"/>
      <c r="G2107" s="312"/>
      <c r="H2107" s="312"/>
      <c r="I2107" s="312"/>
      <c r="J2107" s="248">
        <f t="shared" si="226"/>
        <v>0</v>
      </c>
      <c r="K2107" s="330">
        <f t="shared" si="227"/>
        <v>-36</v>
      </c>
      <c r="L2107" s="313"/>
      <c r="M2107" s="228">
        <f t="shared" si="228"/>
        <v>0</v>
      </c>
      <c r="N2107" s="228">
        <f t="shared" si="224"/>
        <v>0</v>
      </c>
      <c r="O2107" s="228">
        <f t="shared" si="225"/>
        <v>0</v>
      </c>
      <c r="P2107" s="228">
        <f t="shared" si="225"/>
        <v>0</v>
      </c>
      <c r="Q2107" s="228">
        <f t="shared" si="229"/>
        <v>0</v>
      </c>
      <c r="R2107" s="343">
        <f t="shared" si="230"/>
        <v>-36</v>
      </c>
      <c r="S2107" s="240"/>
      <c r="T2107" s="201"/>
      <c r="U2107" s="201"/>
      <c r="V2107" s="201"/>
    </row>
    <row r="2108" spans="1:22" ht="15.75" x14ac:dyDescent="0.25">
      <c r="A2108" s="234" t="s">
        <v>2620</v>
      </c>
      <c r="B2108" s="235" t="s">
        <v>2621</v>
      </c>
      <c r="C2108" s="234" t="s">
        <v>1867</v>
      </c>
      <c r="D2108" s="312">
        <v>36</v>
      </c>
      <c r="E2108" s="312"/>
      <c r="F2108" s="248"/>
      <c r="G2108" s="312"/>
      <c r="H2108" s="312"/>
      <c r="I2108" s="312"/>
      <c r="J2108" s="248">
        <f t="shared" si="226"/>
        <v>0</v>
      </c>
      <c r="K2108" s="330">
        <f t="shared" si="227"/>
        <v>-36</v>
      </c>
      <c r="L2108" s="313"/>
      <c r="M2108" s="228">
        <f t="shared" si="228"/>
        <v>0</v>
      </c>
      <c r="N2108" s="228">
        <f t="shared" si="224"/>
        <v>0</v>
      </c>
      <c r="O2108" s="228">
        <f t="shared" si="225"/>
        <v>0</v>
      </c>
      <c r="P2108" s="228">
        <f t="shared" si="225"/>
        <v>0</v>
      </c>
      <c r="Q2108" s="228">
        <f t="shared" si="229"/>
        <v>0</v>
      </c>
      <c r="R2108" s="343">
        <f t="shared" si="230"/>
        <v>-36</v>
      </c>
      <c r="S2108" s="240"/>
      <c r="T2108" s="201"/>
      <c r="U2108" s="201"/>
      <c r="V2108" s="201"/>
    </row>
    <row r="2109" spans="1:22" ht="30" x14ac:dyDescent="0.25">
      <c r="A2109" s="234" t="s">
        <v>2622</v>
      </c>
      <c r="B2109" s="235" t="s">
        <v>2623</v>
      </c>
      <c r="C2109" s="234" t="s">
        <v>248</v>
      </c>
      <c r="D2109" s="312">
        <v>2</v>
      </c>
      <c r="E2109" s="312"/>
      <c r="F2109" s="248"/>
      <c r="G2109" s="312"/>
      <c r="H2109" s="312"/>
      <c r="I2109" s="312"/>
      <c r="J2109" s="248">
        <f t="shared" si="226"/>
        <v>0</v>
      </c>
      <c r="K2109" s="330">
        <f t="shared" si="227"/>
        <v>-2</v>
      </c>
      <c r="L2109" s="313"/>
      <c r="M2109" s="228">
        <f t="shared" si="228"/>
        <v>0</v>
      </c>
      <c r="N2109" s="228">
        <f t="shared" si="224"/>
        <v>0</v>
      </c>
      <c r="O2109" s="228">
        <f t="shared" si="225"/>
        <v>0</v>
      </c>
      <c r="P2109" s="228">
        <f t="shared" si="225"/>
        <v>0</v>
      </c>
      <c r="Q2109" s="228">
        <f t="shared" si="229"/>
        <v>0</v>
      </c>
      <c r="R2109" s="343">
        <f t="shared" si="230"/>
        <v>-2</v>
      </c>
      <c r="S2109" s="240"/>
      <c r="T2109" s="201"/>
      <c r="U2109" s="201"/>
      <c r="V2109" s="201"/>
    </row>
    <row r="2110" spans="1:22" ht="30" x14ac:dyDescent="0.25">
      <c r="A2110" s="234" t="s">
        <v>2624</v>
      </c>
      <c r="B2110" s="235" t="s">
        <v>2625</v>
      </c>
      <c r="C2110" s="234" t="s">
        <v>248</v>
      </c>
      <c r="D2110" s="312">
        <v>1</v>
      </c>
      <c r="E2110" s="312"/>
      <c r="F2110" s="248"/>
      <c r="G2110" s="312"/>
      <c r="H2110" s="312"/>
      <c r="I2110" s="312"/>
      <c r="J2110" s="248">
        <f t="shared" si="226"/>
        <v>0</v>
      </c>
      <c r="K2110" s="330">
        <f t="shared" si="227"/>
        <v>-1</v>
      </c>
      <c r="L2110" s="313"/>
      <c r="M2110" s="228">
        <f t="shared" si="228"/>
        <v>0</v>
      </c>
      <c r="N2110" s="228">
        <f t="shared" si="224"/>
        <v>0</v>
      </c>
      <c r="O2110" s="228">
        <f t="shared" si="225"/>
        <v>0</v>
      </c>
      <c r="P2110" s="228">
        <f t="shared" si="225"/>
        <v>0</v>
      </c>
      <c r="Q2110" s="228">
        <f t="shared" si="229"/>
        <v>0</v>
      </c>
      <c r="R2110" s="343">
        <f t="shared" si="230"/>
        <v>-1</v>
      </c>
      <c r="S2110" s="240"/>
      <c r="T2110" s="201"/>
      <c r="U2110" s="201"/>
      <c r="V2110" s="201"/>
    </row>
    <row r="2111" spans="1:22" ht="28.5" x14ac:dyDescent="0.25">
      <c r="A2111" s="230" t="s">
        <v>2626</v>
      </c>
      <c r="B2111" s="231" t="s">
        <v>2627</v>
      </c>
      <c r="C2111" s="230"/>
      <c r="D2111" s="316"/>
      <c r="E2111" s="316"/>
      <c r="F2111" s="317"/>
      <c r="G2111" s="316"/>
      <c r="H2111" s="316"/>
      <c r="I2111" s="316"/>
      <c r="J2111" s="248">
        <f t="shared" si="226"/>
        <v>0</v>
      </c>
      <c r="K2111" s="330">
        <f t="shared" si="227"/>
        <v>0</v>
      </c>
      <c r="L2111" s="318"/>
      <c r="M2111" s="228">
        <f t="shared" si="228"/>
        <v>0</v>
      </c>
      <c r="N2111" s="228">
        <f t="shared" ref="N2111:N2166" si="231">G2111</f>
        <v>0</v>
      </c>
      <c r="O2111" s="228">
        <f t="shared" ref="O2111:P2166" si="232">H2111</f>
        <v>0</v>
      </c>
      <c r="P2111" s="228">
        <f t="shared" si="232"/>
        <v>0</v>
      </c>
      <c r="Q2111" s="228">
        <f t="shared" si="229"/>
        <v>0</v>
      </c>
      <c r="R2111" s="343">
        <f t="shared" si="230"/>
        <v>0</v>
      </c>
      <c r="S2111" s="240"/>
      <c r="T2111" s="201"/>
      <c r="U2111" s="201"/>
      <c r="V2111" s="201"/>
    </row>
    <row r="2112" spans="1:22" ht="75" x14ac:dyDescent="0.25">
      <c r="A2112" s="234" t="s">
        <v>2628</v>
      </c>
      <c r="B2112" s="235" t="s">
        <v>2629</v>
      </c>
      <c r="C2112" s="234" t="s">
        <v>2502</v>
      </c>
      <c r="D2112" s="312">
        <v>1</v>
      </c>
      <c r="E2112" s="312"/>
      <c r="F2112" s="248"/>
      <c r="G2112" s="312"/>
      <c r="H2112" s="312"/>
      <c r="I2112" s="312"/>
      <c r="J2112" s="248">
        <f t="shared" si="226"/>
        <v>0</v>
      </c>
      <c r="K2112" s="330">
        <f t="shared" si="227"/>
        <v>-1</v>
      </c>
      <c r="L2112" s="313"/>
      <c r="M2112" s="228">
        <f t="shared" si="228"/>
        <v>0</v>
      </c>
      <c r="N2112" s="228">
        <f t="shared" si="231"/>
        <v>0</v>
      </c>
      <c r="O2112" s="228">
        <f t="shared" si="232"/>
        <v>0</v>
      </c>
      <c r="P2112" s="228">
        <f t="shared" si="232"/>
        <v>0</v>
      </c>
      <c r="Q2112" s="228">
        <f t="shared" si="229"/>
        <v>0</v>
      </c>
      <c r="R2112" s="343">
        <f t="shared" si="230"/>
        <v>-1</v>
      </c>
      <c r="S2112" s="240"/>
      <c r="T2112" s="201"/>
      <c r="U2112" s="201"/>
      <c r="V2112" s="201"/>
    </row>
    <row r="2113" spans="1:22" ht="75" x14ac:dyDescent="0.25">
      <c r="A2113" s="234" t="s">
        <v>2630</v>
      </c>
      <c r="B2113" s="235" t="s">
        <v>2631</v>
      </c>
      <c r="C2113" s="234" t="s">
        <v>2632</v>
      </c>
      <c r="D2113" s="312">
        <v>1</v>
      </c>
      <c r="E2113" s="312"/>
      <c r="F2113" s="248"/>
      <c r="G2113" s="312"/>
      <c r="H2113" s="312"/>
      <c r="I2113" s="312"/>
      <c r="J2113" s="248">
        <f t="shared" si="226"/>
        <v>0</v>
      </c>
      <c r="K2113" s="330">
        <f t="shared" si="227"/>
        <v>-1</v>
      </c>
      <c r="L2113" s="313"/>
      <c r="M2113" s="228">
        <f t="shared" si="228"/>
        <v>0</v>
      </c>
      <c r="N2113" s="228">
        <f t="shared" si="231"/>
        <v>0</v>
      </c>
      <c r="O2113" s="228">
        <f t="shared" si="232"/>
        <v>0</v>
      </c>
      <c r="P2113" s="228">
        <f t="shared" si="232"/>
        <v>0</v>
      </c>
      <c r="Q2113" s="228">
        <f t="shared" si="229"/>
        <v>0</v>
      </c>
      <c r="R2113" s="343">
        <f t="shared" si="230"/>
        <v>-1</v>
      </c>
      <c r="S2113" s="240"/>
      <c r="T2113" s="201"/>
      <c r="U2113" s="201"/>
      <c r="V2113" s="201"/>
    </row>
    <row r="2114" spans="1:22" ht="75" x14ac:dyDescent="0.25">
      <c r="A2114" s="234" t="s">
        <v>2633</v>
      </c>
      <c r="B2114" s="235" t="s">
        <v>2634</v>
      </c>
      <c r="C2114" s="234" t="s">
        <v>2502</v>
      </c>
      <c r="D2114" s="312">
        <v>1</v>
      </c>
      <c r="E2114" s="312"/>
      <c r="F2114" s="248"/>
      <c r="G2114" s="312"/>
      <c r="H2114" s="312"/>
      <c r="I2114" s="312"/>
      <c r="J2114" s="248">
        <f t="shared" si="226"/>
        <v>0</v>
      </c>
      <c r="K2114" s="330">
        <f t="shared" si="227"/>
        <v>-1</v>
      </c>
      <c r="L2114" s="313"/>
      <c r="M2114" s="228">
        <f t="shared" si="228"/>
        <v>0</v>
      </c>
      <c r="N2114" s="228">
        <f t="shared" si="231"/>
        <v>0</v>
      </c>
      <c r="O2114" s="228">
        <f t="shared" si="232"/>
        <v>0</v>
      </c>
      <c r="P2114" s="228">
        <f t="shared" si="232"/>
        <v>0</v>
      </c>
      <c r="Q2114" s="228">
        <f t="shared" si="229"/>
        <v>0</v>
      </c>
      <c r="R2114" s="343">
        <f t="shared" si="230"/>
        <v>-1</v>
      </c>
      <c r="S2114" s="240"/>
      <c r="T2114" s="201"/>
      <c r="U2114" s="201"/>
      <c r="V2114" s="201"/>
    </row>
    <row r="2115" spans="1:22" ht="75" x14ac:dyDescent="0.25">
      <c r="A2115" s="234" t="s">
        <v>2635</v>
      </c>
      <c r="B2115" s="235" t="s">
        <v>2636</v>
      </c>
      <c r="C2115" s="234" t="s">
        <v>2502</v>
      </c>
      <c r="D2115" s="312">
        <v>1</v>
      </c>
      <c r="E2115" s="312"/>
      <c r="F2115" s="248"/>
      <c r="G2115" s="312"/>
      <c r="H2115" s="312"/>
      <c r="I2115" s="312"/>
      <c r="J2115" s="248">
        <f t="shared" si="226"/>
        <v>0</v>
      </c>
      <c r="K2115" s="330">
        <f t="shared" si="227"/>
        <v>-1</v>
      </c>
      <c r="L2115" s="313"/>
      <c r="M2115" s="228">
        <f t="shared" si="228"/>
        <v>0</v>
      </c>
      <c r="N2115" s="228">
        <f t="shared" si="231"/>
        <v>0</v>
      </c>
      <c r="O2115" s="228">
        <f t="shared" si="232"/>
        <v>0</v>
      </c>
      <c r="P2115" s="228">
        <f t="shared" si="232"/>
        <v>0</v>
      </c>
      <c r="Q2115" s="228">
        <f t="shared" si="229"/>
        <v>0</v>
      </c>
      <c r="R2115" s="343">
        <f t="shared" si="230"/>
        <v>-1</v>
      </c>
      <c r="S2115" s="240"/>
      <c r="T2115" s="201"/>
      <c r="U2115" s="201"/>
      <c r="V2115" s="201"/>
    </row>
    <row r="2116" spans="1:22" ht="45" x14ac:dyDescent="0.25">
      <c r="A2116" s="234" t="s">
        <v>2637</v>
      </c>
      <c r="B2116" s="235" t="s">
        <v>2638</v>
      </c>
      <c r="C2116" s="234" t="s">
        <v>2632</v>
      </c>
      <c r="D2116" s="312">
        <v>1</v>
      </c>
      <c r="E2116" s="312"/>
      <c r="F2116" s="248"/>
      <c r="G2116" s="312"/>
      <c r="H2116" s="312"/>
      <c r="I2116" s="312"/>
      <c r="J2116" s="248">
        <f t="shared" si="226"/>
        <v>0</v>
      </c>
      <c r="K2116" s="330">
        <f t="shared" si="227"/>
        <v>-1</v>
      </c>
      <c r="L2116" s="313"/>
      <c r="M2116" s="228">
        <f t="shared" si="228"/>
        <v>0</v>
      </c>
      <c r="N2116" s="228">
        <f t="shared" si="231"/>
        <v>0</v>
      </c>
      <c r="O2116" s="228">
        <f t="shared" si="232"/>
        <v>0</v>
      </c>
      <c r="P2116" s="228">
        <f t="shared" si="232"/>
        <v>0</v>
      </c>
      <c r="Q2116" s="228">
        <f t="shared" si="229"/>
        <v>0</v>
      </c>
      <c r="R2116" s="343">
        <f t="shared" si="230"/>
        <v>-1</v>
      </c>
      <c r="S2116" s="240"/>
      <c r="T2116" s="201"/>
      <c r="U2116" s="201"/>
      <c r="V2116" s="201"/>
    </row>
    <row r="2117" spans="1:22" ht="42.75" x14ac:dyDescent="0.25">
      <c r="A2117" s="230" t="s">
        <v>3489</v>
      </c>
      <c r="B2117" s="231" t="s">
        <v>3490</v>
      </c>
      <c r="C2117" s="230"/>
      <c r="D2117" s="316"/>
      <c r="E2117" s="316"/>
      <c r="F2117" s="317"/>
      <c r="G2117" s="248"/>
      <c r="H2117" s="228"/>
      <c r="I2117" s="313"/>
      <c r="J2117" s="248">
        <f t="shared" si="226"/>
        <v>0</v>
      </c>
      <c r="K2117" s="330">
        <f t="shared" si="227"/>
        <v>0</v>
      </c>
      <c r="L2117" s="228"/>
      <c r="M2117" s="228">
        <f t="shared" si="228"/>
        <v>0</v>
      </c>
      <c r="N2117" s="228">
        <f t="shared" si="231"/>
        <v>0</v>
      </c>
      <c r="O2117" s="228">
        <f t="shared" si="232"/>
        <v>0</v>
      </c>
      <c r="P2117" s="228">
        <f t="shared" si="232"/>
        <v>0</v>
      </c>
      <c r="Q2117" s="228">
        <f t="shared" si="229"/>
        <v>0</v>
      </c>
      <c r="R2117" s="343">
        <f t="shared" si="230"/>
        <v>0</v>
      </c>
      <c r="S2117" s="240"/>
      <c r="T2117" s="201"/>
      <c r="U2117" s="201"/>
      <c r="V2117" s="201"/>
    </row>
    <row r="2118" spans="1:22" ht="57" x14ac:dyDescent="0.25">
      <c r="A2118" s="230" t="s">
        <v>3491</v>
      </c>
      <c r="B2118" s="231" t="s">
        <v>3492</v>
      </c>
      <c r="C2118" s="230"/>
      <c r="D2118" s="316"/>
      <c r="E2118" s="312"/>
      <c r="F2118" s="248"/>
      <c r="G2118" s="248"/>
      <c r="H2118" s="228"/>
      <c r="I2118" s="313"/>
      <c r="J2118" s="248">
        <f t="shared" si="226"/>
        <v>0</v>
      </c>
      <c r="K2118" s="330">
        <f t="shared" si="227"/>
        <v>0</v>
      </c>
      <c r="L2118" s="228"/>
      <c r="M2118" s="228">
        <f t="shared" si="228"/>
        <v>0</v>
      </c>
      <c r="N2118" s="228">
        <f t="shared" si="231"/>
        <v>0</v>
      </c>
      <c r="O2118" s="228">
        <f t="shared" si="232"/>
        <v>0</v>
      </c>
      <c r="P2118" s="228">
        <f t="shared" si="232"/>
        <v>0</v>
      </c>
      <c r="Q2118" s="228">
        <f t="shared" si="229"/>
        <v>0</v>
      </c>
      <c r="R2118" s="343">
        <f t="shared" si="230"/>
        <v>0</v>
      </c>
      <c r="S2118" s="240"/>
      <c r="T2118" s="201"/>
      <c r="U2118" s="201"/>
      <c r="V2118" s="201"/>
    </row>
    <row r="2119" spans="1:22" ht="30" x14ac:dyDescent="0.25">
      <c r="A2119" s="234" t="s">
        <v>3493</v>
      </c>
      <c r="B2119" s="235" t="s">
        <v>3494</v>
      </c>
      <c r="C2119" s="234" t="s">
        <v>3495</v>
      </c>
      <c r="D2119" s="312">
        <v>1</v>
      </c>
      <c r="E2119" s="312"/>
      <c r="F2119" s="248"/>
      <c r="G2119" s="312"/>
      <c r="H2119" s="228"/>
      <c r="I2119" s="312">
        <v>1</v>
      </c>
      <c r="J2119" s="248">
        <f t="shared" si="226"/>
        <v>1</v>
      </c>
      <c r="K2119" s="330">
        <f t="shared" si="227"/>
        <v>0</v>
      </c>
      <c r="L2119" s="228"/>
      <c r="M2119" s="228">
        <f t="shared" si="228"/>
        <v>0</v>
      </c>
      <c r="N2119" s="228">
        <f t="shared" si="231"/>
        <v>0</v>
      </c>
      <c r="O2119" s="228">
        <f t="shared" si="232"/>
        <v>0</v>
      </c>
      <c r="P2119" s="228">
        <f t="shared" si="232"/>
        <v>1</v>
      </c>
      <c r="Q2119" s="228">
        <f t="shared" si="229"/>
        <v>1</v>
      </c>
      <c r="R2119" s="343">
        <f t="shared" si="230"/>
        <v>0</v>
      </c>
      <c r="S2119" s="240"/>
      <c r="T2119" s="201"/>
      <c r="U2119" s="201"/>
      <c r="V2119" s="201"/>
    </row>
    <row r="2120" spans="1:22" ht="30" x14ac:dyDescent="0.25">
      <c r="A2120" s="234" t="s">
        <v>3496</v>
      </c>
      <c r="B2120" s="235" t="s">
        <v>3494</v>
      </c>
      <c r="C2120" s="234" t="s">
        <v>3495</v>
      </c>
      <c r="D2120" s="312">
        <v>1</v>
      </c>
      <c r="E2120" s="312"/>
      <c r="F2120" s="248"/>
      <c r="G2120" s="312"/>
      <c r="H2120" s="228"/>
      <c r="I2120" s="312">
        <v>1</v>
      </c>
      <c r="J2120" s="248">
        <f t="shared" si="226"/>
        <v>1</v>
      </c>
      <c r="K2120" s="330">
        <f t="shared" si="227"/>
        <v>0</v>
      </c>
      <c r="L2120" s="228"/>
      <c r="M2120" s="228">
        <f t="shared" si="228"/>
        <v>0</v>
      </c>
      <c r="N2120" s="228">
        <f t="shared" si="231"/>
        <v>0</v>
      </c>
      <c r="O2120" s="228">
        <f t="shared" si="232"/>
        <v>0</v>
      </c>
      <c r="P2120" s="228">
        <f t="shared" si="232"/>
        <v>1</v>
      </c>
      <c r="Q2120" s="228">
        <f t="shared" si="229"/>
        <v>1</v>
      </c>
      <c r="R2120" s="343">
        <f t="shared" si="230"/>
        <v>0</v>
      </c>
      <c r="S2120" s="240"/>
      <c r="T2120" s="201"/>
      <c r="U2120" s="201"/>
      <c r="V2120" s="201"/>
    </row>
    <row r="2121" spans="1:22" ht="30" x14ac:dyDescent="0.25">
      <c r="A2121" s="234" t="s">
        <v>3497</v>
      </c>
      <c r="B2121" s="235" t="s">
        <v>3494</v>
      </c>
      <c r="C2121" s="234" t="s">
        <v>3495</v>
      </c>
      <c r="D2121" s="312">
        <v>1</v>
      </c>
      <c r="E2121" s="312"/>
      <c r="F2121" s="248"/>
      <c r="G2121" s="312"/>
      <c r="H2121" s="228"/>
      <c r="I2121" s="312">
        <v>1</v>
      </c>
      <c r="J2121" s="248">
        <f t="shared" si="226"/>
        <v>1</v>
      </c>
      <c r="K2121" s="330">
        <f t="shared" si="227"/>
        <v>0</v>
      </c>
      <c r="L2121" s="228"/>
      <c r="M2121" s="228">
        <f t="shared" si="228"/>
        <v>0</v>
      </c>
      <c r="N2121" s="228">
        <f t="shared" si="231"/>
        <v>0</v>
      </c>
      <c r="O2121" s="228">
        <f t="shared" si="232"/>
        <v>0</v>
      </c>
      <c r="P2121" s="228">
        <f t="shared" si="232"/>
        <v>1</v>
      </c>
      <c r="Q2121" s="228">
        <f t="shared" si="229"/>
        <v>1</v>
      </c>
      <c r="R2121" s="343">
        <f t="shared" si="230"/>
        <v>0</v>
      </c>
      <c r="S2121" s="240"/>
      <c r="T2121" s="201"/>
      <c r="U2121" s="201"/>
      <c r="V2121" s="201"/>
    </row>
    <row r="2122" spans="1:22" ht="30" x14ac:dyDescent="0.25">
      <c r="A2122" s="234" t="s">
        <v>3498</v>
      </c>
      <c r="B2122" s="235" t="s">
        <v>3499</v>
      </c>
      <c r="C2122" s="234" t="s">
        <v>248</v>
      </c>
      <c r="D2122" s="312">
        <v>1</v>
      </c>
      <c r="E2122" s="312"/>
      <c r="F2122" s="248"/>
      <c r="G2122" s="312"/>
      <c r="H2122" s="228"/>
      <c r="I2122" s="312">
        <v>1</v>
      </c>
      <c r="J2122" s="248">
        <f t="shared" si="226"/>
        <v>1</v>
      </c>
      <c r="K2122" s="330">
        <f t="shared" si="227"/>
        <v>0</v>
      </c>
      <c r="L2122" s="228"/>
      <c r="M2122" s="228">
        <f t="shared" si="228"/>
        <v>0</v>
      </c>
      <c r="N2122" s="228">
        <f t="shared" si="231"/>
        <v>0</v>
      </c>
      <c r="O2122" s="228">
        <f t="shared" si="232"/>
        <v>0</v>
      </c>
      <c r="P2122" s="228">
        <f t="shared" si="232"/>
        <v>1</v>
      </c>
      <c r="Q2122" s="228">
        <f t="shared" si="229"/>
        <v>1</v>
      </c>
      <c r="R2122" s="343">
        <f t="shared" si="230"/>
        <v>0</v>
      </c>
      <c r="S2122" s="240"/>
      <c r="T2122" s="201"/>
      <c r="U2122" s="201"/>
      <c r="V2122" s="201"/>
    </row>
    <row r="2123" spans="1:22" ht="57" x14ac:dyDescent="0.25">
      <c r="A2123" s="230" t="s">
        <v>3500</v>
      </c>
      <c r="B2123" s="231" t="s">
        <v>3501</v>
      </c>
      <c r="C2123" s="230"/>
      <c r="D2123" s="316"/>
      <c r="E2123" s="312"/>
      <c r="F2123" s="248"/>
      <c r="G2123" s="312"/>
      <c r="H2123" s="228"/>
      <c r="I2123" s="312"/>
      <c r="J2123" s="248">
        <f t="shared" si="226"/>
        <v>0</v>
      </c>
      <c r="K2123" s="330">
        <f t="shared" si="227"/>
        <v>0</v>
      </c>
      <c r="L2123" s="228"/>
      <c r="M2123" s="228">
        <f t="shared" si="228"/>
        <v>0</v>
      </c>
      <c r="N2123" s="228">
        <f t="shared" si="231"/>
        <v>0</v>
      </c>
      <c r="O2123" s="228">
        <f t="shared" si="232"/>
        <v>0</v>
      </c>
      <c r="P2123" s="228">
        <f t="shared" si="232"/>
        <v>0</v>
      </c>
      <c r="Q2123" s="228">
        <f t="shared" si="229"/>
        <v>0</v>
      </c>
      <c r="R2123" s="343">
        <f t="shared" si="230"/>
        <v>0</v>
      </c>
      <c r="S2123" s="240"/>
      <c r="T2123" s="201"/>
      <c r="U2123" s="201"/>
      <c r="V2123" s="201"/>
    </row>
    <row r="2124" spans="1:22" ht="30" x14ac:dyDescent="0.25">
      <c r="A2124" s="234" t="s">
        <v>3502</v>
      </c>
      <c r="B2124" s="235" t="s">
        <v>3503</v>
      </c>
      <c r="C2124" s="234" t="s">
        <v>3495</v>
      </c>
      <c r="D2124" s="312">
        <v>2</v>
      </c>
      <c r="E2124" s="312"/>
      <c r="F2124" s="248"/>
      <c r="G2124" s="312"/>
      <c r="H2124" s="228"/>
      <c r="I2124" s="312">
        <v>2</v>
      </c>
      <c r="J2124" s="248">
        <f t="shared" si="226"/>
        <v>2</v>
      </c>
      <c r="K2124" s="330">
        <f t="shared" si="227"/>
        <v>0</v>
      </c>
      <c r="L2124" s="228"/>
      <c r="M2124" s="228">
        <f t="shared" si="228"/>
        <v>0</v>
      </c>
      <c r="N2124" s="228">
        <f t="shared" si="231"/>
        <v>0</v>
      </c>
      <c r="O2124" s="228">
        <f t="shared" si="232"/>
        <v>0</v>
      </c>
      <c r="P2124" s="228">
        <f t="shared" si="232"/>
        <v>2</v>
      </c>
      <c r="Q2124" s="228">
        <f t="shared" si="229"/>
        <v>2</v>
      </c>
      <c r="R2124" s="343">
        <f t="shared" si="230"/>
        <v>0</v>
      </c>
      <c r="S2124" s="240"/>
      <c r="T2124" s="201"/>
      <c r="U2124" s="201"/>
      <c r="V2124" s="201"/>
    </row>
    <row r="2125" spans="1:22" ht="30" x14ac:dyDescent="0.25">
      <c r="A2125" s="234" t="s">
        <v>3504</v>
      </c>
      <c r="B2125" s="235" t="s">
        <v>3505</v>
      </c>
      <c r="C2125" s="234" t="s">
        <v>3495</v>
      </c>
      <c r="D2125" s="312">
        <v>2</v>
      </c>
      <c r="E2125" s="312"/>
      <c r="F2125" s="248"/>
      <c r="G2125" s="312"/>
      <c r="H2125" s="228"/>
      <c r="I2125" s="312">
        <v>2</v>
      </c>
      <c r="J2125" s="248">
        <f t="shared" si="226"/>
        <v>2</v>
      </c>
      <c r="K2125" s="330">
        <f t="shared" si="227"/>
        <v>0</v>
      </c>
      <c r="L2125" s="228"/>
      <c r="M2125" s="228">
        <f t="shared" si="228"/>
        <v>0</v>
      </c>
      <c r="N2125" s="228">
        <f t="shared" si="231"/>
        <v>0</v>
      </c>
      <c r="O2125" s="228">
        <f t="shared" si="232"/>
        <v>0</v>
      </c>
      <c r="P2125" s="228">
        <f t="shared" si="232"/>
        <v>2</v>
      </c>
      <c r="Q2125" s="228">
        <f t="shared" si="229"/>
        <v>2</v>
      </c>
      <c r="R2125" s="343">
        <f t="shared" si="230"/>
        <v>0</v>
      </c>
      <c r="S2125" s="240"/>
      <c r="T2125" s="201"/>
      <c r="U2125" s="201"/>
      <c r="V2125" s="201"/>
    </row>
    <row r="2126" spans="1:22" ht="30" x14ac:dyDescent="0.25">
      <c r="A2126" s="234" t="s">
        <v>3506</v>
      </c>
      <c r="B2126" s="235" t="s">
        <v>3505</v>
      </c>
      <c r="C2126" s="234" t="s">
        <v>3495</v>
      </c>
      <c r="D2126" s="312">
        <v>2</v>
      </c>
      <c r="E2126" s="312"/>
      <c r="F2126" s="248"/>
      <c r="G2126" s="312"/>
      <c r="H2126" s="228"/>
      <c r="I2126" s="312">
        <v>2</v>
      </c>
      <c r="J2126" s="248">
        <f t="shared" si="226"/>
        <v>2</v>
      </c>
      <c r="K2126" s="330">
        <f t="shared" si="227"/>
        <v>0</v>
      </c>
      <c r="L2126" s="228"/>
      <c r="M2126" s="228">
        <f t="shared" si="228"/>
        <v>0</v>
      </c>
      <c r="N2126" s="228">
        <f t="shared" si="231"/>
        <v>0</v>
      </c>
      <c r="O2126" s="228">
        <f t="shared" si="232"/>
        <v>0</v>
      </c>
      <c r="P2126" s="228">
        <f t="shared" si="232"/>
        <v>2</v>
      </c>
      <c r="Q2126" s="228">
        <f t="shared" si="229"/>
        <v>2</v>
      </c>
      <c r="R2126" s="343">
        <f t="shared" si="230"/>
        <v>0</v>
      </c>
      <c r="S2126" s="240"/>
      <c r="T2126" s="201"/>
      <c r="U2126" s="201"/>
      <c r="V2126" s="201"/>
    </row>
    <row r="2127" spans="1:22" ht="30" x14ac:dyDescent="0.25">
      <c r="A2127" s="234" t="s">
        <v>3507</v>
      </c>
      <c r="B2127" s="235" t="s">
        <v>3508</v>
      </c>
      <c r="C2127" s="234" t="s">
        <v>248</v>
      </c>
      <c r="D2127" s="312">
        <v>2</v>
      </c>
      <c r="E2127" s="312"/>
      <c r="F2127" s="248"/>
      <c r="G2127" s="312"/>
      <c r="H2127" s="228"/>
      <c r="I2127" s="312">
        <v>2</v>
      </c>
      <c r="J2127" s="248">
        <f t="shared" si="226"/>
        <v>2</v>
      </c>
      <c r="K2127" s="330">
        <f t="shared" si="227"/>
        <v>0</v>
      </c>
      <c r="L2127" s="228"/>
      <c r="M2127" s="228">
        <f t="shared" si="228"/>
        <v>0</v>
      </c>
      <c r="N2127" s="228">
        <f t="shared" si="231"/>
        <v>0</v>
      </c>
      <c r="O2127" s="228">
        <f t="shared" si="232"/>
        <v>0</v>
      </c>
      <c r="P2127" s="228">
        <f t="shared" si="232"/>
        <v>2</v>
      </c>
      <c r="Q2127" s="228">
        <f t="shared" si="229"/>
        <v>2</v>
      </c>
      <c r="R2127" s="343">
        <f t="shared" si="230"/>
        <v>0</v>
      </c>
      <c r="S2127" s="240"/>
      <c r="T2127" s="201"/>
      <c r="U2127" s="201"/>
      <c r="V2127" s="201"/>
    </row>
    <row r="2128" spans="1:22" ht="57" x14ac:dyDescent="0.25">
      <c r="A2128" s="230" t="s">
        <v>3509</v>
      </c>
      <c r="B2128" s="231" t="s">
        <v>3510</v>
      </c>
      <c r="C2128" s="230"/>
      <c r="D2128" s="316"/>
      <c r="E2128" s="312"/>
      <c r="F2128" s="248"/>
      <c r="G2128" s="312"/>
      <c r="H2128" s="228"/>
      <c r="I2128" s="312"/>
      <c r="J2128" s="248">
        <f t="shared" si="226"/>
        <v>0</v>
      </c>
      <c r="K2128" s="330">
        <f t="shared" si="227"/>
        <v>0</v>
      </c>
      <c r="L2128" s="228"/>
      <c r="M2128" s="228">
        <f t="shared" si="228"/>
        <v>0</v>
      </c>
      <c r="N2128" s="228">
        <f t="shared" si="231"/>
        <v>0</v>
      </c>
      <c r="O2128" s="228">
        <f t="shared" si="232"/>
        <v>0</v>
      </c>
      <c r="P2128" s="228">
        <f t="shared" si="232"/>
        <v>0</v>
      </c>
      <c r="Q2128" s="228">
        <f t="shared" si="229"/>
        <v>0</v>
      </c>
      <c r="R2128" s="343">
        <f t="shared" si="230"/>
        <v>0</v>
      </c>
      <c r="S2128" s="240"/>
      <c r="T2128" s="201"/>
      <c r="U2128" s="201"/>
      <c r="V2128" s="201"/>
    </row>
    <row r="2129" spans="1:22" ht="30" x14ac:dyDescent="0.25">
      <c r="A2129" s="234" t="s">
        <v>3511</v>
      </c>
      <c r="B2129" s="235" t="s">
        <v>3503</v>
      </c>
      <c r="C2129" s="234" t="s">
        <v>3495</v>
      </c>
      <c r="D2129" s="312">
        <v>1</v>
      </c>
      <c r="E2129" s="312"/>
      <c r="F2129" s="248"/>
      <c r="G2129" s="312"/>
      <c r="H2129" s="228"/>
      <c r="I2129" s="312">
        <v>1</v>
      </c>
      <c r="J2129" s="248">
        <f t="shared" si="226"/>
        <v>1</v>
      </c>
      <c r="K2129" s="330">
        <f t="shared" si="227"/>
        <v>0</v>
      </c>
      <c r="L2129" s="228"/>
      <c r="M2129" s="228">
        <f t="shared" si="228"/>
        <v>0</v>
      </c>
      <c r="N2129" s="228">
        <f t="shared" si="231"/>
        <v>0</v>
      </c>
      <c r="O2129" s="228">
        <f t="shared" si="232"/>
        <v>0</v>
      </c>
      <c r="P2129" s="228">
        <f t="shared" si="232"/>
        <v>1</v>
      </c>
      <c r="Q2129" s="228">
        <f t="shared" si="229"/>
        <v>1</v>
      </c>
      <c r="R2129" s="343">
        <f t="shared" si="230"/>
        <v>0</v>
      </c>
      <c r="S2129" s="240"/>
      <c r="T2129" s="201"/>
      <c r="U2129" s="201"/>
      <c r="V2129" s="201"/>
    </row>
    <row r="2130" spans="1:22" ht="30" x14ac:dyDescent="0.25">
      <c r="A2130" s="234" t="s">
        <v>3512</v>
      </c>
      <c r="B2130" s="235" t="s">
        <v>3503</v>
      </c>
      <c r="C2130" s="234" t="s">
        <v>3495</v>
      </c>
      <c r="D2130" s="312">
        <v>1</v>
      </c>
      <c r="E2130" s="312"/>
      <c r="F2130" s="248"/>
      <c r="G2130" s="312"/>
      <c r="H2130" s="228"/>
      <c r="I2130" s="312">
        <v>1</v>
      </c>
      <c r="J2130" s="248">
        <f t="shared" si="226"/>
        <v>1</v>
      </c>
      <c r="K2130" s="330">
        <f t="shared" si="227"/>
        <v>0</v>
      </c>
      <c r="L2130" s="228"/>
      <c r="M2130" s="228">
        <f t="shared" si="228"/>
        <v>0</v>
      </c>
      <c r="N2130" s="228">
        <f t="shared" si="231"/>
        <v>0</v>
      </c>
      <c r="O2130" s="228">
        <f t="shared" si="232"/>
        <v>0</v>
      </c>
      <c r="P2130" s="228">
        <f t="shared" si="232"/>
        <v>1</v>
      </c>
      <c r="Q2130" s="228">
        <f t="shared" si="229"/>
        <v>1</v>
      </c>
      <c r="R2130" s="343">
        <f t="shared" si="230"/>
        <v>0</v>
      </c>
      <c r="S2130" s="240"/>
      <c r="T2130" s="201"/>
      <c r="U2130" s="201"/>
      <c r="V2130" s="201"/>
    </row>
    <row r="2131" spans="1:22" ht="30" x14ac:dyDescent="0.25">
      <c r="A2131" s="234" t="s">
        <v>3513</v>
      </c>
      <c r="B2131" s="235" t="s">
        <v>3494</v>
      </c>
      <c r="C2131" s="234" t="s">
        <v>3495</v>
      </c>
      <c r="D2131" s="312">
        <v>1</v>
      </c>
      <c r="E2131" s="312"/>
      <c r="F2131" s="248"/>
      <c r="G2131" s="312"/>
      <c r="H2131" s="228"/>
      <c r="I2131" s="312">
        <v>1</v>
      </c>
      <c r="J2131" s="248">
        <f t="shared" si="226"/>
        <v>1</v>
      </c>
      <c r="K2131" s="330">
        <f t="shared" si="227"/>
        <v>0</v>
      </c>
      <c r="L2131" s="228"/>
      <c r="M2131" s="228">
        <f t="shared" si="228"/>
        <v>0</v>
      </c>
      <c r="N2131" s="228">
        <f t="shared" si="231"/>
        <v>0</v>
      </c>
      <c r="O2131" s="228">
        <f t="shared" si="232"/>
        <v>0</v>
      </c>
      <c r="P2131" s="228">
        <f t="shared" si="232"/>
        <v>1</v>
      </c>
      <c r="Q2131" s="228">
        <f t="shared" si="229"/>
        <v>1</v>
      </c>
      <c r="R2131" s="343">
        <f t="shared" si="230"/>
        <v>0</v>
      </c>
      <c r="S2131" s="240"/>
      <c r="T2131" s="201"/>
      <c r="U2131" s="201"/>
      <c r="V2131" s="201"/>
    </row>
    <row r="2132" spans="1:22" ht="30" x14ac:dyDescent="0.25">
      <c r="A2132" s="234" t="s">
        <v>3514</v>
      </c>
      <c r="B2132" s="235" t="s">
        <v>3508</v>
      </c>
      <c r="C2132" s="234" t="s">
        <v>248</v>
      </c>
      <c r="D2132" s="312">
        <v>1</v>
      </c>
      <c r="E2132" s="312"/>
      <c r="F2132" s="248"/>
      <c r="G2132" s="312"/>
      <c r="H2132" s="228"/>
      <c r="I2132" s="312">
        <v>1</v>
      </c>
      <c r="J2132" s="248">
        <f t="shared" si="226"/>
        <v>1</v>
      </c>
      <c r="K2132" s="330">
        <f t="shared" si="227"/>
        <v>0</v>
      </c>
      <c r="L2132" s="228"/>
      <c r="M2132" s="228">
        <f t="shared" si="228"/>
        <v>0</v>
      </c>
      <c r="N2132" s="228">
        <f t="shared" si="231"/>
        <v>0</v>
      </c>
      <c r="O2132" s="228">
        <f t="shared" si="232"/>
        <v>0</v>
      </c>
      <c r="P2132" s="228">
        <f t="shared" si="232"/>
        <v>1</v>
      </c>
      <c r="Q2132" s="228">
        <f t="shared" si="229"/>
        <v>1</v>
      </c>
      <c r="R2132" s="343">
        <f t="shared" si="230"/>
        <v>0</v>
      </c>
      <c r="S2132" s="240"/>
      <c r="T2132" s="201"/>
      <c r="U2132" s="201"/>
      <c r="V2132" s="201"/>
    </row>
    <row r="2133" spans="1:22" ht="57" x14ac:dyDescent="0.25">
      <c r="A2133" s="230" t="s">
        <v>3515</v>
      </c>
      <c r="B2133" s="231" t="s">
        <v>3516</v>
      </c>
      <c r="C2133" s="230"/>
      <c r="D2133" s="316"/>
      <c r="E2133" s="312"/>
      <c r="F2133" s="248"/>
      <c r="G2133" s="312"/>
      <c r="H2133" s="228"/>
      <c r="I2133" s="312"/>
      <c r="J2133" s="248">
        <f t="shared" si="226"/>
        <v>0</v>
      </c>
      <c r="K2133" s="330">
        <f t="shared" si="227"/>
        <v>0</v>
      </c>
      <c r="L2133" s="228"/>
      <c r="M2133" s="228">
        <f t="shared" si="228"/>
        <v>0</v>
      </c>
      <c r="N2133" s="228">
        <f t="shared" si="231"/>
        <v>0</v>
      </c>
      <c r="O2133" s="228">
        <f t="shared" si="232"/>
        <v>0</v>
      </c>
      <c r="P2133" s="228">
        <f t="shared" si="232"/>
        <v>0</v>
      </c>
      <c r="Q2133" s="228">
        <f t="shared" si="229"/>
        <v>0</v>
      </c>
      <c r="R2133" s="343">
        <f t="shared" si="230"/>
        <v>0</v>
      </c>
      <c r="S2133" s="240"/>
      <c r="T2133" s="201"/>
      <c r="U2133" s="201"/>
      <c r="V2133" s="201"/>
    </row>
    <row r="2134" spans="1:22" ht="30" x14ac:dyDescent="0.25">
      <c r="A2134" s="234" t="s">
        <v>3517</v>
      </c>
      <c r="B2134" s="235" t="s">
        <v>3518</v>
      </c>
      <c r="C2134" s="234" t="s">
        <v>3495</v>
      </c>
      <c r="D2134" s="312">
        <v>1</v>
      </c>
      <c r="E2134" s="312"/>
      <c r="F2134" s="248"/>
      <c r="G2134" s="312"/>
      <c r="H2134" s="228"/>
      <c r="I2134" s="312">
        <v>1</v>
      </c>
      <c r="J2134" s="248">
        <f t="shared" si="226"/>
        <v>1</v>
      </c>
      <c r="K2134" s="330">
        <f t="shared" si="227"/>
        <v>0</v>
      </c>
      <c r="L2134" s="228"/>
      <c r="M2134" s="228">
        <f t="shared" si="228"/>
        <v>0</v>
      </c>
      <c r="N2134" s="228">
        <f t="shared" si="231"/>
        <v>0</v>
      </c>
      <c r="O2134" s="228">
        <f t="shared" si="232"/>
        <v>0</v>
      </c>
      <c r="P2134" s="228">
        <f t="shared" si="232"/>
        <v>1</v>
      </c>
      <c r="Q2134" s="228">
        <f t="shared" si="229"/>
        <v>1</v>
      </c>
      <c r="R2134" s="343">
        <f t="shared" si="230"/>
        <v>0</v>
      </c>
      <c r="S2134" s="240"/>
      <c r="T2134" s="201"/>
      <c r="U2134" s="201"/>
      <c r="V2134" s="201"/>
    </row>
    <row r="2135" spans="1:22" ht="30" x14ac:dyDescent="0.25">
      <c r="A2135" s="234" t="s">
        <v>3519</v>
      </c>
      <c r="B2135" s="235" t="s">
        <v>3503</v>
      </c>
      <c r="C2135" s="234" t="s">
        <v>3495</v>
      </c>
      <c r="D2135" s="312">
        <v>1</v>
      </c>
      <c r="E2135" s="312"/>
      <c r="F2135" s="248"/>
      <c r="G2135" s="312"/>
      <c r="H2135" s="228"/>
      <c r="I2135" s="312">
        <v>1</v>
      </c>
      <c r="J2135" s="248">
        <f t="shared" si="226"/>
        <v>1</v>
      </c>
      <c r="K2135" s="330">
        <f t="shared" si="227"/>
        <v>0</v>
      </c>
      <c r="L2135" s="228"/>
      <c r="M2135" s="228">
        <f t="shared" si="228"/>
        <v>0</v>
      </c>
      <c r="N2135" s="228">
        <f t="shared" si="231"/>
        <v>0</v>
      </c>
      <c r="O2135" s="228">
        <f t="shared" si="232"/>
        <v>0</v>
      </c>
      <c r="P2135" s="228">
        <f t="shared" si="232"/>
        <v>1</v>
      </c>
      <c r="Q2135" s="228">
        <f t="shared" si="229"/>
        <v>1</v>
      </c>
      <c r="R2135" s="343">
        <f t="shared" si="230"/>
        <v>0</v>
      </c>
      <c r="S2135" s="240"/>
      <c r="T2135" s="201"/>
      <c r="U2135" s="201"/>
      <c r="V2135" s="201"/>
    </row>
    <row r="2136" spans="1:22" ht="30" x14ac:dyDescent="0.25">
      <c r="A2136" s="234" t="s">
        <v>3520</v>
      </c>
      <c r="B2136" s="235" t="s">
        <v>3503</v>
      </c>
      <c r="C2136" s="234" t="s">
        <v>3495</v>
      </c>
      <c r="D2136" s="312">
        <v>1</v>
      </c>
      <c r="E2136" s="312"/>
      <c r="F2136" s="248"/>
      <c r="G2136" s="312"/>
      <c r="H2136" s="228"/>
      <c r="I2136" s="312">
        <v>1</v>
      </c>
      <c r="J2136" s="248">
        <f t="shared" si="226"/>
        <v>1</v>
      </c>
      <c r="K2136" s="330">
        <f t="shared" si="227"/>
        <v>0</v>
      </c>
      <c r="L2136" s="228"/>
      <c r="M2136" s="228">
        <f t="shared" si="228"/>
        <v>0</v>
      </c>
      <c r="N2136" s="228">
        <f t="shared" si="231"/>
        <v>0</v>
      </c>
      <c r="O2136" s="228">
        <f t="shared" si="232"/>
        <v>0</v>
      </c>
      <c r="P2136" s="228">
        <f t="shared" si="232"/>
        <v>1</v>
      </c>
      <c r="Q2136" s="228">
        <f t="shared" si="229"/>
        <v>1</v>
      </c>
      <c r="R2136" s="343">
        <f t="shared" si="230"/>
        <v>0</v>
      </c>
      <c r="S2136" s="240"/>
      <c r="T2136" s="201"/>
      <c r="U2136" s="201"/>
      <c r="V2136" s="201"/>
    </row>
    <row r="2137" spans="1:22" ht="30" x14ac:dyDescent="0.25">
      <c r="A2137" s="234" t="s">
        <v>3521</v>
      </c>
      <c r="B2137" s="235" t="s">
        <v>3508</v>
      </c>
      <c r="C2137" s="234" t="s">
        <v>248</v>
      </c>
      <c r="D2137" s="312">
        <v>1</v>
      </c>
      <c r="E2137" s="312"/>
      <c r="F2137" s="248"/>
      <c r="G2137" s="312"/>
      <c r="H2137" s="228"/>
      <c r="I2137" s="312">
        <v>1</v>
      </c>
      <c r="J2137" s="248">
        <f t="shared" si="226"/>
        <v>1</v>
      </c>
      <c r="K2137" s="330">
        <f t="shared" si="227"/>
        <v>0</v>
      </c>
      <c r="L2137" s="228"/>
      <c r="M2137" s="228">
        <f t="shared" si="228"/>
        <v>0</v>
      </c>
      <c r="N2137" s="228">
        <f t="shared" si="231"/>
        <v>0</v>
      </c>
      <c r="O2137" s="228">
        <f t="shared" si="232"/>
        <v>0</v>
      </c>
      <c r="P2137" s="228">
        <f t="shared" si="232"/>
        <v>1</v>
      </c>
      <c r="Q2137" s="228">
        <f t="shared" si="229"/>
        <v>1</v>
      </c>
      <c r="R2137" s="343">
        <f t="shared" si="230"/>
        <v>0</v>
      </c>
      <c r="S2137" s="240"/>
      <c r="T2137" s="201"/>
      <c r="U2137" s="201"/>
      <c r="V2137" s="201"/>
    </row>
    <row r="2138" spans="1:22" ht="57" x14ac:dyDescent="0.25">
      <c r="A2138" s="230" t="s">
        <v>3522</v>
      </c>
      <c r="B2138" s="231" t="s">
        <v>3523</v>
      </c>
      <c r="C2138" s="230"/>
      <c r="D2138" s="316"/>
      <c r="E2138" s="312"/>
      <c r="F2138" s="248"/>
      <c r="G2138" s="312"/>
      <c r="H2138" s="228"/>
      <c r="I2138" s="312"/>
      <c r="J2138" s="248">
        <f t="shared" si="226"/>
        <v>0</v>
      </c>
      <c r="K2138" s="330">
        <f t="shared" si="227"/>
        <v>0</v>
      </c>
      <c r="L2138" s="228"/>
      <c r="M2138" s="228">
        <f t="shared" si="228"/>
        <v>0</v>
      </c>
      <c r="N2138" s="228">
        <f t="shared" si="231"/>
        <v>0</v>
      </c>
      <c r="O2138" s="228">
        <f t="shared" si="232"/>
        <v>0</v>
      </c>
      <c r="P2138" s="228">
        <f t="shared" si="232"/>
        <v>0</v>
      </c>
      <c r="Q2138" s="228">
        <f t="shared" si="229"/>
        <v>0</v>
      </c>
      <c r="R2138" s="343">
        <f t="shared" si="230"/>
        <v>0</v>
      </c>
      <c r="S2138" s="240"/>
      <c r="T2138" s="201"/>
      <c r="U2138" s="201"/>
      <c r="V2138" s="201"/>
    </row>
    <row r="2139" spans="1:22" ht="30" x14ac:dyDescent="0.25">
      <c r="A2139" s="234" t="s">
        <v>3524</v>
      </c>
      <c r="B2139" s="235" t="s">
        <v>3525</v>
      </c>
      <c r="C2139" s="234" t="s">
        <v>3495</v>
      </c>
      <c r="D2139" s="312">
        <v>2</v>
      </c>
      <c r="E2139" s="312"/>
      <c r="F2139" s="248"/>
      <c r="G2139" s="312"/>
      <c r="H2139" s="228"/>
      <c r="I2139" s="312">
        <v>2</v>
      </c>
      <c r="J2139" s="248">
        <f t="shared" si="226"/>
        <v>2</v>
      </c>
      <c r="K2139" s="330">
        <f t="shared" si="227"/>
        <v>0</v>
      </c>
      <c r="L2139" s="228"/>
      <c r="M2139" s="228">
        <f t="shared" si="228"/>
        <v>0</v>
      </c>
      <c r="N2139" s="228">
        <f t="shared" si="231"/>
        <v>0</v>
      </c>
      <c r="O2139" s="228">
        <f t="shared" si="232"/>
        <v>0</v>
      </c>
      <c r="P2139" s="228">
        <f t="shared" si="232"/>
        <v>2</v>
      </c>
      <c r="Q2139" s="228">
        <f t="shared" si="229"/>
        <v>2</v>
      </c>
      <c r="R2139" s="343">
        <f t="shared" si="230"/>
        <v>0</v>
      </c>
      <c r="S2139" s="240"/>
      <c r="T2139" s="201"/>
      <c r="U2139" s="201"/>
      <c r="V2139" s="201"/>
    </row>
    <row r="2140" spans="1:22" ht="30" x14ac:dyDescent="0.25">
      <c r="A2140" s="234" t="s">
        <v>3526</v>
      </c>
      <c r="B2140" s="235" t="s">
        <v>3518</v>
      </c>
      <c r="C2140" s="234" t="s">
        <v>3495</v>
      </c>
      <c r="D2140" s="312">
        <v>2</v>
      </c>
      <c r="E2140" s="312"/>
      <c r="F2140" s="248"/>
      <c r="G2140" s="312"/>
      <c r="H2140" s="228"/>
      <c r="I2140" s="312">
        <v>2</v>
      </c>
      <c r="J2140" s="248">
        <f t="shared" si="226"/>
        <v>2</v>
      </c>
      <c r="K2140" s="330">
        <f t="shared" si="227"/>
        <v>0</v>
      </c>
      <c r="L2140" s="228"/>
      <c r="M2140" s="228">
        <f t="shared" si="228"/>
        <v>0</v>
      </c>
      <c r="N2140" s="228">
        <f t="shared" si="231"/>
        <v>0</v>
      </c>
      <c r="O2140" s="228">
        <f t="shared" si="232"/>
        <v>0</v>
      </c>
      <c r="P2140" s="228">
        <f t="shared" si="232"/>
        <v>2</v>
      </c>
      <c r="Q2140" s="228">
        <f t="shared" si="229"/>
        <v>2</v>
      </c>
      <c r="R2140" s="343">
        <f t="shared" si="230"/>
        <v>0</v>
      </c>
      <c r="S2140" s="240"/>
      <c r="T2140" s="201"/>
      <c r="U2140" s="201"/>
      <c r="V2140" s="201"/>
    </row>
    <row r="2141" spans="1:22" ht="30" x14ac:dyDescent="0.25">
      <c r="A2141" s="234" t="s">
        <v>3527</v>
      </c>
      <c r="B2141" s="235" t="s">
        <v>3503</v>
      </c>
      <c r="C2141" s="234" t="s">
        <v>3495</v>
      </c>
      <c r="D2141" s="312">
        <v>2</v>
      </c>
      <c r="E2141" s="312"/>
      <c r="F2141" s="248"/>
      <c r="G2141" s="312"/>
      <c r="H2141" s="228"/>
      <c r="I2141" s="312">
        <v>2</v>
      </c>
      <c r="J2141" s="248">
        <f t="shared" si="226"/>
        <v>2</v>
      </c>
      <c r="K2141" s="330">
        <f t="shared" si="227"/>
        <v>0</v>
      </c>
      <c r="L2141" s="228"/>
      <c r="M2141" s="228">
        <f t="shared" si="228"/>
        <v>0</v>
      </c>
      <c r="N2141" s="228">
        <f t="shared" si="231"/>
        <v>0</v>
      </c>
      <c r="O2141" s="228">
        <f t="shared" si="232"/>
        <v>0</v>
      </c>
      <c r="P2141" s="228">
        <f t="shared" si="232"/>
        <v>2</v>
      </c>
      <c r="Q2141" s="228">
        <f t="shared" si="229"/>
        <v>2</v>
      </c>
      <c r="R2141" s="343">
        <f t="shared" si="230"/>
        <v>0</v>
      </c>
      <c r="S2141" s="240"/>
      <c r="T2141" s="201"/>
      <c r="U2141" s="201"/>
      <c r="V2141" s="201"/>
    </row>
    <row r="2142" spans="1:22" ht="30" x14ac:dyDescent="0.25">
      <c r="A2142" s="234" t="s">
        <v>3528</v>
      </c>
      <c r="B2142" s="235" t="s">
        <v>3508</v>
      </c>
      <c r="C2142" s="234" t="s">
        <v>248</v>
      </c>
      <c r="D2142" s="312">
        <v>2</v>
      </c>
      <c r="E2142" s="312"/>
      <c r="F2142" s="248"/>
      <c r="G2142" s="312"/>
      <c r="H2142" s="228"/>
      <c r="I2142" s="312">
        <v>2</v>
      </c>
      <c r="J2142" s="248">
        <f t="shared" si="226"/>
        <v>2</v>
      </c>
      <c r="K2142" s="330">
        <f t="shared" si="227"/>
        <v>0</v>
      </c>
      <c r="L2142" s="228"/>
      <c r="M2142" s="228">
        <f t="shared" si="228"/>
        <v>0</v>
      </c>
      <c r="N2142" s="228">
        <f t="shared" si="231"/>
        <v>0</v>
      </c>
      <c r="O2142" s="228">
        <f t="shared" si="232"/>
        <v>0</v>
      </c>
      <c r="P2142" s="228">
        <f t="shared" si="232"/>
        <v>2</v>
      </c>
      <c r="Q2142" s="228">
        <f t="shared" si="229"/>
        <v>2</v>
      </c>
      <c r="R2142" s="343">
        <f t="shared" si="230"/>
        <v>0</v>
      </c>
      <c r="S2142" s="240"/>
      <c r="T2142" s="201"/>
      <c r="U2142" s="201"/>
      <c r="V2142" s="201"/>
    </row>
    <row r="2143" spans="1:22" ht="42.75" x14ac:dyDescent="0.25">
      <c r="A2143" s="230" t="s">
        <v>3529</v>
      </c>
      <c r="B2143" s="231" t="s">
        <v>3530</v>
      </c>
      <c r="C2143" s="230"/>
      <c r="D2143" s="316"/>
      <c r="E2143" s="312"/>
      <c r="F2143" s="248"/>
      <c r="G2143" s="312"/>
      <c r="H2143" s="228"/>
      <c r="I2143" s="312"/>
      <c r="J2143" s="248">
        <f t="shared" si="226"/>
        <v>0</v>
      </c>
      <c r="K2143" s="330">
        <f t="shared" si="227"/>
        <v>0</v>
      </c>
      <c r="L2143" s="228"/>
      <c r="M2143" s="228">
        <f t="shared" si="228"/>
        <v>0</v>
      </c>
      <c r="N2143" s="228">
        <f t="shared" si="231"/>
        <v>0</v>
      </c>
      <c r="O2143" s="228">
        <f t="shared" si="232"/>
        <v>0</v>
      </c>
      <c r="P2143" s="228">
        <f t="shared" si="232"/>
        <v>0</v>
      </c>
      <c r="Q2143" s="228">
        <f t="shared" si="229"/>
        <v>0</v>
      </c>
      <c r="R2143" s="343">
        <f t="shared" si="230"/>
        <v>0</v>
      </c>
      <c r="S2143" s="240"/>
      <c r="T2143" s="201"/>
      <c r="U2143" s="201"/>
      <c r="V2143" s="201"/>
    </row>
    <row r="2144" spans="1:22" ht="30" x14ac:dyDescent="0.25">
      <c r="A2144" s="234" t="s">
        <v>3531</v>
      </c>
      <c r="B2144" s="235" t="s">
        <v>3532</v>
      </c>
      <c r="C2144" s="234" t="s">
        <v>3495</v>
      </c>
      <c r="D2144" s="312">
        <v>1</v>
      </c>
      <c r="E2144" s="312"/>
      <c r="F2144" s="248"/>
      <c r="G2144" s="312"/>
      <c r="H2144" s="228"/>
      <c r="I2144" s="312">
        <v>1</v>
      </c>
      <c r="J2144" s="248">
        <f t="shared" si="226"/>
        <v>1</v>
      </c>
      <c r="K2144" s="330">
        <f t="shared" si="227"/>
        <v>0</v>
      </c>
      <c r="L2144" s="228"/>
      <c r="M2144" s="228">
        <f t="shared" si="228"/>
        <v>0</v>
      </c>
      <c r="N2144" s="228">
        <f t="shared" si="231"/>
        <v>0</v>
      </c>
      <c r="O2144" s="228">
        <f t="shared" si="232"/>
        <v>0</v>
      </c>
      <c r="P2144" s="228">
        <f t="shared" si="232"/>
        <v>1</v>
      </c>
      <c r="Q2144" s="228">
        <f t="shared" si="229"/>
        <v>1</v>
      </c>
      <c r="R2144" s="343">
        <f t="shared" si="230"/>
        <v>0</v>
      </c>
      <c r="S2144" s="240"/>
      <c r="T2144" s="201"/>
      <c r="U2144" s="201"/>
      <c r="V2144" s="201"/>
    </row>
    <row r="2145" spans="1:22" ht="30" x14ac:dyDescent="0.25">
      <c r="A2145" s="234" t="s">
        <v>3533</v>
      </c>
      <c r="B2145" s="235" t="s">
        <v>3532</v>
      </c>
      <c r="C2145" s="234" t="s">
        <v>3495</v>
      </c>
      <c r="D2145" s="312">
        <v>1</v>
      </c>
      <c r="E2145" s="312"/>
      <c r="F2145" s="248"/>
      <c r="G2145" s="312"/>
      <c r="H2145" s="228"/>
      <c r="I2145" s="312">
        <v>1</v>
      </c>
      <c r="J2145" s="248">
        <f t="shared" si="226"/>
        <v>1</v>
      </c>
      <c r="K2145" s="330">
        <f t="shared" si="227"/>
        <v>0</v>
      </c>
      <c r="L2145" s="228"/>
      <c r="M2145" s="228">
        <f t="shared" si="228"/>
        <v>0</v>
      </c>
      <c r="N2145" s="228">
        <f t="shared" si="231"/>
        <v>0</v>
      </c>
      <c r="O2145" s="228">
        <f t="shared" si="232"/>
        <v>0</v>
      </c>
      <c r="P2145" s="228">
        <f t="shared" si="232"/>
        <v>1</v>
      </c>
      <c r="Q2145" s="228">
        <f t="shared" si="229"/>
        <v>1</v>
      </c>
      <c r="R2145" s="343">
        <f t="shared" si="230"/>
        <v>0</v>
      </c>
      <c r="S2145" s="240"/>
      <c r="T2145" s="201"/>
      <c r="U2145" s="201"/>
      <c r="V2145" s="201"/>
    </row>
    <row r="2146" spans="1:22" ht="30" x14ac:dyDescent="0.25">
      <c r="A2146" s="234" t="s">
        <v>3534</v>
      </c>
      <c r="B2146" s="235" t="s">
        <v>3503</v>
      </c>
      <c r="C2146" s="234" t="s">
        <v>3495</v>
      </c>
      <c r="D2146" s="312">
        <v>1</v>
      </c>
      <c r="E2146" s="312"/>
      <c r="F2146" s="248"/>
      <c r="G2146" s="312"/>
      <c r="H2146" s="228"/>
      <c r="I2146" s="312">
        <v>1</v>
      </c>
      <c r="J2146" s="248">
        <f t="shared" si="226"/>
        <v>1</v>
      </c>
      <c r="K2146" s="330">
        <f t="shared" si="227"/>
        <v>0</v>
      </c>
      <c r="L2146" s="228"/>
      <c r="M2146" s="228">
        <f t="shared" si="228"/>
        <v>0</v>
      </c>
      <c r="N2146" s="228">
        <f t="shared" si="231"/>
        <v>0</v>
      </c>
      <c r="O2146" s="228">
        <f t="shared" si="232"/>
        <v>0</v>
      </c>
      <c r="P2146" s="228">
        <f t="shared" si="232"/>
        <v>1</v>
      </c>
      <c r="Q2146" s="228">
        <f t="shared" si="229"/>
        <v>1</v>
      </c>
      <c r="R2146" s="343">
        <f t="shared" si="230"/>
        <v>0</v>
      </c>
      <c r="S2146" s="240"/>
      <c r="T2146" s="201"/>
      <c r="U2146" s="201"/>
      <c r="V2146" s="201"/>
    </row>
    <row r="2147" spans="1:22" ht="30" x14ac:dyDescent="0.25">
      <c r="A2147" s="234" t="s">
        <v>3535</v>
      </c>
      <c r="B2147" s="235" t="s">
        <v>3508</v>
      </c>
      <c r="C2147" s="234" t="s">
        <v>248</v>
      </c>
      <c r="D2147" s="312">
        <v>1</v>
      </c>
      <c r="E2147" s="312"/>
      <c r="F2147" s="248"/>
      <c r="G2147" s="312"/>
      <c r="H2147" s="228"/>
      <c r="I2147" s="312">
        <v>1</v>
      </c>
      <c r="J2147" s="248">
        <f t="shared" si="226"/>
        <v>1</v>
      </c>
      <c r="K2147" s="330">
        <f t="shared" si="227"/>
        <v>0</v>
      </c>
      <c r="L2147" s="228"/>
      <c r="M2147" s="228">
        <f t="shared" si="228"/>
        <v>0</v>
      </c>
      <c r="N2147" s="228">
        <f t="shared" si="231"/>
        <v>0</v>
      </c>
      <c r="O2147" s="228">
        <f t="shared" si="232"/>
        <v>0</v>
      </c>
      <c r="P2147" s="228">
        <f t="shared" si="232"/>
        <v>1</v>
      </c>
      <c r="Q2147" s="228">
        <f t="shared" si="229"/>
        <v>1</v>
      </c>
      <c r="R2147" s="343">
        <f t="shared" si="230"/>
        <v>0</v>
      </c>
      <c r="S2147" s="240"/>
      <c r="T2147" s="201"/>
      <c r="U2147" s="201"/>
      <c r="V2147" s="201"/>
    </row>
    <row r="2148" spans="1:22" ht="57" x14ac:dyDescent="0.25">
      <c r="A2148" s="230" t="s">
        <v>3536</v>
      </c>
      <c r="B2148" s="231" t="s">
        <v>3537</v>
      </c>
      <c r="C2148" s="230"/>
      <c r="D2148" s="316"/>
      <c r="E2148" s="312"/>
      <c r="F2148" s="248"/>
      <c r="G2148" s="312"/>
      <c r="H2148" s="228"/>
      <c r="I2148" s="312"/>
      <c r="J2148" s="248">
        <f t="shared" si="226"/>
        <v>0</v>
      </c>
      <c r="K2148" s="330">
        <f t="shared" si="227"/>
        <v>0</v>
      </c>
      <c r="L2148" s="228"/>
      <c r="M2148" s="228">
        <f t="shared" si="228"/>
        <v>0</v>
      </c>
      <c r="N2148" s="228">
        <f t="shared" si="231"/>
        <v>0</v>
      </c>
      <c r="O2148" s="228">
        <f t="shared" si="232"/>
        <v>0</v>
      </c>
      <c r="P2148" s="228">
        <f t="shared" si="232"/>
        <v>0</v>
      </c>
      <c r="Q2148" s="228">
        <f t="shared" si="229"/>
        <v>0</v>
      </c>
      <c r="R2148" s="343">
        <f t="shared" si="230"/>
        <v>0</v>
      </c>
      <c r="S2148" s="240"/>
      <c r="T2148" s="201"/>
      <c r="U2148" s="201"/>
      <c r="V2148" s="201"/>
    </row>
    <row r="2149" spans="1:22" ht="15.75" x14ac:dyDescent="0.25">
      <c r="A2149" s="234" t="s">
        <v>3538</v>
      </c>
      <c r="B2149" s="235" t="s">
        <v>3539</v>
      </c>
      <c r="C2149" s="234" t="s">
        <v>3495</v>
      </c>
      <c r="D2149" s="312">
        <v>4</v>
      </c>
      <c r="E2149" s="312"/>
      <c r="F2149" s="248"/>
      <c r="G2149" s="312"/>
      <c r="H2149" s="228"/>
      <c r="I2149" s="312">
        <v>4</v>
      </c>
      <c r="J2149" s="248">
        <f t="shared" si="226"/>
        <v>4</v>
      </c>
      <c r="K2149" s="330">
        <f t="shared" si="227"/>
        <v>0</v>
      </c>
      <c r="L2149" s="228"/>
      <c r="M2149" s="228">
        <f t="shared" si="228"/>
        <v>0</v>
      </c>
      <c r="N2149" s="228">
        <f t="shared" si="231"/>
        <v>0</v>
      </c>
      <c r="O2149" s="228">
        <f t="shared" si="232"/>
        <v>0</v>
      </c>
      <c r="P2149" s="228">
        <f t="shared" si="232"/>
        <v>4</v>
      </c>
      <c r="Q2149" s="228">
        <f t="shared" si="229"/>
        <v>4</v>
      </c>
      <c r="R2149" s="343">
        <f t="shared" si="230"/>
        <v>0</v>
      </c>
      <c r="S2149" s="240"/>
      <c r="T2149" s="201"/>
      <c r="U2149" s="201"/>
      <c r="V2149" s="201"/>
    </row>
    <row r="2150" spans="1:22" ht="15.75" x14ac:dyDescent="0.25">
      <c r="A2150" s="234" t="s">
        <v>3540</v>
      </c>
      <c r="B2150" s="235" t="s">
        <v>3541</v>
      </c>
      <c r="C2150" s="234" t="s">
        <v>3495</v>
      </c>
      <c r="D2150" s="312">
        <v>4</v>
      </c>
      <c r="E2150" s="312"/>
      <c r="F2150" s="248"/>
      <c r="G2150" s="312"/>
      <c r="H2150" s="228"/>
      <c r="I2150" s="312">
        <v>4</v>
      </c>
      <c r="J2150" s="248">
        <f t="shared" si="226"/>
        <v>4</v>
      </c>
      <c r="K2150" s="330">
        <f t="shared" si="227"/>
        <v>0</v>
      </c>
      <c r="L2150" s="228"/>
      <c r="M2150" s="228">
        <f t="shared" si="228"/>
        <v>0</v>
      </c>
      <c r="N2150" s="228">
        <f t="shared" si="231"/>
        <v>0</v>
      </c>
      <c r="O2150" s="228">
        <f t="shared" si="232"/>
        <v>0</v>
      </c>
      <c r="P2150" s="228">
        <f t="shared" si="232"/>
        <v>4</v>
      </c>
      <c r="Q2150" s="228">
        <f t="shared" si="229"/>
        <v>4</v>
      </c>
      <c r="R2150" s="343">
        <f t="shared" si="230"/>
        <v>0</v>
      </c>
      <c r="S2150" s="240"/>
      <c r="T2150" s="201"/>
      <c r="U2150" s="201"/>
      <c r="V2150" s="201"/>
    </row>
    <row r="2151" spans="1:22" ht="30" x14ac:dyDescent="0.25">
      <c r="A2151" s="234" t="s">
        <v>3542</v>
      </c>
      <c r="B2151" s="235" t="s">
        <v>3543</v>
      </c>
      <c r="C2151" s="234" t="s">
        <v>248</v>
      </c>
      <c r="D2151" s="312">
        <v>4</v>
      </c>
      <c r="E2151" s="312"/>
      <c r="F2151" s="248"/>
      <c r="G2151" s="312"/>
      <c r="H2151" s="228"/>
      <c r="I2151" s="312">
        <v>4</v>
      </c>
      <c r="J2151" s="248">
        <f t="shared" si="226"/>
        <v>4</v>
      </c>
      <c r="K2151" s="330">
        <f t="shared" si="227"/>
        <v>0</v>
      </c>
      <c r="L2151" s="228"/>
      <c r="M2151" s="228">
        <f t="shared" si="228"/>
        <v>0</v>
      </c>
      <c r="N2151" s="228">
        <f t="shared" si="231"/>
        <v>0</v>
      </c>
      <c r="O2151" s="228">
        <f t="shared" si="232"/>
        <v>0</v>
      </c>
      <c r="P2151" s="228">
        <f t="shared" si="232"/>
        <v>4</v>
      </c>
      <c r="Q2151" s="228">
        <f t="shared" si="229"/>
        <v>4</v>
      </c>
      <c r="R2151" s="343">
        <f t="shared" si="230"/>
        <v>0</v>
      </c>
      <c r="S2151" s="240"/>
      <c r="T2151" s="201"/>
      <c r="U2151" s="201"/>
      <c r="V2151" s="201"/>
    </row>
    <row r="2152" spans="1:22" ht="42.75" x14ac:dyDescent="0.25">
      <c r="A2152" s="230" t="s">
        <v>3544</v>
      </c>
      <c r="B2152" s="231" t="s">
        <v>3545</v>
      </c>
      <c r="C2152" s="230"/>
      <c r="D2152" s="316"/>
      <c r="E2152" s="312"/>
      <c r="F2152" s="248"/>
      <c r="G2152" s="312"/>
      <c r="H2152" s="228"/>
      <c r="I2152" s="312"/>
      <c r="J2152" s="248">
        <f t="shared" ref="J2152:J2216" si="233">F2152+G2152+H2152+I2152</f>
        <v>0</v>
      </c>
      <c r="K2152" s="330">
        <f t="shared" ref="K2152:K2216" si="234">J2152-D2152</f>
        <v>0</v>
      </c>
      <c r="L2152" s="228"/>
      <c r="M2152" s="228">
        <f t="shared" ref="M2152:M2216" si="235">F2152</f>
        <v>0</v>
      </c>
      <c r="N2152" s="228">
        <f t="shared" si="231"/>
        <v>0</v>
      </c>
      <c r="O2152" s="228">
        <f t="shared" si="232"/>
        <v>0</v>
      </c>
      <c r="P2152" s="228">
        <f t="shared" si="232"/>
        <v>0</v>
      </c>
      <c r="Q2152" s="228">
        <f t="shared" ref="Q2152:Q2216" si="236">M2152+N2152+O2152+P2152</f>
        <v>0</v>
      </c>
      <c r="R2152" s="343">
        <f t="shared" si="230"/>
        <v>0</v>
      </c>
      <c r="S2152" s="240"/>
      <c r="T2152" s="201"/>
      <c r="U2152" s="201"/>
      <c r="V2152" s="201"/>
    </row>
    <row r="2153" spans="1:22" ht="30" x14ac:dyDescent="0.25">
      <c r="A2153" s="234" t="s">
        <v>3546</v>
      </c>
      <c r="B2153" s="235" t="s">
        <v>3525</v>
      </c>
      <c r="C2153" s="234" t="s">
        <v>3495</v>
      </c>
      <c r="D2153" s="312">
        <v>13</v>
      </c>
      <c r="E2153" s="312"/>
      <c r="F2153" s="248"/>
      <c r="G2153" s="312"/>
      <c r="H2153" s="228"/>
      <c r="I2153" s="312">
        <v>13</v>
      </c>
      <c r="J2153" s="248">
        <f t="shared" si="233"/>
        <v>13</v>
      </c>
      <c r="K2153" s="330">
        <f t="shared" si="234"/>
        <v>0</v>
      </c>
      <c r="L2153" s="228"/>
      <c r="M2153" s="228">
        <f t="shared" si="235"/>
        <v>0</v>
      </c>
      <c r="N2153" s="228">
        <f t="shared" si="231"/>
        <v>0</v>
      </c>
      <c r="O2153" s="228">
        <f t="shared" si="232"/>
        <v>0</v>
      </c>
      <c r="P2153" s="228">
        <f t="shared" si="232"/>
        <v>13</v>
      </c>
      <c r="Q2153" s="228">
        <f t="shared" si="236"/>
        <v>13</v>
      </c>
      <c r="R2153" s="343">
        <f t="shared" si="230"/>
        <v>0</v>
      </c>
      <c r="S2153" s="240"/>
      <c r="T2153" s="201"/>
      <c r="U2153" s="201"/>
      <c r="V2153" s="201"/>
    </row>
    <row r="2154" spans="1:22" ht="30" x14ac:dyDescent="0.25">
      <c r="A2154" s="234" t="s">
        <v>3547</v>
      </c>
      <c r="B2154" s="235" t="s">
        <v>3503</v>
      </c>
      <c r="C2154" s="234" t="s">
        <v>3495</v>
      </c>
      <c r="D2154" s="312">
        <v>13</v>
      </c>
      <c r="E2154" s="312"/>
      <c r="F2154" s="248"/>
      <c r="G2154" s="312"/>
      <c r="H2154" s="228"/>
      <c r="I2154" s="312">
        <v>13</v>
      </c>
      <c r="J2154" s="248">
        <f t="shared" si="233"/>
        <v>13</v>
      </c>
      <c r="K2154" s="330">
        <f t="shared" si="234"/>
        <v>0</v>
      </c>
      <c r="L2154" s="228"/>
      <c r="M2154" s="228">
        <f t="shared" si="235"/>
        <v>0</v>
      </c>
      <c r="N2154" s="228">
        <f t="shared" si="231"/>
        <v>0</v>
      </c>
      <c r="O2154" s="228">
        <f t="shared" si="232"/>
        <v>0</v>
      </c>
      <c r="P2154" s="228">
        <f t="shared" si="232"/>
        <v>13</v>
      </c>
      <c r="Q2154" s="228">
        <f t="shared" si="236"/>
        <v>13</v>
      </c>
      <c r="R2154" s="343">
        <f t="shared" si="230"/>
        <v>0</v>
      </c>
      <c r="S2154" s="240"/>
      <c r="T2154" s="201"/>
      <c r="U2154" s="201"/>
      <c r="V2154" s="201"/>
    </row>
    <row r="2155" spans="1:22" ht="30" x14ac:dyDescent="0.25">
      <c r="A2155" s="234" t="s">
        <v>3548</v>
      </c>
      <c r="B2155" s="235" t="s">
        <v>3543</v>
      </c>
      <c r="C2155" s="234" t="s">
        <v>248</v>
      </c>
      <c r="D2155" s="312">
        <v>13</v>
      </c>
      <c r="E2155" s="312"/>
      <c r="F2155" s="248"/>
      <c r="G2155" s="312"/>
      <c r="H2155" s="228"/>
      <c r="I2155" s="312">
        <v>13</v>
      </c>
      <c r="J2155" s="248">
        <f t="shared" si="233"/>
        <v>13</v>
      </c>
      <c r="K2155" s="330">
        <f t="shared" si="234"/>
        <v>0</v>
      </c>
      <c r="L2155" s="228"/>
      <c r="M2155" s="228">
        <f t="shared" si="235"/>
        <v>0</v>
      </c>
      <c r="N2155" s="228">
        <f t="shared" si="231"/>
        <v>0</v>
      </c>
      <c r="O2155" s="228">
        <f t="shared" si="232"/>
        <v>0</v>
      </c>
      <c r="P2155" s="228">
        <f t="shared" si="232"/>
        <v>13</v>
      </c>
      <c r="Q2155" s="228">
        <f t="shared" si="236"/>
        <v>13</v>
      </c>
      <c r="R2155" s="343">
        <f t="shared" si="230"/>
        <v>0</v>
      </c>
      <c r="S2155" s="240"/>
      <c r="T2155" s="201"/>
      <c r="U2155" s="201"/>
      <c r="V2155" s="201"/>
    </row>
    <row r="2156" spans="1:22" ht="56.25" customHeight="1" x14ac:dyDescent="0.25">
      <c r="A2156" s="230" t="s">
        <v>3549</v>
      </c>
      <c r="B2156" s="231" t="s">
        <v>3550</v>
      </c>
      <c r="C2156" s="230"/>
      <c r="D2156" s="316"/>
      <c r="E2156" s="312"/>
      <c r="F2156" s="248"/>
      <c r="G2156" s="312"/>
      <c r="H2156" s="228"/>
      <c r="I2156" s="312"/>
      <c r="J2156" s="248">
        <f t="shared" si="233"/>
        <v>0</v>
      </c>
      <c r="K2156" s="330">
        <f t="shared" si="234"/>
        <v>0</v>
      </c>
      <c r="L2156" s="228"/>
      <c r="M2156" s="228">
        <f t="shared" si="235"/>
        <v>0</v>
      </c>
      <c r="N2156" s="228">
        <f t="shared" si="231"/>
        <v>0</v>
      </c>
      <c r="O2156" s="228">
        <f t="shared" si="232"/>
        <v>0</v>
      </c>
      <c r="P2156" s="228">
        <f t="shared" si="232"/>
        <v>0</v>
      </c>
      <c r="Q2156" s="228">
        <f t="shared" si="236"/>
        <v>0</v>
      </c>
      <c r="R2156" s="343">
        <f t="shared" si="230"/>
        <v>0</v>
      </c>
      <c r="S2156" s="240"/>
      <c r="T2156" s="201"/>
      <c r="U2156" s="201"/>
      <c r="V2156" s="201"/>
    </row>
    <row r="2157" spans="1:22" ht="30" x14ac:dyDescent="0.25">
      <c r="A2157" s="234" t="s">
        <v>3551</v>
      </c>
      <c r="B2157" s="235" t="s">
        <v>3552</v>
      </c>
      <c r="C2157" s="234" t="s">
        <v>3495</v>
      </c>
      <c r="D2157" s="312">
        <v>2</v>
      </c>
      <c r="E2157" s="312"/>
      <c r="F2157" s="248"/>
      <c r="G2157" s="312"/>
      <c r="H2157" s="228"/>
      <c r="I2157" s="312">
        <v>2</v>
      </c>
      <c r="J2157" s="248">
        <f t="shared" si="233"/>
        <v>2</v>
      </c>
      <c r="K2157" s="330">
        <f t="shared" si="234"/>
        <v>0</v>
      </c>
      <c r="L2157" s="228"/>
      <c r="M2157" s="228">
        <f t="shared" si="235"/>
        <v>0</v>
      </c>
      <c r="N2157" s="228">
        <f t="shared" si="231"/>
        <v>0</v>
      </c>
      <c r="O2157" s="228">
        <f t="shared" si="232"/>
        <v>0</v>
      </c>
      <c r="P2157" s="228">
        <f t="shared" si="232"/>
        <v>2</v>
      </c>
      <c r="Q2157" s="228">
        <f t="shared" si="236"/>
        <v>2</v>
      </c>
      <c r="R2157" s="343">
        <f t="shared" si="230"/>
        <v>0</v>
      </c>
      <c r="S2157" s="240"/>
      <c r="T2157" s="201"/>
      <c r="U2157" s="201"/>
      <c r="V2157" s="201"/>
    </row>
    <row r="2158" spans="1:22" ht="30" x14ac:dyDescent="0.25">
      <c r="A2158" s="234" t="s">
        <v>3553</v>
      </c>
      <c r="B2158" s="235" t="s">
        <v>3554</v>
      </c>
      <c r="C2158" s="234" t="s">
        <v>3495</v>
      </c>
      <c r="D2158" s="312">
        <v>2</v>
      </c>
      <c r="E2158" s="312"/>
      <c r="F2158" s="248"/>
      <c r="G2158" s="312"/>
      <c r="H2158" s="228"/>
      <c r="I2158" s="312">
        <v>2</v>
      </c>
      <c r="J2158" s="248">
        <f t="shared" si="233"/>
        <v>2</v>
      </c>
      <c r="K2158" s="330">
        <f t="shared" si="234"/>
        <v>0</v>
      </c>
      <c r="L2158" s="228"/>
      <c r="M2158" s="228">
        <f t="shared" si="235"/>
        <v>0</v>
      </c>
      <c r="N2158" s="228">
        <f t="shared" si="231"/>
        <v>0</v>
      </c>
      <c r="O2158" s="228">
        <f t="shared" si="232"/>
        <v>0</v>
      </c>
      <c r="P2158" s="228">
        <f t="shared" si="232"/>
        <v>2</v>
      </c>
      <c r="Q2158" s="228">
        <f t="shared" si="236"/>
        <v>2</v>
      </c>
      <c r="R2158" s="343">
        <f t="shared" si="230"/>
        <v>0</v>
      </c>
      <c r="S2158" s="240"/>
      <c r="T2158" s="201"/>
      <c r="U2158" s="201"/>
      <c r="V2158" s="201"/>
    </row>
    <row r="2159" spans="1:22" ht="30" x14ac:dyDescent="0.25">
      <c r="A2159" s="234" t="s">
        <v>3555</v>
      </c>
      <c r="B2159" s="235" t="s">
        <v>3556</v>
      </c>
      <c r="C2159" s="234" t="s">
        <v>3495</v>
      </c>
      <c r="D2159" s="312">
        <v>6</v>
      </c>
      <c r="E2159" s="312"/>
      <c r="F2159" s="248"/>
      <c r="G2159" s="312"/>
      <c r="H2159" s="228"/>
      <c r="I2159" s="312">
        <v>6</v>
      </c>
      <c r="J2159" s="248">
        <f t="shared" si="233"/>
        <v>6</v>
      </c>
      <c r="K2159" s="330">
        <f t="shared" si="234"/>
        <v>0</v>
      </c>
      <c r="L2159" s="228"/>
      <c r="M2159" s="228">
        <f t="shared" si="235"/>
        <v>0</v>
      </c>
      <c r="N2159" s="228">
        <f t="shared" si="231"/>
        <v>0</v>
      </c>
      <c r="O2159" s="228">
        <f t="shared" si="232"/>
        <v>0</v>
      </c>
      <c r="P2159" s="228">
        <f t="shared" si="232"/>
        <v>6</v>
      </c>
      <c r="Q2159" s="228">
        <f t="shared" si="236"/>
        <v>6</v>
      </c>
      <c r="R2159" s="343">
        <f t="shared" si="230"/>
        <v>0</v>
      </c>
      <c r="S2159" s="240"/>
      <c r="T2159" s="201"/>
      <c r="U2159" s="201"/>
      <c r="V2159" s="201"/>
    </row>
    <row r="2160" spans="1:22" ht="30" x14ac:dyDescent="0.25">
      <c r="A2160" s="234" t="s">
        <v>3557</v>
      </c>
      <c r="B2160" s="235" t="s">
        <v>3558</v>
      </c>
      <c r="C2160" s="234" t="s">
        <v>3495</v>
      </c>
      <c r="D2160" s="312">
        <v>263</v>
      </c>
      <c r="E2160" s="312"/>
      <c r="F2160" s="248"/>
      <c r="G2160" s="312"/>
      <c r="H2160" s="228"/>
      <c r="I2160" s="312">
        <v>263</v>
      </c>
      <c r="J2160" s="248">
        <f t="shared" si="233"/>
        <v>263</v>
      </c>
      <c r="K2160" s="330">
        <f t="shared" si="234"/>
        <v>0</v>
      </c>
      <c r="L2160" s="228"/>
      <c r="M2160" s="228">
        <f t="shared" si="235"/>
        <v>0</v>
      </c>
      <c r="N2160" s="228">
        <f t="shared" si="231"/>
        <v>0</v>
      </c>
      <c r="O2160" s="228">
        <f t="shared" si="232"/>
        <v>0</v>
      </c>
      <c r="P2160" s="228">
        <f t="shared" si="232"/>
        <v>263</v>
      </c>
      <c r="Q2160" s="228">
        <f t="shared" si="236"/>
        <v>263</v>
      </c>
      <c r="R2160" s="343">
        <f t="shared" ref="R2160:R2224" si="237">Q2160-D2160</f>
        <v>0</v>
      </c>
      <c r="S2160" s="240"/>
      <c r="T2160" s="201"/>
      <c r="U2160" s="201"/>
      <c r="V2160" s="201"/>
    </row>
    <row r="2161" spans="1:22" ht="30" x14ac:dyDescent="0.25">
      <c r="A2161" s="234" t="s">
        <v>3559</v>
      </c>
      <c r="B2161" s="235" t="s">
        <v>3560</v>
      </c>
      <c r="C2161" s="234" t="s">
        <v>3495</v>
      </c>
      <c r="D2161" s="312">
        <v>1</v>
      </c>
      <c r="E2161" s="312"/>
      <c r="F2161" s="248"/>
      <c r="G2161" s="312"/>
      <c r="H2161" s="228"/>
      <c r="I2161" s="312">
        <v>1</v>
      </c>
      <c r="J2161" s="248">
        <f t="shared" si="233"/>
        <v>1</v>
      </c>
      <c r="K2161" s="330">
        <f t="shared" si="234"/>
        <v>0</v>
      </c>
      <c r="L2161" s="228"/>
      <c r="M2161" s="228">
        <f t="shared" si="235"/>
        <v>0</v>
      </c>
      <c r="N2161" s="228">
        <f t="shared" si="231"/>
        <v>0</v>
      </c>
      <c r="O2161" s="228">
        <f t="shared" si="232"/>
        <v>0</v>
      </c>
      <c r="P2161" s="228">
        <f t="shared" si="232"/>
        <v>1</v>
      </c>
      <c r="Q2161" s="228">
        <f t="shared" si="236"/>
        <v>1</v>
      </c>
      <c r="R2161" s="343">
        <f t="shared" si="237"/>
        <v>0</v>
      </c>
      <c r="S2161" s="240"/>
      <c r="T2161" s="201"/>
      <c r="U2161" s="201"/>
      <c r="V2161" s="201"/>
    </row>
    <row r="2162" spans="1:22" ht="30" x14ac:dyDescent="0.25">
      <c r="A2162" s="234" t="s">
        <v>3561</v>
      </c>
      <c r="B2162" s="235" t="s">
        <v>3562</v>
      </c>
      <c r="C2162" s="234" t="s">
        <v>3495</v>
      </c>
      <c r="D2162" s="312">
        <v>17</v>
      </c>
      <c r="E2162" s="312"/>
      <c r="F2162" s="248"/>
      <c r="G2162" s="312"/>
      <c r="H2162" s="228"/>
      <c r="I2162" s="312">
        <v>17</v>
      </c>
      <c r="J2162" s="248">
        <f t="shared" si="233"/>
        <v>17</v>
      </c>
      <c r="K2162" s="330">
        <f t="shared" si="234"/>
        <v>0</v>
      </c>
      <c r="L2162" s="228"/>
      <c r="M2162" s="228">
        <f t="shared" si="235"/>
        <v>0</v>
      </c>
      <c r="N2162" s="228">
        <f t="shared" si="231"/>
        <v>0</v>
      </c>
      <c r="O2162" s="228">
        <f t="shared" si="232"/>
        <v>0</v>
      </c>
      <c r="P2162" s="228">
        <f t="shared" si="232"/>
        <v>17</v>
      </c>
      <c r="Q2162" s="228">
        <f t="shared" si="236"/>
        <v>17</v>
      </c>
      <c r="R2162" s="343">
        <f t="shared" si="237"/>
        <v>0</v>
      </c>
      <c r="S2162" s="240"/>
      <c r="T2162" s="201"/>
      <c r="U2162" s="201"/>
      <c r="V2162" s="201"/>
    </row>
    <row r="2163" spans="1:22" ht="30" x14ac:dyDescent="0.25">
      <c r="A2163" s="234" t="s">
        <v>3563</v>
      </c>
      <c r="B2163" s="235" t="s">
        <v>3564</v>
      </c>
      <c r="C2163" s="234" t="s">
        <v>3495</v>
      </c>
      <c r="D2163" s="312">
        <v>25</v>
      </c>
      <c r="E2163" s="312"/>
      <c r="F2163" s="248"/>
      <c r="G2163" s="312"/>
      <c r="H2163" s="228"/>
      <c r="I2163" s="312">
        <v>25</v>
      </c>
      <c r="J2163" s="248">
        <f t="shared" si="233"/>
        <v>25</v>
      </c>
      <c r="K2163" s="330">
        <f t="shared" si="234"/>
        <v>0</v>
      </c>
      <c r="L2163" s="228"/>
      <c r="M2163" s="228">
        <f t="shared" si="235"/>
        <v>0</v>
      </c>
      <c r="N2163" s="228">
        <f t="shared" si="231"/>
        <v>0</v>
      </c>
      <c r="O2163" s="228">
        <f t="shared" si="232"/>
        <v>0</v>
      </c>
      <c r="P2163" s="228">
        <f t="shared" si="232"/>
        <v>25</v>
      </c>
      <c r="Q2163" s="228">
        <f t="shared" si="236"/>
        <v>25</v>
      </c>
      <c r="R2163" s="343">
        <f t="shared" si="237"/>
        <v>0</v>
      </c>
      <c r="S2163" s="240"/>
      <c r="T2163" s="201"/>
      <c r="U2163" s="201"/>
      <c r="V2163" s="201"/>
    </row>
    <row r="2164" spans="1:22" ht="30" x14ac:dyDescent="0.25">
      <c r="A2164" s="234" t="s">
        <v>3565</v>
      </c>
      <c r="B2164" s="235" t="s">
        <v>3566</v>
      </c>
      <c r="C2164" s="234" t="s">
        <v>3495</v>
      </c>
      <c r="D2164" s="312">
        <v>38</v>
      </c>
      <c r="E2164" s="312"/>
      <c r="F2164" s="248"/>
      <c r="G2164" s="312"/>
      <c r="H2164" s="228"/>
      <c r="I2164" s="312">
        <v>38</v>
      </c>
      <c r="J2164" s="248">
        <f t="shared" si="233"/>
        <v>38</v>
      </c>
      <c r="K2164" s="330">
        <f t="shared" si="234"/>
        <v>0</v>
      </c>
      <c r="L2164" s="228"/>
      <c r="M2164" s="228">
        <f t="shared" si="235"/>
        <v>0</v>
      </c>
      <c r="N2164" s="228">
        <f t="shared" si="231"/>
        <v>0</v>
      </c>
      <c r="O2164" s="228">
        <f t="shared" si="232"/>
        <v>0</v>
      </c>
      <c r="P2164" s="228">
        <f t="shared" si="232"/>
        <v>38</v>
      </c>
      <c r="Q2164" s="228">
        <f t="shared" si="236"/>
        <v>38</v>
      </c>
      <c r="R2164" s="343">
        <f t="shared" si="237"/>
        <v>0</v>
      </c>
      <c r="S2164" s="240"/>
      <c r="T2164" s="201"/>
      <c r="U2164" s="201"/>
      <c r="V2164" s="201"/>
    </row>
    <row r="2165" spans="1:22" ht="30" x14ac:dyDescent="0.25">
      <c r="A2165" s="234" t="s">
        <v>3567</v>
      </c>
      <c r="B2165" s="235" t="s">
        <v>3568</v>
      </c>
      <c r="C2165" s="234" t="s">
        <v>3495</v>
      </c>
      <c r="D2165" s="312">
        <v>11</v>
      </c>
      <c r="E2165" s="312"/>
      <c r="F2165" s="248"/>
      <c r="G2165" s="312"/>
      <c r="H2165" s="228"/>
      <c r="I2165" s="312">
        <v>11</v>
      </c>
      <c r="J2165" s="248">
        <f t="shared" si="233"/>
        <v>11</v>
      </c>
      <c r="K2165" s="330">
        <f t="shared" si="234"/>
        <v>0</v>
      </c>
      <c r="L2165" s="228"/>
      <c r="M2165" s="228">
        <f t="shared" si="235"/>
        <v>0</v>
      </c>
      <c r="N2165" s="228">
        <f t="shared" si="231"/>
        <v>0</v>
      </c>
      <c r="O2165" s="228">
        <f t="shared" si="232"/>
        <v>0</v>
      </c>
      <c r="P2165" s="228">
        <f t="shared" si="232"/>
        <v>11</v>
      </c>
      <c r="Q2165" s="228">
        <f t="shared" si="236"/>
        <v>11</v>
      </c>
      <c r="R2165" s="343">
        <f t="shared" si="237"/>
        <v>0</v>
      </c>
      <c r="S2165" s="240"/>
      <c r="T2165" s="201"/>
      <c r="U2165" s="201"/>
      <c r="V2165" s="201"/>
    </row>
    <row r="2166" spans="1:22" ht="33" customHeight="1" x14ac:dyDescent="0.25">
      <c r="A2166" s="230" t="s">
        <v>3569</v>
      </c>
      <c r="B2166" s="231" t="s">
        <v>3570</v>
      </c>
      <c r="C2166" s="230"/>
      <c r="D2166" s="316"/>
      <c r="E2166" s="312"/>
      <c r="F2166" s="248"/>
      <c r="G2166" s="312"/>
      <c r="H2166" s="228"/>
      <c r="I2166" s="312"/>
      <c r="J2166" s="248">
        <f t="shared" si="233"/>
        <v>0</v>
      </c>
      <c r="K2166" s="330">
        <f t="shared" si="234"/>
        <v>0</v>
      </c>
      <c r="L2166" s="228"/>
      <c r="M2166" s="228">
        <f t="shared" si="235"/>
        <v>0</v>
      </c>
      <c r="N2166" s="228">
        <f t="shared" si="231"/>
        <v>0</v>
      </c>
      <c r="O2166" s="228">
        <f t="shared" si="232"/>
        <v>0</v>
      </c>
      <c r="P2166" s="228">
        <f t="shared" si="232"/>
        <v>0</v>
      </c>
      <c r="Q2166" s="228">
        <f t="shared" si="236"/>
        <v>0</v>
      </c>
      <c r="R2166" s="343">
        <f t="shared" si="237"/>
        <v>0</v>
      </c>
      <c r="S2166" s="240"/>
      <c r="T2166" s="201"/>
      <c r="U2166" s="201"/>
      <c r="V2166" s="201"/>
    </row>
    <row r="2167" spans="1:22" ht="15.75" x14ac:dyDescent="0.25">
      <c r="A2167" s="234" t="s">
        <v>3571</v>
      </c>
      <c r="B2167" s="235" t="s">
        <v>3572</v>
      </c>
      <c r="C2167" s="234" t="s">
        <v>3495</v>
      </c>
      <c r="D2167" s="312">
        <v>1</v>
      </c>
      <c r="E2167" s="312"/>
      <c r="F2167" s="248"/>
      <c r="G2167" s="312"/>
      <c r="H2167" s="228"/>
      <c r="I2167" s="316"/>
      <c r="J2167" s="248">
        <f t="shared" si="233"/>
        <v>0</v>
      </c>
      <c r="K2167" s="330">
        <f t="shared" si="234"/>
        <v>-1</v>
      </c>
      <c r="L2167" s="228"/>
      <c r="M2167" s="228">
        <f t="shared" si="235"/>
        <v>0</v>
      </c>
      <c r="N2167" s="228">
        <f t="shared" ref="N2167:N2231" si="238">G2167</f>
        <v>0</v>
      </c>
      <c r="O2167" s="228">
        <f t="shared" ref="O2167:P2231" si="239">H2167</f>
        <v>0</v>
      </c>
      <c r="P2167" s="228">
        <f t="shared" si="239"/>
        <v>0</v>
      </c>
      <c r="Q2167" s="228">
        <f t="shared" si="236"/>
        <v>0</v>
      </c>
      <c r="R2167" s="343">
        <f t="shared" si="237"/>
        <v>-1</v>
      </c>
      <c r="S2167" s="240"/>
      <c r="T2167" s="201"/>
      <c r="U2167" s="201"/>
      <c r="V2167" s="201"/>
    </row>
    <row r="2168" spans="1:22" ht="15.75" x14ac:dyDescent="0.25">
      <c r="A2168" s="230" t="s">
        <v>3573</v>
      </c>
      <c r="B2168" s="231" t="s">
        <v>3574</v>
      </c>
      <c r="C2168" s="230"/>
      <c r="D2168" s="316"/>
      <c r="E2168" s="312"/>
      <c r="F2168" s="248"/>
      <c r="G2168" s="312"/>
      <c r="H2168" s="228"/>
      <c r="I2168" s="312"/>
      <c r="J2168" s="248">
        <f t="shared" si="233"/>
        <v>0</v>
      </c>
      <c r="K2168" s="330">
        <f t="shared" si="234"/>
        <v>0</v>
      </c>
      <c r="L2168" s="228"/>
      <c r="M2168" s="228">
        <f t="shared" si="235"/>
        <v>0</v>
      </c>
      <c r="N2168" s="228">
        <f t="shared" si="238"/>
        <v>0</v>
      </c>
      <c r="O2168" s="228">
        <f t="shared" si="239"/>
        <v>0</v>
      </c>
      <c r="P2168" s="228">
        <f t="shared" si="239"/>
        <v>0</v>
      </c>
      <c r="Q2168" s="228">
        <f t="shared" si="236"/>
        <v>0</v>
      </c>
      <c r="R2168" s="343">
        <f t="shared" si="237"/>
        <v>0</v>
      </c>
      <c r="S2168" s="240"/>
      <c r="T2168" s="201"/>
      <c r="U2168" s="201"/>
      <c r="V2168" s="201"/>
    </row>
    <row r="2169" spans="1:22" ht="30" x14ac:dyDescent="0.25">
      <c r="A2169" s="234" t="s">
        <v>3575</v>
      </c>
      <c r="B2169" s="235" t="s">
        <v>3576</v>
      </c>
      <c r="C2169" s="234" t="s">
        <v>496</v>
      </c>
      <c r="D2169" s="312">
        <v>344</v>
      </c>
      <c r="E2169" s="312"/>
      <c r="F2169" s="248"/>
      <c r="G2169" s="312"/>
      <c r="H2169" s="228"/>
      <c r="I2169" s="312">
        <v>344</v>
      </c>
      <c r="J2169" s="248">
        <f t="shared" si="233"/>
        <v>344</v>
      </c>
      <c r="K2169" s="330">
        <f t="shared" si="234"/>
        <v>0</v>
      </c>
      <c r="L2169" s="228"/>
      <c r="M2169" s="228">
        <f t="shared" si="235"/>
        <v>0</v>
      </c>
      <c r="N2169" s="228">
        <f t="shared" si="238"/>
        <v>0</v>
      </c>
      <c r="O2169" s="228">
        <f t="shared" si="239"/>
        <v>0</v>
      </c>
      <c r="P2169" s="228">
        <f t="shared" si="239"/>
        <v>344</v>
      </c>
      <c r="Q2169" s="228">
        <f t="shared" si="236"/>
        <v>344</v>
      </c>
      <c r="R2169" s="343">
        <f t="shared" si="237"/>
        <v>0</v>
      </c>
      <c r="S2169" s="240"/>
      <c r="T2169" s="201"/>
      <c r="U2169" s="201"/>
      <c r="V2169" s="201"/>
    </row>
    <row r="2170" spans="1:22" ht="30" x14ac:dyDescent="0.25">
      <c r="A2170" s="234" t="s">
        <v>3577</v>
      </c>
      <c r="B2170" s="235" t="s">
        <v>3578</v>
      </c>
      <c r="C2170" s="234" t="s">
        <v>496</v>
      </c>
      <c r="D2170" s="312">
        <v>1</v>
      </c>
      <c r="E2170" s="312"/>
      <c r="F2170" s="248"/>
      <c r="G2170" s="312"/>
      <c r="H2170" s="228"/>
      <c r="I2170" s="312"/>
      <c r="J2170" s="248">
        <f t="shared" si="233"/>
        <v>0</v>
      </c>
      <c r="K2170" s="330">
        <f t="shared" si="234"/>
        <v>-1</v>
      </c>
      <c r="L2170" s="228"/>
      <c r="M2170" s="228">
        <f t="shared" si="235"/>
        <v>0</v>
      </c>
      <c r="N2170" s="228">
        <f t="shared" si="238"/>
        <v>0</v>
      </c>
      <c r="O2170" s="228">
        <f t="shared" si="239"/>
        <v>0</v>
      </c>
      <c r="P2170" s="228">
        <f t="shared" si="239"/>
        <v>0</v>
      </c>
      <c r="Q2170" s="228">
        <f t="shared" si="236"/>
        <v>0</v>
      </c>
      <c r="R2170" s="343">
        <f t="shared" si="237"/>
        <v>-1</v>
      </c>
      <c r="S2170" s="240"/>
      <c r="T2170" s="201"/>
      <c r="U2170" s="201"/>
      <c r="V2170" s="201"/>
    </row>
    <row r="2171" spans="1:22" ht="30" x14ac:dyDescent="0.25">
      <c r="A2171" s="234" t="s">
        <v>3579</v>
      </c>
      <c r="B2171" s="235" t="s">
        <v>3580</v>
      </c>
      <c r="C2171" s="234" t="s">
        <v>496</v>
      </c>
      <c r="D2171" s="312">
        <v>7</v>
      </c>
      <c r="E2171" s="312"/>
      <c r="F2171" s="248"/>
      <c r="G2171" s="312"/>
      <c r="H2171" s="228"/>
      <c r="I2171" s="312"/>
      <c r="J2171" s="248">
        <f t="shared" si="233"/>
        <v>0</v>
      </c>
      <c r="K2171" s="330">
        <f t="shared" si="234"/>
        <v>-7</v>
      </c>
      <c r="L2171" s="228"/>
      <c r="M2171" s="228">
        <f t="shared" si="235"/>
        <v>0</v>
      </c>
      <c r="N2171" s="228">
        <f t="shared" si="238"/>
        <v>0</v>
      </c>
      <c r="O2171" s="228">
        <f t="shared" si="239"/>
        <v>0</v>
      </c>
      <c r="P2171" s="228">
        <f t="shared" si="239"/>
        <v>0</v>
      </c>
      <c r="Q2171" s="228">
        <f t="shared" si="236"/>
        <v>0</v>
      </c>
      <c r="R2171" s="343">
        <f t="shared" si="237"/>
        <v>-7</v>
      </c>
      <c r="S2171" s="240"/>
      <c r="T2171" s="201"/>
      <c r="U2171" s="201"/>
      <c r="V2171" s="201"/>
    </row>
    <row r="2172" spans="1:22" ht="30" x14ac:dyDescent="0.25">
      <c r="A2172" s="234" t="s">
        <v>3581</v>
      </c>
      <c r="B2172" s="235" t="s">
        <v>3582</v>
      </c>
      <c r="C2172" s="234" t="s">
        <v>496</v>
      </c>
      <c r="D2172" s="312">
        <v>5</v>
      </c>
      <c r="E2172" s="312"/>
      <c r="F2172" s="248"/>
      <c r="G2172" s="312"/>
      <c r="H2172" s="228"/>
      <c r="I2172" s="312"/>
      <c r="J2172" s="248">
        <f t="shared" si="233"/>
        <v>0</v>
      </c>
      <c r="K2172" s="330">
        <f t="shared" si="234"/>
        <v>-5</v>
      </c>
      <c r="L2172" s="228"/>
      <c r="M2172" s="228">
        <f t="shared" si="235"/>
        <v>0</v>
      </c>
      <c r="N2172" s="228">
        <f t="shared" si="238"/>
        <v>0</v>
      </c>
      <c r="O2172" s="228">
        <f t="shared" si="239"/>
        <v>0</v>
      </c>
      <c r="P2172" s="228">
        <f t="shared" si="239"/>
        <v>0</v>
      </c>
      <c r="Q2172" s="228">
        <f t="shared" si="236"/>
        <v>0</v>
      </c>
      <c r="R2172" s="343">
        <f t="shared" si="237"/>
        <v>-5</v>
      </c>
      <c r="S2172" s="240"/>
      <c r="T2172" s="201"/>
      <c r="U2172" s="201"/>
      <c r="V2172" s="201"/>
    </row>
    <row r="2173" spans="1:22" ht="30" x14ac:dyDescent="0.25">
      <c r="A2173" s="234" t="s">
        <v>3583</v>
      </c>
      <c r="B2173" s="235" t="s">
        <v>3584</v>
      </c>
      <c r="C2173" s="234" t="s">
        <v>496</v>
      </c>
      <c r="D2173" s="312">
        <v>366</v>
      </c>
      <c r="E2173" s="312"/>
      <c r="F2173" s="248"/>
      <c r="G2173" s="312"/>
      <c r="H2173" s="228"/>
      <c r="I2173" s="312">
        <v>366</v>
      </c>
      <c r="J2173" s="248">
        <f t="shared" si="233"/>
        <v>366</v>
      </c>
      <c r="K2173" s="330">
        <f t="shared" si="234"/>
        <v>0</v>
      </c>
      <c r="L2173" s="228"/>
      <c r="M2173" s="228">
        <f t="shared" si="235"/>
        <v>0</v>
      </c>
      <c r="N2173" s="228">
        <f t="shared" si="238"/>
        <v>0</v>
      </c>
      <c r="O2173" s="228">
        <f t="shared" si="239"/>
        <v>0</v>
      </c>
      <c r="P2173" s="228">
        <f t="shared" si="239"/>
        <v>366</v>
      </c>
      <c r="Q2173" s="228">
        <f t="shared" si="236"/>
        <v>366</v>
      </c>
      <c r="R2173" s="343">
        <f t="shared" si="237"/>
        <v>0</v>
      </c>
      <c r="S2173" s="240"/>
      <c r="T2173" s="201"/>
      <c r="U2173" s="201"/>
      <c r="V2173" s="201"/>
    </row>
    <row r="2174" spans="1:22" ht="30" x14ac:dyDescent="0.25">
      <c r="A2174" s="234" t="s">
        <v>3585</v>
      </c>
      <c r="B2174" s="235" t="s">
        <v>3586</v>
      </c>
      <c r="C2174" s="234" t="s">
        <v>496</v>
      </c>
      <c r="D2174" s="312">
        <v>1</v>
      </c>
      <c r="E2174" s="312"/>
      <c r="F2174" s="248"/>
      <c r="G2174" s="312"/>
      <c r="H2174" s="228"/>
      <c r="I2174" s="312"/>
      <c r="J2174" s="248">
        <f t="shared" si="233"/>
        <v>0</v>
      </c>
      <c r="K2174" s="330">
        <f t="shared" si="234"/>
        <v>-1</v>
      </c>
      <c r="L2174" s="228"/>
      <c r="M2174" s="228">
        <f t="shared" si="235"/>
        <v>0</v>
      </c>
      <c r="N2174" s="228">
        <f t="shared" si="238"/>
        <v>0</v>
      </c>
      <c r="O2174" s="228">
        <f t="shared" si="239"/>
        <v>0</v>
      </c>
      <c r="P2174" s="228">
        <f t="shared" si="239"/>
        <v>0</v>
      </c>
      <c r="Q2174" s="228">
        <f t="shared" si="236"/>
        <v>0</v>
      </c>
      <c r="R2174" s="343">
        <f t="shared" si="237"/>
        <v>-1</v>
      </c>
      <c r="S2174" s="240"/>
      <c r="T2174" s="201"/>
      <c r="U2174" s="201"/>
      <c r="V2174" s="201"/>
    </row>
    <row r="2175" spans="1:22" ht="31.5" x14ac:dyDescent="0.25">
      <c r="A2175" s="2" t="s">
        <v>4712</v>
      </c>
      <c r="B2175" s="3" t="s">
        <v>4713</v>
      </c>
      <c r="C2175" s="234"/>
      <c r="D2175" s="312"/>
      <c r="E2175" s="312"/>
      <c r="F2175" s="248"/>
      <c r="G2175" s="312"/>
      <c r="H2175" s="228"/>
      <c r="I2175" s="312"/>
      <c r="J2175" s="248"/>
      <c r="K2175" s="330"/>
      <c r="L2175" s="228"/>
      <c r="M2175" s="228"/>
      <c r="N2175" s="228"/>
      <c r="O2175" s="228"/>
      <c r="P2175" s="228"/>
      <c r="Q2175" s="228"/>
      <c r="R2175" s="343"/>
      <c r="S2175" s="240"/>
      <c r="T2175" s="201"/>
      <c r="U2175" s="201"/>
      <c r="V2175" s="201"/>
    </row>
    <row r="2176" spans="1:22" ht="30" x14ac:dyDescent="0.25">
      <c r="A2176" s="234" t="s">
        <v>3587</v>
      </c>
      <c r="B2176" s="235" t="s">
        <v>3588</v>
      </c>
      <c r="C2176" s="234" t="s">
        <v>3495</v>
      </c>
      <c r="D2176" s="312">
        <v>2</v>
      </c>
      <c r="E2176" s="312"/>
      <c r="F2176" s="248"/>
      <c r="G2176" s="312"/>
      <c r="H2176" s="228"/>
      <c r="I2176" s="312">
        <v>1</v>
      </c>
      <c r="J2176" s="248">
        <f t="shared" si="233"/>
        <v>1</v>
      </c>
      <c r="K2176" s="330">
        <f t="shared" si="234"/>
        <v>-1</v>
      </c>
      <c r="L2176" s="228"/>
      <c r="M2176" s="228">
        <f t="shared" si="235"/>
        <v>0</v>
      </c>
      <c r="N2176" s="228">
        <f t="shared" si="238"/>
        <v>0</v>
      </c>
      <c r="O2176" s="228">
        <f t="shared" si="239"/>
        <v>0</v>
      </c>
      <c r="P2176" s="228">
        <f t="shared" si="239"/>
        <v>1</v>
      </c>
      <c r="Q2176" s="228">
        <f t="shared" si="236"/>
        <v>1</v>
      </c>
      <c r="R2176" s="343">
        <f t="shared" si="237"/>
        <v>-1</v>
      </c>
      <c r="S2176" s="240"/>
      <c r="T2176" s="201"/>
      <c r="U2176" s="201"/>
      <c r="V2176" s="201"/>
    </row>
    <row r="2177" spans="1:22" ht="30" x14ac:dyDescent="0.25">
      <c r="A2177" s="234" t="s">
        <v>3589</v>
      </c>
      <c r="B2177" s="235" t="s">
        <v>3590</v>
      </c>
      <c r="C2177" s="234" t="s">
        <v>3495</v>
      </c>
      <c r="D2177" s="312">
        <v>15</v>
      </c>
      <c r="E2177" s="312"/>
      <c r="F2177" s="248"/>
      <c r="G2177" s="312"/>
      <c r="H2177" s="228"/>
      <c r="I2177" s="312">
        <v>10</v>
      </c>
      <c r="J2177" s="248">
        <f t="shared" si="233"/>
        <v>10</v>
      </c>
      <c r="K2177" s="330">
        <f t="shared" si="234"/>
        <v>-5</v>
      </c>
      <c r="L2177" s="228"/>
      <c r="M2177" s="228">
        <f t="shared" si="235"/>
        <v>0</v>
      </c>
      <c r="N2177" s="228">
        <f t="shared" si="238"/>
        <v>0</v>
      </c>
      <c r="O2177" s="228">
        <f t="shared" si="239"/>
        <v>0</v>
      </c>
      <c r="P2177" s="228">
        <f t="shared" si="239"/>
        <v>10</v>
      </c>
      <c r="Q2177" s="228">
        <f t="shared" si="236"/>
        <v>10</v>
      </c>
      <c r="R2177" s="343">
        <f t="shared" si="237"/>
        <v>-5</v>
      </c>
      <c r="S2177" s="240"/>
      <c r="T2177" s="201"/>
      <c r="U2177" s="201"/>
      <c r="V2177" s="201"/>
    </row>
    <row r="2178" spans="1:22" ht="30" x14ac:dyDescent="0.25">
      <c r="A2178" s="234" t="s">
        <v>3591</v>
      </c>
      <c r="B2178" s="235" t="s">
        <v>3592</v>
      </c>
      <c r="C2178" s="234" t="s">
        <v>3495</v>
      </c>
      <c r="D2178" s="312">
        <v>7</v>
      </c>
      <c r="E2178" s="312"/>
      <c r="F2178" s="248"/>
      <c r="G2178" s="312"/>
      <c r="H2178" s="228"/>
      <c r="I2178" s="312">
        <v>4</v>
      </c>
      <c r="J2178" s="248">
        <f t="shared" si="233"/>
        <v>4</v>
      </c>
      <c r="K2178" s="330">
        <f t="shared" si="234"/>
        <v>-3</v>
      </c>
      <c r="L2178" s="228"/>
      <c r="M2178" s="228">
        <f t="shared" si="235"/>
        <v>0</v>
      </c>
      <c r="N2178" s="228">
        <f t="shared" si="238"/>
        <v>0</v>
      </c>
      <c r="O2178" s="228">
        <f t="shared" si="239"/>
        <v>0</v>
      </c>
      <c r="P2178" s="228">
        <f t="shared" si="239"/>
        <v>4</v>
      </c>
      <c r="Q2178" s="228">
        <f t="shared" si="236"/>
        <v>4</v>
      </c>
      <c r="R2178" s="343">
        <f t="shared" si="237"/>
        <v>-3</v>
      </c>
      <c r="S2178" s="240"/>
      <c r="T2178" s="201"/>
      <c r="U2178" s="201"/>
      <c r="V2178" s="201"/>
    </row>
    <row r="2179" spans="1:22" ht="30" x14ac:dyDescent="0.25">
      <c r="A2179" s="234" t="s">
        <v>3593</v>
      </c>
      <c r="B2179" s="235" t="s">
        <v>3594</v>
      </c>
      <c r="C2179" s="234" t="s">
        <v>3495</v>
      </c>
      <c r="D2179" s="312">
        <v>26</v>
      </c>
      <c r="E2179" s="312"/>
      <c r="F2179" s="248"/>
      <c r="G2179" s="312"/>
      <c r="H2179" s="228"/>
      <c r="I2179" s="312">
        <v>18</v>
      </c>
      <c r="J2179" s="248">
        <f t="shared" si="233"/>
        <v>18</v>
      </c>
      <c r="K2179" s="330">
        <f t="shared" si="234"/>
        <v>-8</v>
      </c>
      <c r="L2179" s="228"/>
      <c r="M2179" s="228">
        <f t="shared" si="235"/>
        <v>0</v>
      </c>
      <c r="N2179" s="228">
        <f t="shared" si="238"/>
        <v>0</v>
      </c>
      <c r="O2179" s="228">
        <f t="shared" si="239"/>
        <v>0</v>
      </c>
      <c r="P2179" s="228">
        <f t="shared" si="239"/>
        <v>18</v>
      </c>
      <c r="Q2179" s="228">
        <f t="shared" si="236"/>
        <v>18</v>
      </c>
      <c r="R2179" s="343">
        <f t="shared" si="237"/>
        <v>-8</v>
      </c>
      <c r="S2179" s="240"/>
      <c r="T2179" s="201"/>
      <c r="U2179" s="201"/>
      <c r="V2179" s="201"/>
    </row>
    <row r="2180" spans="1:22" ht="30" x14ac:dyDescent="0.25">
      <c r="A2180" s="234" t="s">
        <v>3595</v>
      </c>
      <c r="B2180" s="235" t="s">
        <v>3596</v>
      </c>
      <c r="C2180" s="234" t="s">
        <v>3495</v>
      </c>
      <c r="D2180" s="312">
        <v>8</v>
      </c>
      <c r="E2180" s="312"/>
      <c r="F2180" s="248"/>
      <c r="G2180" s="312"/>
      <c r="H2180" s="228"/>
      <c r="I2180" s="312">
        <v>5</v>
      </c>
      <c r="J2180" s="248">
        <f t="shared" si="233"/>
        <v>5</v>
      </c>
      <c r="K2180" s="330">
        <f t="shared" si="234"/>
        <v>-3</v>
      </c>
      <c r="L2180" s="228"/>
      <c r="M2180" s="228">
        <f t="shared" si="235"/>
        <v>0</v>
      </c>
      <c r="N2180" s="228">
        <f t="shared" si="238"/>
        <v>0</v>
      </c>
      <c r="O2180" s="228">
        <f t="shared" si="239"/>
        <v>0</v>
      </c>
      <c r="P2180" s="228">
        <f t="shared" si="239"/>
        <v>5</v>
      </c>
      <c r="Q2180" s="228">
        <f t="shared" si="236"/>
        <v>5</v>
      </c>
      <c r="R2180" s="343">
        <f t="shared" si="237"/>
        <v>-3</v>
      </c>
      <c r="S2180" s="240"/>
      <c r="T2180" s="201"/>
      <c r="U2180" s="201"/>
      <c r="V2180" s="201"/>
    </row>
    <row r="2181" spans="1:22" ht="15.75" x14ac:dyDescent="0.25">
      <c r="A2181" s="230" t="s">
        <v>3597</v>
      </c>
      <c r="B2181" s="231" t="s">
        <v>3598</v>
      </c>
      <c r="C2181" s="230"/>
      <c r="D2181" s="316"/>
      <c r="E2181" s="312"/>
      <c r="F2181" s="248"/>
      <c r="G2181" s="312"/>
      <c r="H2181" s="228"/>
      <c r="I2181" s="312"/>
      <c r="J2181" s="248">
        <f t="shared" si="233"/>
        <v>0</v>
      </c>
      <c r="K2181" s="330">
        <f t="shared" si="234"/>
        <v>0</v>
      </c>
      <c r="L2181" s="228"/>
      <c r="M2181" s="228">
        <f t="shared" si="235"/>
        <v>0</v>
      </c>
      <c r="N2181" s="228">
        <f t="shared" si="238"/>
        <v>0</v>
      </c>
      <c r="O2181" s="228">
        <f t="shared" si="239"/>
        <v>0</v>
      </c>
      <c r="P2181" s="228">
        <f t="shared" si="239"/>
        <v>0</v>
      </c>
      <c r="Q2181" s="228">
        <f t="shared" si="236"/>
        <v>0</v>
      </c>
      <c r="R2181" s="343">
        <f t="shared" si="237"/>
        <v>0</v>
      </c>
      <c r="S2181" s="240"/>
      <c r="T2181" s="201"/>
      <c r="U2181" s="201"/>
      <c r="V2181" s="201"/>
    </row>
    <row r="2182" spans="1:22" ht="45" x14ac:dyDescent="0.25">
      <c r="A2182" s="234" t="s">
        <v>3599</v>
      </c>
      <c r="B2182" s="235" t="s">
        <v>3600</v>
      </c>
      <c r="C2182" s="234" t="s">
        <v>496</v>
      </c>
      <c r="D2182" s="312">
        <v>1</v>
      </c>
      <c r="E2182" s="312"/>
      <c r="F2182" s="248"/>
      <c r="G2182" s="312"/>
      <c r="H2182" s="228"/>
      <c r="I2182" s="312">
        <v>1</v>
      </c>
      <c r="J2182" s="248">
        <f t="shared" si="233"/>
        <v>1</v>
      </c>
      <c r="K2182" s="330">
        <f t="shared" si="234"/>
        <v>0</v>
      </c>
      <c r="L2182" s="228"/>
      <c r="M2182" s="228">
        <f t="shared" si="235"/>
        <v>0</v>
      </c>
      <c r="N2182" s="228">
        <f t="shared" si="238"/>
        <v>0</v>
      </c>
      <c r="O2182" s="228">
        <f t="shared" si="239"/>
        <v>0</v>
      </c>
      <c r="P2182" s="228">
        <f t="shared" si="239"/>
        <v>1</v>
      </c>
      <c r="Q2182" s="228">
        <f t="shared" si="236"/>
        <v>1</v>
      </c>
      <c r="R2182" s="343">
        <f t="shared" si="237"/>
        <v>0</v>
      </c>
      <c r="S2182" s="240"/>
      <c r="T2182" s="201"/>
      <c r="U2182" s="201"/>
      <c r="V2182" s="201"/>
    </row>
    <row r="2183" spans="1:22" ht="45" x14ac:dyDescent="0.25">
      <c r="A2183" s="234" t="s">
        <v>3601</v>
      </c>
      <c r="B2183" s="235" t="s">
        <v>3602</v>
      </c>
      <c r="C2183" s="234" t="s">
        <v>496</v>
      </c>
      <c r="D2183" s="312">
        <v>1</v>
      </c>
      <c r="E2183" s="312"/>
      <c r="F2183" s="248"/>
      <c r="G2183" s="312"/>
      <c r="H2183" s="228"/>
      <c r="I2183" s="312">
        <v>1</v>
      </c>
      <c r="J2183" s="248">
        <f t="shared" si="233"/>
        <v>1</v>
      </c>
      <c r="K2183" s="330">
        <f t="shared" si="234"/>
        <v>0</v>
      </c>
      <c r="L2183" s="228"/>
      <c r="M2183" s="228">
        <f t="shared" si="235"/>
        <v>0</v>
      </c>
      <c r="N2183" s="228">
        <f t="shared" si="238"/>
        <v>0</v>
      </c>
      <c r="O2183" s="228">
        <f t="shared" si="239"/>
        <v>0</v>
      </c>
      <c r="P2183" s="228">
        <f t="shared" si="239"/>
        <v>1</v>
      </c>
      <c r="Q2183" s="228">
        <f t="shared" si="236"/>
        <v>1</v>
      </c>
      <c r="R2183" s="343">
        <f t="shared" si="237"/>
        <v>0</v>
      </c>
      <c r="S2183" s="240"/>
      <c r="T2183" s="201"/>
      <c r="U2183" s="201"/>
      <c r="V2183" s="201"/>
    </row>
    <row r="2184" spans="1:22" ht="45" x14ac:dyDescent="0.25">
      <c r="A2184" s="234" t="s">
        <v>3603</v>
      </c>
      <c r="B2184" s="235" t="s">
        <v>3604</v>
      </c>
      <c r="C2184" s="234" t="s">
        <v>496</v>
      </c>
      <c r="D2184" s="312">
        <v>1</v>
      </c>
      <c r="E2184" s="312"/>
      <c r="F2184" s="248"/>
      <c r="G2184" s="312"/>
      <c r="H2184" s="228"/>
      <c r="I2184" s="312">
        <v>1</v>
      </c>
      <c r="J2184" s="248">
        <f t="shared" si="233"/>
        <v>1</v>
      </c>
      <c r="K2184" s="330">
        <f t="shared" si="234"/>
        <v>0</v>
      </c>
      <c r="L2184" s="228"/>
      <c r="M2184" s="228">
        <f t="shared" si="235"/>
        <v>0</v>
      </c>
      <c r="N2184" s="228">
        <f t="shared" si="238"/>
        <v>0</v>
      </c>
      <c r="O2184" s="228">
        <f t="shared" si="239"/>
        <v>0</v>
      </c>
      <c r="P2184" s="228">
        <f t="shared" si="239"/>
        <v>1</v>
      </c>
      <c r="Q2184" s="228">
        <f t="shared" si="236"/>
        <v>1</v>
      </c>
      <c r="R2184" s="343">
        <f t="shared" si="237"/>
        <v>0</v>
      </c>
      <c r="S2184" s="240"/>
      <c r="T2184" s="201"/>
      <c r="U2184" s="201"/>
      <c r="V2184" s="201"/>
    </row>
    <row r="2185" spans="1:22" ht="45" x14ac:dyDescent="0.25">
      <c r="A2185" s="234" t="s">
        <v>3605</v>
      </c>
      <c r="B2185" s="235" t="s">
        <v>3606</v>
      </c>
      <c r="C2185" s="234" t="s">
        <v>496</v>
      </c>
      <c r="D2185" s="312">
        <v>2</v>
      </c>
      <c r="E2185" s="312"/>
      <c r="F2185" s="248"/>
      <c r="G2185" s="312"/>
      <c r="H2185" s="228"/>
      <c r="I2185" s="312">
        <v>2</v>
      </c>
      <c r="J2185" s="248">
        <f t="shared" si="233"/>
        <v>2</v>
      </c>
      <c r="K2185" s="330">
        <f t="shared" si="234"/>
        <v>0</v>
      </c>
      <c r="L2185" s="228"/>
      <c r="M2185" s="228">
        <f t="shared" si="235"/>
        <v>0</v>
      </c>
      <c r="N2185" s="228">
        <f t="shared" si="238"/>
        <v>0</v>
      </c>
      <c r="O2185" s="228">
        <f t="shared" si="239"/>
        <v>0</v>
      </c>
      <c r="P2185" s="228">
        <f t="shared" si="239"/>
        <v>2</v>
      </c>
      <c r="Q2185" s="228">
        <f t="shared" si="236"/>
        <v>2</v>
      </c>
      <c r="R2185" s="343">
        <f t="shared" si="237"/>
        <v>0</v>
      </c>
      <c r="S2185" s="240"/>
      <c r="T2185" s="201"/>
      <c r="U2185" s="201"/>
      <c r="V2185" s="201"/>
    </row>
    <row r="2186" spans="1:22" ht="45" x14ac:dyDescent="0.25">
      <c r="A2186" s="234" t="s">
        <v>3607</v>
      </c>
      <c r="B2186" s="235" t="s">
        <v>3608</v>
      </c>
      <c r="C2186" s="234" t="s">
        <v>496</v>
      </c>
      <c r="D2186" s="312">
        <v>1</v>
      </c>
      <c r="E2186" s="312"/>
      <c r="F2186" s="248"/>
      <c r="G2186" s="312"/>
      <c r="H2186" s="228"/>
      <c r="I2186" s="312">
        <v>1</v>
      </c>
      <c r="J2186" s="248">
        <f t="shared" si="233"/>
        <v>1</v>
      </c>
      <c r="K2186" s="330">
        <f t="shared" si="234"/>
        <v>0</v>
      </c>
      <c r="L2186" s="228"/>
      <c r="M2186" s="228">
        <f t="shared" si="235"/>
        <v>0</v>
      </c>
      <c r="N2186" s="228">
        <f t="shared" si="238"/>
        <v>0</v>
      </c>
      <c r="O2186" s="228">
        <f t="shared" si="239"/>
        <v>0</v>
      </c>
      <c r="P2186" s="228">
        <f t="shared" si="239"/>
        <v>1</v>
      </c>
      <c r="Q2186" s="228">
        <f t="shared" si="236"/>
        <v>1</v>
      </c>
      <c r="R2186" s="343">
        <f t="shared" si="237"/>
        <v>0</v>
      </c>
      <c r="S2186" s="240"/>
      <c r="T2186" s="201"/>
      <c r="U2186" s="201"/>
      <c r="V2186" s="201"/>
    </row>
    <row r="2187" spans="1:22" ht="45" x14ac:dyDescent="0.25">
      <c r="A2187" s="234" t="s">
        <v>3609</v>
      </c>
      <c r="B2187" s="235" t="s">
        <v>3610</v>
      </c>
      <c r="C2187" s="234" t="s">
        <v>496</v>
      </c>
      <c r="D2187" s="312">
        <v>1</v>
      </c>
      <c r="E2187" s="312"/>
      <c r="F2187" s="248"/>
      <c r="G2187" s="312"/>
      <c r="H2187" s="228"/>
      <c r="I2187" s="312">
        <v>1</v>
      </c>
      <c r="J2187" s="248">
        <f t="shared" si="233"/>
        <v>1</v>
      </c>
      <c r="K2187" s="330">
        <f t="shared" si="234"/>
        <v>0</v>
      </c>
      <c r="L2187" s="228"/>
      <c r="M2187" s="228">
        <f t="shared" si="235"/>
        <v>0</v>
      </c>
      <c r="N2187" s="228">
        <f t="shared" si="238"/>
        <v>0</v>
      </c>
      <c r="O2187" s="228">
        <f t="shared" si="239"/>
        <v>0</v>
      </c>
      <c r="P2187" s="228">
        <f t="shared" si="239"/>
        <v>1</v>
      </c>
      <c r="Q2187" s="228">
        <f t="shared" si="236"/>
        <v>1</v>
      </c>
      <c r="R2187" s="343">
        <f t="shared" si="237"/>
        <v>0</v>
      </c>
      <c r="S2187" s="240"/>
      <c r="T2187" s="201"/>
      <c r="U2187" s="201"/>
      <c r="V2187" s="201"/>
    </row>
    <row r="2188" spans="1:22" ht="45" x14ac:dyDescent="0.25">
      <c r="A2188" s="234" t="s">
        <v>3611</v>
      </c>
      <c r="B2188" s="235" t="s">
        <v>3612</v>
      </c>
      <c r="C2188" s="234" t="s">
        <v>496</v>
      </c>
      <c r="D2188" s="312">
        <v>1</v>
      </c>
      <c r="E2188" s="312"/>
      <c r="F2188" s="248"/>
      <c r="G2188" s="312"/>
      <c r="H2188" s="228"/>
      <c r="I2188" s="312">
        <v>1</v>
      </c>
      <c r="J2188" s="248">
        <f t="shared" si="233"/>
        <v>1</v>
      </c>
      <c r="K2188" s="330">
        <f t="shared" si="234"/>
        <v>0</v>
      </c>
      <c r="L2188" s="228"/>
      <c r="M2188" s="228">
        <f t="shared" si="235"/>
        <v>0</v>
      </c>
      <c r="N2188" s="228">
        <f t="shared" si="238"/>
        <v>0</v>
      </c>
      <c r="O2188" s="228">
        <f t="shared" si="239"/>
        <v>0</v>
      </c>
      <c r="P2188" s="228">
        <f t="shared" si="239"/>
        <v>1</v>
      </c>
      <c r="Q2188" s="228">
        <f t="shared" si="236"/>
        <v>1</v>
      </c>
      <c r="R2188" s="343">
        <f t="shared" si="237"/>
        <v>0</v>
      </c>
      <c r="S2188" s="240"/>
      <c r="T2188" s="201"/>
      <c r="U2188" s="201"/>
      <c r="V2188" s="201"/>
    </row>
    <row r="2189" spans="1:22" ht="45" x14ac:dyDescent="0.25">
      <c r="A2189" s="234" t="s">
        <v>3613</v>
      </c>
      <c r="B2189" s="235" t="s">
        <v>3614</v>
      </c>
      <c r="C2189" s="234" t="s">
        <v>496</v>
      </c>
      <c r="D2189" s="312">
        <v>1</v>
      </c>
      <c r="E2189" s="312"/>
      <c r="F2189" s="248"/>
      <c r="G2189" s="312"/>
      <c r="H2189" s="228"/>
      <c r="I2189" s="312">
        <v>1</v>
      </c>
      <c r="J2189" s="248">
        <f t="shared" si="233"/>
        <v>1</v>
      </c>
      <c r="K2189" s="330">
        <f t="shared" si="234"/>
        <v>0</v>
      </c>
      <c r="L2189" s="228"/>
      <c r="M2189" s="228">
        <f t="shared" si="235"/>
        <v>0</v>
      </c>
      <c r="N2189" s="228">
        <f t="shared" si="238"/>
        <v>0</v>
      </c>
      <c r="O2189" s="228">
        <f t="shared" si="239"/>
        <v>0</v>
      </c>
      <c r="P2189" s="228">
        <f t="shared" si="239"/>
        <v>1</v>
      </c>
      <c r="Q2189" s="228">
        <f t="shared" si="236"/>
        <v>1</v>
      </c>
      <c r="R2189" s="343">
        <f t="shared" si="237"/>
        <v>0</v>
      </c>
      <c r="S2189" s="240"/>
      <c r="T2189" s="201"/>
      <c r="U2189" s="201"/>
      <c r="V2189" s="201"/>
    </row>
    <row r="2190" spans="1:22" ht="45" x14ac:dyDescent="0.25">
      <c r="A2190" s="234" t="s">
        <v>3615</v>
      </c>
      <c r="B2190" s="235" t="s">
        <v>3616</v>
      </c>
      <c r="C2190" s="234" t="s">
        <v>496</v>
      </c>
      <c r="D2190" s="312">
        <v>1</v>
      </c>
      <c r="E2190" s="312"/>
      <c r="F2190" s="248"/>
      <c r="G2190" s="312"/>
      <c r="H2190" s="228"/>
      <c r="I2190" s="312">
        <v>1</v>
      </c>
      <c r="J2190" s="248">
        <f t="shared" si="233"/>
        <v>1</v>
      </c>
      <c r="K2190" s="330">
        <f t="shared" si="234"/>
        <v>0</v>
      </c>
      <c r="L2190" s="228"/>
      <c r="M2190" s="228">
        <f t="shared" si="235"/>
        <v>0</v>
      </c>
      <c r="N2190" s="228">
        <f t="shared" si="238"/>
        <v>0</v>
      </c>
      <c r="O2190" s="228">
        <f t="shared" si="239"/>
        <v>0</v>
      </c>
      <c r="P2190" s="228">
        <f t="shared" si="239"/>
        <v>1</v>
      </c>
      <c r="Q2190" s="228">
        <f t="shared" si="236"/>
        <v>1</v>
      </c>
      <c r="R2190" s="343">
        <f t="shared" si="237"/>
        <v>0</v>
      </c>
      <c r="S2190" s="240"/>
      <c r="T2190" s="201"/>
      <c r="U2190" s="201"/>
      <c r="V2190" s="201"/>
    </row>
    <row r="2191" spans="1:22" ht="45" x14ac:dyDescent="0.25">
      <c r="A2191" s="234" t="s">
        <v>3617</v>
      </c>
      <c r="B2191" s="235" t="s">
        <v>3618</v>
      </c>
      <c r="C2191" s="234" t="s">
        <v>496</v>
      </c>
      <c r="D2191" s="312">
        <v>1</v>
      </c>
      <c r="E2191" s="312"/>
      <c r="F2191" s="248"/>
      <c r="G2191" s="312"/>
      <c r="H2191" s="228"/>
      <c r="I2191" s="312">
        <v>1</v>
      </c>
      <c r="J2191" s="248">
        <f t="shared" si="233"/>
        <v>1</v>
      </c>
      <c r="K2191" s="330">
        <f t="shared" si="234"/>
        <v>0</v>
      </c>
      <c r="L2191" s="228"/>
      <c r="M2191" s="228">
        <f t="shared" si="235"/>
        <v>0</v>
      </c>
      <c r="N2191" s="228">
        <f t="shared" si="238"/>
        <v>0</v>
      </c>
      <c r="O2191" s="228">
        <f t="shared" si="239"/>
        <v>0</v>
      </c>
      <c r="P2191" s="228">
        <f t="shared" si="239"/>
        <v>1</v>
      </c>
      <c r="Q2191" s="228">
        <f t="shared" si="236"/>
        <v>1</v>
      </c>
      <c r="R2191" s="343">
        <f t="shared" si="237"/>
        <v>0</v>
      </c>
      <c r="S2191" s="240"/>
      <c r="T2191" s="201"/>
      <c r="U2191" s="201"/>
      <c r="V2191" s="201"/>
    </row>
    <row r="2192" spans="1:22" ht="45" x14ac:dyDescent="0.25">
      <c r="A2192" s="234" t="s">
        <v>3619</v>
      </c>
      <c r="B2192" s="235" t="s">
        <v>3620</v>
      </c>
      <c r="C2192" s="234" t="s">
        <v>496</v>
      </c>
      <c r="D2192" s="312">
        <v>1</v>
      </c>
      <c r="E2192" s="312"/>
      <c r="F2192" s="248"/>
      <c r="G2192" s="312"/>
      <c r="H2192" s="228"/>
      <c r="I2192" s="312">
        <v>1</v>
      </c>
      <c r="J2192" s="248">
        <f t="shared" si="233"/>
        <v>1</v>
      </c>
      <c r="K2192" s="330">
        <f t="shared" si="234"/>
        <v>0</v>
      </c>
      <c r="L2192" s="228"/>
      <c r="M2192" s="228">
        <f t="shared" si="235"/>
        <v>0</v>
      </c>
      <c r="N2192" s="228">
        <f t="shared" si="238"/>
        <v>0</v>
      </c>
      <c r="O2192" s="228">
        <f t="shared" si="239"/>
        <v>0</v>
      </c>
      <c r="P2192" s="228">
        <f t="shared" si="239"/>
        <v>1</v>
      </c>
      <c r="Q2192" s="228">
        <f t="shared" si="236"/>
        <v>1</v>
      </c>
      <c r="R2192" s="343">
        <f t="shared" si="237"/>
        <v>0</v>
      </c>
      <c r="S2192" s="240"/>
      <c r="T2192" s="201"/>
      <c r="U2192" s="201"/>
      <c r="V2192" s="201"/>
    </row>
    <row r="2193" spans="1:22" ht="45" x14ac:dyDescent="0.25">
      <c r="A2193" s="234" t="s">
        <v>3621</v>
      </c>
      <c r="B2193" s="235" t="s">
        <v>3622</v>
      </c>
      <c r="C2193" s="234" t="s">
        <v>496</v>
      </c>
      <c r="D2193" s="312">
        <v>1</v>
      </c>
      <c r="E2193" s="312"/>
      <c r="F2193" s="248"/>
      <c r="G2193" s="312"/>
      <c r="H2193" s="228"/>
      <c r="I2193" s="312">
        <v>1</v>
      </c>
      <c r="J2193" s="248">
        <f t="shared" si="233"/>
        <v>1</v>
      </c>
      <c r="K2193" s="330">
        <f t="shared" si="234"/>
        <v>0</v>
      </c>
      <c r="L2193" s="228"/>
      <c r="M2193" s="228">
        <f t="shared" si="235"/>
        <v>0</v>
      </c>
      <c r="N2193" s="228">
        <f t="shared" si="238"/>
        <v>0</v>
      </c>
      <c r="O2193" s="228">
        <f t="shared" si="239"/>
        <v>0</v>
      </c>
      <c r="P2193" s="228">
        <f t="shared" si="239"/>
        <v>1</v>
      </c>
      <c r="Q2193" s="228">
        <f t="shared" si="236"/>
        <v>1</v>
      </c>
      <c r="R2193" s="343">
        <f t="shared" si="237"/>
        <v>0</v>
      </c>
      <c r="S2193" s="240"/>
      <c r="T2193" s="201"/>
      <c r="U2193" s="201"/>
      <c r="V2193" s="201"/>
    </row>
    <row r="2194" spans="1:22" ht="45" x14ac:dyDescent="0.25">
      <c r="A2194" s="234" t="s">
        <v>3623</v>
      </c>
      <c r="B2194" s="235" t="s">
        <v>3624</v>
      </c>
      <c r="C2194" s="234" t="s">
        <v>496</v>
      </c>
      <c r="D2194" s="312">
        <v>1</v>
      </c>
      <c r="E2194" s="312"/>
      <c r="F2194" s="248"/>
      <c r="G2194" s="312"/>
      <c r="H2194" s="228"/>
      <c r="I2194" s="312">
        <v>1</v>
      </c>
      <c r="J2194" s="248">
        <f t="shared" si="233"/>
        <v>1</v>
      </c>
      <c r="K2194" s="330">
        <f t="shared" si="234"/>
        <v>0</v>
      </c>
      <c r="L2194" s="228"/>
      <c r="M2194" s="228">
        <f t="shared" si="235"/>
        <v>0</v>
      </c>
      <c r="N2194" s="228">
        <f t="shared" si="238"/>
        <v>0</v>
      </c>
      <c r="O2194" s="228">
        <f t="shared" si="239"/>
        <v>0</v>
      </c>
      <c r="P2194" s="228">
        <f t="shared" si="239"/>
        <v>1</v>
      </c>
      <c r="Q2194" s="228">
        <f t="shared" si="236"/>
        <v>1</v>
      </c>
      <c r="R2194" s="343">
        <f t="shared" si="237"/>
        <v>0</v>
      </c>
      <c r="S2194" s="240"/>
      <c r="T2194" s="201"/>
      <c r="U2194" s="201"/>
      <c r="V2194" s="201"/>
    </row>
    <row r="2195" spans="1:22" ht="45" x14ac:dyDescent="0.25">
      <c r="A2195" s="234" t="s">
        <v>3625</v>
      </c>
      <c r="B2195" s="235" t="s">
        <v>3626</v>
      </c>
      <c r="C2195" s="234" t="s">
        <v>496</v>
      </c>
      <c r="D2195" s="312">
        <v>1</v>
      </c>
      <c r="E2195" s="312"/>
      <c r="F2195" s="248"/>
      <c r="G2195" s="312"/>
      <c r="H2195" s="228"/>
      <c r="I2195" s="312">
        <v>1</v>
      </c>
      <c r="J2195" s="248">
        <f t="shared" si="233"/>
        <v>1</v>
      </c>
      <c r="K2195" s="330">
        <f t="shared" si="234"/>
        <v>0</v>
      </c>
      <c r="L2195" s="228"/>
      <c r="M2195" s="228">
        <f t="shared" si="235"/>
        <v>0</v>
      </c>
      <c r="N2195" s="228">
        <f t="shared" si="238"/>
        <v>0</v>
      </c>
      <c r="O2195" s="228">
        <f t="shared" si="239"/>
        <v>0</v>
      </c>
      <c r="P2195" s="228">
        <f t="shared" si="239"/>
        <v>1</v>
      </c>
      <c r="Q2195" s="228">
        <f t="shared" si="236"/>
        <v>1</v>
      </c>
      <c r="R2195" s="343">
        <f t="shared" si="237"/>
        <v>0</v>
      </c>
      <c r="S2195" s="240"/>
      <c r="T2195" s="201"/>
      <c r="U2195" s="201"/>
      <c r="V2195" s="201"/>
    </row>
    <row r="2196" spans="1:22" ht="45" x14ac:dyDescent="0.25">
      <c r="A2196" s="234" t="s">
        <v>3627</v>
      </c>
      <c r="B2196" s="235" t="s">
        <v>3628</v>
      </c>
      <c r="C2196" s="234" t="s">
        <v>496</v>
      </c>
      <c r="D2196" s="312">
        <v>2</v>
      </c>
      <c r="E2196" s="312"/>
      <c r="F2196" s="248"/>
      <c r="G2196" s="312"/>
      <c r="H2196" s="228"/>
      <c r="I2196" s="312">
        <v>2</v>
      </c>
      <c r="J2196" s="248">
        <f t="shared" si="233"/>
        <v>2</v>
      </c>
      <c r="K2196" s="330">
        <f t="shared" si="234"/>
        <v>0</v>
      </c>
      <c r="L2196" s="228"/>
      <c r="M2196" s="228">
        <f t="shared" si="235"/>
        <v>0</v>
      </c>
      <c r="N2196" s="228">
        <f t="shared" si="238"/>
        <v>0</v>
      </c>
      <c r="O2196" s="228">
        <f t="shared" si="239"/>
        <v>0</v>
      </c>
      <c r="P2196" s="228">
        <f t="shared" si="239"/>
        <v>2</v>
      </c>
      <c r="Q2196" s="228">
        <f t="shared" si="236"/>
        <v>2</v>
      </c>
      <c r="R2196" s="343">
        <f t="shared" si="237"/>
        <v>0</v>
      </c>
      <c r="S2196" s="240"/>
      <c r="T2196" s="201"/>
      <c r="U2196" s="201"/>
      <c r="V2196" s="201"/>
    </row>
    <row r="2197" spans="1:22" ht="60" x14ac:dyDescent="0.25">
      <c r="A2197" s="234" t="s">
        <v>3629</v>
      </c>
      <c r="B2197" s="235" t="s">
        <v>3630</v>
      </c>
      <c r="C2197" s="234" t="s">
        <v>496</v>
      </c>
      <c r="D2197" s="312">
        <v>2</v>
      </c>
      <c r="E2197" s="312"/>
      <c r="F2197" s="248"/>
      <c r="G2197" s="312"/>
      <c r="H2197" s="228"/>
      <c r="I2197" s="312">
        <v>2</v>
      </c>
      <c r="J2197" s="248">
        <f t="shared" si="233"/>
        <v>2</v>
      </c>
      <c r="K2197" s="330">
        <f t="shared" si="234"/>
        <v>0</v>
      </c>
      <c r="L2197" s="228"/>
      <c r="M2197" s="228">
        <f t="shared" si="235"/>
        <v>0</v>
      </c>
      <c r="N2197" s="228">
        <f t="shared" si="238"/>
        <v>0</v>
      </c>
      <c r="O2197" s="228">
        <f t="shared" si="239"/>
        <v>0</v>
      </c>
      <c r="P2197" s="228">
        <f t="shared" si="239"/>
        <v>2</v>
      </c>
      <c r="Q2197" s="228">
        <f t="shared" si="236"/>
        <v>2</v>
      </c>
      <c r="R2197" s="343">
        <f t="shared" si="237"/>
        <v>0</v>
      </c>
      <c r="S2197" s="240"/>
      <c r="T2197" s="201"/>
      <c r="U2197" s="201"/>
      <c r="V2197" s="201"/>
    </row>
    <row r="2198" spans="1:22" ht="45" x14ac:dyDescent="0.25">
      <c r="A2198" s="234" t="s">
        <v>3631</v>
      </c>
      <c r="B2198" s="235" t="s">
        <v>3632</v>
      </c>
      <c r="C2198" s="234" t="s">
        <v>496</v>
      </c>
      <c r="D2198" s="312">
        <v>1</v>
      </c>
      <c r="E2198" s="312"/>
      <c r="F2198" s="248"/>
      <c r="G2198" s="312"/>
      <c r="H2198" s="228"/>
      <c r="I2198" s="312">
        <v>1</v>
      </c>
      <c r="J2198" s="248">
        <f t="shared" si="233"/>
        <v>1</v>
      </c>
      <c r="K2198" s="330">
        <f t="shared" si="234"/>
        <v>0</v>
      </c>
      <c r="L2198" s="228"/>
      <c r="M2198" s="228">
        <f t="shared" si="235"/>
        <v>0</v>
      </c>
      <c r="N2198" s="228">
        <f t="shared" si="238"/>
        <v>0</v>
      </c>
      <c r="O2198" s="228">
        <f t="shared" si="239"/>
        <v>0</v>
      </c>
      <c r="P2198" s="228">
        <f t="shared" si="239"/>
        <v>1</v>
      </c>
      <c r="Q2198" s="228">
        <f t="shared" si="236"/>
        <v>1</v>
      </c>
      <c r="R2198" s="343">
        <f t="shared" si="237"/>
        <v>0</v>
      </c>
      <c r="S2198" s="240"/>
      <c r="T2198" s="201"/>
      <c r="U2198" s="201"/>
      <c r="V2198" s="201"/>
    </row>
    <row r="2199" spans="1:22" ht="45" x14ac:dyDescent="0.25">
      <c r="A2199" s="234" t="s">
        <v>3633</v>
      </c>
      <c r="B2199" s="235" t="s">
        <v>3634</v>
      </c>
      <c r="C2199" s="234" t="s">
        <v>496</v>
      </c>
      <c r="D2199" s="312">
        <v>1</v>
      </c>
      <c r="E2199" s="312"/>
      <c r="F2199" s="248"/>
      <c r="G2199" s="312"/>
      <c r="H2199" s="228"/>
      <c r="I2199" s="312">
        <v>1</v>
      </c>
      <c r="J2199" s="248">
        <f t="shared" si="233"/>
        <v>1</v>
      </c>
      <c r="K2199" s="330">
        <f t="shared" si="234"/>
        <v>0</v>
      </c>
      <c r="L2199" s="228"/>
      <c r="M2199" s="228">
        <f t="shared" si="235"/>
        <v>0</v>
      </c>
      <c r="N2199" s="228">
        <f t="shared" si="238"/>
        <v>0</v>
      </c>
      <c r="O2199" s="228">
        <f t="shared" si="239"/>
        <v>0</v>
      </c>
      <c r="P2199" s="228">
        <f t="shared" si="239"/>
        <v>1</v>
      </c>
      <c r="Q2199" s="228">
        <f t="shared" si="236"/>
        <v>1</v>
      </c>
      <c r="R2199" s="343">
        <f t="shared" si="237"/>
        <v>0</v>
      </c>
      <c r="S2199" s="240"/>
      <c r="T2199" s="201"/>
      <c r="U2199" s="201"/>
      <c r="V2199" s="201"/>
    </row>
    <row r="2200" spans="1:22" ht="45" x14ac:dyDescent="0.25">
      <c r="A2200" s="234" t="s">
        <v>3635</v>
      </c>
      <c r="B2200" s="235" t="s">
        <v>3636</v>
      </c>
      <c r="C2200" s="234" t="s">
        <v>496</v>
      </c>
      <c r="D2200" s="312">
        <v>2</v>
      </c>
      <c r="E2200" s="312"/>
      <c r="F2200" s="248"/>
      <c r="G2200" s="312"/>
      <c r="H2200" s="228"/>
      <c r="I2200" s="312">
        <v>2</v>
      </c>
      <c r="J2200" s="248">
        <f t="shared" si="233"/>
        <v>2</v>
      </c>
      <c r="K2200" s="330">
        <f t="shared" si="234"/>
        <v>0</v>
      </c>
      <c r="L2200" s="228"/>
      <c r="M2200" s="228">
        <f t="shared" si="235"/>
        <v>0</v>
      </c>
      <c r="N2200" s="228">
        <f t="shared" si="238"/>
        <v>0</v>
      </c>
      <c r="O2200" s="228">
        <f t="shared" si="239"/>
        <v>0</v>
      </c>
      <c r="P2200" s="228">
        <f t="shared" si="239"/>
        <v>2</v>
      </c>
      <c r="Q2200" s="228">
        <f t="shared" si="236"/>
        <v>2</v>
      </c>
      <c r="R2200" s="343">
        <f t="shared" si="237"/>
        <v>0</v>
      </c>
      <c r="S2200" s="240"/>
      <c r="T2200" s="201"/>
      <c r="U2200" s="201"/>
      <c r="V2200" s="201"/>
    </row>
    <row r="2201" spans="1:22" ht="45" x14ac:dyDescent="0.25">
      <c r="A2201" s="234" t="s">
        <v>3637</v>
      </c>
      <c r="B2201" s="235" t="s">
        <v>3638</v>
      </c>
      <c r="C2201" s="234" t="s">
        <v>496</v>
      </c>
      <c r="D2201" s="312">
        <v>2</v>
      </c>
      <c r="E2201" s="312"/>
      <c r="F2201" s="248"/>
      <c r="G2201" s="312"/>
      <c r="H2201" s="228"/>
      <c r="I2201" s="312">
        <v>2</v>
      </c>
      <c r="J2201" s="248">
        <f t="shared" si="233"/>
        <v>2</v>
      </c>
      <c r="K2201" s="330">
        <f t="shared" si="234"/>
        <v>0</v>
      </c>
      <c r="L2201" s="228"/>
      <c r="M2201" s="228">
        <f t="shared" si="235"/>
        <v>0</v>
      </c>
      <c r="N2201" s="228">
        <f t="shared" si="238"/>
        <v>0</v>
      </c>
      <c r="O2201" s="228">
        <f t="shared" si="239"/>
        <v>0</v>
      </c>
      <c r="P2201" s="228">
        <f t="shared" si="239"/>
        <v>2</v>
      </c>
      <c r="Q2201" s="228">
        <f t="shared" si="236"/>
        <v>2</v>
      </c>
      <c r="R2201" s="343">
        <f t="shared" si="237"/>
        <v>0</v>
      </c>
      <c r="S2201" s="240"/>
      <c r="T2201" s="201"/>
      <c r="U2201" s="201"/>
      <c r="V2201" s="201"/>
    </row>
    <row r="2202" spans="1:22" ht="45" x14ac:dyDescent="0.25">
      <c r="A2202" s="234" t="s">
        <v>3639</v>
      </c>
      <c r="B2202" s="235" t="s">
        <v>3640</v>
      </c>
      <c r="C2202" s="234" t="s">
        <v>496</v>
      </c>
      <c r="D2202" s="312">
        <v>2</v>
      </c>
      <c r="E2202" s="312"/>
      <c r="F2202" s="248"/>
      <c r="G2202" s="312"/>
      <c r="H2202" s="228"/>
      <c r="I2202" s="312">
        <v>2</v>
      </c>
      <c r="J2202" s="248">
        <f t="shared" si="233"/>
        <v>2</v>
      </c>
      <c r="K2202" s="330">
        <f t="shared" si="234"/>
        <v>0</v>
      </c>
      <c r="L2202" s="228"/>
      <c r="M2202" s="228">
        <f t="shared" si="235"/>
        <v>0</v>
      </c>
      <c r="N2202" s="228">
        <f t="shared" si="238"/>
        <v>0</v>
      </c>
      <c r="O2202" s="228">
        <f t="shared" si="239"/>
        <v>0</v>
      </c>
      <c r="P2202" s="228">
        <f t="shared" si="239"/>
        <v>2</v>
      </c>
      <c r="Q2202" s="228">
        <f t="shared" si="236"/>
        <v>2</v>
      </c>
      <c r="R2202" s="343">
        <f t="shared" si="237"/>
        <v>0</v>
      </c>
      <c r="S2202" s="240"/>
      <c r="T2202" s="201"/>
      <c r="U2202" s="201"/>
      <c r="V2202" s="201"/>
    </row>
    <row r="2203" spans="1:22" ht="45" x14ac:dyDescent="0.25">
      <c r="A2203" s="234" t="s">
        <v>3641</v>
      </c>
      <c r="B2203" s="235" t="s">
        <v>3642</v>
      </c>
      <c r="C2203" s="234" t="s">
        <v>496</v>
      </c>
      <c r="D2203" s="312">
        <v>249</v>
      </c>
      <c r="E2203" s="312"/>
      <c r="F2203" s="248"/>
      <c r="G2203" s="312"/>
      <c r="H2203" s="228"/>
      <c r="I2203" s="312">
        <v>130</v>
      </c>
      <c r="J2203" s="248">
        <f t="shared" si="233"/>
        <v>130</v>
      </c>
      <c r="K2203" s="330">
        <f t="shared" si="234"/>
        <v>-119</v>
      </c>
      <c r="L2203" s="228"/>
      <c r="M2203" s="228">
        <f t="shared" si="235"/>
        <v>0</v>
      </c>
      <c r="N2203" s="228">
        <f t="shared" si="238"/>
        <v>0</v>
      </c>
      <c r="O2203" s="228">
        <f t="shared" si="239"/>
        <v>0</v>
      </c>
      <c r="P2203" s="228">
        <f t="shared" si="239"/>
        <v>130</v>
      </c>
      <c r="Q2203" s="228">
        <f t="shared" si="236"/>
        <v>130</v>
      </c>
      <c r="R2203" s="343">
        <f t="shared" si="237"/>
        <v>-119</v>
      </c>
      <c r="S2203" s="240"/>
      <c r="T2203" s="201"/>
      <c r="U2203" s="201"/>
      <c r="V2203" s="201"/>
    </row>
    <row r="2204" spans="1:22" ht="48" customHeight="1" x14ac:dyDescent="0.25">
      <c r="A2204" s="234" t="s">
        <v>3643</v>
      </c>
      <c r="B2204" s="235" t="s">
        <v>3644</v>
      </c>
      <c r="C2204" s="234" t="s">
        <v>496</v>
      </c>
      <c r="D2204" s="312">
        <v>13</v>
      </c>
      <c r="E2204" s="312"/>
      <c r="F2204" s="248"/>
      <c r="G2204" s="312"/>
      <c r="H2204" s="228"/>
      <c r="I2204" s="312">
        <v>13</v>
      </c>
      <c r="J2204" s="248">
        <f t="shared" si="233"/>
        <v>13</v>
      </c>
      <c r="K2204" s="330">
        <f t="shared" si="234"/>
        <v>0</v>
      </c>
      <c r="L2204" s="228"/>
      <c r="M2204" s="228">
        <f t="shared" si="235"/>
        <v>0</v>
      </c>
      <c r="N2204" s="228">
        <f t="shared" si="238"/>
        <v>0</v>
      </c>
      <c r="O2204" s="228">
        <f t="shared" si="239"/>
        <v>0</v>
      </c>
      <c r="P2204" s="228">
        <f t="shared" si="239"/>
        <v>13</v>
      </c>
      <c r="Q2204" s="228">
        <f t="shared" si="236"/>
        <v>13</v>
      </c>
      <c r="R2204" s="343">
        <f t="shared" si="237"/>
        <v>0</v>
      </c>
      <c r="S2204" s="240"/>
      <c r="T2204" s="201"/>
      <c r="U2204" s="201"/>
      <c r="V2204" s="201"/>
    </row>
    <row r="2205" spans="1:22" ht="15.75" x14ac:dyDescent="0.25">
      <c r="A2205" s="230" t="s">
        <v>4415</v>
      </c>
      <c r="B2205" s="231" t="s">
        <v>4416</v>
      </c>
      <c r="C2205" s="230"/>
      <c r="D2205" s="316"/>
      <c r="E2205" s="312"/>
      <c r="F2205" s="248"/>
      <c r="G2205" s="312"/>
      <c r="H2205" s="228"/>
      <c r="I2205" s="312"/>
      <c r="J2205" s="248">
        <f t="shared" si="233"/>
        <v>0</v>
      </c>
      <c r="K2205" s="330">
        <f t="shared" si="234"/>
        <v>0</v>
      </c>
      <c r="L2205" s="228"/>
      <c r="M2205" s="228">
        <f t="shared" si="235"/>
        <v>0</v>
      </c>
      <c r="N2205" s="228">
        <f t="shared" si="238"/>
        <v>0</v>
      </c>
      <c r="O2205" s="228">
        <f t="shared" si="239"/>
        <v>0</v>
      </c>
      <c r="P2205" s="228">
        <f t="shared" si="239"/>
        <v>0</v>
      </c>
      <c r="Q2205" s="228">
        <f t="shared" si="236"/>
        <v>0</v>
      </c>
      <c r="R2205" s="343">
        <f t="shared" si="237"/>
        <v>0</v>
      </c>
      <c r="S2205" s="240"/>
      <c r="T2205" s="201"/>
      <c r="U2205" s="201"/>
      <c r="V2205" s="201"/>
    </row>
    <row r="2206" spans="1:22" ht="15.75" x14ac:dyDescent="0.25">
      <c r="A2206" s="230" t="s">
        <v>4417</v>
      </c>
      <c r="B2206" s="231" t="s">
        <v>4418</v>
      </c>
      <c r="C2206" s="230"/>
      <c r="D2206" s="316"/>
      <c r="E2206" s="312"/>
      <c r="F2206" s="248"/>
      <c r="G2206" s="312"/>
      <c r="H2206" s="228"/>
      <c r="I2206" s="312"/>
      <c r="J2206" s="248">
        <f t="shared" si="233"/>
        <v>0</v>
      </c>
      <c r="K2206" s="330">
        <f t="shared" si="234"/>
        <v>0</v>
      </c>
      <c r="L2206" s="228"/>
      <c r="M2206" s="228">
        <f t="shared" si="235"/>
        <v>0</v>
      </c>
      <c r="N2206" s="228">
        <f t="shared" si="238"/>
        <v>0</v>
      </c>
      <c r="O2206" s="228">
        <f t="shared" si="239"/>
        <v>0</v>
      </c>
      <c r="P2206" s="228">
        <f t="shared" si="239"/>
        <v>0</v>
      </c>
      <c r="Q2206" s="228">
        <f t="shared" si="236"/>
        <v>0</v>
      </c>
      <c r="R2206" s="343">
        <f t="shared" si="237"/>
        <v>0</v>
      </c>
      <c r="S2206" s="240"/>
      <c r="T2206" s="201"/>
      <c r="U2206" s="201"/>
      <c r="V2206" s="201"/>
    </row>
    <row r="2207" spans="1:22" ht="30" x14ac:dyDescent="0.25">
      <c r="A2207" s="234" t="s">
        <v>4419</v>
      </c>
      <c r="B2207" s="235" t="s">
        <v>4420</v>
      </c>
      <c r="C2207" s="234" t="s">
        <v>1867</v>
      </c>
      <c r="D2207" s="312">
        <v>2</v>
      </c>
      <c r="E2207" s="312"/>
      <c r="F2207" s="248"/>
      <c r="G2207" s="312">
        <v>2</v>
      </c>
      <c r="H2207" s="228"/>
      <c r="I2207" s="312"/>
      <c r="J2207" s="248">
        <f t="shared" si="233"/>
        <v>2</v>
      </c>
      <c r="K2207" s="330">
        <f t="shared" si="234"/>
        <v>0</v>
      </c>
      <c r="L2207" s="228"/>
      <c r="M2207" s="228">
        <f t="shared" si="235"/>
        <v>0</v>
      </c>
      <c r="N2207" s="228">
        <f t="shared" si="238"/>
        <v>2</v>
      </c>
      <c r="O2207" s="228">
        <f t="shared" si="239"/>
        <v>0</v>
      </c>
      <c r="P2207" s="228">
        <f t="shared" si="239"/>
        <v>0</v>
      </c>
      <c r="Q2207" s="228">
        <f t="shared" si="236"/>
        <v>2</v>
      </c>
      <c r="R2207" s="343">
        <f t="shared" si="237"/>
        <v>0</v>
      </c>
      <c r="S2207" s="240"/>
      <c r="T2207" s="201"/>
      <c r="U2207" s="201"/>
      <c r="V2207" s="201"/>
    </row>
    <row r="2208" spans="1:22" ht="15.75" x14ac:dyDescent="0.25">
      <c r="A2208" s="230" t="s">
        <v>4421</v>
      </c>
      <c r="B2208" s="231" t="s">
        <v>4422</v>
      </c>
      <c r="C2208" s="230"/>
      <c r="D2208" s="316"/>
      <c r="E2208" s="312"/>
      <c r="F2208" s="248"/>
      <c r="G2208" s="312"/>
      <c r="H2208" s="228"/>
      <c r="I2208" s="312"/>
      <c r="J2208" s="248">
        <f t="shared" si="233"/>
        <v>0</v>
      </c>
      <c r="K2208" s="330">
        <f t="shared" si="234"/>
        <v>0</v>
      </c>
      <c r="L2208" s="228"/>
      <c r="M2208" s="228">
        <f t="shared" si="235"/>
        <v>0</v>
      </c>
      <c r="N2208" s="228">
        <f t="shared" si="238"/>
        <v>0</v>
      </c>
      <c r="O2208" s="228">
        <f t="shared" si="239"/>
        <v>0</v>
      </c>
      <c r="P2208" s="228">
        <f t="shared" si="239"/>
        <v>0</v>
      </c>
      <c r="Q2208" s="228">
        <f t="shared" si="236"/>
        <v>0</v>
      </c>
      <c r="R2208" s="343">
        <f t="shared" si="237"/>
        <v>0</v>
      </c>
      <c r="S2208" s="240"/>
      <c r="T2208" s="201"/>
      <c r="U2208" s="201"/>
      <c r="V2208" s="201"/>
    </row>
    <row r="2209" spans="1:22" ht="34.5" customHeight="1" x14ac:dyDescent="0.25">
      <c r="A2209" s="234" t="s">
        <v>4423</v>
      </c>
      <c r="B2209" s="235" t="s">
        <v>4424</v>
      </c>
      <c r="C2209" s="234" t="s">
        <v>1867</v>
      </c>
      <c r="D2209" s="312">
        <v>1</v>
      </c>
      <c r="E2209" s="312"/>
      <c r="F2209" s="248"/>
      <c r="G2209" s="312">
        <v>1</v>
      </c>
      <c r="H2209" s="228"/>
      <c r="I2209" s="312"/>
      <c r="J2209" s="248">
        <f t="shared" si="233"/>
        <v>1</v>
      </c>
      <c r="K2209" s="330">
        <f t="shared" si="234"/>
        <v>0</v>
      </c>
      <c r="L2209" s="228"/>
      <c r="M2209" s="228">
        <f t="shared" si="235"/>
        <v>0</v>
      </c>
      <c r="N2209" s="228">
        <f t="shared" si="238"/>
        <v>1</v>
      </c>
      <c r="O2209" s="228">
        <f t="shared" si="239"/>
        <v>0</v>
      </c>
      <c r="P2209" s="228">
        <f t="shared" si="239"/>
        <v>0</v>
      </c>
      <c r="Q2209" s="228">
        <f t="shared" si="236"/>
        <v>1</v>
      </c>
      <c r="R2209" s="343">
        <f t="shared" si="237"/>
        <v>0</v>
      </c>
      <c r="S2209" s="240"/>
      <c r="T2209" s="201"/>
      <c r="U2209" s="201"/>
      <c r="V2209" s="201"/>
    </row>
    <row r="2210" spans="1:22" ht="30" x14ac:dyDescent="0.25">
      <c r="A2210" s="234" t="s">
        <v>4425</v>
      </c>
      <c r="B2210" s="235" t="s">
        <v>4426</v>
      </c>
      <c r="C2210" s="234" t="s">
        <v>1867</v>
      </c>
      <c r="D2210" s="312">
        <v>1</v>
      </c>
      <c r="E2210" s="312"/>
      <c r="F2210" s="248"/>
      <c r="G2210" s="312">
        <v>1</v>
      </c>
      <c r="H2210" s="228"/>
      <c r="I2210" s="312"/>
      <c r="J2210" s="248">
        <f t="shared" si="233"/>
        <v>1</v>
      </c>
      <c r="K2210" s="330">
        <f t="shared" si="234"/>
        <v>0</v>
      </c>
      <c r="L2210" s="228"/>
      <c r="M2210" s="228">
        <f t="shared" si="235"/>
        <v>0</v>
      </c>
      <c r="N2210" s="228">
        <f t="shared" si="238"/>
        <v>1</v>
      </c>
      <c r="O2210" s="228">
        <f t="shared" si="239"/>
        <v>0</v>
      </c>
      <c r="P2210" s="228">
        <f t="shared" si="239"/>
        <v>0</v>
      </c>
      <c r="Q2210" s="228">
        <f t="shared" si="236"/>
        <v>1</v>
      </c>
      <c r="R2210" s="343">
        <f t="shared" si="237"/>
        <v>0</v>
      </c>
      <c r="S2210" s="240"/>
      <c r="T2210" s="201"/>
      <c r="U2210" s="201"/>
      <c r="V2210" s="201"/>
    </row>
    <row r="2211" spans="1:22" ht="36.75" customHeight="1" x14ac:dyDescent="0.25">
      <c r="A2211" s="234" t="s">
        <v>4427</v>
      </c>
      <c r="B2211" s="235" t="s">
        <v>4428</v>
      </c>
      <c r="C2211" s="234" t="s">
        <v>1867</v>
      </c>
      <c r="D2211" s="312">
        <v>1</v>
      </c>
      <c r="E2211" s="312"/>
      <c r="F2211" s="248"/>
      <c r="G2211" s="312">
        <v>1</v>
      </c>
      <c r="H2211" s="228"/>
      <c r="I2211" s="312"/>
      <c r="J2211" s="248">
        <f t="shared" si="233"/>
        <v>1</v>
      </c>
      <c r="K2211" s="330">
        <f t="shared" si="234"/>
        <v>0</v>
      </c>
      <c r="L2211" s="228"/>
      <c r="M2211" s="228">
        <f t="shared" si="235"/>
        <v>0</v>
      </c>
      <c r="N2211" s="228">
        <f t="shared" si="238"/>
        <v>1</v>
      </c>
      <c r="O2211" s="228">
        <f t="shared" si="239"/>
        <v>0</v>
      </c>
      <c r="P2211" s="228">
        <f t="shared" si="239"/>
        <v>0</v>
      </c>
      <c r="Q2211" s="228">
        <f t="shared" si="236"/>
        <v>1</v>
      </c>
      <c r="R2211" s="343">
        <f t="shared" si="237"/>
        <v>0</v>
      </c>
      <c r="S2211" s="240"/>
      <c r="T2211" s="201"/>
      <c r="U2211" s="201"/>
      <c r="V2211" s="201"/>
    </row>
    <row r="2212" spans="1:22" ht="15.75" x14ac:dyDescent="0.25">
      <c r="A2212" s="234" t="s">
        <v>4429</v>
      </c>
      <c r="B2212" s="235" t="s">
        <v>4430</v>
      </c>
      <c r="C2212" s="234" t="s">
        <v>499</v>
      </c>
      <c r="D2212" s="312">
        <v>1</v>
      </c>
      <c r="E2212" s="312"/>
      <c r="F2212" s="248"/>
      <c r="G2212" s="312">
        <v>1</v>
      </c>
      <c r="H2212" s="228"/>
      <c r="I2212" s="312"/>
      <c r="J2212" s="248">
        <f t="shared" si="233"/>
        <v>1</v>
      </c>
      <c r="K2212" s="330">
        <f t="shared" si="234"/>
        <v>0</v>
      </c>
      <c r="L2212" s="228"/>
      <c r="M2212" s="228">
        <f t="shared" si="235"/>
        <v>0</v>
      </c>
      <c r="N2212" s="228">
        <f t="shared" si="238"/>
        <v>1</v>
      </c>
      <c r="O2212" s="228">
        <f t="shared" si="239"/>
        <v>0</v>
      </c>
      <c r="P2212" s="228">
        <f t="shared" si="239"/>
        <v>0</v>
      </c>
      <c r="Q2212" s="228">
        <f t="shared" si="236"/>
        <v>1</v>
      </c>
      <c r="R2212" s="343">
        <f t="shared" si="237"/>
        <v>0</v>
      </c>
      <c r="S2212" s="240"/>
      <c r="T2212" s="201"/>
      <c r="U2212" s="201"/>
      <c r="V2212" s="201"/>
    </row>
    <row r="2213" spans="1:22" ht="15.75" x14ac:dyDescent="0.25">
      <c r="A2213" s="234" t="s">
        <v>4431</v>
      </c>
      <c r="B2213" s="235" t="s">
        <v>4432</v>
      </c>
      <c r="C2213" s="234" t="s">
        <v>499</v>
      </c>
      <c r="D2213" s="312">
        <v>1</v>
      </c>
      <c r="E2213" s="312"/>
      <c r="F2213" s="248"/>
      <c r="G2213" s="312">
        <v>1</v>
      </c>
      <c r="H2213" s="228"/>
      <c r="I2213" s="312"/>
      <c r="J2213" s="248">
        <f t="shared" si="233"/>
        <v>1</v>
      </c>
      <c r="K2213" s="330">
        <f t="shared" si="234"/>
        <v>0</v>
      </c>
      <c r="L2213" s="228"/>
      <c r="M2213" s="228">
        <f t="shared" si="235"/>
        <v>0</v>
      </c>
      <c r="N2213" s="228">
        <f t="shared" si="238"/>
        <v>1</v>
      </c>
      <c r="O2213" s="228">
        <f t="shared" si="239"/>
        <v>0</v>
      </c>
      <c r="P2213" s="228">
        <f t="shared" si="239"/>
        <v>0</v>
      </c>
      <c r="Q2213" s="228">
        <f t="shared" si="236"/>
        <v>1</v>
      </c>
      <c r="R2213" s="343">
        <f t="shared" si="237"/>
        <v>0</v>
      </c>
      <c r="S2213" s="240"/>
      <c r="T2213" s="201"/>
      <c r="U2213" s="201"/>
      <c r="V2213" s="201"/>
    </row>
    <row r="2214" spans="1:22" ht="15.75" x14ac:dyDescent="0.25">
      <c r="A2214" s="234" t="s">
        <v>4433</v>
      </c>
      <c r="B2214" s="235" t="s">
        <v>4434</v>
      </c>
      <c r="C2214" s="234" t="s">
        <v>499</v>
      </c>
      <c r="D2214" s="312">
        <v>1</v>
      </c>
      <c r="E2214" s="312"/>
      <c r="F2214" s="248"/>
      <c r="G2214" s="312">
        <v>1</v>
      </c>
      <c r="H2214" s="228"/>
      <c r="I2214" s="312"/>
      <c r="J2214" s="248">
        <f t="shared" si="233"/>
        <v>1</v>
      </c>
      <c r="K2214" s="330">
        <f t="shared" si="234"/>
        <v>0</v>
      </c>
      <c r="L2214" s="228"/>
      <c r="M2214" s="228">
        <f t="shared" si="235"/>
        <v>0</v>
      </c>
      <c r="N2214" s="228">
        <f t="shared" si="238"/>
        <v>1</v>
      </c>
      <c r="O2214" s="228">
        <f t="shared" si="239"/>
        <v>0</v>
      </c>
      <c r="P2214" s="228">
        <f t="shared" si="239"/>
        <v>0</v>
      </c>
      <c r="Q2214" s="228">
        <f t="shared" si="236"/>
        <v>1</v>
      </c>
      <c r="R2214" s="343">
        <f t="shared" si="237"/>
        <v>0</v>
      </c>
      <c r="S2214" s="240"/>
      <c r="T2214" s="201"/>
      <c r="U2214" s="201"/>
      <c r="V2214" s="201"/>
    </row>
    <row r="2215" spans="1:22" ht="36.75" customHeight="1" x14ac:dyDescent="0.25">
      <c r="A2215" s="234" t="s">
        <v>4435</v>
      </c>
      <c r="B2215" s="235" t="s">
        <v>4436</v>
      </c>
      <c r="C2215" s="234" t="s">
        <v>1867</v>
      </c>
      <c r="D2215" s="312">
        <v>1</v>
      </c>
      <c r="E2215" s="312"/>
      <c r="F2215" s="248"/>
      <c r="G2215" s="312">
        <v>1</v>
      </c>
      <c r="H2215" s="228"/>
      <c r="I2215" s="312"/>
      <c r="J2215" s="248">
        <f t="shared" si="233"/>
        <v>1</v>
      </c>
      <c r="K2215" s="330">
        <f t="shared" si="234"/>
        <v>0</v>
      </c>
      <c r="L2215" s="228"/>
      <c r="M2215" s="228">
        <f t="shared" si="235"/>
        <v>0</v>
      </c>
      <c r="N2215" s="228">
        <f t="shared" si="238"/>
        <v>1</v>
      </c>
      <c r="O2215" s="228">
        <f t="shared" si="239"/>
        <v>0</v>
      </c>
      <c r="P2215" s="228">
        <f t="shared" si="239"/>
        <v>0</v>
      </c>
      <c r="Q2215" s="228">
        <f t="shared" si="236"/>
        <v>1</v>
      </c>
      <c r="R2215" s="343">
        <f t="shared" si="237"/>
        <v>0</v>
      </c>
      <c r="S2215" s="240"/>
      <c r="T2215" s="201"/>
      <c r="U2215" s="201"/>
      <c r="V2215" s="201"/>
    </row>
    <row r="2216" spans="1:22" ht="37.5" customHeight="1" x14ac:dyDescent="0.25">
      <c r="A2216" s="234" t="s">
        <v>4437</v>
      </c>
      <c r="B2216" s="235" t="s">
        <v>4438</v>
      </c>
      <c r="C2216" s="234" t="s">
        <v>1867</v>
      </c>
      <c r="D2216" s="312">
        <v>1</v>
      </c>
      <c r="E2216" s="312"/>
      <c r="F2216" s="248"/>
      <c r="G2216" s="312">
        <v>1</v>
      </c>
      <c r="H2216" s="228"/>
      <c r="I2216" s="312"/>
      <c r="J2216" s="248">
        <f t="shared" si="233"/>
        <v>1</v>
      </c>
      <c r="K2216" s="330">
        <f t="shared" si="234"/>
        <v>0</v>
      </c>
      <c r="L2216" s="228"/>
      <c r="M2216" s="228">
        <f t="shared" si="235"/>
        <v>0</v>
      </c>
      <c r="N2216" s="228">
        <f t="shared" si="238"/>
        <v>1</v>
      </c>
      <c r="O2216" s="228">
        <f t="shared" si="239"/>
        <v>0</v>
      </c>
      <c r="P2216" s="228">
        <f t="shared" si="239"/>
        <v>0</v>
      </c>
      <c r="Q2216" s="228">
        <f t="shared" si="236"/>
        <v>1</v>
      </c>
      <c r="R2216" s="343">
        <f t="shared" si="237"/>
        <v>0</v>
      </c>
      <c r="S2216" s="240"/>
      <c r="T2216" s="201"/>
      <c r="U2216" s="201"/>
      <c r="V2216" s="201"/>
    </row>
    <row r="2217" spans="1:22" ht="36.75" customHeight="1" x14ac:dyDescent="0.25">
      <c r="A2217" s="234" t="s">
        <v>4439</v>
      </c>
      <c r="B2217" s="235" t="s">
        <v>4440</v>
      </c>
      <c r="C2217" s="234" t="s">
        <v>1867</v>
      </c>
      <c r="D2217" s="312">
        <v>1</v>
      </c>
      <c r="E2217" s="312"/>
      <c r="F2217" s="248"/>
      <c r="G2217" s="312">
        <v>1</v>
      </c>
      <c r="H2217" s="228"/>
      <c r="I2217" s="312"/>
      <c r="J2217" s="248">
        <f t="shared" ref="J2217:J2252" si="240">F2217+G2217+H2217+I2217</f>
        <v>1</v>
      </c>
      <c r="K2217" s="330">
        <f t="shared" ref="K2217:K2252" si="241">J2217-D2217</f>
        <v>0</v>
      </c>
      <c r="L2217" s="228"/>
      <c r="M2217" s="228">
        <f t="shared" ref="M2217:M2252" si="242">F2217</f>
        <v>0</v>
      </c>
      <c r="N2217" s="228">
        <f t="shared" si="238"/>
        <v>1</v>
      </c>
      <c r="O2217" s="228">
        <f t="shared" si="239"/>
        <v>0</v>
      </c>
      <c r="P2217" s="228">
        <f t="shared" si="239"/>
        <v>0</v>
      </c>
      <c r="Q2217" s="228">
        <f t="shared" ref="Q2217:Q2252" si="243">M2217+N2217+O2217+P2217</f>
        <v>1</v>
      </c>
      <c r="R2217" s="343">
        <f t="shared" si="237"/>
        <v>0</v>
      </c>
      <c r="S2217" s="240"/>
      <c r="T2217" s="201"/>
      <c r="U2217" s="201"/>
      <c r="V2217" s="201"/>
    </row>
    <row r="2218" spans="1:22" ht="19.5" customHeight="1" x14ac:dyDescent="0.25">
      <c r="A2218" s="234" t="s">
        <v>4441</v>
      </c>
      <c r="B2218" s="235" t="s">
        <v>4430</v>
      </c>
      <c r="C2218" s="234" t="s">
        <v>499</v>
      </c>
      <c r="D2218" s="312">
        <v>1</v>
      </c>
      <c r="E2218" s="312"/>
      <c r="F2218" s="248"/>
      <c r="G2218" s="312">
        <v>1</v>
      </c>
      <c r="H2218" s="228"/>
      <c r="I2218" s="312"/>
      <c r="J2218" s="248">
        <f t="shared" si="240"/>
        <v>1</v>
      </c>
      <c r="K2218" s="330">
        <f t="shared" si="241"/>
        <v>0</v>
      </c>
      <c r="L2218" s="228"/>
      <c r="M2218" s="228">
        <f t="shared" si="242"/>
        <v>0</v>
      </c>
      <c r="N2218" s="228">
        <f t="shared" si="238"/>
        <v>1</v>
      </c>
      <c r="O2218" s="228">
        <f t="shared" si="239"/>
        <v>0</v>
      </c>
      <c r="P2218" s="228">
        <f t="shared" si="239"/>
        <v>0</v>
      </c>
      <c r="Q2218" s="228">
        <f t="shared" si="243"/>
        <v>1</v>
      </c>
      <c r="R2218" s="343">
        <f t="shared" si="237"/>
        <v>0</v>
      </c>
      <c r="S2218" s="240"/>
      <c r="T2218" s="201"/>
      <c r="U2218" s="201"/>
      <c r="V2218" s="201"/>
    </row>
    <row r="2219" spans="1:22" ht="15.75" x14ac:dyDescent="0.25">
      <c r="A2219" s="234" t="s">
        <v>4442</v>
      </c>
      <c r="B2219" s="235" t="s">
        <v>4432</v>
      </c>
      <c r="C2219" s="234" t="s">
        <v>499</v>
      </c>
      <c r="D2219" s="312">
        <v>1</v>
      </c>
      <c r="E2219" s="312"/>
      <c r="F2219" s="248"/>
      <c r="G2219" s="312">
        <v>1</v>
      </c>
      <c r="H2219" s="228"/>
      <c r="I2219" s="312"/>
      <c r="J2219" s="248">
        <f t="shared" si="240"/>
        <v>1</v>
      </c>
      <c r="K2219" s="330">
        <f t="shared" si="241"/>
        <v>0</v>
      </c>
      <c r="L2219" s="228"/>
      <c r="M2219" s="228">
        <f t="shared" si="242"/>
        <v>0</v>
      </c>
      <c r="N2219" s="228">
        <f t="shared" si="238"/>
        <v>1</v>
      </c>
      <c r="O2219" s="228">
        <f t="shared" si="239"/>
        <v>0</v>
      </c>
      <c r="P2219" s="228">
        <f t="shared" si="239"/>
        <v>0</v>
      </c>
      <c r="Q2219" s="228">
        <f t="shared" si="243"/>
        <v>1</v>
      </c>
      <c r="R2219" s="343">
        <f t="shared" si="237"/>
        <v>0</v>
      </c>
      <c r="S2219" s="240"/>
      <c r="T2219" s="201"/>
      <c r="U2219" s="201"/>
      <c r="V2219" s="201"/>
    </row>
    <row r="2220" spans="1:22" ht="15.75" x14ac:dyDescent="0.25">
      <c r="A2220" s="234" t="s">
        <v>4443</v>
      </c>
      <c r="B2220" s="235" t="s">
        <v>4434</v>
      </c>
      <c r="C2220" s="234" t="s">
        <v>499</v>
      </c>
      <c r="D2220" s="312">
        <v>1</v>
      </c>
      <c r="E2220" s="312"/>
      <c r="F2220" s="248"/>
      <c r="G2220" s="312">
        <v>1</v>
      </c>
      <c r="H2220" s="228"/>
      <c r="I2220" s="312"/>
      <c r="J2220" s="248">
        <f t="shared" si="240"/>
        <v>1</v>
      </c>
      <c r="K2220" s="330">
        <f t="shared" si="241"/>
        <v>0</v>
      </c>
      <c r="L2220" s="228"/>
      <c r="M2220" s="228">
        <f t="shared" si="242"/>
        <v>0</v>
      </c>
      <c r="N2220" s="228">
        <f t="shared" si="238"/>
        <v>1</v>
      </c>
      <c r="O2220" s="228">
        <f t="shared" si="239"/>
        <v>0</v>
      </c>
      <c r="P2220" s="228">
        <f t="shared" si="239"/>
        <v>0</v>
      </c>
      <c r="Q2220" s="228">
        <f t="shared" si="243"/>
        <v>1</v>
      </c>
      <c r="R2220" s="343">
        <f t="shared" si="237"/>
        <v>0</v>
      </c>
      <c r="S2220" s="240"/>
      <c r="T2220" s="201"/>
      <c r="U2220" s="201"/>
      <c r="V2220" s="201"/>
    </row>
    <row r="2221" spans="1:22" ht="15.75" x14ac:dyDescent="0.25">
      <c r="A2221" s="230" t="s">
        <v>4444</v>
      </c>
      <c r="B2221" s="231" t="s">
        <v>4445</v>
      </c>
      <c r="C2221" s="230"/>
      <c r="D2221" s="316"/>
      <c r="E2221" s="312"/>
      <c r="F2221" s="248"/>
      <c r="G2221" s="312"/>
      <c r="H2221" s="228"/>
      <c r="I2221" s="312"/>
      <c r="J2221" s="248">
        <f t="shared" si="240"/>
        <v>0</v>
      </c>
      <c r="K2221" s="330">
        <f t="shared" si="241"/>
        <v>0</v>
      </c>
      <c r="L2221" s="228"/>
      <c r="M2221" s="228">
        <f t="shared" si="242"/>
        <v>0</v>
      </c>
      <c r="N2221" s="228">
        <f t="shared" si="238"/>
        <v>0</v>
      </c>
      <c r="O2221" s="228">
        <f t="shared" si="239"/>
        <v>0</v>
      </c>
      <c r="P2221" s="228">
        <f t="shared" si="239"/>
        <v>0</v>
      </c>
      <c r="Q2221" s="228">
        <f t="shared" si="243"/>
        <v>0</v>
      </c>
      <c r="R2221" s="343">
        <f t="shared" si="237"/>
        <v>0</v>
      </c>
      <c r="S2221" s="240"/>
      <c r="T2221" s="201"/>
      <c r="U2221" s="201"/>
      <c r="V2221" s="201"/>
    </row>
    <row r="2222" spans="1:22" ht="30.75" customHeight="1" x14ac:dyDescent="0.25">
      <c r="A2222" s="234" t="s">
        <v>4446</v>
      </c>
      <c r="B2222" s="235" t="s">
        <v>4447</v>
      </c>
      <c r="C2222" s="234" t="s">
        <v>1867</v>
      </c>
      <c r="D2222" s="312">
        <v>1</v>
      </c>
      <c r="E2222" s="312"/>
      <c r="F2222" s="248"/>
      <c r="G2222" s="312">
        <v>1</v>
      </c>
      <c r="H2222" s="228"/>
      <c r="I2222" s="312"/>
      <c r="J2222" s="248">
        <f t="shared" si="240"/>
        <v>1</v>
      </c>
      <c r="K2222" s="330">
        <f t="shared" si="241"/>
        <v>0</v>
      </c>
      <c r="L2222" s="228"/>
      <c r="M2222" s="228">
        <f t="shared" si="242"/>
        <v>0</v>
      </c>
      <c r="N2222" s="228">
        <f t="shared" si="238"/>
        <v>1</v>
      </c>
      <c r="O2222" s="228">
        <f t="shared" si="239"/>
        <v>0</v>
      </c>
      <c r="P2222" s="228">
        <f t="shared" si="239"/>
        <v>0</v>
      </c>
      <c r="Q2222" s="228">
        <f t="shared" si="243"/>
        <v>1</v>
      </c>
      <c r="R2222" s="343">
        <f t="shared" si="237"/>
        <v>0</v>
      </c>
      <c r="S2222" s="240"/>
      <c r="T2222" s="201"/>
      <c r="U2222" s="201"/>
      <c r="V2222" s="201"/>
    </row>
    <row r="2223" spans="1:22" ht="30.75" customHeight="1" x14ac:dyDescent="0.25">
      <c r="A2223" s="234" t="s">
        <v>4448</v>
      </c>
      <c r="B2223" s="235" t="s">
        <v>4449</v>
      </c>
      <c r="C2223" s="234" t="s">
        <v>1867</v>
      </c>
      <c r="D2223" s="312">
        <v>1</v>
      </c>
      <c r="E2223" s="312"/>
      <c r="F2223" s="248"/>
      <c r="G2223" s="312">
        <v>1</v>
      </c>
      <c r="H2223" s="228"/>
      <c r="I2223" s="312"/>
      <c r="J2223" s="248">
        <f t="shared" si="240"/>
        <v>1</v>
      </c>
      <c r="K2223" s="330">
        <f t="shared" si="241"/>
        <v>0</v>
      </c>
      <c r="L2223" s="228"/>
      <c r="M2223" s="228">
        <f t="shared" si="242"/>
        <v>0</v>
      </c>
      <c r="N2223" s="228">
        <f t="shared" si="238"/>
        <v>1</v>
      </c>
      <c r="O2223" s="228">
        <f t="shared" si="239"/>
        <v>0</v>
      </c>
      <c r="P2223" s="228">
        <f t="shared" si="239"/>
        <v>0</v>
      </c>
      <c r="Q2223" s="228">
        <f t="shared" si="243"/>
        <v>1</v>
      </c>
      <c r="R2223" s="343">
        <f t="shared" si="237"/>
        <v>0</v>
      </c>
      <c r="S2223" s="240"/>
      <c r="T2223" s="201"/>
      <c r="U2223" s="201"/>
      <c r="V2223" s="201"/>
    </row>
    <row r="2224" spans="1:22" ht="30" x14ac:dyDescent="0.25">
      <c r="A2224" s="234" t="s">
        <v>4450</v>
      </c>
      <c r="B2224" s="235" t="s">
        <v>4451</v>
      </c>
      <c r="C2224" s="234" t="s">
        <v>1867</v>
      </c>
      <c r="D2224" s="312">
        <v>1</v>
      </c>
      <c r="E2224" s="312"/>
      <c r="F2224" s="248"/>
      <c r="G2224" s="312">
        <v>1</v>
      </c>
      <c r="H2224" s="228"/>
      <c r="I2224" s="312"/>
      <c r="J2224" s="248">
        <f t="shared" si="240"/>
        <v>1</v>
      </c>
      <c r="K2224" s="330">
        <f t="shared" si="241"/>
        <v>0</v>
      </c>
      <c r="L2224" s="228"/>
      <c r="M2224" s="228">
        <f t="shared" si="242"/>
        <v>0</v>
      </c>
      <c r="N2224" s="228">
        <f t="shared" si="238"/>
        <v>1</v>
      </c>
      <c r="O2224" s="228">
        <f t="shared" si="239"/>
        <v>0</v>
      </c>
      <c r="P2224" s="228">
        <f t="shared" si="239"/>
        <v>0</v>
      </c>
      <c r="Q2224" s="228">
        <f t="shared" si="243"/>
        <v>1</v>
      </c>
      <c r="R2224" s="343">
        <f t="shared" si="237"/>
        <v>0</v>
      </c>
      <c r="S2224" s="240"/>
      <c r="T2224" s="201"/>
      <c r="U2224" s="201"/>
      <c r="V2224" s="201"/>
    </row>
    <row r="2225" spans="1:22" ht="30" x14ac:dyDescent="0.25">
      <c r="A2225" s="234" t="s">
        <v>4452</v>
      </c>
      <c r="B2225" s="235" t="s">
        <v>4453</v>
      </c>
      <c r="C2225" s="234" t="s">
        <v>1867</v>
      </c>
      <c r="D2225" s="312">
        <v>2</v>
      </c>
      <c r="E2225" s="312"/>
      <c r="F2225" s="248"/>
      <c r="G2225" s="312">
        <v>2</v>
      </c>
      <c r="H2225" s="228"/>
      <c r="I2225" s="312"/>
      <c r="J2225" s="248">
        <f t="shared" si="240"/>
        <v>2</v>
      </c>
      <c r="K2225" s="330">
        <f t="shared" si="241"/>
        <v>0</v>
      </c>
      <c r="L2225" s="228"/>
      <c r="M2225" s="228">
        <f t="shared" si="242"/>
        <v>0</v>
      </c>
      <c r="N2225" s="228">
        <f t="shared" si="238"/>
        <v>2</v>
      </c>
      <c r="O2225" s="228">
        <f t="shared" si="239"/>
        <v>0</v>
      </c>
      <c r="P2225" s="228">
        <f t="shared" si="239"/>
        <v>0</v>
      </c>
      <c r="Q2225" s="228">
        <f t="shared" si="243"/>
        <v>2</v>
      </c>
      <c r="R2225" s="343">
        <f t="shared" ref="R2225:R2252" si="244">Q2225-D2225</f>
        <v>0</v>
      </c>
      <c r="S2225" s="240"/>
      <c r="T2225" s="201"/>
      <c r="U2225" s="201"/>
      <c r="V2225" s="201"/>
    </row>
    <row r="2226" spans="1:22" ht="30" x14ac:dyDescent="0.25">
      <c r="A2226" s="234" t="s">
        <v>4454</v>
      </c>
      <c r="B2226" s="235" t="s">
        <v>4455</v>
      </c>
      <c r="C2226" s="234" t="s">
        <v>1867</v>
      </c>
      <c r="D2226" s="312">
        <v>1</v>
      </c>
      <c r="E2226" s="312"/>
      <c r="F2226" s="248"/>
      <c r="G2226" s="312">
        <v>1</v>
      </c>
      <c r="H2226" s="228"/>
      <c r="I2226" s="312"/>
      <c r="J2226" s="248">
        <f t="shared" si="240"/>
        <v>1</v>
      </c>
      <c r="K2226" s="330">
        <f t="shared" si="241"/>
        <v>0</v>
      </c>
      <c r="L2226" s="228"/>
      <c r="M2226" s="228">
        <f t="shared" si="242"/>
        <v>0</v>
      </c>
      <c r="N2226" s="228">
        <f t="shared" si="238"/>
        <v>1</v>
      </c>
      <c r="O2226" s="228">
        <f t="shared" si="239"/>
        <v>0</v>
      </c>
      <c r="P2226" s="228">
        <f t="shared" si="239"/>
        <v>0</v>
      </c>
      <c r="Q2226" s="228">
        <f t="shared" si="243"/>
        <v>1</v>
      </c>
      <c r="R2226" s="343">
        <f t="shared" si="244"/>
        <v>0</v>
      </c>
      <c r="S2226" s="240"/>
      <c r="T2226" s="201"/>
      <c r="U2226" s="201"/>
      <c r="V2226" s="201"/>
    </row>
    <row r="2227" spans="1:22" ht="30" x14ac:dyDescent="0.25">
      <c r="A2227" s="234" t="s">
        <v>4456</v>
      </c>
      <c r="B2227" s="235" t="s">
        <v>4457</v>
      </c>
      <c r="C2227" s="234" t="s">
        <v>1867</v>
      </c>
      <c r="D2227" s="312">
        <v>1</v>
      </c>
      <c r="E2227" s="312"/>
      <c r="F2227" s="248"/>
      <c r="G2227" s="312">
        <v>1</v>
      </c>
      <c r="H2227" s="228"/>
      <c r="I2227" s="312"/>
      <c r="J2227" s="248">
        <f t="shared" si="240"/>
        <v>1</v>
      </c>
      <c r="K2227" s="330">
        <f t="shared" si="241"/>
        <v>0</v>
      </c>
      <c r="L2227" s="228"/>
      <c r="M2227" s="228">
        <f t="shared" si="242"/>
        <v>0</v>
      </c>
      <c r="N2227" s="228">
        <f t="shared" si="238"/>
        <v>1</v>
      </c>
      <c r="O2227" s="228">
        <f t="shared" si="239"/>
        <v>0</v>
      </c>
      <c r="P2227" s="228">
        <f t="shared" si="239"/>
        <v>0</v>
      </c>
      <c r="Q2227" s="228">
        <f t="shared" si="243"/>
        <v>1</v>
      </c>
      <c r="R2227" s="343">
        <f t="shared" si="244"/>
        <v>0</v>
      </c>
      <c r="S2227" s="240"/>
      <c r="T2227" s="201"/>
      <c r="U2227" s="201"/>
      <c r="V2227" s="201"/>
    </row>
    <row r="2228" spans="1:22" ht="30" x14ac:dyDescent="0.25">
      <c r="A2228" s="234" t="s">
        <v>4458</v>
      </c>
      <c r="B2228" s="235" t="s">
        <v>4459</v>
      </c>
      <c r="C2228" s="234" t="s">
        <v>1867</v>
      </c>
      <c r="D2228" s="312">
        <v>2</v>
      </c>
      <c r="E2228" s="312"/>
      <c r="F2228" s="248"/>
      <c r="G2228" s="312">
        <v>2</v>
      </c>
      <c r="H2228" s="228"/>
      <c r="I2228" s="312"/>
      <c r="J2228" s="248">
        <f t="shared" si="240"/>
        <v>2</v>
      </c>
      <c r="K2228" s="330">
        <f t="shared" si="241"/>
        <v>0</v>
      </c>
      <c r="L2228" s="228"/>
      <c r="M2228" s="228">
        <f t="shared" si="242"/>
        <v>0</v>
      </c>
      <c r="N2228" s="228">
        <f t="shared" si="238"/>
        <v>2</v>
      </c>
      <c r="O2228" s="228">
        <f t="shared" si="239"/>
        <v>0</v>
      </c>
      <c r="P2228" s="228">
        <f t="shared" si="239"/>
        <v>0</v>
      </c>
      <c r="Q2228" s="228">
        <f t="shared" si="243"/>
        <v>2</v>
      </c>
      <c r="R2228" s="343">
        <f t="shared" si="244"/>
        <v>0</v>
      </c>
      <c r="S2228" s="240"/>
      <c r="T2228" s="201"/>
      <c r="U2228" s="201"/>
      <c r="V2228" s="201"/>
    </row>
    <row r="2229" spans="1:22" ht="30" x14ac:dyDescent="0.25">
      <c r="A2229" s="234" t="s">
        <v>4460</v>
      </c>
      <c r="B2229" s="235" t="s">
        <v>4461</v>
      </c>
      <c r="C2229" s="234" t="s">
        <v>1867</v>
      </c>
      <c r="D2229" s="312">
        <v>1</v>
      </c>
      <c r="E2229" s="312"/>
      <c r="F2229" s="248"/>
      <c r="G2229" s="312">
        <v>1</v>
      </c>
      <c r="H2229" s="228"/>
      <c r="I2229" s="312"/>
      <c r="J2229" s="248">
        <f t="shared" si="240"/>
        <v>1</v>
      </c>
      <c r="K2229" s="330">
        <f t="shared" si="241"/>
        <v>0</v>
      </c>
      <c r="L2229" s="228"/>
      <c r="M2229" s="228">
        <f t="shared" si="242"/>
        <v>0</v>
      </c>
      <c r="N2229" s="228">
        <f t="shared" si="238"/>
        <v>1</v>
      </c>
      <c r="O2229" s="228">
        <f t="shared" si="239"/>
        <v>0</v>
      </c>
      <c r="P2229" s="228">
        <f t="shared" si="239"/>
        <v>0</v>
      </c>
      <c r="Q2229" s="228">
        <f t="shared" si="243"/>
        <v>1</v>
      </c>
      <c r="R2229" s="343">
        <f t="shared" si="244"/>
        <v>0</v>
      </c>
      <c r="S2229" s="240"/>
      <c r="T2229" s="201"/>
      <c r="U2229" s="201"/>
      <c r="V2229" s="201"/>
    </row>
    <row r="2230" spans="1:22" ht="30" x14ac:dyDescent="0.25">
      <c r="A2230" s="234" t="s">
        <v>4462</v>
      </c>
      <c r="B2230" s="235" t="s">
        <v>4463</v>
      </c>
      <c r="C2230" s="234" t="s">
        <v>1867</v>
      </c>
      <c r="D2230" s="312">
        <v>1</v>
      </c>
      <c r="E2230" s="312"/>
      <c r="F2230" s="248"/>
      <c r="G2230" s="312">
        <v>1</v>
      </c>
      <c r="H2230" s="228"/>
      <c r="I2230" s="312"/>
      <c r="J2230" s="248">
        <f t="shared" si="240"/>
        <v>1</v>
      </c>
      <c r="K2230" s="330">
        <f t="shared" si="241"/>
        <v>0</v>
      </c>
      <c r="L2230" s="228"/>
      <c r="M2230" s="228">
        <f t="shared" si="242"/>
        <v>0</v>
      </c>
      <c r="N2230" s="228">
        <f t="shared" si="238"/>
        <v>1</v>
      </c>
      <c r="O2230" s="228">
        <f t="shared" si="239"/>
        <v>0</v>
      </c>
      <c r="P2230" s="228">
        <f t="shared" si="239"/>
        <v>0</v>
      </c>
      <c r="Q2230" s="228">
        <f t="shared" si="243"/>
        <v>1</v>
      </c>
      <c r="R2230" s="343">
        <f t="shared" si="244"/>
        <v>0</v>
      </c>
      <c r="S2230" s="240"/>
      <c r="T2230" s="201"/>
      <c r="U2230" s="201"/>
      <c r="V2230" s="201"/>
    </row>
    <row r="2231" spans="1:22" ht="30" x14ac:dyDescent="0.25">
      <c r="A2231" s="234" t="s">
        <v>4464</v>
      </c>
      <c r="B2231" s="235" t="s">
        <v>4465</v>
      </c>
      <c r="C2231" s="234" t="s">
        <v>1867</v>
      </c>
      <c r="D2231" s="312">
        <v>1</v>
      </c>
      <c r="E2231" s="312"/>
      <c r="F2231" s="248"/>
      <c r="G2231" s="312">
        <v>1</v>
      </c>
      <c r="H2231" s="228"/>
      <c r="I2231" s="312"/>
      <c r="J2231" s="248">
        <f t="shared" si="240"/>
        <v>1</v>
      </c>
      <c r="K2231" s="330">
        <f t="shared" si="241"/>
        <v>0</v>
      </c>
      <c r="L2231" s="228"/>
      <c r="M2231" s="228">
        <f t="shared" si="242"/>
        <v>0</v>
      </c>
      <c r="N2231" s="228">
        <f t="shared" si="238"/>
        <v>1</v>
      </c>
      <c r="O2231" s="228">
        <f t="shared" si="239"/>
        <v>0</v>
      </c>
      <c r="P2231" s="228">
        <f t="shared" si="239"/>
        <v>0</v>
      </c>
      <c r="Q2231" s="228">
        <f t="shared" si="243"/>
        <v>1</v>
      </c>
      <c r="R2231" s="343">
        <f t="shared" si="244"/>
        <v>0</v>
      </c>
      <c r="S2231" s="240"/>
      <c r="T2231" s="201"/>
      <c r="U2231" s="201"/>
      <c r="V2231" s="201"/>
    </row>
    <row r="2232" spans="1:22" ht="30" x14ac:dyDescent="0.25">
      <c r="A2232" s="234" t="s">
        <v>4466</v>
      </c>
      <c r="B2232" s="235" t="s">
        <v>4467</v>
      </c>
      <c r="C2232" s="234" t="s">
        <v>1867</v>
      </c>
      <c r="D2232" s="312">
        <v>1</v>
      </c>
      <c r="E2232" s="312"/>
      <c r="F2232" s="248"/>
      <c r="G2232" s="312">
        <v>1</v>
      </c>
      <c r="H2232" s="228"/>
      <c r="I2232" s="312"/>
      <c r="J2232" s="248">
        <f t="shared" si="240"/>
        <v>1</v>
      </c>
      <c r="K2232" s="330">
        <f t="shared" si="241"/>
        <v>0</v>
      </c>
      <c r="L2232" s="228"/>
      <c r="M2232" s="228">
        <f t="shared" si="242"/>
        <v>0</v>
      </c>
      <c r="N2232" s="228">
        <f t="shared" ref="N2232:N2252" si="245">G2232</f>
        <v>1</v>
      </c>
      <c r="O2232" s="228">
        <f t="shared" ref="O2232:P2252" si="246">H2232</f>
        <v>0</v>
      </c>
      <c r="P2232" s="228">
        <f t="shared" si="246"/>
        <v>0</v>
      </c>
      <c r="Q2232" s="228">
        <f t="shared" si="243"/>
        <v>1</v>
      </c>
      <c r="R2232" s="343">
        <f t="shared" si="244"/>
        <v>0</v>
      </c>
      <c r="S2232" s="240"/>
      <c r="T2232" s="201"/>
      <c r="U2232" s="201"/>
      <c r="V2232" s="201"/>
    </row>
    <row r="2233" spans="1:22" ht="30" x14ac:dyDescent="0.25">
      <c r="A2233" s="234" t="s">
        <v>4468</v>
      </c>
      <c r="B2233" s="235" t="s">
        <v>4469</v>
      </c>
      <c r="C2233" s="234" t="s">
        <v>1867</v>
      </c>
      <c r="D2233" s="312">
        <v>2</v>
      </c>
      <c r="E2233" s="312"/>
      <c r="F2233" s="248"/>
      <c r="G2233" s="312">
        <v>2</v>
      </c>
      <c r="H2233" s="228"/>
      <c r="I2233" s="312"/>
      <c r="J2233" s="248">
        <f t="shared" si="240"/>
        <v>2</v>
      </c>
      <c r="K2233" s="330">
        <f t="shared" si="241"/>
        <v>0</v>
      </c>
      <c r="L2233" s="228"/>
      <c r="M2233" s="228">
        <f t="shared" si="242"/>
        <v>0</v>
      </c>
      <c r="N2233" s="228">
        <f t="shared" si="245"/>
        <v>2</v>
      </c>
      <c r="O2233" s="228">
        <f t="shared" si="246"/>
        <v>0</v>
      </c>
      <c r="P2233" s="228">
        <f t="shared" si="246"/>
        <v>0</v>
      </c>
      <c r="Q2233" s="228">
        <f t="shared" si="243"/>
        <v>2</v>
      </c>
      <c r="R2233" s="343">
        <f t="shared" si="244"/>
        <v>0</v>
      </c>
      <c r="S2233" s="240"/>
      <c r="T2233" s="201"/>
      <c r="U2233" s="201"/>
      <c r="V2233" s="201"/>
    </row>
    <row r="2234" spans="1:22" ht="33" customHeight="1" x14ac:dyDescent="0.25">
      <c r="A2234" s="234" t="s">
        <v>4470</v>
      </c>
      <c r="B2234" s="235" t="s">
        <v>4471</v>
      </c>
      <c r="C2234" s="234" t="s">
        <v>1867</v>
      </c>
      <c r="D2234" s="312">
        <v>3</v>
      </c>
      <c r="E2234" s="312"/>
      <c r="F2234" s="248"/>
      <c r="G2234" s="312">
        <v>3</v>
      </c>
      <c r="H2234" s="228"/>
      <c r="I2234" s="312"/>
      <c r="J2234" s="248">
        <f t="shared" si="240"/>
        <v>3</v>
      </c>
      <c r="K2234" s="330">
        <f t="shared" si="241"/>
        <v>0</v>
      </c>
      <c r="L2234" s="228"/>
      <c r="M2234" s="228">
        <f t="shared" si="242"/>
        <v>0</v>
      </c>
      <c r="N2234" s="228">
        <f t="shared" si="245"/>
        <v>3</v>
      </c>
      <c r="O2234" s="228">
        <f t="shared" si="246"/>
        <v>0</v>
      </c>
      <c r="P2234" s="228">
        <f t="shared" si="246"/>
        <v>0</v>
      </c>
      <c r="Q2234" s="228">
        <f t="shared" si="243"/>
        <v>3</v>
      </c>
      <c r="R2234" s="343">
        <f t="shared" si="244"/>
        <v>0</v>
      </c>
      <c r="S2234" s="240"/>
      <c r="T2234" s="201"/>
      <c r="U2234" s="201"/>
      <c r="V2234" s="201"/>
    </row>
    <row r="2235" spans="1:22" ht="33.75" customHeight="1" x14ac:dyDescent="0.25">
      <c r="A2235" s="234" t="s">
        <v>4472</v>
      </c>
      <c r="B2235" s="235" t="s">
        <v>4473</v>
      </c>
      <c r="C2235" s="234" t="s">
        <v>1867</v>
      </c>
      <c r="D2235" s="312">
        <v>1</v>
      </c>
      <c r="E2235" s="312"/>
      <c r="F2235" s="248"/>
      <c r="G2235" s="312">
        <v>1</v>
      </c>
      <c r="H2235" s="228"/>
      <c r="I2235" s="312"/>
      <c r="J2235" s="248">
        <f t="shared" si="240"/>
        <v>1</v>
      </c>
      <c r="K2235" s="330">
        <f t="shared" si="241"/>
        <v>0</v>
      </c>
      <c r="L2235" s="228"/>
      <c r="M2235" s="228">
        <f t="shared" si="242"/>
        <v>0</v>
      </c>
      <c r="N2235" s="228">
        <f t="shared" si="245"/>
        <v>1</v>
      </c>
      <c r="O2235" s="228">
        <f t="shared" si="246"/>
        <v>0</v>
      </c>
      <c r="P2235" s="228">
        <f t="shared" si="246"/>
        <v>0</v>
      </c>
      <c r="Q2235" s="228">
        <f t="shared" si="243"/>
        <v>1</v>
      </c>
      <c r="R2235" s="343">
        <f t="shared" si="244"/>
        <v>0</v>
      </c>
      <c r="S2235" s="240"/>
      <c r="T2235" s="201"/>
      <c r="U2235" s="201"/>
      <c r="V2235" s="201"/>
    </row>
    <row r="2236" spans="1:22" ht="33" customHeight="1" x14ac:dyDescent="0.25">
      <c r="A2236" s="234" t="s">
        <v>4474</v>
      </c>
      <c r="B2236" s="235" t="s">
        <v>4475</v>
      </c>
      <c r="C2236" s="234" t="s">
        <v>1867</v>
      </c>
      <c r="D2236" s="312">
        <v>2</v>
      </c>
      <c r="E2236" s="312"/>
      <c r="F2236" s="248"/>
      <c r="G2236" s="312">
        <v>2</v>
      </c>
      <c r="H2236" s="228"/>
      <c r="I2236" s="312"/>
      <c r="J2236" s="248">
        <f t="shared" si="240"/>
        <v>2</v>
      </c>
      <c r="K2236" s="330">
        <f t="shared" si="241"/>
        <v>0</v>
      </c>
      <c r="L2236" s="228"/>
      <c r="M2236" s="228">
        <f t="shared" si="242"/>
        <v>0</v>
      </c>
      <c r="N2236" s="228">
        <f t="shared" si="245"/>
        <v>2</v>
      </c>
      <c r="O2236" s="228">
        <f t="shared" si="246"/>
        <v>0</v>
      </c>
      <c r="P2236" s="228">
        <f t="shared" si="246"/>
        <v>0</v>
      </c>
      <c r="Q2236" s="228">
        <f t="shared" si="243"/>
        <v>2</v>
      </c>
      <c r="R2236" s="343">
        <f t="shared" si="244"/>
        <v>0</v>
      </c>
      <c r="S2236" s="240"/>
      <c r="T2236" s="201"/>
      <c r="U2236" s="201"/>
      <c r="V2236" s="201"/>
    </row>
    <row r="2237" spans="1:22" ht="38.25" customHeight="1" x14ac:dyDescent="0.25">
      <c r="A2237" s="234" t="s">
        <v>4476</v>
      </c>
      <c r="B2237" s="235" t="s">
        <v>4477</v>
      </c>
      <c r="C2237" s="234" t="s">
        <v>1867</v>
      </c>
      <c r="D2237" s="312">
        <v>1</v>
      </c>
      <c r="E2237" s="312"/>
      <c r="F2237" s="248"/>
      <c r="G2237" s="312">
        <v>1</v>
      </c>
      <c r="H2237" s="228"/>
      <c r="I2237" s="312"/>
      <c r="J2237" s="248">
        <f t="shared" si="240"/>
        <v>1</v>
      </c>
      <c r="K2237" s="330">
        <f t="shared" si="241"/>
        <v>0</v>
      </c>
      <c r="L2237" s="228"/>
      <c r="M2237" s="228">
        <f t="shared" si="242"/>
        <v>0</v>
      </c>
      <c r="N2237" s="228">
        <f t="shared" si="245"/>
        <v>1</v>
      </c>
      <c r="O2237" s="228">
        <f t="shared" si="246"/>
        <v>0</v>
      </c>
      <c r="P2237" s="228">
        <f t="shared" si="246"/>
        <v>0</v>
      </c>
      <c r="Q2237" s="228">
        <f t="shared" si="243"/>
        <v>1</v>
      </c>
      <c r="R2237" s="343">
        <f t="shared" si="244"/>
        <v>0</v>
      </c>
      <c r="S2237" s="240"/>
      <c r="T2237" s="201"/>
      <c r="U2237" s="201"/>
      <c r="V2237" s="201"/>
    </row>
    <row r="2238" spans="1:22" ht="36.75" customHeight="1" x14ac:dyDescent="0.25">
      <c r="A2238" s="234" t="s">
        <v>4478</v>
      </c>
      <c r="B2238" s="235" t="s">
        <v>4479</v>
      </c>
      <c r="C2238" s="234" t="s">
        <v>1867</v>
      </c>
      <c r="D2238" s="312">
        <v>1</v>
      </c>
      <c r="E2238" s="312"/>
      <c r="F2238" s="248"/>
      <c r="G2238" s="312">
        <v>1</v>
      </c>
      <c r="H2238" s="228"/>
      <c r="I2238" s="312"/>
      <c r="J2238" s="248">
        <f t="shared" si="240"/>
        <v>1</v>
      </c>
      <c r="K2238" s="330">
        <f t="shared" si="241"/>
        <v>0</v>
      </c>
      <c r="L2238" s="228"/>
      <c r="M2238" s="228">
        <f t="shared" si="242"/>
        <v>0</v>
      </c>
      <c r="N2238" s="228">
        <f t="shared" si="245"/>
        <v>1</v>
      </c>
      <c r="O2238" s="228">
        <f t="shared" si="246"/>
        <v>0</v>
      </c>
      <c r="P2238" s="228">
        <f t="shared" si="246"/>
        <v>0</v>
      </c>
      <c r="Q2238" s="228">
        <f t="shared" si="243"/>
        <v>1</v>
      </c>
      <c r="R2238" s="343">
        <f t="shared" si="244"/>
        <v>0</v>
      </c>
      <c r="S2238" s="240"/>
      <c r="T2238" s="201"/>
      <c r="U2238" s="201"/>
      <c r="V2238" s="201"/>
    </row>
    <row r="2239" spans="1:22" ht="36.75" customHeight="1" x14ac:dyDescent="0.25">
      <c r="A2239" s="234" t="s">
        <v>4480</v>
      </c>
      <c r="B2239" s="235" t="s">
        <v>4481</v>
      </c>
      <c r="C2239" s="234" t="s">
        <v>1867</v>
      </c>
      <c r="D2239" s="312">
        <v>2</v>
      </c>
      <c r="E2239" s="312"/>
      <c r="F2239" s="248"/>
      <c r="G2239" s="312">
        <v>2</v>
      </c>
      <c r="H2239" s="228"/>
      <c r="I2239" s="312"/>
      <c r="J2239" s="248">
        <f t="shared" si="240"/>
        <v>2</v>
      </c>
      <c r="K2239" s="330">
        <f t="shared" si="241"/>
        <v>0</v>
      </c>
      <c r="L2239" s="228"/>
      <c r="M2239" s="228">
        <f t="shared" si="242"/>
        <v>0</v>
      </c>
      <c r="N2239" s="228">
        <f t="shared" si="245"/>
        <v>2</v>
      </c>
      <c r="O2239" s="228">
        <f t="shared" si="246"/>
        <v>0</v>
      </c>
      <c r="P2239" s="228">
        <f t="shared" si="246"/>
        <v>0</v>
      </c>
      <c r="Q2239" s="228">
        <f t="shared" si="243"/>
        <v>2</v>
      </c>
      <c r="R2239" s="343">
        <f t="shared" si="244"/>
        <v>0</v>
      </c>
      <c r="S2239" s="240"/>
      <c r="T2239" s="201"/>
      <c r="U2239" s="201"/>
      <c r="V2239" s="201"/>
    </row>
    <row r="2240" spans="1:22" ht="24.75" customHeight="1" x14ac:dyDescent="0.25">
      <c r="A2240" s="234" t="s">
        <v>4482</v>
      </c>
      <c r="B2240" s="235" t="s">
        <v>4483</v>
      </c>
      <c r="C2240" s="234" t="s">
        <v>499</v>
      </c>
      <c r="D2240" s="312">
        <v>1</v>
      </c>
      <c r="E2240" s="312"/>
      <c r="F2240" s="248"/>
      <c r="G2240" s="312">
        <v>1</v>
      </c>
      <c r="H2240" s="228"/>
      <c r="I2240" s="312"/>
      <c r="J2240" s="248">
        <f t="shared" si="240"/>
        <v>1</v>
      </c>
      <c r="K2240" s="330">
        <f t="shared" si="241"/>
        <v>0</v>
      </c>
      <c r="L2240" s="228"/>
      <c r="M2240" s="228">
        <f t="shared" si="242"/>
        <v>0</v>
      </c>
      <c r="N2240" s="228">
        <f t="shared" si="245"/>
        <v>1</v>
      </c>
      <c r="O2240" s="228">
        <f t="shared" si="246"/>
        <v>0</v>
      </c>
      <c r="P2240" s="228">
        <f t="shared" si="246"/>
        <v>0</v>
      </c>
      <c r="Q2240" s="228">
        <f t="shared" si="243"/>
        <v>1</v>
      </c>
      <c r="R2240" s="343">
        <f t="shared" si="244"/>
        <v>0</v>
      </c>
      <c r="S2240" s="240"/>
      <c r="T2240" s="201"/>
      <c r="U2240" s="201"/>
      <c r="V2240" s="201"/>
    </row>
    <row r="2241" spans="1:22" ht="33.75" customHeight="1" x14ac:dyDescent="0.25">
      <c r="A2241" s="234" t="s">
        <v>4484</v>
      </c>
      <c r="B2241" s="235" t="s">
        <v>4485</v>
      </c>
      <c r="C2241" s="234" t="s">
        <v>499</v>
      </c>
      <c r="D2241" s="312">
        <v>1</v>
      </c>
      <c r="E2241" s="312"/>
      <c r="F2241" s="248"/>
      <c r="G2241" s="312">
        <v>1</v>
      </c>
      <c r="H2241" s="228"/>
      <c r="I2241" s="312"/>
      <c r="J2241" s="248">
        <f t="shared" si="240"/>
        <v>1</v>
      </c>
      <c r="K2241" s="330">
        <f t="shared" si="241"/>
        <v>0</v>
      </c>
      <c r="L2241" s="228"/>
      <c r="M2241" s="228">
        <f t="shared" si="242"/>
        <v>0</v>
      </c>
      <c r="N2241" s="228">
        <f t="shared" si="245"/>
        <v>1</v>
      </c>
      <c r="O2241" s="228">
        <f t="shared" si="246"/>
        <v>0</v>
      </c>
      <c r="P2241" s="228">
        <f t="shared" si="246"/>
        <v>0</v>
      </c>
      <c r="Q2241" s="228">
        <f t="shared" si="243"/>
        <v>1</v>
      </c>
      <c r="R2241" s="343">
        <f t="shared" si="244"/>
        <v>0</v>
      </c>
      <c r="S2241" s="240"/>
      <c r="T2241" s="201"/>
      <c r="U2241" s="201"/>
      <c r="V2241" s="201"/>
    </row>
    <row r="2242" spans="1:22" ht="30" customHeight="1" x14ac:dyDescent="0.25">
      <c r="A2242" s="234" t="s">
        <v>4486</v>
      </c>
      <c r="B2242" s="235" t="s">
        <v>4487</v>
      </c>
      <c r="C2242" s="234" t="s">
        <v>499</v>
      </c>
      <c r="D2242" s="312">
        <v>1</v>
      </c>
      <c r="E2242" s="312"/>
      <c r="F2242" s="248"/>
      <c r="G2242" s="312">
        <v>1</v>
      </c>
      <c r="H2242" s="228"/>
      <c r="I2242" s="312"/>
      <c r="J2242" s="248">
        <f t="shared" si="240"/>
        <v>1</v>
      </c>
      <c r="K2242" s="330">
        <f t="shared" si="241"/>
        <v>0</v>
      </c>
      <c r="L2242" s="228"/>
      <c r="M2242" s="228">
        <f t="shared" si="242"/>
        <v>0</v>
      </c>
      <c r="N2242" s="228">
        <f t="shared" si="245"/>
        <v>1</v>
      </c>
      <c r="O2242" s="228">
        <f t="shared" si="246"/>
        <v>0</v>
      </c>
      <c r="P2242" s="228">
        <f t="shared" si="246"/>
        <v>0</v>
      </c>
      <c r="Q2242" s="228">
        <f t="shared" si="243"/>
        <v>1</v>
      </c>
      <c r="R2242" s="343">
        <f t="shared" si="244"/>
        <v>0</v>
      </c>
      <c r="S2242" s="240"/>
      <c r="T2242" s="201"/>
      <c r="U2242" s="201"/>
      <c r="V2242" s="201"/>
    </row>
    <row r="2243" spans="1:22" ht="33" customHeight="1" x14ac:dyDescent="0.25">
      <c r="A2243" s="234" t="s">
        <v>4488</v>
      </c>
      <c r="B2243" s="235" t="s">
        <v>4489</v>
      </c>
      <c r="C2243" s="234" t="s">
        <v>499</v>
      </c>
      <c r="D2243" s="312">
        <v>1</v>
      </c>
      <c r="E2243" s="312"/>
      <c r="F2243" s="248"/>
      <c r="G2243" s="312">
        <v>1</v>
      </c>
      <c r="H2243" s="228"/>
      <c r="I2243" s="312"/>
      <c r="J2243" s="248">
        <f t="shared" si="240"/>
        <v>1</v>
      </c>
      <c r="K2243" s="330">
        <f t="shared" si="241"/>
        <v>0</v>
      </c>
      <c r="L2243" s="228"/>
      <c r="M2243" s="228">
        <f t="shared" si="242"/>
        <v>0</v>
      </c>
      <c r="N2243" s="228">
        <f t="shared" si="245"/>
        <v>1</v>
      </c>
      <c r="O2243" s="228">
        <f t="shared" si="246"/>
        <v>0</v>
      </c>
      <c r="P2243" s="228">
        <f t="shared" si="246"/>
        <v>0</v>
      </c>
      <c r="Q2243" s="228">
        <f t="shared" si="243"/>
        <v>1</v>
      </c>
      <c r="R2243" s="343">
        <f t="shared" si="244"/>
        <v>0</v>
      </c>
      <c r="S2243" s="240"/>
      <c r="T2243" s="201"/>
      <c r="U2243" s="201"/>
      <c r="V2243" s="201"/>
    </row>
    <row r="2244" spans="1:22" ht="30" customHeight="1" x14ac:dyDescent="0.25">
      <c r="A2244" s="234" t="s">
        <v>4490</v>
      </c>
      <c r="B2244" s="235" t="s">
        <v>4491</v>
      </c>
      <c r="C2244" s="234" t="s">
        <v>499</v>
      </c>
      <c r="D2244" s="312">
        <v>1</v>
      </c>
      <c r="E2244" s="312"/>
      <c r="F2244" s="248"/>
      <c r="G2244" s="312">
        <v>1</v>
      </c>
      <c r="H2244" s="228"/>
      <c r="I2244" s="312"/>
      <c r="J2244" s="248">
        <f t="shared" si="240"/>
        <v>1</v>
      </c>
      <c r="K2244" s="330">
        <f t="shared" si="241"/>
        <v>0</v>
      </c>
      <c r="L2244" s="228"/>
      <c r="M2244" s="228">
        <f t="shared" si="242"/>
        <v>0</v>
      </c>
      <c r="N2244" s="228">
        <f t="shared" si="245"/>
        <v>1</v>
      </c>
      <c r="O2244" s="228">
        <f t="shared" si="246"/>
        <v>0</v>
      </c>
      <c r="P2244" s="228">
        <f t="shared" si="246"/>
        <v>0</v>
      </c>
      <c r="Q2244" s="228">
        <f t="shared" si="243"/>
        <v>1</v>
      </c>
      <c r="R2244" s="343">
        <f t="shared" si="244"/>
        <v>0</v>
      </c>
      <c r="S2244" s="240"/>
      <c r="T2244" s="201"/>
      <c r="U2244" s="201"/>
      <c r="V2244" s="201"/>
    </row>
    <row r="2245" spans="1:22" ht="33.75" customHeight="1" x14ac:dyDescent="0.25">
      <c r="A2245" s="230" t="s">
        <v>2639</v>
      </c>
      <c r="B2245" s="231" t="s">
        <v>2640</v>
      </c>
      <c r="C2245" s="230"/>
      <c r="D2245" s="316"/>
      <c r="E2245" s="316"/>
      <c r="F2245" s="317"/>
      <c r="G2245" s="316"/>
      <c r="H2245" s="316"/>
      <c r="I2245" s="316"/>
      <c r="J2245" s="248">
        <f t="shared" ref="J2245:J2250" si="247">F2245+G2245+H2245+I2245</f>
        <v>0</v>
      </c>
      <c r="K2245" s="330">
        <f t="shared" ref="K2245:K2250" si="248">J2245-D2245</f>
        <v>0</v>
      </c>
      <c r="L2245" s="318"/>
      <c r="M2245" s="228">
        <f t="shared" ref="M2245:P2250" si="249">F2245</f>
        <v>0</v>
      </c>
      <c r="N2245" s="228">
        <f t="shared" si="249"/>
        <v>0</v>
      </c>
      <c r="O2245" s="228">
        <f t="shared" si="249"/>
        <v>0</v>
      </c>
      <c r="P2245" s="228">
        <f t="shared" si="249"/>
        <v>0</v>
      </c>
      <c r="Q2245" s="228">
        <f t="shared" ref="Q2245:Q2250" si="250">M2245+N2245+O2245+P2245</f>
        <v>0</v>
      </c>
      <c r="R2245" s="343">
        <f t="shared" si="244"/>
        <v>0</v>
      </c>
      <c r="S2245" s="240"/>
      <c r="T2245" s="201"/>
      <c r="U2245" s="201"/>
      <c r="V2245" s="201"/>
    </row>
    <row r="2246" spans="1:22" ht="20.25" customHeight="1" x14ac:dyDescent="0.25">
      <c r="A2246" s="230" t="s">
        <v>2641</v>
      </c>
      <c r="B2246" s="231" t="s">
        <v>2642</v>
      </c>
      <c r="C2246" s="230"/>
      <c r="D2246" s="316"/>
      <c r="E2246" s="316"/>
      <c r="F2246" s="317"/>
      <c r="G2246" s="316"/>
      <c r="H2246" s="316"/>
      <c r="I2246" s="316"/>
      <c r="J2246" s="248">
        <f t="shared" si="247"/>
        <v>0</v>
      </c>
      <c r="K2246" s="330">
        <f t="shared" si="248"/>
        <v>0</v>
      </c>
      <c r="L2246" s="318"/>
      <c r="M2246" s="228">
        <f t="shared" si="249"/>
        <v>0</v>
      </c>
      <c r="N2246" s="228">
        <f t="shared" si="249"/>
        <v>0</v>
      </c>
      <c r="O2246" s="228">
        <f t="shared" si="249"/>
        <v>0</v>
      </c>
      <c r="P2246" s="228">
        <f t="shared" si="249"/>
        <v>0</v>
      </c>
      <c r="Q2246" s="228">
        <f t="shared" si="250"/>
        <v>0</v>
      </c>
      <c r="R2246" s="343">
        <f t="shared" si="244"/>
        <v>0</v>
      </c>
      <c r="S2246" s="240"/>
      <c r="T2246" s="201"/>
      <c r="U2246" s="201"/>
      <c r="V2246" s="201"/>
    </row>
    <row r="2247" spans="1:22" ht="24.75" customHeight="1" x14ac:dyDescent="0.25">
      <c r="A2247" s="234" t="s">
        <v>2643</v>
      </c>
      <c r="B2247" s="235" t="s">
        <v>2644</v>
      </c>
      <c r="C2247" s="234" t="s">
        <v>2555</v>
      </c>
      <c r="D2247" s="312">
        <v>2</v>
      </c>
      <c r="E2247" s="312"/>
      <c r="F2247" s="248">
        <f>D2247</f>
        <v>2</v>
      </c>
      <c r="G2247" s="312"/>
      <c r="H2247" s="312"/>
      <c r="I2247" s="312"/>
      <c r="J2247" s="248">
        <f t="shared" si="247"/>
        <v>2</v>
      </c>
      <c r="K2247" s="330">
        <f t="shared" si="248"/>
        <v>0</v>
      </c>
      <c r="L2247" s="313"/>
      <c r="M2247" s="228">
        <f t="shared" si="249"/>
        <v>2</v>
      </c>
      <c r="N2247" s="228">
        <f t="shared" si="249"/>
        <v>0</v>
      </c>
      <c r="O2247" s="228">
        <f t="shared" si="249"/>
        <v>0</v>
      </c>
      <c r="P2247" s="228">
        <f t="shared" si="249"/>
        <v>0</v>
      </c>
      <c r="Q2247" s="228">
        <f t="shared" si="250"/>
        <v>2</v>
      </c>
      <c r="R2247" s="343">
        <f t="shared" si="244"/>
        <v>0</v>
      </c>
      <c r="S2247" s="240"/>
      <c r="T2247" s="201"/>
      <c r="U2247" s="201"/>
      <c r="V2247" s="201"/>
    </row>
    <row r="2248" spans="1:22" ht="19.5" customHeight="1" x14ac:dyDescent="0.25">
      <c r="A2248" s="234" t="s">
        <v>2645</v>
      </c>
      <c r="B2248" s="235" t="s">
        <v>2646</v>
      </c>
      <c r="C2248" s="234" t="s">
        <v>2555</v>
      </c>
      <c r="D2248" s="312">
        <v>2</v>
      </c>
      <c r="E2248" s="312"/>
      <c r="F2248" s="248">
        <f t="shared" ref="F2248:F2250" si="251">D2248</f>
        <v>2</v>
      </c>
      <c r="G2248" s="312"/>
      <c r="H2248" s="312"/>
      <c r="I2248" s="312"/>
      <c r="J2248" s="248">
        <f t="shared" si="247"/>
        <v>2</v>
      </c>
      <c r="K2248" s="330">
        <f t="shared" si="248"/>
        <v>0</v>
      </c>
      <c r="L2248" s="313"/>
      <c r="M2248" s="228">
        <f t="shared" si="249"/>
        <v>2</v>
      </c>
      <c r="N2248" s="228">
        <f t="shared" si="249"/>
        <v>0</v>
      </c>
      <c r="O2248" s="228">
        <f t="shared" si="249"/>
        <v>0</v>
      </c>
      <c r="P2248" s="228">
        <f t="shared" si="249"/>
        <v>0</v>
      </c>
      <c r="Q2248" s="228">
        <f t="shared" si="250"/>
        <v>2</v>
      </c>
      <c r="R2248" s="343">
        <f t="shared" si="244"/>
        <v>0</v>
      </c>
      <c r="S2248" s="245"/>
      <c r="T2248" s="201"/>
      <c r="U2248" s="201"/>
      <c r="V2248" s="201"/>
    </row>
    <row r="2249" spans="1:22" ht="27" customHeight="1" x14ac:dyDescent="0.25">
      <c r="A2249" s="234" t="s">
        <v>2647</v>
      </c>
      <c r="B2249" s="235" t="s">
        <v>2648</v>
      </c>
      <c r="C2249" s="234" t="s">
        <v>2555</v>
      </c>
      <c r="D2249" s="312">
        <v>2</v>
      </c>
      <c r="E2249" s="312"/>
      <c r="F2249" s="248">
        <f t="shared" si="251"/>
        <v>2</v>
      </c>
      <c r="G2249" s="312"/>
      <c r="H2249" s="312"/>
      <c r="I2249" s="312"/>
      <c r="J2249" s="248">
        <f t="shared" si="247"/>
        <v>2</v>
      </c>
      <c r="K2249" s="330">
        <f t="shared" si="248"/>
        <v>0</v>
      </c>
      <c r="L2249" s="313"/>
      <c r="M2249" s="228">
        <f t="shared" si="249"/>
        <v>2</v>
      </c>
      <c r="N2249" s="228">
        <f t="shared" si="249"/>
        <v>0</v>
      </c>
      <c r="O2249" s="228">
        <f t="shared" si="249"/>
        <v>0</v>
      </c>
      <c r="P2249" s="228">
        <f t="shared" si="249"/>
        <v>0</v>
      </c>
      <c r="Q2249" s="228">
        <f t="shared" si="250"/>
        <v>2</v>
      </c>
      <c r="R2249" s="343">
        <f t="shared" si="244"/>
        <v>0</v>
      </c>
      <c r="S2249" s="240"/>
      <c r="T2249" s="201"/>
      <c r="U2249" s="201"/>
      <c r="V2249" s="201"/>
    </row>
    <row r="2250" spans="1:22" ht="21.75" customHeight="1" x14ac:dyDescent="0.25">
      <c r="A2250" s="234" t="s">
        <v>2649</v>
      </c>
      <c r="B2250" s="235" t="s">
        <v>2650</v>
      </c>
      <c r="C2250" s="234" t="s">
        <v>2555</v>
      </c>
      <c r="D2250" s="312">
        <v>6</v>
      </c>
      <c r="E2250" s="312"/>
      <c r="F2250" s="248">
        <f t="shared" si="251"/>
        <v>6</v>
      </c>
      <c r="G2250" s="312"/>
      <c r="H2250" s="312"/>
      <c r="I2250" s="312"/>
      <c r="J2250" s="248">
        <f t="shared" si="247"/>
        <v>6</v>
      </c>
      <c r="K2250" s="330">
        <f t="shared" si="248"/>
        <v>0</v>
      </c>
      <c r="L2250" s="313"/>
      <c r="M2250" s="228">
        <f t="shared" si="249"/>
        <v>6</v>
      </c>
      <c r="N2250" s="228">
        <f t="shared" si="249"/>
        <v>0</v>
      </c>
      <c r="O2250" s="228">
        <f t="shared" si="249"/>
        <v>0</v>
      </c>
      <c r="P2250" s="228">
        <f t="shared" si="249"/>
        <v>0</v>
      </c>
      <c r="Q2250" s="228">
        <f t="shared" si="250"/>
        <v>6</v>
      </c>
      <c r="R2250" s="343">
        <f t="shared" si="244"/>
        <v>0</v>
      </c>
      <c r="S2250" s="240"/>
      <c r="T2250" s="201"/>
      <c r="U2250" s="201"/>
      <c r="V2250" s="201"/>
    </row>
    <row r="2251" spans="1:22" ht="23.25" customHeight="1" x14ac:dyDescent="0.25">
      <c r="A2251" s="230" t="s">
        <v>2651</v>
      </c>
      <c r="B2251" s="231" t="s">
        <v>2652</v>
      </c>
      <c r="C2251" s="230"/>
      <c r="D2251" s="316"/>
      <c r="E2251" s="316"/>
      <c r="F2251" s="317"/>
      <c r="G2251" s="316"/>
      <c r="H2251" s="316"/>
      <c r="I2251" s="316"/>
      <c r="J2251" s="248"/>
      <c r="K2251" s="330"/>
      <c r="L2251" s="318"/>
      <c r="M2251" s="228"/>
      <c r="N2251" s="228"/>
      <c r="O2251" s="228"/>
      <c r="P2251" s="228"/>
      <c r="Q2251" s="228"/>
      <c r="R2251" s="343"/>
      <c r="S2251" s="240"/>
      <c r="T2251" s="201"/>
      <c r="U2251" s="201"/>
      <c r="V2251" s="201"/>
    </row>
    <row r="2252" spans="1:22" ht="24.75" customHeight="1" x14ac:dyDescent="0.25">
      <c r="A2252" s="234" t="s">
        <v>2653</v>
      </c>
      <c r="B2252" s="235" t="s">
        <v>2654</v>
      </c>
      <c r="C2252" s="234" t="s">
        <v>2555</v>
      </c>
      <c r="D2252" s="312">
        <v>240</v>
      </c>
      <c r="E2252" s="312"/>
      <c r="F2252" s="248"/>
      <c r="G2252" s="312"/>
      <c r="H2252" s="312"/>
      <c r="I2252" s="312"/>
      <c r="J2252" s="248">
        <f t="shared" si="240"/>
        <v>0</v>
      </c>
      <c r="K2252" s="330">
        <f t="shared" si="241"/>
        <v>-240</v>
      </c>
      <c r="L2252" s="313"/>
      <c r="M2252" s="228">
        <f t="shared" si="242"/>
        <v>0</v>
      </c>
      <c r="N2252" s="228">
        <f t="shared" si="245"/>
        <v>0</v>
      </c>
      <c r="O2252" s="228">
        <f t="shared" si="246"/>
        <v>0</v>
      </c>
      <c r="P2252" s="228">
        <f t="shared" si="246"/>
        <v>0</v>
      </c>
      <c r="Q2252" s="228">
        <f t="shared" si="243"/>
        <v>0</v>
      </c>
      <c r="R2252" s="343">
        <f t="shared" si="244"/>
        <v>-240</v>
      </c>
      <c r="S2252" s="240"/>
      <c r="T2252" s="201"/>
      <c r="U2252" s="201"/>
      <c r="V2252" s="201"/>
    </row>
    <row r="2253" spans="1:22" s="165" customFormat="1" ht="15.75" x14ac:dyDescent="0.25">
      <c r="A2253" s="220"/>
      <c r="B2253" s="221"/>
      <c r="C2253" s="221"/>
      <c r="D2253" s="221"/>
      <c r="E2253" s="221"/>
      <c r="F2253" s="377"/>
      <c r="G2253" s="221"/>
      <c r="H2253" s="221"/>
      <c r="I2253" s="221"/>
      <c r="J2253" s="222"/>
      <c r="K2253" s="386"/>
      <c r="L2253" s="222"/>
      <c r="M2253" s="222"/>
      <c r="N2253" s="222"/>
      <c r="O2253" s="222"/>
      <c r="P2253" s="222"/>
      <c r="Q2253" s="222"/>
      <c r="R2253" s="331"/>
      <c r="S2253" s="221"/>
      <c r="T2253" s="221"/>
      <c r="U2253" s="221"/>
      <c r="V2253" s="221"/>
    </row>
    <row r="2254" spans="1:22" s="149" customFormat="1" ht="20.25" x14ac:dyDescent="0.3">
      <c r="A2254" s="162"/>
      <c r="B2254" s="305" t="s">
        <v>2656</v>
      </c>
      <c r="C2254" s="306"/>
      <c r="D2254" s="306"/>
      <c r="E2254" s="306"/>
      <c r="F2254" s="378"/>
      <c r="G2254" s="306"/>
      <c r="H2254" s="306"/>
      <c r="I2254" s="306"/>
      <c r="J2254" s="307"/>
      <c r="K2254" s="387"/>
      <c r="L2254" s="307"/>
      <c r="M2254" s="466" t="s">
        <v>2759</v>
      </c>
      <c r="N2254" s="466"/>
      <c r="O2254" s="466"/>
      <c r="P2254" s="466"/>
      <c r="Q2254" s="466"/>
      <c r="R2254" s="466"/>
      <c r="S2254" s="306"/>
      <c r="T2254" s="306"/>
      <c r="U2254" s="306"/>
      <c r="V2254" s="306"/>
    </row>
    <row r="2255" spans="1:22" s="43" customFormat="1" ht="20.25" x14ac:dyDescent="0.3">
      <c r="A2255" s="179"/>
      <c r="B2255" s="306"/>
      <c r="C2255" s="306"/>
      <c r="D2255" s="306"/>
      <c r="E2255" s="306"/>
      <c r="F2255" s="378"/>
      <c r="G2255" s="306"/>
      <c r="H2255" s="306"/>
      <c r="I2255" s="306"/>
      <c r="J2255" s="307"/>
      <c r="K2255" s="387"/>
      <c r="L2255" s="307"/>
      <c r="M2255" s="307"/>
      <c r="N2255" s="307"/>
      <c r="O2255" s="307"/>
      <c r="P2255" s="307"/>
      <c r="Q2255" s="307"/>
      <c r="R2255" s="332"/>
      <c r="S2255" s="308"/>
      <c r="T2255" s="308"/>
      <c r="U2255" s="308"/>
      <c r="V2255" s="308"/>
    </row>
    <row r="2256" spans="1:22" s="43" customFormat="1" ht="20.25" x14ac:dyDescent="0.3">
      <c r="A2256" s="179"/>
      <c r="B2256" s="306"/>
      <c r="C2256" s="306"/>
      <c r="D2256" s="306"/>
      <c r="E2256" s="306"/>
      <c r="F2256" s="378"/>
      <c r="G2256" s="306"/>
      <c r="H2256" s="306"/>
      <c r="I2256" s="306"/>
      <c r="J2256" s="307"/>
      <c r="K2256" s="387"/>
      <c r="L2256" s="307"/>
      <c r="M2256" s="307"/>
      <c r="N2256" s="307"/>
      <c r="O2256" s="307"/>
      <c r="P2256" s="307"/>
      <c r="Q2256" s="307"/>
      <c r="R2256" s="332"/>
      <c r="S2256" s="308"/>
      <c r="T2256" s="308"/>
      <c r="U2256" s="308"/>
      <c r="V2256" s="308"/>
    </row>
    <row r="2257" spans="1:22" s="43" customFormat="1" ht="20.25" x14ac:dyDescent="0.3">
      <c r="A2257" s="179"/>
      <c r="B2257" s="306"/>
      <c r="C2257" s="306"/>
      <c r="D2257" s="306"/>
      <c r="E2257" s="306"/>
      <c r="F2257" s="378"/>
      <c r="G2257" s="306"/>
      <c r="H2257" s="306"/>
      <c r="I2257" s="306"/>
      <c r="J2257" s="307"/>
      <c r="K2257" s="387"/>
      <c r="L2257" s="307"/>
      <c r="M2257" s="307"/>
      <c r="N2257" s="307"/>
      <c r="O2257" s="307"/>
      <c r="P2257" s="307"/>
      <c r="Q2257" s="307"/>
      <c r="R2257" s="332"/>
      <c r="S2257" s="308"/>
      <c r="T2257" s="308"/>
      <c r="U2257" s="308"/>
      <c r="V2257" s="308"/>
    </row>
    <row r="2258" spans="1:22" s="43" customFormat="1" ht="20.25" x14ac:dyDescent="0.3">
      <c r="A2258" s="179"/>
      <c r="B2258" s="306"/>
      <c r="C2258" s="306"/>
      <c r="D2258" s="306"/>
      <c r="E2258" s="306"/>
      <c r="F2258" s="378"/>
      <c r="G2258" s="306"/>
      <c r="H2258" s="306"/>
      <c r="I2258" s="306"/>
      <c r="J2258" s="307"/>
      <c r="K2258" s="387"/>
      <c r="L2258" s="307"/>
      <c r="M2258" s="307"/>
      <c r="N2258" s="307"/>
      <c r="O2258" s="307"/>
      <c r="P2258" s="307"/>
      <c r="Q2258" s="307"/>
      <c r="R2258" s="332"/>
      <c r="S2258" s="308"/>
      <c r="T2258" s="308"/>
      <c r="U2258" s="308"/>
      <c r="V2258" s="308"/>
    </row>
    <row r="2259" spans="1:22" s="43" customFormat="1" ht="20.25" x14ac:dyDescent="0.3">
      <c r="A2259" s="179"/>
      <c r="B2259" s="306"/>
      <c r="C2259" s="306"/>
      <c r="D2259" s="306"/>
      <c r="E2259" s="306"/>
      <c r="F2259" s="378"/>
      <c r="G2259" s="306">
        <f>2133-56</f>
        <v>2077</v>
      </c>
      <c r="H2259" s="306"/>
      <c r="I2259" s="306"/>
      <c r="J2259" s="307"/>
      <c r="K2259" s="387"/>
      <c r="L2259" s="307"/>
      <c r="M2259" s="307"/>
      <c r="N2259" s="307"/>
      <c r="O2259" s="307"/>
      <c r="P2259" s="307"/>
      <c r="Q2259" s="307"/>
      <c r="R2259" s="332"/>
      <c r="S2259" s="308"/>
      <c r="T2259" s="308"/>
      <c r="U2259" s="308"/>
      <c r="V2259" s="308"/>
    </row>
    <row r="2260" spans="1:22" s="43" customFormat="1" ht="20.25" x14ac:dyDescent="0.3">
      <c r="A2260" s="179"/>
      <c r="B2260" s="306"/>
      <c r="C2260" s="306"/>
      <c r="D2260" s="306"/>
      <c r="E2260" s="306"/>
      <c r="F2260" s="378"/>
      <c r="G2260" s="306"/>
      <c r="H2260" s="306"/>
      <c r="I2260" s="306"/>
      <c r="J2260" s="307"/>
      <c r="K2260" s="387"/>
      <c r="L2260" s="307"/>
      <c r="M2260" s="307"/>
      <c r="N2260" s="307"/>
      <c r="O2260" s="307"/>
      <c r="P2260" s="307"/>
      <c r="Q2260" s="307"/>
      <c r="R2260" s="332"/>
      <c r="S2260" s="308"/>
      <c r="T2260" s="308"/>
      <c r="U2260" s="308"/>
      <c r="V2260" s="308"/>
    </row>
    <row r="2261" spans="1:22" s="43" customFormat="1" ht="20.25" x14ac:dyDescent="0.3">
      <c r="A2261" s="179"/>
      <c r="B2261" s="306"/>
      <c r="C2261" s="306"/>
      <c r="D2261" s="306"/>
      <c r="E2261" s="306"/>
      <c r="F2261" s="378"/>
      <c r="G2261" s="306"/>
      <c r="H2261" s="306"/>
      <c r="I2261" s="306"/>
      <c r="J2261" s="307"/>
      <c r="K2261" s="387"/>
      <c r="L2261" s="307"/>
      <c r="M2261" s="307"/>
      <c r="N2261" s="307"/>
      <c r="O2261" s="307"/>
      <c r="P2261" s="307"/>
      <c r="Q2261" s="307"/>
      <c r="R2261" s="332"/>
      <c r="S2261" s="308"/>
      <c r="T2261" s="308"/>
      <c r="U2261" s="308"/>
      <c r="V2261" s="308"/>
    </row>
    <row r="2262" spans="1:22" s="43" customFormat="1" ht="20.25" x14ac:dyDescent="0.3">
      <c r="A2262" s="179"/>
      <c r="B2262" s="306"/>
      <c r="C2262" s="306"/>
      <c r="D2262" s="306"/>
      <c r="E2262" s="306"/>
      <c r="F2262" s="378"/>
      <c r="G2262" s="306"/>
      <c r="H2262" s="306"/>
      <c r="I2262" s="306"/>
      <c r="J2262" s="307"/>
      <c r="K2262" s="387"/>
      <c r="L2262" s="307"/>
      <c r="M2262" s="307"/>
      <c r="N2262" s="307"/>
      <c r="O2262" s="307"/>
      <c r="P2262" s="307"/>
      <c r="Q2262" s="307"/>
      <c r="R2262" s="332"/>
      <c r="S2262" s="308"/>
      <c r="T2262" s="308"/>
      <c r="U2262" s="308"/>
      <c r="V2262" s="308"/>
    </row>
    <row r="2263" spans="1:22" s="166" customFormat="1" ht="20.25" x14ac:dyDescent="0.3">
      <c r="A2263" s="181"/>
      <c r="B2263" s="467"/>
      <c r="C2263" s="467"/>
      <c r="D2263" s="467"/>
      <c r="E2263" s="467"/>
      <c r="F2263" s="467"/>
      <c r="G2263" s="467"/>
      <c r="H2263" s="467"/>
      <c r="I2263" s="467"/>
      <c r="J2263" s="467"/>
      <c r="K2263" s="467"/>
      <c r="L2263" s="467"/>
      <c r="M2263" s="467"/>
      <c r="N2263" s="467"/>
      <c r="O2263" s="467"/>
      <c r="P2263" s="467"/>
      <c r="Q2263" s="467"/>
      <c r="R2263" s="467"/>
      <c r="S2263" s="467"/>
      <c r="T2263" s="467"/>
      <c r="U2263" s="467"/>
      <c r="V2263" s="467"/>
    </row>
    <row r="2264" spans="1:22" s="43" customFormat="1" ht="20.25" x14ac:dyDescent="0.3">
      <c r="A2264" s="179"/>
      <c r="B2264" s="306"/>
      <c r="C2264" s="306"/>
      <c r="D2264" s="306"/>
      <c r="E2264" s="306"/>
      <c r="F2264" s="378"/>
      <c r="G2264" s="306"/>
      <c r="H2264" s="306"/>
      <c r="I2264" s="306"/>
      <c r="J2264" s="307"/>
      <c r="K2264" s="387"/>
      <c r="L2264" s="307"/>
      <c r="M2264" s="307"/>
      <c r="N2264" s="307"/>
      <c r="O2264" s="307"/>
      <c r="P2264" s="307"/>
      <c r="Q2264" s="307"/>
      <c r="R2264" s="332"/>
      <c r="S2264" s="308"/>
      <c r="T2264" s="308"/>
      <c r="U2264" s="308"/>
      <c r="V2264" s="308"/>
    </row>
    <row r="2265" spans="1:22" s="43" customFormat="1" ht="20.25" x14ac:dyDescent="0.3">
      <c r="A2265" s="179"/>
      <c r="B2265" s="306"/>
      <c r="C2265" s="306"/>
      <c r="D2265" s="306"/>
      <c r="E2265" s="306"/>
      <c r="F2265" s="378"/>
      <c r="G2265" s="306"/>
      <c r="H2265" s="306"/>
      <c r="I2265" s="306"/>
      <c r="J2265" s="307"/>
      <c r="K2265" s="387"/>
      <c r="L2265" s="307"/>
      <c r="M2265" s="307"/>
      <c r="N2265" s="307"/>
      <c r="O2265" s="307"/>
      <c r="P2265" s="307"/>
      <c r="Q2265" s="307"/>
      <c r="R2265" s="332"/>
      <c r="S2265" s="308"/>
      <c r="T2265" s="308"/>
      <c r="U2265" s="308"/>
      <c r="V2265" s="308"/>
    </row>
    <row r="2266" spans="1:22" s="43" customFormat="1" ht="20.25" x14ac:dyDescent="0.3">
      <c r="A2266" s="179"/>
      <c r="B2266" s="309" t="s">
        <v>2760</v>
      </c>
      <c r="C2266" s="306"/>
      <c r="D2266" s="306"/>
      <c r="E2266" s="506" t="s">
        <v>2761</v>
      </c>
      <c r="F2266" s="506"/>
      <c r="G2266" s="506"/>
      <c r="H2266" s="506"/>
      <c r="I2266" s="506"/>
      <c r="J2266" s="506"/>
      <c r="K2266" s="506"/>
      <c r="L2266" s="506"/>
      <c r="M2266" s="506"/>
      <c r="N2266" s="506"/>
      <c r="O2266" s="506"/>
      <c r="P2266" s="506"/>
      <c r="Q2266" s="506"/>
      <c r="R2266" s="506"/>
      <c r="S2266" s="308"/>
      <c r="T2266" s="308"/>
      <c r="U2266" s="308"/>
      <c r="V2266" s="308"/>
    </row>
    <row r="2267" spans="1:22" s="43" customFormat="1" ht="20.25" x14ac:dyDescent="0.3">
      <c r="A2267" s="179"/>
      <c r="B2267" s="309"/>
      <c r="C2267" s="306"/>
      <c r="D2267" s="306"/>
      <c r="E2267" s="309"/>
      <c r="F2267" s="379"/>
      <c r="G2267" s="309"/>
      <c r="H2267" s="309"/>
      <c r="I2267" s="309"/>
      <c r="J2267" s="310"/>
      <c r="K2267" s="388"/>
      <c r="L2267" s="310"/>
      <c r="M2267" s="310"/>
      <c r="N2267" s="310"/>
      <c r="O2267" s="310"/>
      <c r="P2267" s="310"/>
      <c r="Q2267" s="310"/>
      <c r="R2267" s="333"/>
      <c r="S2267" s="308"/>
      <c r="T2267" s="308"/>
      <c r="U2267" s="308"/>
      <c r="V2267" s="308"/>
    </row>
    <row r="2268" spans="1:22" s="43" customFormat="1" ht="20.25" x14ac:dyDescent="0.3">
      <c r="A2268" s="179"/>
      <c r="B2268" s="306"/>
      <c r="C2268" s="306"/>
      <c r="D2268" s="306"/>
      <c r="E2268" s="507" t="s">
        <v>3485</v>
      </c>
      <c r="F2268" s="507"/>
      <c r="G2268" s="507"/>
      <c r="H2268" s="507"/>
      <c r="I2268" s="507"/>
      <c r="J2268" s="507"/>
      <c r="K2268" s="507"/>
      <c r="L2268" s="307"/>
      <c r="M2268" s="506" t="s">
        <v>3486</v>
      </c>
      <c r="N2268" s="506"/>
      <c r="O2268" s="506"/>
      <c r="P2268" s="506"/>
      <c r="Q2268" s="506"/>
      <c r="R2268" s="506"/>
      <c r="S2268" s="506"/>
      <c r="T2268" s="308"/>
      <c r="U2268" s="308"/>
      <c r="V2268" s="308"/>
    </row>
    <row r="2269" spans="1:22" s="165" customFormat="1" ht="20.25" x14ac:dyDescent="0.3">
      <c r="A2269" s="180"/>
      <c r="B2269" s="306"/>
      <c r="C2269" s="306"/>
      <c r="D2269" s="306"/>
      <c r="E2269" s="306"/>
      <c r="F2269" s="378"/>
      <c r="G2269" s="306"/>
      <c r="H2269" s="306"/>
      <c r="I2269" s="306"/>
      <c r="J2269" s="307"/>
      <c r="K2269" s="387"/>
      <c r="L2269" s="307"/>
      <c r="M2269" s="307"/>
      <c r="N2269" s="307"/>
      <c r="O2269" s="307"/>
      <c r="P2269" s="307"/>
      <c r="Q2269" s="307"/>
      <c r="R2269" s="332"/>
      <c r="S2269" s="306"/>
      <c r="T2269" s="308"/>
      <c r="U2269" s="308"/>
      <c r="V2269" s="308"/>
    </row>
    <row r="2270" spans="1:22" s="165" customFormat="1" ht="20.25" x14ac:dyDescent="0.3">
      <c r="A2270" s="180"/>
      <c r="B2270" s="306"/>
      <c r="C2270" s="306"/>
      <c r="D2270" s="306"/>
      <c r="E2270" s="306"/>
      <c r="F2270" s="378"/>
      <c r="G2270" s="306"/>
      <c r="H2270" s="306"/>
      <c r="I2270" s="306"/>
      <c r="J2270" s="307"/>
      <c r="K2270" s="387"/>
      <c r="L2270" s="307"/>
      <c r="M2270" s="307"/>
      <c r="N2270" s="307"/>
      <c r="O2270" s="307"/>
      <c r="P2270" s="307"/>
      <c r="Q2270" s="307"/>
      <c r="R2270" s="332"/>
      <c r="S2270" s="306"/>
      <c r="T2270" s="308"/>
      <c r="U2270" s="308"/>
      <c r="V2270" s="308"/>
    </row>
    <row r="2271" spans="1:22" s="165" customFormat="1" ht="20.25" x14ac:dyDescent="0.3">
      <c r="A2271" s="180"/>
      <c r="B2271" s="306"/>
      <c r="C2271" s="306"/>
      <c r="D2271" s="306"/>
      <c r="E2271" s="306"/>
      <c r="F2271" s="378"/>
      <c r="G2271" s="306"/>
      <c r="H2271" s="306"/>
      <c r="I2271" s="306"/>
      <c r="J2271" s="307"/>
      <c r="K2271" s="387"/>
      <c r="L2271" s="307"/>
      <c r="M2271" s="307"/>
      <c r="N2271" s="307"/>
      <c r="O2271" s="307"/>
      <c r="P2271" s="307"/>
      <c r="Q2271" s="307"/>
      <c r="R2271" s="332"/>
      <c r="S2271" s="306"/>
      <c r="T2271" s="308"/>
      <c r="U2271" s="308"/>
      <c r="V2271" s="308"/>
    </row>
    <row r="2272" spans="1:22" s="165" customFormat="1" ht="20.25" x14ac:dyDescent="0.3">
      <c r="A2272" s="180"/>
      <c r="B2272" s="306"/>
      <c r="C2272" s="306"/>
      <c r="D2272" s="306"/>
      <c r="E2272" s="306"/>
      <c r="F2272" s="378"/>
      <c r="G2272" s="306"/>
      <c r="H2272" s="306"/>
      <c r="I2272" s="306"/>
      <c r="J2272" s="307"/>
      <c r="K2272" s="387"/>
      <c r="L2272" s="307"/>
      <c r="M2272" s="307"/>
      <c r="N2272" s="307"/>
      <c r="O2272" s="307"/>
      <c r="P2272" s="307"/>
      <c r="Q2272" s="307"/>
      <c r="R2272" s="332"/>
      <c r="S2272" s="306"/>
      <c r="T2272" s="308"/>
      <c r="U2272" s="308"/>
      <c r="V2272" s="308"/>
    </row>
    <row r="2273" spans="1:22" s="165" customFormat="1" ht="20.25" x14ac:dyDescent="0.3">
      <c r="A2273" s="180"/>
      <c r="B2273" s="306"/>
      <c r="C2273" s="306"/>
      <c r="D2273" s="306"/>
      <c r="E2273" s="306"/>
      <c r="F2273" s="378"/>
      <c r="G2273" s="306"/>
      <c r="H2273" s="306"/>
      <c r="I2273" s="306"/>
      <c r="J2273" s="307"/>
      <c r="K2273" s="387"/>
      <c r="L2273" s="307"/>
      <c r="M2273" s="307"/>
      <c r="N2273" s="307"/>
      <c r="O2273" s="307"/>
      <c r="P2273" s="307"/>
      <c r="Q2273" s="307"/>
      <c r="R2273" s="332"/>
      <c r="S2273" s="306"/>
      <c r="T2273" s="308"/>
      <c r="U2273" s="308"/>
      <c r="V2273" s="308"/>
    </row>
    <row r="2274" spans="1:22" s="165" customFormat="1" ht="20.25" x14ac:dyDescent="0.3">
      <c r="A2274" s="180"/>
      <c r="B2274" s="306"/>
      <c r="C2274" s="306"/>
      <c r="D2274" s="306"/>
      <c r="E2274" s="306"/>
      <c r="F2274" s="378"/>
      <c r="G2274" s="306"/>
      <c r="H2274" s="306"/>
      <c r="I2274" s="306"/>
      <c r="J2274" s="307"/>
      <c r="K2274" s="387"/>
      <c r="L2274" s="307"/>
      <c r="M2274" s="307"/>
      <c r="N2274" s="307"/>
      <c r="O2274" s="307"/>
      <c r="P2274" s="307"/>
      <c r="Q2274" s="307"/>
      <c r="R2274" s="332"/>
      <c r="S2274" s="306"/>
      <c r="T2274" s="308"/>
      <c r="U2274" s="308"/>
      <c r="V2274" s="308"/>
    </row>
    <row r="2275" spans="1:22" s="165" customFormat="1" ht="20.25" x14ac:dyDescent="0.3">
      <c r="A2275" s="180"/>
      <c r="B2275" s="306"/>
      <c r="C2275" s="306"/>
      <c r="D2275" s="306"/>
      <c r="E2275" s="306"/>
      <c r="F2275" s="378"/>
      <c r="G2275" s="306"/>
      <c r="H2275" s="306"/>
      <c r="I2275" s="306"/>
      <c r="J2275" s="307"/>
      <c r="K2275" s="387"/>
      <c r="L2275" s="307"/>
      <c r="M2275" s="307"/>
      <c r="N2275" s="307"/>
      <c r="O2275" s="307"/>
      <c r="P2275" s="307"/>
      <c r="Q2275" s="307"/>
      <c r="R2275" s="332"/>
      <c r="S2275" s="306"/>
      <c r="T2275" s="308"/>
      <c r="U2275" s="308"/>
      <c r="V2275" s="308"/>
    </row>
    <row r="2276" spans="1:22" s="165" customFormat="1" ht="20.25" x14ac:dyDescent="0.3">
      <c r="A2276" s="180"/>
      <c r="B2276" s="308"/>
      <c r="C2276" s="308"/>
      <c r="D2276" s="308"/>
      <c r="E2276" s="306"/>
      <c r="F2276" s="378"/>
      <c r="G2276" s="306"/>
      <c r="H2276" s="306"/>
      <c r="I2276" s="306"/>
      <c r="J2276" s="307"/>
      <c r="K2276" s="387"/>
      <c r="L2276" s="307"/>
      <c r="M2276" s="307"/>
      <c r="N2276" s="307"/>
      <c r="O2276" s="307"/>
      <c r="P2276" s="307"/>
      <c r="Q2276" s="307"/>
      <c r="R2276" s="332"/>
      <c r="S2276" s="306"/>
      <c r="T2276" s="308"/>
      <c r="U2276" s="308"/>
      <c r="V2276" s="308"/>
    </row>
    <row r="2277" spans="1:22" s="165" customFormat="1" ht="20.25" x14ac:dyDescent="0.3">
      <c r="A2277" s="180"/>
      <c r="B2277" s="308"/>
      <c r="C2277" s="308"/>
      <c r="D2277" s="308"/>
      <c r="E2277" s="306"/>
      <c r="F2277" s="378"/>
      <c r="G2277" s="306"/>
      <c r="H2277" s="306"/>
      <c r="I2277" s="306"/>
      <c r="J2277" s="307"/>
      <c r="K2277" s="387"/>
      <c r="L2277" s="307"/>
      <c r="M2277" s="307"/>
      <c r="N2277" s="307"/>
      <c r="O2277" s="307"/>
      <c r="P2277" s="307"/>
      <c r="Q2277" s="307"/>
      <c r="R2277" s="332"/>
      <c r="S2277" s="306"/>
      <c r="T2277" s="308"/>
      <c r="U2277" s="308"/>
      <c r="V2277" s="308"/>
    </row>
    <row r="2278" spans="1:22" s="165" customFormat="1" ht="20.25" x14ac:dyDescent="0.3">
      <c r="A2278" s="180"/>
      <c r="B2278" s="308"/>
      <c r="C2278" s="308"/>
      <c r="D2278" s="308"/>
      <c r="E2278" s="306"/>
      <c r="F2278" s="378"/>
      <c r="G2278" s="306"/>
      <c r="H2278" s="306"/>
      <c r="I2278" s="306"/>
      <c r="J2278" s="307"/>
      <c r="K2278" s="387"/>
      <c r="L2278" s="307"/>
      <c r="M2278" s="307"/>
      <c r="N2278" s="307"/>
      <c r="O2278" s="307"/>
      <c r="P2278" s="307"/>
      <c r="Q2278" s="307"/>
      <c r="R2278" s="332"/>
      <c r="S2278" s="306"/>
      <c r="T2278" s="308"/>
      <c r="U2278" s="308"/>
      <c r="V2278" s="308"/>
    </row>
    <row r="2279" spans="1:22" s="165" customFormat="1" ht="20.25" x14ac:dyDescent="0.3">
      <c r="A2279" s="180"/>
      <c r="B2279" s="308"/>
      <c r="C2279" s="308"/>
      <c r="D2279" s="308"/>
      <c r="E2279" s="306"/>
      <c r="F2279" s="378"/>
      <c r="G2279" s="306"/>
      <c r="H2279" s="306"/>
      <c r="I2279" s="306"/>
      <c r="J2279" s="307"/>
      <c r="K2279" s="387"/>
      <c r="L2279" s="307"/>
      <c r="M2279" s="307"/>
      <c r="N2279" s="307"/>
      <c r="O2279" s="307"/>
      <c r="P2279" s="307"/>
      <c r="Q2279" s="307"/>
      <c r="R2279" s="332"/>
      <c r="S2279" s="306"/>
      <c r="T2279" s="308"/>
      <c r="U2279" s="308"/>
      <c r="V2279" s="308"/>
    </row>
    <row r="2280" spans="1:22" s="165" customFormat="1" ht="39" customHeight="1" x14ac:dyDescent="0.3">
      <c r="A2280" s="180"/>
      <c r="B2280" s="308"/>
      <c r="C2280" s="308"/>
      <c r="D2280" s="308"/>
      <c r="E2280" s="508" t="s">
        <v>3487</v>
      </c>
      <c r="F2280" s="508"/>
      <c r="G2280" s="508"/>
      <c r="H2280" s="508"/>
      <c r="I2280" s="508"/>
      <c r="J2280" s="508"/>
      <c r="K2280" s="508"/>
      <c r="L2280" s="508"/>
      <c r="M2280" s="509" t="s">
        <v>3488</v>
      </c>
      <c r="N2280" s="509"/>
      <c r="O2280" s="509"/>
      <c r="P2280" s="509"/>
      <c r="Q2280" s="509"/>
      <c r="R2280" s="509"/>
      <c r="S2280" s="509"/>
      <c r="T2280" s="308"/>
      <c r="U2280" s="308"/>
      <c r="V2280" s="308"/>
    </row>
    <row r="2281" spans="1:22" s="165" customFormat="1" x14ac:dyDescent="0.25">
      <c r="A2281" s="180"/>
      <c r="F2281" s="380"/>
      <c r="J2281" s="197"/>
      <c r="K2281" s="389"/>
      <c r="L2281" s="197"/>
      <c r="M2281" s="197"/>
      <c r="N2281" s="197"/>
      <c r="O2281" s="197"/>
      <c r="P2281" s="197"/>
      <c r="Q2281" s="197"/>
      <c r="R2281" s="334"/>
    </row>
    <row r="2282" spans="1:22" s="165" customFormat="1" x14ac:dyDescent="0.25">
      <c r="A2282" s="180"/>
      <c r="F2282" s="380"/>
      <c r="J2282" s="197"/>
      <c r="K2282" s="389"/>
      <c r="L2282" s="197"/>
      <c r="M2282" s="197"/>
      <c r="N2282" s="197"/>
      <c r="O2282" s="197"/>
      <c r="P2282" s="197"/>
      <c r="Q2282" s="197"/>
      <c r="R2282" s="334"/>
    </row>
    <row r="2283" spans="1:22" s="165" customFormat="1" x14ac:dyDescent="0.25">
      <c r="A2283" s="180"/>
      <c r="F2283" s="380"/>
      <c r="J2283" s="197"/>
      <c r="K2283" s="389"/>
      <c r="L2283" s="197"/>
      <c r="M2283" s="197"/>
      <c r="N2283" s="197"/>
      <c r="O2283" s="197"/>
      <c r="P2283" s="197"/>
      <c r="Q2283" s="197"/>
      <c r="R2283" s="334"/>
    </row>
    <row r="2284" spans="1:22" s="165" customFormat="1" x14ac:dyDescent="0.25">
      <c r="A2284" s="180"/>
      <c r="F2284" s="380"/>
      <c r="J2284" s="197"/>
      <c r="K2284" s="389"/>
      <c r="L2284" s="197"/>
      <c r="M2284" s="197"/>
      <c r="N2284" s="197"/>
      <c r="O2284" s="197"/>
      <c r="P2284" s="197"/>
      <c r="Q2284" s="197"/>
      <c r="R2284" s="334"/>
    </row>
    <row r="2285" spans="1:22" s="165" customFormat="1" x14ac:dyDescent="0.25">
      <c r="A2285" s="180"/>
      <c r="F2285" s="380"/>
      <c r="J2285" s="197"/>
      <c r="K2285" s="389"/>
      <c r="L2285" s="197"/>
      <c r="M2285" s="197"/>
      <c r="N2285" s="197"/>
      <c r="O2285" s="197"/>
      <c r="P2285" s="197"/>
      <c r="Q2285" s="197"/>
      <c r="R2285" s="334"/>
    </row>
    <row r="2286" spans="1:22" s="165" customFormat="1" x14ac:dyDescent="0.25">
      <c r="A2286" s="180"/>
      <c r="F2286" s="380"/>
      <c r="J2286" s="197"/>
      <c r="K2286" s="389"/>
      <c r="L2286" s="197"/>
      <c r="M2286" s="197"/>
      <c r="N2286" s="197"/>
      <c r="O2286" s="197"/>
      <c r="P2286" s="197"/>
      <c r="Q2286" s="197"/>
      <c r="R2286" s="334"/>
    </row>
    <row r="2287" spans="1:22" s="165" customFormat="1" x14ac:dyDescent="0.25">
      <c r="A2287" s="180"/>
      <c r="F2287" s="380"/>
      <c r="J2287" s="197"/>
      <c r="K2287" s="389"/>
      <c r="L2287" s="197"/>
      <c r="M2287" s="197"/>
      <c r="N2287" s="197"/>
      <c r="O2287" s="197"/>
      <c r="P2287" s="197"/>
      <c r="Q2287" s="197"/>
      <c r="R2287" s="334"/>
    </row>
    <row r="2288" spans="1:22" s="165" customFormat="1" x14ac:dyDescent="0.25">
      <c r="A2288" s="180"/>
      <c r="F2288" s="380"/>
      <c r="J2288" s="197"/>
      <c r="K2288" s="389"/>
      <c r="L2288" s="197"/>
      <c r="M2288" s="197"/>
      <c r="N2288" s="197"/>
      <c r="O2288" s="197"/>
      <c r="P2288" s="197"/>
      <c r="Q2288" s="197"/>
      <c r="R2288" s="334"/>
    </row>
    <row r="2289" spans="1:18" s="165" customFormat="1" x14ac:dyDescent="0.25">
      <c r="A2289" s="180"/>
      <c r="F2289" s="380"/>
      <c r="J2289" s="197"/>
      <c r="K2289" s="389"/>
      <c r="L2289" s="197"/>
      <c r="M2289" s="197"/>
      <c r="N2289" s="197"/>
      <c r="O2289" s="197"/>
      <c r="P2289" s="197"/>
      <c r="Q2289" s="197"/>
      <c r="R2289" s="334"/>
    </row>
    <row r="2290" spans="1:18" s="165" customFormat="1" x14ac:dyDescent="0.25">
      <c r="A2290" s="180"/>
      <c r="F2290" s="380"/>
      <c r="J2290" s="197"/>
      <c r="K2290" s="389"/>
      <c r="L2290" s="197"/>
      <c r="M2290" s="197"/>
      <c r="N2290" s="197"/>
      <c r="O2290" s="197"/>
      <c r="P2290" s="197"/>
      <c r="Q2290" s="197"/>
      <c r="R2290" s="334"/>
    </row>
    <row r="2291" spans="1:18" s="165" customFormat="1" x14ac:dyDescent="0.25">
      <c r="A2291" s="180"/>
      <c r="F2291" s="380"/>
      <c r="J2291" s="197"/>
      <c r="K2291" s="389"/>
      <c r="L2291" s="197"/>
      <c r="M2291" s="197"/>
      <c r="N2291" s="197"/>
      <c r="O2291" s="197"/>
      <c r="P2291" s="197"/>
      <c r="Q2291" s="197"/>
      <c r="R2291" s="334"/>
    </row>
    <row r="2292" spans="1:18" s="165" customFormat="1" x14ac:dyDescent="0.25">
      <c r="A2292" s="180"/>
      <c r="F2292" s="380"/>
      <c r="J2292" s="197"/>
      <c r="K2292" s="389"/>
      <c r="L2292" s="197"/>
      <c r="M2292" s="197"/>
      <c r="N2292" s="197"/>
      <c r="O2292" s="197"/>
      <c r="P2292" s="197"/>
      <c r="Q2292" s="197"/>
      <c r="R2292" s="334"/>
    </row>
  </sheetData>
  <autoFilter ref="A55:U2252" xr:uid="{00000000-0009-0000-0000-000003000000}"/>
  <mergeCells count="53">
    <mergeCell ref="M2268:S2268"/>
    <mergeCell ref="E2268:K2268"/>
    <mergeCell ref="E2280:L2280"/>
    <mergeCell ref="M2280:S2280"/>
    <mergeCell ref="E2266:R2266"/>
    <mergeCell ref="E54:K54"/>
    <mergeCell ref="C22:D22"/>
    <mergeCell ref="C26:D26"/>
    <mergeCell ref="C23:D23"/>
    <mergeCell ref="A12:T12"/>
    <mergeCell ref="A16:T16"/>
    <mergeCell ref="C14:E14"/>
    <mergeCell ref="C15:E15"/>
    <mergeCell ref="C18:E18"/>
    <mergeCell ref="C29:D29"/>
    <mergeCell ref="C32:D32"/>
    <mergeCell ref="C36:E36"/>
    <mergeCell ref="C35:D35"/>
    <mergeCell ref="A19:T19"/>
    <mergeCell ref="A24:T24"/>
    <mergeCell ref="B25:T25"/>
    <mergeCell ref="A7:S7"/>
    <mergeCell ref="A8:S8"/>
    <mergeCell ref="A9:S9"/>
    <mergeCell ref="A11:S11"/>
    <mergeCell ref="C13:E13"/>
    <mergeCell ref="A2:S2"/>
    <mergeCell ref="A3:S3"/>
    <mergeCell ref="D4:S4"/>
    <mergeCell ref="A5:S5"/>
    <mergeCell ref="A6:S6"/>
    <mergeCell ref="M2254:R2254"/>
    <mergeCell ref="B2263:V2263"/>
    <mergeCell ref="A44:S44"/>
    <mergeCell ref="A45:S45"/>
    <mergeCell ref="A46:S46"/>
    <mergeCell ref="A47:M47"/>
    <mergeCell ref="B51:S51"/>
    <mergeCell ref="B52:S52"/>
    <mergeCell ref="A53:A55"/>
    <mergeCell ref="B53:B55"/>
    <mergeCell ref="C53:C55"/>
    <mergeCell ref="S53:S55"/>
    <mergeCell ref="U194:V194"/>
    <mergeCell ref="D53:R53"/>
    <mergeCell ref="L54:R54"/>
    <mergeCell ref="D54:D55"/>
    <mergeCell ref="C27:E27"/>
    <mergeCell ref="B28:F28"/>
    <mergeCell ref="B34:J34"/>
    <mergeCell ref="B31:E31"/>
    <mergeCell ref="C33:E33"/>
    <mergeCell ref="C30:E30"/>
  </mergeCells>
  <phoneticPr fontId="53" type="noConversion"/>
  <printOptions horizontalCentered="1"/>
  <pageMargins left="0.45" right="0.2" top="0.6" bottom="0.3" header="0.3" footer="0.3"/>
  <pageSetup paperSize="9" scale="5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236"/>
  <sheetViews>
    <sheetView topLeftCell="B2211" workbookViewId="0">
      <selection activeCell="J2222" sqref="J2222"/>
    </sheetView>
  </sheetViews>
  <sheetFormatPr defaultRowHeight="15" x14ac:dyDescent="0.25"/>
  <cols>
    <col min="2" max="2" width="35.28515625" customWidth="1"/>
    <col min="3" max="3" width="12.5703125" customWidth="1"/>
    <col min="4" max="4" width="13.28515625" customWidth="1"/>
    <col min="5" max="5" width="13.7109375" customWidth="1"/>
    <col min="6" max="6" width="14.42578125" customWidth="1"/>
    <col min="7" max="7" width="15.42578125" customWidth="1"/>
    <col min="8" max="8" width="15.7109375" customWidth="1"/>
    <col min="9" max="9" width="17.5703125" style="400" customWidth="1"/>
    <col min="10" max="10" width="20.5703125" customWidth="1"/>
    <col min="11" max="11" width="16.42578125" customWidth="1"/>
    <col min="12" max="12" width="17.85546875" customWidth="1"/>
  </cols>
  <sheetData>
    <row r="1" spans="1:13" ht="18.75" x14ac:dyDescent="0.3">
      <c r="A1" s="126"/>
      <c r="B1" s="127"/>
      <c r="C1" s="126"/>
      <c r="D1" s="14"/>
      <c r="E1" s="14"/>
      <c r="F1" s="168"/>
      <c r="G1" s="16"/>
      <c r="H1" s="14"/>
      <c r="I1" s="395"/>
      <c r="J1" s="128"/>
      <c r="K1" s="255"/>
      <c r="L1" s="187" t="s">
        <v>2662</v>
      </c>
      <c r="M1" s="154"/>
    </row>
    <row r="2" spans="1:13" ht="22.5" x14ac:dyDescent="0.25">
      <c r="A2" s="439" t="s">
        <v>2663</v>
      </c>
      <c r="B2" s="511"/>
      <c r="C2" s="511"/>
      <c r="D2" s="511"/>
      <c r="E2" s="511"/>
      <c r="F2" s="511"/>
      <c r="G2" s="511"/>
      <c r="H2" s="511"/>
      <c r="I2" s="511"/>
      <c r="J2" s="511"/>
      <c r="K2" s="511"/>
      <c r="L2" s="511"/>
      <c r="M2" s="511"/>
    </row>
    <row r="3" spans="1:13" ht="18.75" x14ac:dyDescent="0.25">
      <c r="A3" s="510" t="s">
        <v>3451</v>
      </c>
      <c r="B3" s="512"/>
      <c r="C3" s="512"/>
      <c r="D3" s="512"/>
      <c r="E3" s="512"/>
      <c r="F3" s="512"/>
      <c r="G3" s="512"/>
      <c r="H3" s="512"/>
      <c r="I3" s="512"/>
      <c r="J3" s="512"/>
      <c r="K3" s="512"/>
      <c r="L3" s="513"/>
      <c r="M3" s="513"/>
    </row>
    <row r="4" spans="1:13" ht="18.75" x14ac:dyDescent="0.25">
      <c r="A4" s="514" t="s">
        <v>3452</v>
      </c>
      <c r="B4" s="514"/>
      <c r="C4" s="514"/>
      <c r="D4" s="514"/>
      <c r="E4" s="514"/>
      <c r="F4" s="514"/>
      <c r="G4" s="17"/>
      <c r="H4" s="15"/>
      <c r="I4" s="396"/>
      <c r="J4" s="15"/>
      <c r="K4" s="255"/>
      <c r="L4" s="188"/>
      <c r="M4" s="154"/>
    </row>
    <row r="5" spans="1:13" ht="18.75" x14ac:dyDescent="0.25">
      <c r="A5" s="515" t="s">
        <v>3465</v>
      </c>
      <c r="B5" s="515"/>
      <c r="C5" s="515"/>
      <c r="D5" s="515"/>
      <c r="E5" s="515"/>
      <c r="F5" s="515"/>
      <c r="G5" s="515"/>
      <c r="H5" s="515"/>
      <c r="I5" s="515"/>
      <c r="J5" s="515"/>
      <c r="K5" s="515"/>
      <c r="L5" s="515"/>
      <c r="M5" s="515"/>
    </row>
    <row r="6" spans="1:13" ht="18.75" x14ac:dyDescent="0.25">
      <c r="A6" s="510" t="s">
        <v>2768</v>
      </c>
      <c r="B6" s="510"/>
      <c r="C6" s="510"/>
      <c r="D6" s="510"/>
      <c r="E6" s="510"/>
      <c r="F6" s="510"/>
      <c r="G6" s="510"/>
      <c r="H6" s="510"/>
      <c r="I6" s="510"/>
      <c r="J6" s="163"/>
      <c r="K6" s="256"/>
      <c r="L6" s="189"/>
      <c r="M6" s="155"/>
    </row>
    <row r="7" spans="1:13" ht="18.75" x14ac:dyDescent="0.25">
      <c r="A7" s="164" t="s">
        <v>2664</v>
      </c>
      <c r="B7" s="129"/>
      <c r="C7" s="164"/>
      <c r="D7" s="164"/>
      <c r="E7" s="164"/>
      <c r="F7" s="169"/>
      <c r="G7" s="130"/>
      <c r="H7" s="164"/>
      <c r="I7" s="397"/>
      <c r="J7" s="164"/>
      <c r="K7" s="257"/>
      <c r="L7" s="190"/>
      <c r="M7" s="156"/>
    </row>
    <row r="8" spans="1:13" ht="18.75" x14ac:dyDescent="0.25">
      <c r="A8" s="514" t="s">
        <v>3453</v>
      </c>
      <c r="B8" s="514"/>
      <c r="C8" s="514"/>
      <c r="D8" s="514"/>
      <c r="E8" s="514"/>
      <c r="F8" s="514"/>
      <c r="G8" s="131"/>
      <c r="H8" s="164"/>
      <c r="I8" s="397"/>
      <c r="J8" s="164"/>
      <c r="K8" s="257"/>
      <c r="L8" s="190"/>
      <c r="M8" s="156"/>
    </row>
    <row r="9" spans="1:13" ht="18.75" x14ac:dyDescent="0.25">
      <c r="A9" s="132" t="s">
        <v>4502</v>
      </c>
      <c r="B9" s="132"/>
      <c r="C9" s="132"/>
      <c r="D9" s="132"/>
      <c r="E9" s="132"/>
      <c r="F9" s="169"/>
      <c r="G9" s="131"/>
      <c r="H9" s="164"/>
      <c r="I9" s="397"/>
      <c r="J9" s="164"/>
      <c r="K9" s="257"/>
      <c r="L9" s="190"/>
      <c r="M9" s="156"/>
    </row>
    <row r="10" spans="1:13" ht="18.75" x14ac:dyDescent="0.25">
      <c r="A10" s="516" t="s">
        <v>2665</v>
      </c>
      <c r="B10" s="516"/>
      <c r="C10" s="132"/>
      <c r="D10" s="132"/>
      <c r="E10" s="132"/>
      <c r="F10" s="170"/>
      <c r="G10" s="133"/>
      <c r="H10" s="132"/>
      <c r="I10" s="397"/>
      <c r="J10" s="132"/>
      <c r="K10" s="257"/>
      <c r="L10" s="190"/>
      <c r="M10" s="156"/>
    </row>
    <row r="11" spans="1:13" ht="18.75" x14ac:dyDescent="0.25">
      <c r="A11" s="514" t="s">
        <v>2762</v>
      </c>
      <c r="B11" s="514"/>
      <c r="C11" s="514"/>
      <c r="D11" s="514"/>
      <c r="E11" s="514"/>
      <c r="F11" s="514"/>
      <c r="G11" s="47"/>
      <c r="H11" s="48"/>
      <c r="I11" s="398"/>
      <c r="J11" s="134"/>
      <c r="K11" s="255"/>
      <c r="L11" s="191"/>
      <c r="M11" s="154"/>
    </row>
    <row r="12" spans="1:13" ht="19.5" x14ac:dyDescent="0.25">
      <c r="A12" s="152"/>
      <c r="B12" s="152"/>
      <c r="C12" s="152"/>
      <c r="D12" s="152"/>
      <c r="E12" s="152"/>
      <c r="F12" s="171"/>
      <c r="G12" s="186"/>
      <c r="H12" s="160"/>
      <c r="I12" s="399"/>
      <c r="J12" s="160"/>
      <c r="K12" s="258"/>
      <c r="L12" s="191" t="s">
        <v>2666</v>
      </c>
      <c r="M12" s="159"/>
    </row>
    <row r="13" spans="1:13" ht="15.75" x14ac:dyDescent="0.25">
      <c r="A13" s="447" t="s">
        <v>0</v>
      </c>
      <c r="B13" s="447" t="s">
        <v>2763</v>
      </c>
      <c r="C13" s="452" t="s">
        <v>2658</v>
      </c>
      <c r="D13" s="455" t="s">
        <v>2766</v>
      </c>
      <c r="E13" s="456"/>
      <c r="F13" s="456"/>
      <c r="G13" s="457"/>
      <c r="H13" s="450" t="s">
        <v>2764</v>
      </c>
      <c r="I13" s="443" t="s">
        <v>2765</v>
      </c>
      <c r="J13" s="444"/>
      <c r="K13" s="445"/>
      <c r="L13" s="445"/>
      <c r="M13" s="445"/>
    </row>
    <row r="14" spans="1:13" ht="15.75" x14ac:dyDescent="0.25">
      <c r="A14" s="448"/>
      <c r="B14" s="448"/>
      <c r="C14" s="453"/>
      <c r="D14" s="458" t="s">
        <v>2767</v>
      </c>
      <c r="E14" s="456" t="s">
        <v>2756</v>
      </c>
      <c r="F14" s="456"/>
      <c r="G14" s="457"/>
      <c r="H14" s="450"/>
      <c r="I14" s="517" t="str">
        <f>D14</f>
        <v xml:space="preserve">Khối lượng theo hợp đồng </v>
      </c>
      <c r="J14" s="446" t="s">
        <v>2756</v>
      </c>
      <c r="K14" s="446"/>
      <c r="L14" s="446"/>
      <c r="M14" s="157"/>
    </row>
    <row r="15" spans="1:13" ht="31.5" x14ac:dyDescent="0.25">
      <c r="A15" s="449"/>
      <c r="B15" s="449"/>
      <c r="C15" s="454"/>
      <c r="D15" s="458"/>
      <c r="E15" s="184" t="s">
        <v>2757</v>
      </c>
      <c r="F15" s="249" t="s">
        <v>3478</v>
      </c>
      <c r="G15" s="124" t="s">
        <v>2660</v>
      </c>
      <c r="H15" s="451"/>
      <c r="I15" s="518"/>
      <c r="J15" s="125" t="str">
        <f>E15</f>
        <v>Lũy kế đến hết kỳ trước</v>
      </c>
      <c r="K15" s="259" t="s">
        <v>3478</v>
      </c>
      <c r="L15" s="192" t="str">
        <f>G15</f>
        <v>Lũy kế đến hết kỳ này</v>
      </c>
      <c r="M15" s="153" t="s">
        <v>3454</v>
      </c>
    </row>
    <row r="16" spans="1:13" ht="15.75" x14ac:dyDescent="0.25">
      <c r="A16" s="2" t="s">
        <v>1</v>
      </c>
      <c r="B16" s="3" t="s">
        <v>2</v>
      </c>
      <c r="C16" s="401"/>
      <c r="D16" s="4" t="s">
        <v>3</v>
      </c>
      <c r="E16" s="401"/>
      <c r="F16" s="401"/>
      <c r="G16" s="401"/>
      <c r="H16" s="401"/>
      <c r="I16" s="402"/>
      <c r="J16" s="401"/>
      <c r="K16" s="401"/>
      <c r="L16" s="401"/>
      <c r="M16" s="401"/>
    </row>
    <row r="17" spans="1:13" ht="15.75" x14ac:dyDescent="0.25">
      <c r="A17" s="6" t="s">
        <v>4</v>
      </c>
      <c r="B17" s="7" t="s">
        <v>5</v>
      </c>
      <c r="C17" s="6" t="s">
        <v>6</v>
      </c>
      <c r="D17" s="8">
        <v>6556.9</v>
      </c>
      <c r="E17" s="403"/>
      <c r="F17" s="403">
        <f>BBNTHT!J57</f>
        <v>5901.21</v>
      </c>
      <c r="G17" s="403">
        <f>F17+E17</f>
        <v>5901.21</v>
      </c>
      <c r="H17" s="9">
        <v>1092176</v>
      </c>
      <c r="I17" s="404">
        <f>ROUND(D17*H17,0)</f>
        <v>7161288814</v>
      </c>
      <c r="J17" s="403"/>
      <c r="K17" s="404">
        <f>ROUND(F17*H17,0)</f>
        <v>6445159933</v>
      </c>
      <c r="L17" s="405">
        <f>J17+K17</f>
        <v>6445159933</v>
      </c>
      <c r="M17" s="403"/>
    </row>
    <row r="18" spans="1:13" ht="15.75" x14ac:dyDescent="0.25">
      <c r="A18" s="6" t="s">
        <v>7</v>
      </c>
      <c r="B18" s="7" t="s">
        <v>8</v>
      </c>
      <c r="C18" s="6" t="s">
        <v>9</v>
      </c>
      <c r="D18" s="8">
        <v>203</v>
      </c>
      <c r="E18" s="403"/>
      <c r="F18" s="403">
        <f>BBNTHT!J58</f>
        <v>203</v>
      </c>
      <c r="G18" s="403">
        <f t="shared" ref="G18:G81" si="0">F18+E18</f>
        <v>203</v>
      </c>
      <c r="H18" s="9">
        <v>304794</v>
      </c>
      <c r="I18" s="404">
        <f t="shared" ref="I18:I81" si="1">ROUND(D18*H18,0)</f>
        <v>61873182</v>
      </c>
      <c r="J18" s="403"/>
      <c r="K18" s="404">
        <f t="shared" ref="K18:K81" si="2">ROUND(F18*H18,0)</f>
        <v>61873182</v>
      </c>
      <c r="L18" s="405">
        <f t="shared" ref="L18:L81" si="3">J18+K18</f>
        <v>61873182</v>
      </c>
      <c r="M18" s="403"/>
    </row>
    <row r="19" spans="1:13" ht="47.25" x14ac:dyDescent="0.25">
      <c r="A19" s="6" t="s">
        <v>10</v>
      </c>
      <c r="B19" s="7" t="s">
        <v>11</v>
      </c>
      <c r="C19" s="6" t="s">
        <v>6</v>
      </c>
      <c r="D19" s="8">
        <v>2892.75</v>
      </c>
      <c r="E19" s="403"/>
      <c r="F19" s="403">
        <f>BBNTHT!J59</f>
        <v>2169.5625</v>
      </c>
      <c r="G19" s="403">
        <f t="shared" si="0"/>
        <v>2169.5625</v>
      </c>
      <c r="H19" s="9">
        <v>1009270</v>
      </c>
      <c r="I19" s="404">
        <f t="shared" si="1"/>
        <v>2919565793</v>
      </c>
      <c r="J19" s="403"/>
      <c r="K19" s="404">
        <f t="shared" si="2"/>
        <v>2189674344</v>
      </c>
      <c r="L19" s="405">
        <f t="shared" si="3"/>
        <v>2189674344</v>
      </c>
      <c r="M19" s="403"/>
    </row>
    <row r="20" spans="1:13" ht="63" x14ac:dyDescent="0.25">
      <c r="A20" s="6" t="s">
        <v>12</v>
      </c>
      <c r="B20" s="7" t="s">
        <v>13</v>
      </c>
      <c r="C20" s="6" t="s">
        <v>14</v>
      </c>
      <c r="D20" s="8">
        <v>57.631</v>
      </c>
      <c r="E20" s="403"/>
      <c r="F20" s="403">
        <f>BBNTHT!J60</f>
        <v>43.22325</v>
      </c>
      <c r="G20" s="403">
        <f t="shared" si="0"/>
        <v>43.22325</v>
      </c>
      <c r="H20" s="9">
        <v>23523671</v>
      </c>
      <c r="I20" s="404">
        <f t="shared" si="1"/>
        <v>1355692683</v>
      </c>
      <c r="J20" s="403"/>
      <c r="K20" s="404">
        <f t="shared" si="2"/>
        <v>1016769513</v>
      </c>
      <c r="L20" s="405">
        <f t="shared" si="3"/>
        <v>1016769513</v>
      </c>
      <c r="M20" s="403"/>
    </row>
    <row r="21" spans="1:13" ht="63" x14ac:dyDescent="0.25">
      <c r="A21" s="6" t="s">
        <v>15</v>
      </c>
      <c r="B21" s="7" t="s">
        <v>16</v>
      </c>
      <c r="C21" s="6" t="s">
        <v>14</v>
      </c>
      <c r="D21" s="8">
        <v>6.0000000000000001E-3</v>
      </c>
      <c r="E21" s="403"/>
      <c r="F21" s="403">
        <f>BBNTHT!J61</f>
        <v>0</v>
      </c>
      <c r="G21" s="403">
        <f t="shared" si="0"/>
        <v>0</v>
      </c>
      <c r="H21" s="9">
        <v>17642753</v>
      </c>
      <c r="I21" s="404">
        <f t="shared" si="1"/>
        <v>105857</v>
      </c>
      <c r="J21" s="403"/>
      <c r="K21" s="404">
        <f t="shared" si="2"/>
        <v>0</v>
      </c>
      <c r="L21" s="405">
        <f t="shared" si="3"/>
        <v>0</v>
      </c>
      <c r="M21" s="403"/>
    </row>
    <row r="22" spans="1:13" ht="63" x14ac:dyDescent="0.25">
      <c r="A22" s="6" t="s">
        <v>17</v>
      </c>
      <c r="B22" s="7" t="s">
        <v>18</v>
      </c>
      <c r="C22" s="6" t="s">
        <v>14</v>
      </c>
      <c r="D22" s="8">
        <v>6.7290000000000001</v>
      </c>
      <c r="E22" s="403"/>
      <c r="F22" s="403">
        <f>BBNTHT!J62</f>
        <v>0</v>
      </c>
      <c r="G22" s="403">
        <f t="shared" si="0"/>
        <v>0</v>
      </c>
      <c r="H22" s="9">
        <v>24699855</v>
      </c>
      <c r="I22" s="404">
        <f t="shared" si="1"/>
        <v>166205324</v>
      </c>
      <c r="J22" s="403"/>
      <c r="K22" s="404">
        <f t="shared" si="2"/>
        <v>0</v>
      </c>
      <c r="L22" s="405">
        <f t="shared" si="3"/>
        <v>0</v>
      </c>
      <c r="M22" s="403"/>
    </row>
    <row r="23" spans="1:13" ht="31.5" x14ac:dyDescent="0.25">
      <c r="A23" s="6" t="s">
        <v>19</v>
      </c>
      <c r="B23" s="7" t="s">
        <v>20</v>
      </c>
      <c r="C23" s="6" t="s">
        <v>21</v>
      </c>
      <c r="D23" s="8">
        <v>203</v>
      </c>
      <c r="E23" s="403"/>
      <c r="F23" s="403">
        <f>BBNTHT!J63</f>
        <v>0</v>
      </c>
      <c r="G23" s="403">
        <f t="shared" si="0"/>
        <v>0</v>
      </c>
      <c r="H23" s="9">
        <v>622096</v>
      </c>
      <c r="I23" s="404">
        <f t="shared" si="1"/>
        <v>126285488</v>
      </c>
      <c r="J23" s="403"/>
      <c r="K23" s="404">
        <f t="shared" si="2"/>
        <v>0</v>
      </c>
      <c r="L23" s="405">
        <f t="shared" si="3"/>
        <v>0</v>
      </c>
      <c r="M23" s="403"/>
    </row>
    <row r="24" spans="1:13" ht="15.75" x14ac:dyDescent="0.25">
      <c r="A24" s="6" t="s">
        <v>22</v>
      </c>
      <c r="B24" s="7" t="s">
        <v>23</v>
      </c>
      <c r="C24" s="6" t="s">
        <v>24</v>
      </c>
      <c r="D24" s="8">
        <v>203</v>
      </c>
      <c r="E24" s="403"/>
      <c r="F24" s="403">
        <f>BBNTHT!J64</f>
        <v>0</v>
      </c>
      <c r="G24" s="403">
        <f t="shared" si="0"/>
        <v>0</v>
      </c>
      <c r="H24" s="9">
        <v>281360</v>
      </c>
      <c r="I24" s="404">
        <f t="shared" si="1"/>
        <v>57116080</v>
      </c>
      <c r="J24" s="403"/>
      <c r="K24" s="404">
        <f t="shared" si="2"/>
        <v>0</v>
      </c>
      <c r="L24" s="405">
        <f t="shared" si="3"/>
        <v>0</v>
      </c>
      <c r="M24" s="403"/>
    </row>
    <row r="25" spans="1:13" ht="31.5" x14ac:dyDescent="0.25">
      <c r="A25" s="6" t="s">
        <v>25</v>
      </c>
      <c r="B25" s="7" t="s">
        <v>26</v>
      </c>
      <c r="C25" s="6" t="s">
        <v>27</v>
      </c>
      <c r="D25" s="8">
        <v>0.34399999999999997</v>
      </c>
      <c r="E25" s="403"/>
      <c r="F25" s="403">
        <f>BBNTHT!J65</f>
        <v>0</v>
      </c>
      <c r="G25" s="403">
        <f t="shared" si="0"/>
        <v>0</v>
      </c>
      <c r="H25" s="9">
        <v>3030140</v>
      </c>
      <c r="I25" s="404">
        <f t="shared" si="1"/>
        <v>1042368</v>
      </c>
      <c r="J25" s="403"/>
      <c r="K25" s="404">
        <f t="shared" si="2"/>
        <v>0</v>
      </c>
      <c r="L25" s="405">
        <f t="shared" si="3"/>
        <v>0</v>
      </c>
      <c r="M25" s="403"/>
    </row>
    <row r="26" spans="1:13" ht="47.25" x14ac:dyDescent="0.25">
      <c r="A26" s="6" t="s">
        <v>28</v>
      </c>
      <c r="B26" s="7" t="s">
        <v>29</v>
      </c>
      <c r="C26" s="6" t="s">
        <v>27</v>
      </c>
      <c r="D26" s="8">
        <v>0.34399999999999997</v>
      </c>
      <c r="E26" s="403"/>
      <c r="F26" s="403">
        <f>BBNTHT!J66</f>
        <v>0</v>
      </c>
      <c r="G26" s="403">
        <f t="shared" si="0"/>
        <v>0</v>
      </c>
      <c r="H26" s="9">
        <v>3561537</v>
      </c>
      <c r="I26" s="404">
        <f t="shared" si="1"/>
        <v>1225169</v>
      </c>
      <c r="J26" s="403"/>
      <c r="K26" s="404">
        <f t="shared" si="2"/>
        <v>0</v>
      </c>
      <c r="L26" s="405">
        <f t="shared" si="3"/>
        <v>0</v>
      </c>
      <c r="M26" s="403"/>
    </row>
    <row r="27" spans="1:13" ht="47.25" x14ac:dyDescent="0.25">
      <c r="A27" s="6" t="s">
        <v>30</v>
      </c>
      <c r="B27" s="7" t="s">
        <v>31</v>
      </c>
      <c r="C27" s="6" t="s">
        <v>32</v>
      </c>
      <c r="D27" s="8">
        <v>9.3539999999999992</v>
      </c>
      <c r="E27" s="403"/>
      <c r="F27" s="403">
        <f>BBNTHT!J67</f>
        <v>0</v>
      </c>
      <c r="G27" s="403">
        <f t="shared" si="0"/>
        <v>0</v>
      </c>
      <c r="H27" s="9">
        <v>38704566</v>
      </c>
      <c r="I27" s="404">
        <f t="shared" si="1"/>
        <v>362042510</v>
      </c>
      <c r="J27" s="403"/>
      <c r="K27" s="404">
        <f t="shared" si="2"/>
        <v>0</v>
      </c>
      <c r="L27" s="405">
        <f t="shared" si="3"/>
        <v>0</v>
      </c>
      <c r="M27" s="403"/>
    </row>
    <row r="28" spans="1:13" ht="47.25" x14ac:dyDescent="0.25">
      <c r="A28" s="6" t="s">
        <v>33</v>
      </c>
      <c r="B28" s="7" t="s">
        <v>34</v>
      </c>
      <c r="C28" s="6" t="s">
        <v>32</v>
      </c>
      <c r="D28" s="8">
        <v>9.3539999999999992</v>
      </c>
      <c r="E28" s="403"/>
      <c r="F28" s="403">
        <f>BBNTHT!J68</f>
        <v>0</v>
      </c>
      <c r="G28" s="403">
        <f t="shared" si="0"/>
        <v>0</v>
      </c>
      <c r="H28" s="9">
        <v>5407084</v>
      </c>
      <c r="I28" s="404">
        <f t="shared" si="1"/>
        <v>50577864</v>
      </c>
      <c r="J28" s="403"/>
      <c r="K28" s="404">
        <f t="shared" si="2"/>
        <v>0</v>
      </c>
      <c r="L28" s="405">
        <f t="shared" si="3"/>
        <v>0</v>
      </c>
      <c r="M28" s="403"/>
    </row>
    <row r="29" spans="1:13" ht="47.25" x14ac:dyDescent="0.25">
      <c r="A29" s="6" t="s">
        <v>35</v>
      </c>
      <c r="B29" s="7" t="s">
        <v>36</v>
      </c>
      <c r="C29" s="6" t="s">
        <v>37</v>
      </c>
      <c r="D29" s="8">
        <v>53.408999999999999</v>
      </c>
      <c r="E29" s="403"/>
      <c r="F29" s="403">
        <f>BBNTHT!J69</f>
        <v>0</v>
      </c>
      <c r="G29" s="403">
        <f t="shared" si="0"/>
        <v>0</v>
      </c>
      <c r="H29" s="9">
        <v>1703602</v>
      </c>
      <c r="I29" s="404">
        <f t="shared" si="1"/>
        <v>90987679</v>
      </c>
      <c r="J29" s="403"/>
      <c r="K29" s="404">
        <f t="shared" si="2"/>
        <v>0</v>
      </c>
      <c r="L29" s="405">
        <f t="shared" si="3"/>
        <v>0</v>
      </c>
      <c r="M29" s="403"/>
    </row>
    <row r="30" spans="1:13" ht="15.75" x14ac:dyDescent="0.25">
      <c r="A30" s="2" t="s">
        <v>38</v>
      </c>
      <c r="B30" s="3" t="s">
        <v>39</v>
      </c>
      <c r="C30" s="2" t="s">
        <v>3</v>
      </c>
      <c r="D30" s="4" t="s">
        <v>3</v>
      </c>
      <c r="E30" s="403"/>
      <c r="F30" s="403">
        <f>BBNTHT!J70</f>
        <v>0</v>
      </c>
      <c r="G30" s="403">
        <f t="shared" si="0"/>
        <v>0</v>
      </c>
      <c r="H30" s="5"/>
      <c r="I30" s="404"/>
      <c r="J30" s="403"/>
      <c r="K30" s="404">
        <f t="shared" si="2"/>
        <v>0</v>
      </c>
      <c r="L30" s="405">
        <f t="shared" si="3"/>
        <v>0</v>
      </c>
      <c r="M30" s="403"/>
    </row>
    <row r="31" spans="1:13" ht="31.5" x14ac:dyDescent="0.25">
      <c r="A31" s="391" t="s">
        <v>40</v>
      </c>
      <c r="B31" s="392" t="s">
        <v>41</v>
      </c>
      <c r="C31" s="391" t="s">
        <v>27</v>
      </c>
      <c r="D31" s="393">
        <v>48.676000000000002</v>
      </c>
      <c r="E31" s="403"/>
      <c r="F31" s="403">
        <f>BBNTHT!J71</f>
        <v>0</v>
      </c>
      <c r="G31" s="403">
        <f t="shared" si="0"/>
        <v>0</v>
      </c>
      <c r="H31" s="394">
        <v>2235933</v>
      </c>
      <c r="I31" s="404">
        <f t="shared" si="1"/>
        <v>108836275</v>
      </c>
      <c r="J31" s="403"/>
      <c r="K31" s="404">
        <f t="shared" si="2"/>
        <v>0</v>
      </c>
      <c r="L31" s="405">
        <f t="shared" si="3"/>
        <v>0</v>
      </c>
      <c r="M31" s="403"/>
    </row>
    <row r="32" spans="1:13" ht="31.5" x14ac:dyDescent="0.25">
      <c r="A32" s="6" t="s">
        <v>42</v>
      </c>
      <c r="B32" s="7" t="s">
        <v>43</v>
      </c>
      <c r="C32" s="6" t="s">
        <v>27</v>
      </c>
      <c r="D32" s="8">
        <v>1.31</v>
      </c>
      <c r="E32" s="403"/>
      <c r="F32" s="403">
        <f>BBNTHT!J72</f>
        <v>0</v>
      </c>
      <c r="G32" s="403">
        <f t="shared" si="0"/>
        <v>0</v>
      </c>
      <c r="H32" s="9">
        <v>3013626</v>
      </c>
      <c r="I32" s="404">
        <f t="shared" si="1"/>
        <v>3947850</v>
      </c>
      <c r="J32" s="403"/>
      <c r="K32" s="404">
        <f t="shared" si="2"/>
        <v>0</v>
      </c>
      <c r="L32" s="405">
        <f t="shared" si="3"/>
        <v>0</v>
      </c>
      <c r="M32" s="403"/>
    </row>
    <row r="33" spans="1:13" ht="31.5" x14ac:dyDescent="0.25">
      <c r="A33" s="391" t="s">
        <v>44</v>
      </c>
      <c r="B33" s="392" t="s">
        <v>45</v>
      </c>
      <c r="C33" s="391" t="s">
        <v>27</v>
      </c>
      <c r="D33" s="393">
        <v>47.234999999999999</v>
      </c>
      <c r="E33" s="403"/>
      <c r="F33" s="403">
        <f>BBNTHT!J73</f>
        <v>0</v>
      </c>
      <c r="G33" s="403">
        <f t="shared" si="0"/>
        <v>0</v>
      </c>
      <c r="H33" s="394">
        <v>2359400</v>
      </c>
      <c r="I33" s="404">
        <f t="shared" si="1"/>
        <v>111446259</v>
      </c>
      <c r="J33" s="403"/>
      <c r="K33" s="404">
        <f t="shared" si="2"/>
        <v>0</v>
      </c>
      <c r="L33" s="405">
        <f t="shared" si="3"/>
        <v>0</v>
      </c>
      <c r="M33" s="403"/>
    </row>
    <row r="34" spans="1:13" ht="47.25" x14ac:dyDescent="0.25">
      <c r="A34" s="391" t="s">
        <v>46</v>
      </c>
      <c r="B34" s="392" t="s">
        <v>47</v>
      </c>
      <c r="C34" s="391" t="s">
        <v>27</v>
      </c>
      <c r="D34" s="393">
        <v>47.234999999999999</v>
      </c>
      <c r="E34" s="403"/>
      <c r="F34" s="403">
        <f>BBNTHT!J74</f>
        <v>0</v>
      </c>
      <c r="G34" s="403">
        <f t="shared" si="0"/>
        <v>0</v>
      </c>
      <c r="H34" s="394">
        <v>4024442</v>
      </c>
      <c r="I34" s="404">
        <f t="shared" si="1"/>
        <v>190094518</v>
      </c>
      <c r="J34" s="403"/>
      <c r="K34" s="404">
        <f t="shared" si="2"/>
        <v>0</v>
      </c>
      <c r="L34" s="405">
        <f t="shared" si="3"/>
        <v>0</v>
      </c>
      <c r="M34" s="403"/>
    </row>
    <row r="35" spans="1:13" ht="31.5" x14ac:dyDescent="0.25">
      <c r="A35" s="6" t="s">
        <v>48</v>
      </c>
      <c r="B35" s="7" t="s">
        <v>49</v>
      </c>
      <c r="C35" s="6" t="s">
        <v>37</v>
      </c>
      <c r="D35" s="8">
        <v>157.661</v>
      </c>
      <c r="E35" s="403"/>
      <c r="F35" s="403">
        <f>BBNTHT!J75</f>
        <v>0</v>
      </c>
      <c r="G35" s="403">
        <f t="shared" si="0"/>
        <v>0</v>
      </c>
      <c r="H35" s="9">
        <v>1223510</v>
      </c>
      <c r="I35" s="404">
        <f t="shared" si="1"/>
        <v>192899810</v>
      </c>
      <c r="J35" s="403"/>
      <c r="K35" s="404">
        <f t="shared" si="2"/>
        <v>0</v>
      </c>
      <c r="L35" s="405">
        <f t="shared" si="3"/>
        <v>0</v>
      </c>
      <c r="M35" s="403"/>
    </row>
    <row r="36" spans="1:13" ht="31.5" x14ac:dyDescent="0.25">
      <c r="A36" s="6" t="s">
        <v>50</v>
      </c>
      <c r="B36" s="7" t="s">
        <v>51</v>
      </c>
      <c r="C36" s="6" t="s">
        <v>52</v>
      </c>
      <c r="D36" s="8">
        <v>875.73</v>
      </c>
      <c r="E36" s="403"/>
      <c r="F36" s="403">
        <f>BBNTHT!J76</f>
        <v>0</v>
      </c>
      <c r="G36" s="403">
        <f t="shared" si="0"/>
        <v>0</v>
      </c>
      <c r="H36" s="9">
        <v>190495</v>
      </c>
      <c r="I36" s="404">
        <f t="shared" si="1"/>
        <v>166822186</v>
      </c>
      <c r="J36" s="403"/>
      <c r="K36" s="404">
        <f t="shared" si="2"/>
        <v>0</v>
      </c>
      <c r="L36" s="405">
        <f t="shared" si="3"/>
        <v>0</v>
      </c>
      <c r="M36" s="403"/>
    </row>
    <row r="37" spans="1:13" ht="31.5" x14ac:dyDescent="0.25">
      <c r="A37" s="6" t="s">
        <v>53</v>
      </c>
      <c r="B37" s="7" t="s">
        <v>54</v>
      </c>
      <c r="C37" s="6" t="s">
        <v>52</v>
      </c>
      <c r="D37" s="8">
        <v>875.73</v>
      </c>
      <c r="E37" s="403"/>
      <c r="F37" s="403">
        <f>BBNTHT!J77</f>
        <v>0</v>
      </c>
      <c r="G37" s="403">
        <f t="shared" si="0"/>
        <v>0</v>
      </c>
      <c r="H37" s="9">
        <v>45008</v>
      </c>
      <c r="I37" s="404">
        <f t="shared" si="1"/>
        <v>39414856</v>
      </c>
      <c r="J37" s="403"/>
      <c r="K37" s="404">
        <f t="shared" si="2"/>
        <v>0</v>
      </c>
      <c r="L37" s="405">
        <f t="shared" si="3"/>
        <v>0</v>
      </c>
      <c r="M37" s="403"/>
    </row>
    <row r="38" spans="1:13" ht="47.25" x14ac:dyDescent="0.25">
      <c r="A38" s="6" t="s">
        <v>55</v>
      </c>
      <c r="B38" s="7" t="s">
        <v>56</v>
      </c>
      <c r="C38" s="6" t="s">
        <v>37</v>
      </c>
      <c r="D38" s="8">
        <v>9.0749999999999993</v>
      </c>
      <c r="E38" s="403"/>
      <c r="F38" s="403">
        <f>BBNTHT!J78</f>
        <v>0</v>
      </c>
      <c r="G38" s="403">
        <f t="shared" si="0"/>
        <v>0</v>
      </c>
      <c r="H38" s="9">
        <v>2243046</v>
      </c>
      <c r="I38" s="404">
        <f t="shared" si="1"/>
        <v>20355642</v>
      </c>
      <c r="J38" s="403"/>
      <c r="K38" s="404">
        <f t="shared" si="2"/>
        <v>0</v>
      </c>
      <c r="L38" s="405">
        <f t="shared" si="3"/>
        <v>0</v>
      </c>
      <c r="M38" s="403"/>
    </row>
    <row r="39" spans="1:13" ht="47.25" x14ac:dyDescent="0.25">
      <c r="A39" s="6" t="s">
        <v>57</v>
      </c>
      <c r="B39" s="7" t="s">
        <v>58</v>
      </c>
      <c r="C39" s="6" t="s">
        <v>37</v>
      </c>
      <c r="D39" s="8">
        <v>1025.075</v>
      </c>
      <c r="E39" s="403"/>
      <c r="F39" s="403">
        <f>BBNTHT!J79</f>
        <v>0</v>
      </c>
      <c r="G39" s="403">
        <f t="shared" si="0"/>
        <v>0</v>
      </c>
      <c r="H39" s="9">
        <v>2343243</v>
      </c>
      <c r="I39" s="404">
        <f t="shared" si="1"/>
        <v>2401999818</v>
      </c>
      <c r="J39" s="403"/>
      <c r="K39" s="404">
        <f t="shared" si="2"/>
        <v>0</v>
      </c>
      <c r="L39" s="405">
        <f t="shared" si="3"/>
        <v>0</v>
      </c>
      <c r="M39" s="403"/>
    </row>
    <row r="40" spans="1:13" ht="15.75" x14ac:dyDescent="0.25">
      <c r="A40" s="6" t="s">
        <v>59</v>
      </c>
      <c r="B40" s="7" t="s">
        <v>60</v>
      </c>
      <c r="C40" s="6" t="s">
        <v>61</v>
      </c>
      <c r="D40" s="8">
        <v>8.5640000000000001</v>
      </c>
      <c r="E40" s="403"/>
      <c r="F40" s="403">
        <f>BBNTHT!J80</f>
        <v>0</v>
      </c>
      <c r="G40" s="403">
        <f t="shared" si="0"/>
        <v>0</v>
      </c>
      <c r="H40" s="9">
        <v>12390253</v>
      </c>
      <c r="I40" s="404">
        <f t="shared" si="1"/>
        <v>106110127</v>
      </c>
      <c r="J40" s="403"/>
      <c r="K40" s="404">
        <f t="shared" si="2"/>
        <v>0</v>
      </c>
      <c r="L40" s="405">
        <f t="shared" si="3"/>
        <v>0</v>
      </c>
      <c r="M40" s="403"/>
    </row>
    <row r="41" spans="1:13" ht="15.75" x14ac:dyDescent="0.25">
      <c r="A41" s="6" t="s">
        <v>62</v>
      </c>
      <c r="B41" s="7" t="s">
        <v>63</v>
      </c>
      <c r="C41" s="6" t="s">
        <v>32</v>
      </c>
      <c r="D41" s="8">
        <v>0.01</v>
      </c>
      <c r="E41" s="403"/>
      <c r="F41" s="403">
        <f>BBNTHT!J81</f>
        <v>6.1999999999999998E-3</v>
      </c>
      <c r="G41" s="403">
        <f t="shared" si="0"/>
        <v>6.1999999999999998E-3</v>
      </c>
      <c r="H41" s="9">
        <v>24189690</v>
      </c>
      <c r="I41" s="404">
        <f t="shared" si="1"/>
        <v>241897</v>
      </c>
      <c r="J41" s="403"/>
      <c r="K41" s="404">
        <f t="shared" si="2"/>
        <v>149976</v>
      </c>
      <c r="L41" s="405">
        <f t="shared" si="3"/>
        <v>149976</v>
      </c>
      <c r="M41" s="403"/>
    </row>
    <row r="42" spans="1:13" ht="15.75" x14ac:dyDescent="0.25">
      <c r="A42" s="6" t="s">
        <v>64</v>
      </c>
      <c r="B42" s="7" t="s">
        <v>65</v>
      </c>
      <c r="C42" s="6" t="s">
        <v>32</v>
      </c>
      <c r="D42" s="8">
        <v>21.879000000000001</v>
      </c>
      <c r="E42" s="403"/>
      <c r="F42" s="403">
        <f>BBNTHT!J82</f>
        <v>13.56498</v>
      </c>
      <c r="G42" s="403">
        <f t="shared" si="0"/>
        <v>13.56498</v>
      </c>
      <c r="H42" s="9">
        <v>24758906</v>
      </c>
      <c r="I42" s="404">
        <f t="shared" si="1"/>
        <v>541700104</v>
      </c>
      <c r="J42" s="403"/>
      <c r="K42" s="404">
        <f t="shared" si="2"/>
        <v>335854065</v>
      </c>
      <c r="L42" s="405">
        <f t="shared" si="3"/>
        <v>335854065</v>
      </c>
      <c r="M42" s="403"/>
    </row>
    <row r="43" spans="1:13" ht="15.75" x14ac:dyDescent="0.25">
      <c r="A43" s="6" t="s">
        <v>66</v>
      </c>
      <c r="B43" s="7" t="s">
        <v>67</v>
      </c>
      <c r="C43" s="6" t="s">
        <v>32</v>
      </c>
      <c r="D43" s="8">
        <v>29.372</v>
      </c>
      <c r="E43" s="403"/>
      <c r="F43" s="403">
        <f>BBNTHT!J83</f>
        <v>18.210640000000001</v>
      </c>
      <c r="G43" s="403">
        <f t="shared" si="0"/>
        <v>18.210640000000001</v>
      </c>
      <c r="H43" s="9">
        <v>24117033</v>
      </c>
      <c r="I43" s="404">
        <f t="shared" si="1"/>
        <v>708365493</v>
      </c>
      <c r="J43" s="403"/>
      <c r="K43" s="404">
        <f t="shared" si="2"/>
        <v>439186606</v>
      </c>
      <c r="L43" s="405">
        <f t="shared" si="3"/>
        <v>439186606</v>
      </c>
      <c r="M43" s="403"/>
    </row>
    <row r="44" spans="1:13" ht="47.25" x14ac:dyDescent="0.25">
      <c r="A44" s="6" t="s">
        <v>68</v>
      </c>
      <c r="B44" s="7" t="s">
        <v>69</v>
      </c>
      <c r="C44" s="6" t="s">
        <v>37</v>
      </c>
      <c r="D44" s="8">
        <v>73.313999999999993</v>
      </c>
      <c r="E44" s="403"/>
      <c r="F44" s="403">
        <f>BBNTHT!J84</f>
        <v>0</v>
      </c>
      <c r="G44" s="403">
        <f t="shared" si="0"/>
        <v>0</v>
      </c>
      <c r="H44" s="9">
        <v>2596077</v>
      </c>
      <c r="I44" s="404">
        <f t="shared" si="1"/>
        <v>190328789</v>
      </c>
      <c r="J44" s="403"/>
      <c r="K44" s="404">
        <f t="shared" si="2"/>
        <v>0</v>
      </c>
      <c r="L44" s="405">
        <f t="shared" si="3"/>
        <v>0</v>
      </c>
      <c r="M44" s="403"/>
    </row>
    <row r="45" spans="1:13" ht="15.75" x14ac:dyDescent="0.25">
      <c r="A45" s="6" t="s">
        <v>70</v>
      </c>
      <c r="B45" s="7" t="s">
        <v>71</v>
      </c>
      <c r="C45" s="6" t="s">
        <v>61</v>
      </c>
      <c r="D45" s="8">
        <v>2.7890000000000001</v>
      </c>
      <c r="E45" s="403"/>
      <c r="F45" s="403">
        <f>BBNTHT!J85</f>
        <v>0</v>
      </c>
      <c r="G45" s="403">
        <f t="shared" si="0"/>
        <v>0</v>
      </c>
      <c r="H45" s="9">
        <v>7375857</v>
      </c>
      <c r="I45" s="404">
        <f t="shared" si="1"/>
        <v>20571265</v>
      </c>
      <c r="J45" s="403"/>
      <c r="K45" s="404">
        <f t="shared" si="2"/>
        <v>0</v>
      </c>
      <c r="L45" s="405">
        <f t="shared" si="3"/>
        <v>0</v>
      </c>
      <c r="M45" s="403"/>
    </row>
    <row r="46" spans="1:13" ht="15.75" x14ac:dyDescent="0.25">
      <c r="A46" s="6" t="s">
        <v>72</v>
      </c>
      <c r="B46" s="7" t="s">
        <v>73</v>
      </c>
      <c r="C46" s="6" t="s">
        <v>32</v>
      </c>
      <c r="D46" s="8">
        <v>3.2170000000000001</v>
      </c>
      <c r="E46" s="403"/>
      <c r="F46" s="403">
        <f>BBNTHT!J86</f>
        <v>1.99454</v>
      </c>
      <c r="G46" s="403">
        <f t="shared" si="0"/>
        <v>1.99454</v>
      </c>
      <c r="H46" s="9">
        <v>24189690</v>
      </c>
      <c r="I46" s="404">
        <f t="shared" si="1"/>
        <v>77818233</v>
      </c>
      <c r="J46" s="403"/>
      <c r="K46" s="404">
        <f t="shared" si="2"/>
        <v>48247304</v>
      </c>
      <c r="L46" s="405">
        <f t="shared" si="3"/>
        <v>48247304</v>
      </c>
      <c r="M46" s="403"/>
    </row>
    <row r="47" spans="1:13" ht="15.75" x14ac:dyDescent="0.25">
      <c r="A47" s="6" t="s">
        <v>74</v>
      </c>
      <c r="B47" s="7" t="s">
        <v>75</v>
      </c>
      <c r="C47" s="6" t="s">
        <v>32</v>
      </c>
      <c r="D47" s="8">
        <v>2.7709999999999999</v>
      </c>
      <c r="E47" s="403"/>
      <c r="F47" s="403">
        <f>BBNTHT!J87</f>
        <v>1.7180199999999999</v>
      </c>
      <c r="G47" s="403">
        <f t="shared" si="0"/>
        <v>1.7180199999999999</v>
      </c>
      <c r="H47" s="9">
        <v>24758906</v>
      </c>
      <c r="I47" s="404">
        <f t="shared" si="1"/>
        <v>68606929</v>
      </c>
      <c r="J47" s="403"/>
      <c r="K47" s="404">
        <f t="shared" si="2"/>
        <v>42536296</v>
      </c>
      <c r="L47" s="405">
        <f t="shared" si="3"/>
        <v>42536296</v>
      </c>
      <c r="M47" s="403"/>
    </row>
    <row r="48" spans="1:13" ht="15.75" x14ac:dyDescent="0.25">
      <c r="A48" s="6" t="s">
        <v>76</v>
      </c>
      <c r="B48" s="7" t="s">
        <v>77</v>
      </c>
      <c r="C48" s="6" t="s">
        <v>32</v>
      </c>
      <c r="D48" s="8">
        <v>12.622</v>
      </c>
      <c r="E48" s="403"/>
      <c r="F48" s="403">
        <f>BBNTHT!J88</f>
        <v>7.8256399999999999</v>
      </c>
      <c r="G48" s="403">
        <f t="shared" si="0"/>
        <v>7.8256399999999999</v>
      </c>
      <c r="H48" s="9">
        <v>24117033</v>
      </c>
      <c r="I48" s="404">
        <f t="shared" si="1"/>
        <v>304405191</v>
      </c>
      <c r="J48" s="403"/>
      <c r="K48" s="404">
        <f t="shared" si="2"/>
        <v>188731218</v>
      </c>
      <c r="L48" s="405">
        <f t="shared" si="3"/>
        <v>188731218</v>
      </c>
      <c r="M48" s="403"/>
    </row>
    <row r="49" spans="1:13" ht="47.25" x14ac:dyDescent="0.25">
      <c r="A49" s="6" t="s">
        <v>78</v>
      </c>
      <c r="B49" s="7" t="s">
        <v>79</v>
      </c>
      <c r="C49" s="6" t="s">
        <v>37</v>
      </c>
      <c r="D49" s="8">
        <v>288.08199999999999</v>
      </c>
      <c r="E49" s="403"/>
      <c r="F49" s="403">
        <f>BBNTHT!J89</f>
        <v>0</v>
      </c>
      <c r="G49" s="403">
        <f t="shared" si="0"/>
        <v>0</v>
      </c>
      <c r="H49" s="9">
        <v>2343243</v>
      </c>
      <c r="I49" s="404">
        <f t="shared" si="1"/>
        <v>675046130</v>
      </c>
      <c r="J49" s="403"/>
      <c r="K49" s="404">
        <f t="shared" si="2"/>
        <v>0</v>
      </c>
      <c r="L49" s="405">
        <f t="shared" si="3"/>
        <v>0</v>
      </c>
      <c r="M49" s="403"/>
    </row>
    <row r="50" spans="1:13" ht="47.25" x14ac:dyDescent="0.25">
      <c r="A50" s="6" t="s">
        <v>80</v>
      </c>
      <c r="B50" s="7" t="s">
        <v>81</v>
      </c>
      <c r="C50" s="6" t="s">
        <v>37</v>
      </c>
      <c r="D50" s="8">
        <v>0.629</v>
      </c>
      <c r="E50" s="403"/>
      <c r="F50" s="403">
        <f>BBNTHT!J90</f>
        <v>0</v>
      </c>
      <c r="G50" s="403">
        <f t="shared" si="0"/>
        <v>0</v>
      </c>
      <c r="H50" s="9">
        <v>1723087</v>
      </c>
      <c r="I50" s="404">
        <f t="shared" si="1"/>
        <v>1083822</v>
      </c>
      <c r="J50" s="403"/>
      <c r="K50" s="404">
        <f t="shared" si="2"/>
        <v>0</v>
      </c>
      <c r="L50" s="405">
        <f t="shared" si="3"/>
        <v>0</v>
      </c>
      <c r="M50" s="403"/>
    </row>
    <row r="51" spans="1:13" ht="47.25" x14ac:dyDescent="0.25">
      <c r="A51" s="6" t="s">
        <v>82</v>
      </c>
      <c r="B51" s="7" t="s">
        <v>83</v>
      </c>
      <c r="C51" s="6" t="s">
        <v>61</v>
      </c>
      <c r="D51" s="8">
        <v>0.02</v>
      </c>
      <c r="E51" s="403"/>
      <c r="F51" s="403">
        <f>BBNTHT!J91</f>
        <v>0</v>
      </c>
      <c r="G51" s="403">
        <f t="shared" si="0"/>
        <v>0</v>
      </c>
      <c r="H51" s="9">
        <v>9115373</v>
      </c>
      <c r="I51" s="404">
        <f t="shared" si="1"/>
        <v>182307</v>
      </c>
      <c r="J51" s="403"/>
      <c r="K51" s="404">
        <f t="shared" si="2"/>
        <v>0</v>
      </c>
      <c r="L51" s="405">
        <f t="shared" si="3"/>
        <v>0</v>
      </c>
      <c r="M51" s="403"/>
    </row>
    <row r="52" spans="1:13" ht="31.5" x14ac:dyDescent="0.25">
      <c r="A52" s="6" t="s">
        <v>84</v>
      </c>
      <c r="B52" s="7" t="s">
        <v>85</v>
      </c>
      <c r="C52" s="6" t="s">
        <v>86</v>
      </c>
      <c r="D52" s="8">
        <v>4</v>
      </c>
      <c r="E52" s="403"/>
      <c r="F52" s="403">
        <f>BBNTHT!J92</f>
        <v>0</v>
      </c>
      <c r="G52" s="403">
        <f t="shared" si="0"/>
        <v>0</v>
      </c>
      <c r="H52" s="9">
        <v>28105</v>
      </c>
      <c r="I52" s="404">
        <f t="shared" si="1"/>
        <v>112420</v>
      </c>
      <c r="J52" s="403"/>
      <c r="K52" s="404">
        <f t="shared" si="2"/>
        <v>0</v>
      </c>
      <c r="L52" s="405">
        <f t="shared" si="3"/>
        <v>0</v>
      </c>
      <c r="M52" s="403"/>
    </row>
    <row r="53" spans="1:13" ht="47.25" x14ac:dyDescent="0.25">
      <c r="A53" s="6" t="s">
        <v>87</v>
      </c>
      <c r="B53" s="7" t="s">
        <v>88</v>
      </c>
      <c r="C53" s="6" t="s">
        <v>86</v>
      </c>
      <c r="D53" s="8">
        <v>3</v>
      </c>
      <c r="E53" s="403"/>
      <c r="F53" s="403">
        <f>BBNTHT!J93</f>
        <v>0</v>
      </c>
      <c r="G53" s="403">
        <f t="shared" si="0"/>
        <v>0</v>
      </c>
      <c r="H53" s="9">
        <v>40261</v>
      </c>
      <c r="I53" s="404">
        <f t="shared" si="1"/>
        <v>120783</v>
      </c>
      <c r="J53" s="403"/>
      <c r="K53" s="404">
        <f t="shared" si="2"/>
        <v>0</v>
      </c>
      <c r="L53" s="405">
        <f t="shared" si="3"/>
        <v>0</v>
      </c>
      <c r="M53" s="403"/>
    </row>
    <row r="54" spans="1:13" ht="15.75" x14ac:dyDescent="0.25">
      <c r="A54" s="6" t="s">
        <v>89</v>
      </c>
      <c r="B54" s="7" t="s">
        <v>90</v>
      </c>
      <c r="C54" s="6" t="s">
        <v>32</v>
      </c>
      <c r="D54" s="8">
        <v>2.7E-2</v>
      </c>
      <c r="E54" s="403"/>
      <c r="F54" s="403">
        <f>BBNTHT!J94</f>
        <v>1.6740000000000001E-2</v>
      </c>
      <c r="G54" s="403">
        <f t="shared" si="0"/>
        <v>1.6740000000000001E-2</v>
      </c>
      <c r="H54" s="9">
        <v>24189690</v>
      </c>
      <c r="I54" s="404">
        <f t="shared" si="1"/>
        <v>653122</v>
      </c>
      <c r="J54" s="403"/>
      <c r="K54" s="404">
        <f t="shared" si="2"/>
        <v>404935</v>
      </c>
      <c r="L54" s="405">
        <f t="shared" si="3"/>
        <v>404935</v>
      </c>
      <c r="M54" s="403"/>
    </row>
    <row r="55" spans="1:13" ht="15.75" x14ac:dyDescent="0.25">
      <c r="A55" s="6" t="s">
        <v>91</v>
      </c>
      <c r="B55" s="7" t="s">
        <v>92</v>
      </c>
      <c r="C55" s="6" t="s">
        <v>32</v>
      </c>
      <c r="D55" s="8">
        <v>31.126000000000001</v>
      </c>
      <c r="E55" s="403"/>
      <c r="F55" s="403">
        <f>BBNTHT!J95</f>
        <v>19.298120000000001</v>
      </c>
      <c r="G55" s="403">
        <f t="shared" si="0"/>
        <v>19.298120000000001</v>
      </c>
      <c r="H55" s="9">
        <v>24758906</v>
      </c>
      <c r="I55" s="404">
        <f t="shared" si="1"/>
        <v>770645708</v>
      </c>
      <c r="J55" s="403"/>
      <c r="K55" s="404">
        <f t="shared" si="2"/>
        <v>477800339</v>
      </c>
      <c r="L55" s="405">
        <f t="shared" si="3"/>
        <v>477800339</v>
      </c>
      <c r="M55" s="403"/>
    </row>
    <row r="56" spans="1:13" ht="63" x14ac:dyDescent="0.25">
      <c r="A56" s="6" t="s">
        <v>93</v>
      </c>
      <c r="B56" s="7" t="s">
        <v>94</v>
      </c>
      <c r="C56" s="6" t="s">
        <v>37</v>
      </c>
      <c r="D56" s="8">
        <v>94.891000000000005</v>
      </c>
      <c r="E56" s="403"/>
      <c r="F56" s="403">
        <f>BBNTHT!J96</f>
        <v>0</v>
      </c>
      <c r="G56" s="403">
        <f t="shared" si="0"/>
        <v>0</v>
      </c>
      <c r="H56" s="9">
        <v>2675059</v>
      </c>
      <c r="I56" s="404">
        <f t="shared" si="1"/>
        <v>253839024</v>
      </c>
      <c r="J56" s="403"/>
      <c r="K56" s="404">
        <f t="shared" si="2"/>
        <v>0</v>
      </c>
      <c r="L56" s="405">
        <f t="shared" si="3"/>
        <v>0</v>
      </c>
      <c r="M56" s="403"/>
    </row>
    <row r="57" spans="1:13" ht="15.75" x14ac:dyDescent="0.25">
      <c r="A57" s="6" t="s">
        <v>95</v>
      </c>
      <c r="B57" s="7" t="s">
        <v>96</v>
      </c>
      <c r="C57" s="6" t="s">
        <v>61</v>
      </c>
      <c r="D57" s="8">
        <v>6.2869999999999999</v>
      </c>
      <c r="E57" s="403"/>
      <c r="F57" s="403">
        <f>BBNTHT!J97</f>
        <v>0</v>
      </c>
      <c r="G57" s="403">
        <f t="shared" si="0"/>
        <v>0</v>
      </c>
      <c r="H57" s="9">
        <v>15642941</v>
      </c>
      <c r="I57" s="404">
        <f t="shared" si="1"/>
        <v>98347170</v>
      </c>
      <c r="J57" s="403"/>
      <c r="K57" s="404">
        <f t="shared" si="2"/>
        <v>0</v>
      </c>
      <c r="L57" s="405">
        <f t="shared" si="3"/>
        <v>0</v>
      </c>
      <c r="M57" s="403"/>
    </row>
    <row r="58" spans="1:13" ht="31.5" x14ac:dyDescent="0.25">
      <c r="A58" s="6" t="s">
        <v>97</v>
      </c>
      <c r="B58" s="7" t="s">
        <v>98</v>
      </c>
      <c r="C58" s="6" t="s">
        <v>32</v>
      </c>
      <c r="D58" s="8">
        <v>6.492</v>
      </c>
      <c r="E58" s="403"/>
      <c r="F58" s="403">
        <f>BBNTHT!J98</f>
        <v>4.0250399999999997</v>
      </c>
      <c r="G58" s="403">
        <f t="shared" si="0"/>
        <v>4.0250399999999997</v>
      </c>
      <c r="H58" s="9">
        <v>24865823</v>
      </c>
      <c r="I58" s="404">
        <f t="shared" si="1"/>
        <v>161428923</v>
      </c>
      <c r="J58" s="403"/>
      <c r="K58" s="404">
        <f t="shared" si="2"/>
        <v>100085932</v>
      </c>
      <c r="L58" s="405">
        <f t="shared" si="3"/>
        <v>100085932</v>
      </c>
      <c r="M58" s="403"/>
    </row>
    <row r="59" spans="1:13" ht="31.5" x14ac:dyDescent="0.25">
      <c r="A59" s="6" t="s">
        <v>99</v>
      </c>
      <c r="B59" s="7" t="s">
        <v>100</v>
      </c>
      <c r="C59" s="6" t="s">
        <v>32</v>
      </c>
      <c r="D59" s="8">
        <v>0.11600000000000001</v>
      </c>
      <c r="E59" s="403"/>
      <c r="F59" s="403">
        <f>BBNTHT!J99</f>
        <v>7.1919999999999998E-2</v>
      </c>
      <c r="G59" s="403">
        <f t="shared" si="0"/>
        <v>7.1919999999999998E-2</v>
      </c>
      <c r="H59" s="9">
        <v>25561046</v>
      </c>
      <c r="I59" s="404">
        <f t="shared" si="1"/>
        <v>2965081</v>
      </c>
      <c r="J59" s="403"/>
      <c r="K59" s="404">
        <f t="shared" si="2"/>
        <v>1838350</v>
      </c>
      <c r="L59" s="405">
        <f t="shared" si="3"/>
        <v>1838350</v>
      </c>
      <c r="M59" s="403"/>
    </row>
    <row r="60" spans="1:13" ht="63" x14ac:dyDescent="0.25">
      <c r="A60" s="6" t="s">
        <v>101</v>
      </c>
      <c r="B60" s="7" t="s">
        <v>102</v>
      </c>
      <c r="C60" s="6" t="s">
        <v>37</v>
      </c>
      <c r="D60" s="8">
        <v>72.236999999999995</v>
      </c>
      <c r="E60" s="403"/>
      <c r="F60" s="403">
        <f>BBNTHT!J100</f>
        <v>0</v>
      </c>
      <c r="G60" s="403">
        <f t="shared" si="0"/>
        <v>0</v>
      </c>
      <c r="H60" s="9">
        <v>2318235</v>
      </c>
      <c r="I60" s="404">
        <f t="shared" si="1"/>
        <v>167462342</v>
      </c>
      <c r="J60" s="403"/>
      <c r="K60" s="404">
        <f t="shared" si="2"/>
        <v>0</v>
      </c>
      <c r="L60" s="405">
        <f t="shared" si="3"/>
        <v>0</v>
      </c>
      <c r="M60" s="403"/>
    </row>
    <row r="61" spans="1:13" ht="63" x14ac:dyDescent="0.25">
      <c r="A61" s="6" t="s">
        <v>103</v>
      </c>
      <c r="B61" s="7" t="s">
        <v>104</v>
      </c>
      <c r="C61" s="6" t="s">
        <v>61</v>
      </c>
      <c r="D61" s="8">
        <v>4.2439999999999998</v>
      </c>
      <c r="E61" s="403"/>
      <c r="F61" s="403">
        <f>BBNTHT!J101</f>
        <v>0</v>
      </c>
      <c r="G61" s="403">
        <f t="shared" si="0"/>
        <v>0</v>
      </c>
      <c r="H61" s="9">
        <v>11250693</v>
      </c>
      <c r="I61" s="404">
        <f t="shared" si="1"/>
        <v>47747941</v>
      </c>
      <c r="J61" s="403"/>
      <c r="K61" s="404">
        <f t="shared" si="2"/>
        <v>0</v>
      </c>
      <c r="L61" s="405">
        <f t="shared" si="3"/>
        <v>0</v>
      </c>
      <c r="M61" s="403"/>
    </row>
    <row r="62" spans="1:13" ht="63" x14ac:dyDescent="0.25">
      <c r="A62" s="6" t="s">
        <v>105</v>
      </c>
      <c r="B62" s="7" t="s">
        <v>106</v>
      </c>
      <c r="C62" s="6" t="s">
        <v>37</v>
      </c>
      <c r="D62" s="8">
        <v>59.064</v>
      </c>
      <c r="E62" s="403"/>
      <c r="F62" s="403">
        <f>BBNTHT!J102</f>
        <v>0</v>
      </c>
      <c r="G62" s="403">
        <f t="shared" si="0"/>
        <v>0</v>
      </c>
      <c r="H62" s="9">
        <v>2836388</v>
      </c>
      <c r="I62" s="404">
        <f t="shared" si="1"/>
        <v>167528421</v>
      </c>
      <c r="J62" s="403"/>
      <c r="K62" s="404">
        <f t="shared" si="2"/>
        <v>0</v>
      </c>
      <c r="L62" s="405">
        <f t="shared" si="3"/>
        <v>0</v>
      </c>
      <c r="M62" s="403"/>
    </row>
    <row r="63" spans="1:13" ht="78.75" x14ac:dyDescent="0.25">
      <c r="A63" s="6" t="s">
        <v>107</v>
      </c>
      <c r="B63" s="7" t="s">
        <v>108</v>
      </c>
      <c r="C63" s="6" t="s">
        <v>61</v>
      </c>
      <c r="D63" s="8">
        <v>2.2970000000000002</v>
      </c>
      <c r="E63" s="403"/>
      <c r="F63" s="403">
        <f>BBNTHT!J103</f>
        <v>0</v>
      </c>
      <c r="G63" s="403">
        <f t="shared" si="0"/>
        <v>0</v>
      </c>
      <c r="H63" s="9">
        <v>15676960</v>
      </c>
      <c r="I63" s="404">
        <f t="shared" si="1"/>
        <v>36009977</v>
      </c>
      <c r="J63" s="403"/>
      <c r="K63" s="404">
        <f t="shared" si="2"/>
        <v>0</v>
      </c>
      <c r="L63" s="405">
        <f t="shared" si="3"/>
        <v>0</v>
      </c>
      <c r="M63" s="403"/>
    </row>
    <row r="64" spans="1:13" ht="47.25" x14ac:dyDescent="0.25">
      <c r="A64" s="6" t="s">
        <v>109</v>
      </c>
      <c r="B64" s="7" t="s">
        <v>110</v>
      </c>
      <c r="C64" s="6" t="s">
        <v>37</v>
      </c>
      <c r="D64" s="8">
        <v>149.38399999999999</v>
      </c>
      <c r="E64" s="403"/>
      <c r="F64" s="403">
        <f>BBNTHT!J104</f>
        <v>0</v>
      </c>
      <c r="G64" s="403">
        <f t="shared" si="0"/>
        <v>0</v>
      </c>
      <c r="H64" s="9">
        <v>2513229</v>
      </c>
      <c r="I64" s="404">
        <f t="shared" si="1"/>
        <v>375436201</v>
      </c>
      <c r="J64" s="403"/>
      <c r="K64" s="404">
        <f t="shared" si="2"/>
        <v>0</v>
      </c>
      <c r="L64" s="405">
        <f t="shared" si="3"/>
        <v>0</v>
      </c>
      <c r="M64" s="403"/>
    </row>
    <row r="65" spans="1:13" ht="63" x14ac:dyDescent="0.25">
      <c r="A65" s="6" t="s">
        <v>111</v>
      </c>
      <c r="B65" s="7" t="s">
        <v>112</v>
      </c>
      <c r="C65" s="6" t="s">
        <v>61</v>
      </c>
      <c r="D65" s="8">
        <v>7.8559999999999999</v>
      </c>
      <c r="E65" s="403"/>
      <c r="F65" s="403">
        <f>BBNTHT!J105</f>
        <v>0</v>
      </c>
      <c r="G65" s="403">
        <f t="shared" si="0"/>
        <v>0</v>
      </c>
      <c r="H65" s="9">
        <v>12563421</v>
      </c>
      <c r="I65" s="404">
        <f t="shared" si="1"/>
        <v>98698235</v>
      </c>
      <c r="J65" s="403"/>
      <c r="K65" s="404">
        <f t="shared" si="2"/>
        <v>0</v>
      </c>
      <c r="L65" s="405">
        <f t="shared" si="3"/>
        <v>0</v>
      </c>
      <c r="M65" s="403"/>
    </row>
    <row r="66" spans="1:13" ht="47.25" x14ac:dyDescent="0.25">
      <c r="A66" s="6" t="s">
        <v>113</v>
      </c>
      <c r="B66" s="7" t="s">
        <v>114</v>
      </c>
      <c r="C66" s="6" t="s">
        <v>32</v>
      </c>
      <c r="D66" s="8">
        <v>5.0049999999999999</v>
      </c>
      <c r="E66" s="403"/>
      <c r="F66" s="403">
        <f>BBNTHT!J106</f>
        <v>3.1031</v>
      </c>
      <c r="G66" s="403">
        <f t="shared" si="0"/>
        <v>3.1031</v>
      </c>
      <c r="H66" s="9">
        <v>25801872</v>
      </c>
      <c r="I66" s="404">
        <f t="shared" si="1"/>
        <v>129138369</v>
      </c>
      <c r="J66" s="403"/>
      <c r="K66" s="404">
        <f t="shared" si="2"/>
        <v>80065789</v>
      </c>
      <c r="L66" s="405">
        <f t="shared" si="3"/>
        <v>80065789</v>
      </c>
      <c r="M66" s="403"/>
    </row>
    <row r="67" spans="1:13" ht="47.25" x14ac:dyDescent="0.25">
      <c r="A67" s="6" t="s">
        <v>115</v>
      </c>
      <c r="B67" s="7" t="s">
        <v>116</v>
      </c>
      <c r="C67" s="6" t="s">
        <v>32</v>
      </c>
      <c r="D67" s="8">
        <v>9.7360000000000007</v>
      </c>
      <c r="E67" s="403"/>
      <c r="F67" s="403">
        <f>BBNTHT!J107</f>
        <v>6.0363200000000008</v>
      </c>
      <c r="G67" s="403">
        <f t="shared" si="0"/>
        <v>6.0363200000000008</v>
      </c>
      <c r="H67" s="9">
        <v>25429757</v>
      </c>
      <c r="I67" s="404">
        <f t="shared" si="1"/>
        <v>247584114</v>
      </c>
      <c r="J67" s="403"/>
      <c r="K67" s="404">
        <f t="shared" si="2"/>
        <v>153502151</v>
      </c>
      <c r="L67" s="405">
        <f t="shared" si="3"/>
        <v>153502151</v>
      </c>
      <c r="M67" s="403"/>
    </row>
    <row r="68" spans="1:13" ht="47.25" x14ac:dyDescent="0.25">
      <c r="A68" s="6" t="s">
        <v>117</v>
      </c>
      <c r="B68" s="7" t="s">
        <v>118</v>
      </c>
      <c r="C68" s="6" t="s">
        <v>32</v>
      </c>
      <c r="D68" s="8">
        <v>6.5890000000000004</v>
      </c>
      <c r="E68" s="403"/>
      <c r="F68" s="403">
        <f>BBNTHT!J108</f>
        <v>4.0851800000000003</v>
      </c>
      <c r="G68" s="403">
        <f t="shared" si="0"/>
        <v>4.0851800000000003</v>
      </c>
      <c r="H68" s="9">
        <v>25074397</v>
      </c>
      <c r="I68" s="404">
        <f t="shared" si="1"/>
        <v>165215202</v>
      </c>
      <c r="J68" s="403"/>
      <c r="K68" s="404">
        <f t="shared" si="2"/>
        <v>102433425</v>
      </c>
      <c r="L68" s="405">
        <f t="shared" si="3"/>
        <v>102433425</v>
      </c>
      <c r="M68" s="403"/>
    </row>
    <row r="69" spans="1:13" ht="47.25" x14ac:dyDescent="0.25">
      <c r="A69" s="6" t="s">
        <v>119</v>
      </c>
      <c r="B69" s="7" t="s">
        <v>120</v>
      </c>
      <c r="C69" s="6" t="s">
        <v>37</v>
      </c>
      <c r="D69" s="8">
        <v>159.18799999999999</v>
      </c>
      <c r="E69" s="403"/>
      <c r="F69" s="403">
        <f>BBNTHT!J109</f>
        <v>0</v>
      </c>
      <c r="G69" s="403">
        <f t="shared" si="0"/>
        <v>0</v>
      </c>
      <c r="H69" s="9">
        <v>2513229</v>
      </c>
      <c r="I69" s="404">
        <f t="shared" si="1"/>
        <v>400075898</v>
      </c>
      <c r="J69" s="403"/>
      <c r="K69" s="404">
        <f t="shared" si="2"/>
        <v>0</v>
      </c>
      <c r="L69" s="405">
        <f t="shared" si="3"/>
        <v>0</v>
      </c>
      <c r="M69" s="403"/>
    </row>
    <row r="70" spans="1:13" ht="63" x14ac:dyDescent="0.25">
      <c r="A70" s="6" t="s">
        <v>121</v>
      </c>
      <c r="B70" s="7" t="s">
        <v>122</v>
      </c>
      <c r="C70" s="6" t="s">
        <v>61</v>
      </c>
      <c r="D70" s="8">
        <v>10.037000000000001</v>
      </c>
      <c r="E70" s="403"/>
      <c r="F70" s="403">
        <f>BBNTHT!J110</f>
        <v>0</v>
      </c>
      <c r="G70" s="403">
        <f t="shared" si="0"/>
        <v>0</v>
      </c>
      <c r="H70" s="9">
        <v>11633307</v>
      </c>
      <c r="I70" s="404">
        <f t="shared" si="1"/>
        <v>116763502</v>
      </c>
      <c r="J70" s="403"/>
      <c r="K70" s="404">
        <f t="shared" si="2"/>
        <v>0</v>
      </c>
      <c r="L70" s="405">
        <f t="shared" si="3"/>
        <v>0</v>
      </c>
      <c r="M70" s="403"/>
    </row>
    <row r="71" spans="1:13" ht="47.25" x14ac:dyDescent="0.25">
      <c r="A71" s="6" t="s">
        <v>123</v>
      </c>
      <c r="B71" s="7" t="s">
        <v>124</v>
      </c>
      <c r="C71" s="6" t="s">
        <v>32</v>
      </c>
      <c r="D71" s="8">
        <v>15.003</v>
      </c>
      <c r="E71" s="403"/>
      <c r="F71" s="403">
        <f>BBNTHT!J111</f>
        <v>9.3018599999999996</v>
      </c>
      <c r="G71" s="403">
        <f t="shared" si="0"/>
        <v>9.3018599999999996</v>
      </c>
      <c r="H71" s="9">
        <v>25246468</v>
      </c>
      <c r="I71" s="404">
        <f t="shared" si="1"/>
        <v>378772759</v>
      </c>
      <c r="J71" s="403"/>
      <c r="K71" s="404">
        <f t="shared" si="2"/>
        <v>234839111</v>
      </c>
      <c r="L71" s="405">
        <f t="shared" si="3"/>
        <v>234839111</v>
      </c>
      <c r="M71" s="403"/>
    </row>
    <row r="72" spans="1:13" ht="47.25" x14ac:dyDescent="0.25">
      <c r="A72" s="6" t="s">
        <v>125</v>
      </c>
      <c r="B72" s="7" t="s">
        <v>126</v>
      </c>
      <c r="C72" s="6" t="s">
        <v>32</v>
      </c>
      <c r="D72" s="8">
        <v>6.1459999999999999</v>
      </c>
      <c r="E72" s="403"/>
      <c r="F72" s="403">
        <f>BBNTHT!J112</f>
        <v>3.8105199999999999</v>
      </c>
      <c r="G72" s="403">
        <f t="shared" si="0"/>
        <v>3.8105199999999999</v>
      </c>
      <c r="H72" s="9">
        <v>25578175</v>
      </c>
      <c r="I72" s="404">
        <f t="shared" si="1"/>
        <v>157203464</v>
      </c>
      <c r="J72" s="403"/>
      <c r="K72" s="404">
        <f t="shared" si="2"/>
        <v>97466147</v>
      </c>
      <c r="L72" s="405">
        <f t="shared" si="3"/>
        <v>97466147</v>
      </c>
      <c r="M72" s="403"/>
    </row>
    <row r="73" spans="1:13" ht="31.5" x14ac:dyDescent="0.25">
      <c r="A73" s="6" t="s">
        <v>127</v>
      </c>
      <c r="B73" s="7" t="s">
        <v>128</v>
      </c>
      <c r="C73" s="6" t="s">
        <v>37</v>
      </c>
      <c r="D73" s="8">
        <v>1.2649999999999999</v>
      </c>
      <c r="E73" s="403"/>
      <c r="F73" s="403">
        <f>BBNTHT!J113</f>
        <v>0</v>
      </c>
      <c r="G73" s="403">
        <f t="shared" si="0"/>
        <v>0</v>
      </c>
      <c r="H73" s="9">
        <v>2176578</v>
      </c>
      <c r="I73" s="404">
        <f t="shared" si="1"/>
        <v>2753371</v>
      </c>
      <c r="J73" s="403"/>
      <c r="K73" s="404">
        <f t="shared" si="2"/>
        <v>0</v>
      </c>
      <c r="L73" s="405">
        <f t="shared" si="3"/>
        <v>0</v>
      </c>
      <c r="M73" s="403"/>
    </row>
    <row r="74" spans="1:13" ht="47.25" x14ac:dyDescent="0.25">
      <c r="A74" s="6" t="s">
        <v>129</v>
      </c>
      <c r="B74" s="7" t="s">
        <v>130</v>
      </c>
      <c r="C74" s="6" t="s">
        <v>61</v>
      </c>
      <c r="D74" s="8">
        <v>0.21099999999999999</v>
      </c>
      <c r="E74" s="403"/>
      <c r="F74" s="403">
        <f>BBNTHT!J114</f>
        <v>0</v>
      </c>
      <c r="G74" s="403">
        <f t="shared" si="0"/>
        <v>0</v>
      </c>
      <c r="H74" s="9">
        <v>10869023</v>
      </c>
      <c r="I74" s="404">
        <f t="shared" si="1"/>
        <v>2293364</v>
      </c>
      <c r="J74" s="403"/>
      <c r="K74" s="404">
        <f t="shared" si="2"/>
        <v>0</v>
      </c>
      <c r="L74" s="405">
        <f t="shared" si="3"/>
        <v>0</v>
      </c>
      <c r="M74" s="403"/>
    </row>
    <row r="75" spans="1:13" ht="47.25" x14ac:dyDescent="0.25">
      <c r="A75" s="6" t="s">
        <v>131</v>
      </c>
      <c r="B75" s="7" t="s">
        <v>132</v>
      </c>
      <c r="C75" s="6" t="s">
        <v>37</v>
      </c>
      <c r="D75" s="8">
        <v>2.46</v>
      </c>
      <c r="E75" s="403"/>
      <c r="F75" s="403">
        <f>BBNTHT!J115</f>
        <v>0</v>
      </c>
      <c r="G75" s="403">
        <f t="shared" si="0"/>
        <v>0</v>
      </c>
      <c r="H75" s="9">
        <v>1982959</v>
      </c>
      <c r="I75" s="404">
        <f t="shared" si="1"/>
        <v>4878079</v>
      </c>
      <c r="J75" s="403"/>
      <c r="K75" s="404">
        <f t="shared" si="2"/>
        <v>0</v>
      </c>
      <c r="L75" s="405">
        <f t="shared" si="3"/>
        <v>0</v>
      </c>
      <c r="M75" s="403"/>
    </row>
    <row r="76" spans="1:13" ht="31.5" x14ac:dyDescent="0.25">
      <c r="A76" s="6" t="s">
        <v>133</v>
      </c>
      <c r="B76" s="7" t="s">
        <v>134</v>
      </c>
      <c r="C76" s="6" t="s">
        <v>61</v>
      </c>
      <c r="D76" s="8">
        <v>0.21199999999999999</v>
      </c>
      <c r="E76" s="403"/>
      <c r="F76" s="403">
        <f>BBNTHT!J116</f>
        <v>0</v>
      </c>
      <c r="G76" s="403">
        <f t="shared" si="0"/>
        <v>0</v>
      </c>
      <c r="H76" s="9">
        <v>21816852</v>
      </c>
      <c r="I76" s="404">
        <f t="shared" si="1"/>
        <v>4625173</v>
      </c>
      <c r="J76" s="403"/>
      <c r="K76" s="404">
        <f t="shared" si="2"/>
        <v>0</v>
      </c>
      <c r="L76" s="405">
        <f t="shared" si="3"/>
        <v>0</v>
      </c>
      <c r="M76" s="403"/>
    </row>
    <row r="77" spans="1:13" ht="47.25" x14ac:dyDescent="0.25">
      <c r="A77" s="6" t="s">
        <v>135</v>
      </c>
      <c r="B77" s="7" t="s">
        <v>136</v>
      </c>
      <c r="C77" s="6" t="s">
        <v>52</v>
      </c>
      <c r="D77" s="8">
        <v>370.173</v>
      </c>
      <c r="E77" s="403"/>
      <c r="F77" s="403">
        <f>BBNTHT!J117</f>
        <v>0</v>
      </c>
      <c r="G77" s="403">
        <f t="shared" si="0"/>
        <v>0</v>
      </c>
      <c r="H77" s="9">
        <v>235243</v>
      </c>
      <c r="I77" s="404">
        <f t="shared" si="1"/>
        <v>87080607</v>
      </c>
      <c r="J77" s="403"/>
      <c r="K77" s="404">
        <f t="shared" si="2"/>
        <v>0</v>
      </c>
      <c r="L77" s="405">
        <f t="shared" si="3"/>
        <v>0</v>
      </c>
      <c r="M77" s="403"/>
    </row>
    <row r="78" spans="1:13" ht="47.25" x14ac:dyDescent="0.25">
      <c r="A78" s="6" t="s">
        <v>137</v>
      </c>
      <c r="B78" s="7" t="s">
        <v>138</v>
      </c>
      <c r="C78" s="6" t="s">
        <v>52</v>
      </c>
      <c r="D78" s="8">
        <v>370.173</v>
      </c>
      <c r="E78" s="403"/>
      <c r="F78" s="403">
        <f>BBNTHT!J118</f>
        <v>0</v>
      </c>
      <c r="G78" s="403">
        <f t="shared" si="0"/>
        <v>0</v>
      </c>
      <c r="H78" s="9">
        <v>141347</v>
      </c>
      <c r="I78" s="404">
        <f t="shared" si="1"/>
        <v>52322843</v>
      </c>
      <c r="J78" s="403"/>
      <c r="K78" s="404">
        <f t="shared" si="2"/>
        <v>0</v>
      </c>
      <c r="L78" s="405">
        <f t="shared" si="3"/>
        <v>0</v>
      </c>
      <c r="M78" s="403"/>
    </row>
    <row r="79" spans="1:13" ht="15.75" x14ac:dyDescent="0.25">
      <c r="A79" s="6" t="s">
        <v>139</v>
      </c>
      <c r="B79" s="7" t="s">
        <v>140</v>
      </c>
      <c r="C79" s="6" t="s">
        <v>52</v>
      </c>
      <c r="D79" s="8">
        <v>875.73</v>
      </c>
      <c r="E79" s="403"/>
      <c r="F79" s="403">
        <f>BBNTHT!J119</f>
        <v>0</v>
      </c>
      <c r="G79" s="403">
        <f t="shared" si="0"/>
        <v>0</v>
      </c>
      <c r="H79" s="9">
        <v>31749</v>
      </c>
      <c r="I79" s="404">
        <f t="shared" si="1"/>
        <v>27803552</v>
      </c>
      <c r="J79" s="403"/>
      <c r="K79" s="404">
        <f t="shared" si="2"/>
        <v>0</v>
      </c>
      <c r="L79" s="405">
        <f t="shared" si="3"/>
        <v>0</v>
      </c>
      <c r="M79" s="403"/>
    </row>
    <row r="80" spans="1:13" ht="15.75" x14ac:dyDescent="0.25">
      <c r="A80" s="6" t="s">
        <v>141</v>
      </c>
      <c r="B80" s="7" t="s">
        <v>142</v>
      </c>
      <c r="C80" s="6" t="s">
        <v>143</v>
      </c>
      <c r="D80" s="8">
        <v>53934.75</v>
      </c>
      <c r="E80" s="403"/>
      <c r="F80" s="403">
        <f>BBNTHT!J120</f>
        <v>37754.324999999997</v>
      </c>
      <c r="G80" s="403">
        <f t="shared" si="0"/>
        <v>37754.324999999997</v>
      </c>
      <c r="H80" s="9">
        <v>2159</v>
      </c>
      <c r="I80" s="404">
        <f t="shared" si="1"/>
        <v>116445125</v>
      </c>
      <c r="J80" s="403"/>
      <c r="K80" s="404">
        <f t="shared" si="2"/>
        <v>81511588</v>
      </c>
      <c r="L80" s="405">
        <f t="shared" si="3"/>
        <v>81511588</v>
      </c>
      <c r="M80" s="403"/>
    </row>
    <row r="81" spans="1:13" ht="15.75" x14ac:dyDescent="0.25">
      <c r="A81" s="6" t="s">
        <v>144</v>
      </c>
      <c r="B81" s="7" t="s">
        <v>145</v>
      </c>
      <c r="C81" s="6" t="s">
        <v>143</v>
      </c>
      <c r="D81" s="8">
        <v>683462.25</v>
      </c>
      <c r="E81" s="403"/>
      <c r="F81" s="403">
        <f>BBNTHT!J121</f>
        <v>478423.57499999995</v>
      </c>
      <c r="G81" s="403">
        <f t="shared" si="0"/>
        <v>478423.57499999995</v>
      </c>
      <c r="H81" s="9">
        <v>2159</v>
      </c>
      <c r="I81" s="404">
        <f t="shared" si="1"/>
        <v>1475594998</v>
      </c>
      <c r="J81" s="403"/>
      <c r="K81" s="404">
        <f t="shared" si="2"/>
        <v>1032916498</v>
      </c>
      <c r="L81" s="405">
        <f t="shared" si="3"/>
        <v>1032916498</v>
      </c>
      <c r="M81" s="403"/>
    </row>
    <row r="82" spans="1:13" ht="31.5" x14ac:dyDescent="0.25">
      <c r="A82" s="6" t="s">
        <v>146</v>
      </c>
      <c r="B82" s="7" t="s">
        <v>147</v>
      </c>
      <c r="C82" s="6" t="s">
        <v>14</v>
      </c>
      <c r="D82" s="8">
        <v>45.564</v>
      </c>
      <c r="E82" s="403"/>
      <c r="F82" s="403">
        <f>BBNTHT!J122</f>
        <v>31.894799999999996</v>
      </c>
      <c r="G82" s="403">
        <f t="shared" ref="G82:G145" si="4">F82+E82</f>
        <v>31.894799999999996</v>
      </c>
      <c r="H82" s="9">
        <v>10426672</v>
      </c>
      <c r="I82" s="404">
        <f t="shared" ref="I82:I145" si="5">ROUND(D82*H82,0)</f>
        <v>475080883</v>
      </c>
      <c r="J82" s="403"/>
      <c r="K82" s="404">
        <f t="shared" ref="K82:K145" si="6">ROUND(F82*H82,0)</f>
        <v>332556618</v>
      </c>
      <c r="L82" s="405">
        <f t="shared" ref="L82:L145" si="7">J82+K82</f>
        <v>332556618</v>
      </c>
      <c r="M82" s="403"/>
    </row>
    <row r="83" spans="1:13" ht="31.5" x14ac:dyDescent="0.25">
      <c r="A83" s="6" t="s">
        <v>148</v>
      </c>
      <c r="B83" s="7" t="s">
        <v>149</v>
      </c>
      <c r="C83" s="6" t="s">
        <v>150</v>
      </c>
      <c r="D83" s="8">
        <v>45.564</v>
      </c>
      <c r="E83" s="403"/>
      <c r="F83" s="403">
        <f>BBNTHT!J123</f>
        <v>0</v>
      </c>
      <c r="G83" s="403">
        <f t="shared" si="4"/>
        <v>0</v>
      </c>
      <c r="H83" s="9">
        <v>10581534</v>
      </c>
      <c r="I83" s="404">
        <f t="shared" si="5"/>
        <v>482137015</v>
      </c>
      <c r="J83" s="403"/>
      <c r="K83" s="404">
        <f t="shared" si="6"/>
        <v>0</v>
      </c>
      <c r="L83" s="405">
        <f t="shared" si="7"/>
        <v>0</v>
      </c>
      <c r="M83" s="403"/>
    </row>
    <row r="84" spans="1:13" ht="31.5" x14ac:dyDescent="0.25">
      <c r="A84" s="6" t="s">
        <v>151</v>
      </c>
      <c r="B84" s="7" t="s">
        <v>41</v>
      </c>
      <c r="C84" s="6" t="s">
        <v>27</v>
      </c>
      <c r="D84" s="8">
        <v>3.3140000000000001</v>
      </c>
      <c r="E84" s="403"/>
      <c r="F84" s="403">
        <f>BBNTHT!J124</f>
        <v>0</v>
      </c>
      <c r="G84" s="403">
        <f t="shared" si="4"/>
        <v>0</v>
      </c>
      <c r="H84" s="9">
        <v>2235933</v>
      </c>
      <c r="I84" s="404">
        <f t="shared" si="5"/>
        <v>7409882</v>
      </c>
      <c r="J84" s="403"/>
      <c r="K84" s="404">
        <f t="shared" si="6"/>
        <v>0</v>
      </c>
      <c r="L84" s="405">
        <f t="shared" si="7"/>
        <v>0</v>
      </c>
      <c r="M84" s="403"/>
    </row>
    <row r="85" spans="1:13" ht="31.5" x14ac:dyDescent="0.25">
      <c r="A85" s="6" t="s">
        <v>152</v>
      </c>
      <c r="B85" s="7" t="s">
        <v>43</v>
      </c>
      <c r="C85" s="6" t="s">
        <v>27</v>
      </c>
      <c r="D85" s="8">
        <v>0.44500000000000001</v>
      </c>
      <c r="E85" s="403"/>
      <c r="F85" s="403">
        <f>BBNTHT!J125</f>
        <v>0</v>
      </c>
      <c r="G85" s="403">
        <f t="shared" si="4"/>
        <v>0</v>
      </c>
      <c r="H85" s="9">
        <v>3013626</v>
      </c>
      <c r="I85" s="404">
        <f t="shared" si="5"/>
        <v>1341064</v>
      </c>
      <c r="J85" s="403"/>
      <c r="K85" s="404">
        <f t="shared" si="6"/>
        <v>0</v>
      </c>
      <c r="L85" s="405">
        <f t="shared" si="7"/>
        <v>0</v>
      </c>
      <c r="M85" s="403"/>
    </row>
    <row r="86" spans="1:13" ht="31.5" x14ac:dyDescent="0.25">
      <c r="A86" s="6" t="s">
        <v>153</v>
      </c>
      <c r="B86" s="7" t="s">
        <v>45</v>
      </c>
      <c r="C86" s="6" t="s">
        <v>27</v>
      </c>
      <c r="D86" s="8">
        <v>2.8690000000000002</v>
      </c>
      <c r="E86" s="403"/>
      <c r="F86" s="403">
        <f>BBNTHT!J126</f>
        <v>0</v>
      </c>
      <c r="G86" s="403">
        <f t="shared" si="4"/>
        <v>0</v>
      </c>
      <c r="H86" s="9">
        <v>2359400</v>
      </c>
      <c r="I86" s="404">
        <f t="shared" si="5"/>
        <v>6769119</v>
      </c>
      <c r="J86" s="403"/>
      <c r="K86" s="404">
        <f t="shared" si="6"/>
        <v>0</v>
      </c>
      <c r="L86" s="405">
        <f t="shared" si="7"/>
        <v>0</v>
      </c>
      <c r="M86" s="403"/>
    </row>
    <row r="87" spans="1:13" ht="47.25" x14ac:dyDescent="0.25">
      <c r="A87" s="6" t="s">
        <v>154</v>
      </c>
      <c r="B87" s="7" t="s">
        <v>47</v>
      </c>
      <c r="C87" s="6" t="s">
        <v>27</v>
      </c>
      <c r="D87" s="8">
        <v>2.8690000000000002</v>
      </c>
      <c r="E87" s="403"/>
      <c r="F87" s="403">
        <f>BBNTHT!J127</f>
        <v>0</v>
      </c>
      <c r="G87" s="403">
        <f t="shared" si="4"/>
        <v>0</v>
      </c>
      <c r="H87" s="9">
        <v>4024442</v>
      </c>
      <c r="I87" s="404">
        <f t="shared" si="5"/>
        <v>11546124</v>
      </c>
      <c r="J87" s="403"/>
      <c r="K87" s="404">
        <f t="shared" si="6"/>
        <v>0</v>
      </c>
      <c r="L87" s="405">
        <f t="shared" si="7"/>
        <v>0</v>
      </c>
      <c r="M87" s="403"/>
    </row>
    <row r="88" spans="1:13" ht="31.5" x14ac:dyDescent="0.25">
      <c r="A88" s="6" t="s">
        <v>155</v>
      </c>
      <c r="B88" s="7" t="s">
        <v>49</v>
      </c>
      <c r="C88" s="6" t="s">
        <v>37</v>
      </c>
      <c r="D88" s="8">
        <v>10.888</v>
      </c>
      <c r="E88" s="403"/>
      <c r="F88" s="403">
        <f>BBNTHT!J128</f>
        <v>0</v>
      </c>
      <c r="G88" s="403">
        <f t="shared" si="4"/>
        <v>0</v>
      </c>
      <c r="H88" s="9">
        <v>1223510</v>
      </c>
      <c r="I88" s="404">
        <f t="shared" si="5"/>
        <v>13321577</v>
      </c>
      <c r="J88" s="403"/>
      <c r="K88" s="404">
        <f t="shared" si="6"/>
        <v>0</v>
      </c>
      <c r="L88" s="405">
        <f t="shared" si="7"/>
        <v>0</v>
      </c>
      <c r="M88" s="403"/>
    </row>
    <row r="89" spans="1:13" ht="47.25" x14ac:dyDescent="0.25">
      <c r="A89" s="6" t="s">
        <v>156</v>
      </c>
      <c r="B89" s="7" t="s">
        <v>157</v>
      </c>
      <c r="C89" s="6" t="s">
        <v>37</v>
      </c>
      <c r="D89" s="8">
        <v>25.75</v>
      </c>
      <c r="E89" s="403"/>
      <c r="F89" s="403">
        <f>BBNTHT!J129</f>
        <v>0</v>
      </c>
      <c r="G89" s="403">
        <f t="shared" si="4"/>
        <v>0</v>
      </c>
      <c r="H89" s="9">
        <v>1993215</v>
      </c>
      <c r="I89" s="404">
        <f t="shared" si="5"/>
        <v>51325286</v>
      </c>
      <c r="J89" s="403"/>
      <c r="K89" s="404">
        <f t="shared" si="6"/>
        <v>0</v>
      </c>
      <c r="L89" s="405">
        <f t="shared" si="7"/>
        <v>0</v>
      </c>
      <c r="M89" s="403"/>
    </row>
    <row r="90" spans="1:13" ht="15.75" x14ac:dyDescent="0.25">
      <c r="A90" s="6" t="s">
        <v>158</v>
      </c>
      <c r="B90" s="7" t="s">
        <v>159</v>
      </c>
      <c r="C90" s="6" t="s">
        <v>61</v>
      </c>
      <c r="D90" s="8">
        <v>0.14499999999999999</v>
      </c>
      <c r="E90" s="403"/>
      <c r="F90" s="403">
        <f>BBNTHT!J130</f>
        <v>0</v>
      </c>
      <c r="G90" s="403">
        <f t="shared" si="4"/>
        <v>0</v>
      </c>
      <c r="H90" s="9">
        <v>7375857</v>
      </c>
      <c r="I90" s="404">
        <f t="shared" si="5"/>
        <v>1069499</v>
      </c>
      <c r="J90" s="403"/>
      <c r="K90" s="404">
        <f t="shared" si="6"/>
        <v>0</v>
      </c>
      <c r="L90" s="405">
        <f t="shared" si="7"/>
        <v>0</v>
      </c>
      <c r="M90" s="403"/>
    </row>
    <row r="91" spans="1:13" ht="63" x14ac:dyDescent="0.25">
      <c r="A91" s="6" t="s">
        <v>160</v>
      </c>
      <c r="B91" s="7" t="s">
        <v>161</v>
      </c>
      <c r="C91" s="6" t="s">
        <v>37</v>
      </c>
      <c r="D91" s="8">
        <v>69.894999999999996</v>
      </c>
      <c r="E91" s="403"/>
      <c r="F91" s="403">
        <f>BBNTHT!J131</f>
        <v>0</v>
      </c>
      <c r="G91" s="403">
        <f t="shared" si="4"/>
        <v>0</v>
      </c>
      <c r="H91" s="9">
        <v>2318235</v>
      </c>
      <c r="I91" s="404">
        <f t="shared" si="5"/>
        <v>162033035</v>
      </c>
      <c r="J91" s="403"/>
      <c r="K91" s="404">
        <f t="shared" si="6"/>
        <v>0</v>
      </c>
      <c r="L91" s="405">
        <f t="shared" si="7"/>
        <v>0</v>
      </c>
      <c r="M91" s="403"/>
    </row>
    <row r="92" spans="1:13" ht="15.75" x14ac:dyDescent="0.25">
      <c r="A92" s="6" t="s">
        <v>162</v>
      </c>
      <c r="B92" s="7" t="s">
        <v>96</v>
      </c>
      <c r="C92" s="6" t="s">
        <v>61</v>
      </c>
      <c r="D92" s="8">
        <v>4.5229999999999997</v>
      </c>
      <c r="E92" s="403"/>
      <c r="F92" s="403">
        <f>BBNTHT!J132</f>
        <v>0</v>
      </c>
      <c r="G92" s="403">
        <f t="shared" si="4"/>
        <v>0</v>
      </c>
      <c r="H92" s="9">
        <v>15642941</v>
      </c>
      <c r="I92" s="404">
        <f t="shared" si="5"/>
        <v>70753022</v>
      </c>
      <c r="J92" s="403"/>
      <c r="K92" s="404">
        <f t="shared" si="6"/>
        <v>0</v>
      </c>
      <c r="L92" s="405">
        <f t="shared" si="7"/>
        <v>0</v>
      </c>
      <c r="M92" s="403"/>
    </row>
    <row r="93" spans="1:13" ht="15.75" x14ac:dyDescent="0.25">
      <c r="A93" s="6" t="s">
        <v>163</v>
      </c>
      <c r="B93" s="7" t="s">
        <v>164</v>
      </c>
      <c r="C93" s="6" t="s">
        <v>6</v>
      </c>
      <c r="D93" s="8">
        <v>70.400000000000006</v>
      </c>
      <c r="E93" s="403"/>
      <c r="F93" s="403">
        <f>BBNTHT!J133</f>
        <v>0</v>
      </c>
      <c r="G93" s="403">
        <f t="shared" si="4"/>
        <v>0</v>
      </c>
      <c r="H93" s="9">
        <v>375737</v>
      </c>
      <c r="I93" s="404">
        <f t="shared" si="5"/>
        <v>26451885</v>
      </c>
      <c r="J93" s="403"/>
      <c r="K93" s="404">
        <f t="shared" si="6"/>
        <v>0</v>
      </c>
      <c r="L93" s="405">
        <f t="shared" si="7"/>
        <v>0</v>
      </c>
      <c r="M93" s="403"/>
    </row>
    <row r="94" spans="1:13" ht="31.5" x14ac:dyDescent="0.25">
      <c r="A94" s="6" t="s">
        <v>165</v>
      </c>
      <c r="B94" s="7" t="s">
        <v>166</v>
      </c>
      <c r="C94" s="6" t="s">
        <v>32</v>
      </c>
      <c r="D94" s="8">
        <v>2.2029999999999998</v>
      </c>
      <c r="E94" s="403"/>
      <c r="F94" s="403">
        <f>BBNTHT!J134</f>
        <v>1.3658599999999999</v>
      </c>
      <c r="G94" s="403">
        <f t="shared" si="4"/>
        <v>1.3658599999999999</v>
      </c>
      <c r="H94" s="9">
        <v>24189690</v>
      </c>
      <c r="I94" s="404">
        <f t="shared" si="5"/>
        <v>53289887</v>
      </c>
      <c r="J94" s="403"/>
      <c r="K94" s="404">
        <f t="shared" si="6"/>
        <v>33039730</v>
      </c>
      <c r="L94" s="405">
        <f t="shared" si="7"/>
        <v>33039730</v>
      </c>
      <c r="M94" s="403"/>
    </row>
    <row r="95" spans="1:13" ht="31.5" x14ac:dyDescent="0.25">
      <c r="A95" s="6" t="s">
        <v>167</v>
      </c>
      <c r="B95" s="7" t="s">
        <v>168</v>
      </c>
      <c r="C95" s="6" t="s">
        <v>32</v>
      </c>
      <c r="D95" s="8">
        <v>7.53</v>
      </c>
      <c r="E95" s="403"/>
      <c r="F95" s="403">
        <f>BBNTHT!J135</f>
        <v>4.6686000000000005</v>
      </c>
      <c r="G95" s="403">
        <f t="shared" si="4"/>
        <v>4.6686000000000005</v>
      </c>
      <c r="H95" s="9">
        <v>24758906</v>
      </c>
      <c r="I95" s="404">
        <f t="shared" si="5"/>
        <v>186434562</v>
      </c>
      <c r="J95" s="403"/>
      <c r="K95" s="404">
        <f t="shared" si="6"/>
        <v>115589429</v>
      </c>
      <c r="L95" s="405">
        <f t="shared" si="7"/>
        <v>115589429</v>
      </c>
      <c r="M95" s="403"/>
    </row>
    <row r="96" spans="1:13" ht="47.25" x14ac:dyDescent="0.25">
      <c r="A96" s="6" t="s">
        <v>169</v>
      </c>
      <c r="B96" s="7" t="s">
        <v>136</v>
      </c>
      <c r="C96" s="6" t="s">
        <v>52</v>
      </c>
      <c r="D96" s="8">
        <v>281.85599999999999</v>
      </c>
      <c r="E96" s="403"/>
      <c r="F96" s="403">
        <f>BBNTHT!J136</f>
        <v>0</v>
      </c>
      <c r="G96" s="403">
        <f t="shared" si="4"/>
        <v>0</v>
      </c>
      <c r="H96" s="9">
        <v>235243</v>
      </c>
      <c r="I96" s="404">
        <f t="shared" si="5"/>
        <v>66304651</v>
      </c>
      <c r="J96" s="403"/>
      <c r="K96" s="404">
        <f t="shared" si="6"/>
        <v>0</v>
      </c>
      <c r="L96" s="405">
        <f t="shared" si="7"/>
        <v>0</v>
      </c>
      <c r="M96" s="403"/>
    </row>
    <row r="97" spans="1:13" ht="47.25" x14ac:dyDescent="0.25">
      <c r="A97" s="6" t="s">
        <v>170</v>
      </c>
      <c r="B97" s="7" t="s">
        <v>171</v>
      </c>
      <c r="C97" s="6" t="s">
        <v>52</v>
      </c>
      <c r="D97" s="8">
        <v>281.85599999999999</v>
      </c>
      <c r="E97" s="403"/>
      <c r="F97" s="403">
        <f>BBNTHT!J137</f>
        <v>0</v>
      </c>
      <c r="G97" s="403">
        <f t="shared" si="4"/>
        <v>0</v>
      </c>
      <c r="H97" s="9">
        <v>141347</v>
      </c>
      <c r="I97" s="404">
        <f t="shared" si="5"/>
        <v>39839500</v>
      </c>
      <c r="J97" s="403"/>
      <c r="K97" s="404">
        <f t="shared" si="6"/>
        <v>0</v>
      </c>
      <c r="L97" s="405">
        <f t="shared" si="7"/>
        <v>0</v>
      </c>
      <c r="M97" s="403"/>
    </row>
    <row r="98" spans="1:13" ht="31.5" x14ac:dyDescent="0.25">
      <c r="A98" s="6" t="s">
        <v>172</v>
      </c>
      <c r="B98" s="7" t="s">
        <v>173</v>
      </c>
      <c r="C98" s="6" t="s">
        <v>52</v>
      </c>
      <c r="D98" s="8">
        <v>25.175999999999998</v>
      </c>
      <c r="E98" s="403"/>
      <c r="F98" s="403">
        <f>BBNTHT!J138</f>
        <v>0</v>
      </c>
      <c r="G98" s="403">
        <f t="shared" si="4"/>
        <v>0</v>
      </c>
      <c r="H98" s="9">
        <v>17780</v>
      </c>
      <c r="I98" s="404">
        <f t="shared" si="5"/>
        <v>447629</v>
      </c>
      <c r="J98" s="403"/>
      <c r="K98" s="404">
        <f t="shared" si="6"/>
        <v>0</v>
      </c>
      <c r="L98" s="405">
        <f t="shared" si="7"/>
        <v>0</v>
      </c>
      <c r="M98" s="403"/>
    </row>
    <row r="99" spans="1:13" ht="31.5" x14ac:dyDescent="0.25">
      <c r="A99" s="6" t="s">
        <v>174</v>
      </c>
      <c r="B99" s="7" t="s">
        <v>175</v>
      </c>
      <c r="C99" s="6" t="s">
        <v>52</v>
      </c>
      <c r="D99" s="8">
        <v>283.13600000000002</v>
      </c>
      <c r="E99" s="403"/>
      <c r="F99" s="403">
        <f>BBNTHT!J139</f>
        <v>0</v>
      </c>
      <c r="G99" s="403">
        <f t="shared" si="4"/>
        <v>0</v>
      </c>
      <c r="H99" s="9">
        <v>90659</v>
      </c>
      <c r="I99" s="404">
        <f t="shared" si="5"/>
        <v>25668827</v>
      </c>
      <c r="J99" s="403"/>
      <c r="K99" s="404">
        <f t="shared" si="6"/>
        <v>0</v>
      </c>
      <c r="L99" s="405">
        <f t="shared" si="7"/>
        <v>0</v>
      </c>
      <c r="M99" s="403"/>
    </row>
    <row r="100" spans="1:13" ht="31.5" x14ac:dyDescent="0.25">
      <c r="A100" s="6" t="s">
        <v>176</v>
      </c>
      <c r="B100" s="7" t="s">
        <v>177</v>
      </c>
      <c r="C100" s="6" t="s">
        <v>52</v>
      </c>
      <c r="D100" s="8">
        <v>283.13600000000002</v>
      </c>
      <c r="E100" s="403"/>
      <c r="F100" s="403">
        <f>BBNTHT!J140</f>
        <v>0</v>
      </c>
      <c r="G100" s="403">
        <f t="shared" si="4"/>
        <v>0</v>
      </c>
      <c r="H100" s="9">
        <v>58290</v>
      </c>
      <c r="I100" s="404">
        <f t="shared" si="5"/>
        <v>16503997</v>
      </c>
      <c r="J100" s="403"/>
      <c r="K100" s="404">
        <f t="shared" si="6"/>
        <v>0</v>
      </c>
      <c r="L100" s="405">
        <f t="shared" si="7"/>
        <v>0</v>
      </c>
      <c r="M100" s="403"/>
    </row>
    <row r="101" spans="1:13" ht="47.25" x14ac:dyDescent="0.25">
      <c r="A101" s="6" t="s">
        <v>178</v>
      </c>
      <c r="B101" s="7" t="s">
        <v>136</v>
      </c>
      <c r="C101" s="6" t="s">
        <v>52</v>
      </c>
      <c r="D101" s="8">
        <v>149.12</v>
      </c>
      <c r="E101" s="403"/>
      <c r="F101" s="403">
        <f>BBNTHT!J141</f>
        <v>0</v>
      </c>
      <c r="G101" s="403">
        <f t="shared" si="4"/>
        <v>0</v>
      </c>
      <c r="H101" s="9">
        <v>235243</v>
      </c>
      <c r="I101" s="404">
        <f t="shared" si="5"/>
        <v>35079436</v>
      </c>
      <c r="J101" s="403"/>
      <c r="K101" s="404">
        <f t="shared" si="6"/>
        <v>0</v>
      </c>
      <c r="L101" s="405">
        <f t="shared" si="7"/>
        <v>0</v>
      </c>
      <c r="M101" s="403"/>
    </row>
    <row r="102" spans="1:13" ht="47.25" x14ac:dyDescent="0.25">
      <c r="A102" s="6" t="s">
        <v>179</v>
      </c>
      <c r="B102" s="7" t="s">
        <v>180</v>
      </c>
      <c r="C102" s="6" t="s">
        <v>52</v>
      </c>
      <c r="D102" s="8">
        <v>149.12</v>
      </c>
      <c r="E102" s="403"/>
      <c r="F102" s="403">
        <f>BBNTHT!J142</f>
        <v>0</v>
      </c>
      <c r="G102" s="403">
        <f t="shared" si="4"/>
        <v>0</v>
      </c>
      <c r="H102" s="9">
        <v>130985</v>
      </c>
      <c r="I102" s="404">
        <f t="shared" si="5"/>
        <v>19532483</v>
      </c>
      <c r="J102" s="403"/>
      <c r="K102" s="404">
        <f t="shared" si="6"/>
        <v>0</v>
      </c>
      <c r="L102" s="405">
        <f t="shared" si="7"/>
        <v>0</v>
      </c>
      <c r="M102" s="403"/>
    </row>
    <row r="103" spans="1:13" ht="15.75" x14ac:dyDescent="0.25">
      <c r="A103" s="6" t="s">
        <v>181</v>
      </c>
      <c r="B103" s="7" t="s">
        <v>182</v>
      </c>
      <c r="C103" s="6" t="s">
        <v>37</v>
      </c>
      <c r="D103" s="8">
        <v>211.89599999999999</v>
      </c>
      <c r="E103" s="403"/>
      <c r="F103" s="403">
        <f>BBNTHT!J143</f>
        <v>0</v>
      </c>
      <c r="G103" s="403">
        <f t="shared" si="4"/>
        <v>0</v>
      </c>
      <c r="H103" s="9">
        <v>19050</v>
      </c>
      <c r="I103" s="404">
        <f t="shared" si="5"/>
        <v>4036619</v>
      </c>
      <c r="J103" s="403"/>
      <c r="K103" s="404">
        <f t="shared" si="6"/>
        <v>0</v>
      </c>
      <c r="L103" s="405">
        <f t="shared" si="7"/>
        <v>0</v>
      </c>
      <c r="M103" s="403"/>
    </row>
    <row r="104" spans="1:13" ht="15.75" x14ac:dyDescent="0.25">
      <c r="A104" s="2" t="s">
        <v>183</v>
      </c>
      <c r="B104" s="3" t="s">
        <v>184</v>
      </c>
      <c r="C104" s="2" t="s">
        <v>3</v>
      </c>
      <c r="D104" s="4" t="s">
        <v>3</v>
      </c>
      <c r="E104" s="403"/>
      <c r="F104" s="403">
        <f>BBNTHT!J144</f>
        <v>0</v>
      </c>
      <c r="G104" s="403">
        <f t="shared" si="4"/>
        <v>0</v>
      </c>
      <c r="H104" s="5"/>
      <c r="I104" s="404"/>
      <c r="J104" s="403"/>
      <c r="K104" s="404">
        <f t="shared" si="6"/>
        <v>0</v>
      </c>
      <c r="L104" s="405">
        <f t="shared" si="7"/>
        <v>0</v>
      </c>
      <c r="M104" s="403"/>
    </row>
    <row r="105" spans="1:13" ht="47.25" x14ac:dyDescent="0.25">
      <c r="A105" s="6" t="s">
        <v>185</v>
      </c>
      <c r="B105" s="7" t="s">
        <v>186</v>
      </c>
      <c r="C105" s="6" t="s">
        <v>37</v>
      </c>
      <c r="D105" s="8">
        <v>230.4</v>
      </c>
      <c r="E105" s="403"/>
      <c r="F105" s="403">
        <f>BBNTHT!J145</f>
        <v>0</v>
      </c>
      <c r="G105" s="403">
        <f t="shared" si="4"/>
        <v>0</v>
      </c>
      <c r="H105" s="9">
        <v>3869643</v>
      </c>
      <c r="I105" s="404">
        <f t="shared" si="5"/>
        <v>891565747</v>
      </c>
      <c r="J105" s="403"/>
      <c r="K105" s="404">
        <f t="shared" si="6"/>
        <v>0</v>
      </c>
      <c r="L105" s="405">
        <f t="shared" si="7"/>
        <v>0</v>
      </c>
      <c r="M105" s="403"/>
    </row>
    <row r="106" spans="1:13" ht="47.25" x14ac:dyDescent="0.25">
      <c r="A106" s="6" t="s">
        <v>187</v>
      </c>
      <c r="B106" s="7" t="s">
        <v>186</v>
      </c>
      <c r="C106" s="6" t="s">
        <v>37</v>
      </c>
      <c r="D106" s="8">
        <v>648.78</v>
      </c>
      <c r="E106" s="403"/>
      <c r="F106" s="403">
        <f>BBNTHT!J146</f>
        <v>0</v>
      </c>
      <c r="G106" s="403">
        <f t="shared" si="4"/>
        <v>0</v>
      </c>
      <c r="H106" s="9">
        <v>3041481</v>
      </c>
      <c r="I106" s="404">
        <f t="shared" si="5"/>
        <v>1973252043</v>
      </c>
      <c r="J106" s="403"/>
      <c r="K106" s="404">
        <f t="shared" si="6"/>
        <v>0</v>
      </c>
      <c r="L106" s="405">
        <f t="shared" si="7"/>
        <v>0</v>
      </c>
      <c r="M106" s="403"/>
    </row>
    <row r="107" spans="1:13" ht="63" x14ac:dyDescent="0.25">
      <c r="A107" s="6" t="s">
        <v>188</v>
      </c>
      <c r="B107" s="7" t="s">
        <v>189</v>
      </c>
      <c r="C107" s="6" t="s">
        <v>61</v>
      </c>
      <c r="D107" s="8">
        <v>51.759</v>
      </c>
      <c r="E107" s="403"/>
      <c r="F107" s="403">
        <f>BBNTHT!J147</f>
        <v>0</v>
      </c>
      <c r="G107" s="403">
        <f t="shared" si="4"/>
        <v>0</v>
      </c>
      <c r="H107" s="9">
        <v>12583749</v>
      </c>
      <c r="I107" s="404">
        <f t="shared" si="5"/>
        <v>651322264</v>
      </c>
      <c r="J107" s="403"/>
      <c r="K107" s="404">
        <f t="shared" si="6"/>
        <v>0</v>
      </c>
      <c r="L107" s="405">
        <f t="shared" si="7"/>
        <v>0</v>
      </c>
      <c r="M107" s="403"/>
    </row>
    <row r="108" spans="1:13" ht="47.25" x14ac:dyDescent="0.25">
      <c r="A108" s="6" t="s">
        <v>190</v>
      </c>
      <c r="B108" s="7" t="s">
        <v>191</v>
      </c>
      <c r="C108" s="6" t="s">
        <v>32</v>
      </c>
      <c r="D108" s="8">
        <v>33.622</v>
      </c>
      <c r="E108" s="403"/>
      <c r="F108" s="403">
        <f>BBNTHT!J148</f>
        <v>20.84564</v>
      </c>
      <c r="G108" s="403">
        <f t="shared" si="4"/>
        <v>20.84564</v>
      </c>
      <c r="H108" s="9">
        <v>25563194</v>
      </c>
      <c r="I108" s="404">
        <f t="shared" si="5"/>
        <v>859485709</v>
      </c>
      <c r="J108" s="403"/>
      <c r="K108" s="404">
        <f t="shared" si="6"/>
        <v>532881139</v>
      </c>
      <c r="L108" s="405">
        <f t="shared" si="7"/>
        <v>532881139</v>
      </c>
      <c r="M108" s="403"/>
    </row>
    <row r="109" spans="1:13" ht="47.25" x14ac:dyDescent="0.25">
      <c r="A109" s="6" t="s">
        <v>192</v>
      </c>
      <c r="B109" s="7" t="s">
        <v>193</v>
      </c>
      <c r="C109" s="6" t="s">
        <v>32</v>
      </c>
      <c r="D109" s="8">
        <v>121.30500000000001</v>
      </c>
      <c r="E109" s="403"/>
      <c r="F109" s="403">
        <f>BBNTHT!J149</f>
        <v>75.209100000000007</v>
      </c>
      <c r="G109" s="403">
        <f t="shared" si="4"/>
        <v>75.209100000000007</v>
      </c>
      <c r="H109" s="9">
        <v>26337656</v>
      </c>
      <c r="I109" s="404">
        <f t="shared" si="5"/>
        <v>3194889361</v>
      </c>
      <c r="J109" s="403"/>
      <c r="K109" s="404">
        <f t="shared" si="6"/>
        <v>1980831404</v>
      </c>
      <c r="L109" s="405">
        <f t="shared" si="7"/>
        <v>1980831404</v>
      </c>
      <c r="M109" s="403"/>
    </row>
    <row r="110" spans="1:13" ht="47.25" x14ac:dyDescent="0.25">
      <c r="A110" s="6" t="s">
        <v>194</v>
      </c>
      <c r="B110" s="7" t="s">
        <v>195</v>
      </c>
      <c r="C110" s="6" t="s">
        <v>32</v>
      </c>
      <c r="D110" s="8">
        <v>38.942</v>
      </c>
      <c r="E110" s="403"/>
      <c r="F110" s="403">
        <f>BBNTHT!J150</f>
        <v>24.14404</v>
      </c>
      <c r="G110" s="403">
        <f t="shared" si="4"/>
        <v>24.14404</v>
      </c>
      <c r="H110" s="9">
        <v>25555078</v>
      </c>
      <c r="I110" s="404">
        <f t="shared" si="5"/>
        <v>995165847</v>
      </c>
      <c r="J110" s="403"/>
      <c r="K110" s="404">
        <f t="shared" si="6"/>
        <v>617002825</v>
      </c>
      <c r="L110" s="405">
        <f t="shared" si="7"/>
        <v>617002825</v>
      </c>
      <c r="M110" s="403"/>
    </row>
    <row r="111" spans="1:13" ht="63" x14ac:dyDescent="0.25">
      <c r="A111" s="6" t="s">
        <v>196</v>
      </c>
      <c r="B111" s="7" t="s">
        <v>197</v>
      </c>
      <c r="C111" s="6" t="s">
        <v>37</v>
      </c>
      <c r="D111" s="8">
        <v>227.60400000000001</v>
      </c>
      <c r="E111" s="403"/>
      <c r="F111" s="403">
        <f>BBNTHT!J151</f>
        <v>0</v>
      </c>
      <c r="G111" s="403">
        <f t="shared" si="4"/>
        <v>0</v>
      </c>
      <c r="H111" s="9">
        <v>3215438</v>
      </c>
      <c r="I111" s="404">
        <f t="shared" si="5"/>
        <v>731846551</v>
      </c>
      <c r="J111" s="403"/>
      <c r="K111" s="404">
        <f t="shared" si="6"/>
        <v>0</v>
      </c>
      <c r="L111" s="405">
        <f t="shared" si="7"/>
        <v>0</v>
      </c>
      <c r="M111" s="403"/>
    </row>
    <row r="112" spans="1:13" ht="63" x14ac:dyDescent="0.25">
      <c r="A112" s="6" t="s">
        <v>198</v>
      </c>
      <c r="B112" s="7" t="s">
        <v>199</v>
      </c>
      <c r="C112" s="6" t="s">
        <v>37</v>
      </c>
      <c r="D112" s="8">
        <v>370.68900000000002</v>
      </c>
      <c r="E112" s="403"/>
      <c r="F112" s="403">
        <f>BBNTHT!J152</f>
        <v>0</v>
      </c>
      <c r="G112" s="403">
        <f t="shared" si="4"/>
        <v>0</v>
      </c>
      <c r="H112" s="9">
        <v>3041481</v>
      </c>
      <c r="I112" s="404">
        <f t="shared" si="5"/>
        <v>1127443550</v>
      </c>
      <c r="J112" s="403"/>
      <c r="K112" s="404">
        <f t="shared" si="6"/>
        <v>0</v>
      </c>
      <c r="L112" s="405">
        <f t="shared" si="7"/>
        <v>0</v>
      </c>
      <c r="M112" s="403"/>
    </row>
    <row r="113" spans="1:13" ht="63" x14ac:dyDescent="0.25">
      <c r="A113" s="6" t="s">
        <v>200</v>
      </c>
      <c r="B113" s="7" t="s">
        <v>201</v>
      </c>
      <c r="C113" s="6" t="s">
        <v>61</v>
      </c>
      <c r="D113" s="8">
        <v>38.262999999999998</v>
      </c>
      <c r="E113" s="403"/>
      <c r="F113" s="403">
        <f>BBNTHT!J153</f>
        <v>0</v>
      </c>
      <c r="G113" s="403">
        <f t="shared" si="4"/>
        <v>0</v>
      </c>
      <c r="H113" s="9">
        <v>12583749</v>
      </c>
      <c r="I113" s="404">
        <f t="shared" si="5"/>
        <v>481491988</v>
      </c>
      <c r="J113" s="403"/>
      <c r="K113" s="404">
        <f t="shared" si="6"/>
        <v>0</v>
      </c>
      <c r="L113" s="405">
        <f t="shared" si="7"/>
        <v>0</v>
      </c>
      <c r="M113" s="403"/>
    </row>
    <row r="114" spans="1:13" ht="47.25" x14ac:dyDescent="0.25">
      <c r="A114" s="6" t="s">
        <v>202</v>
      </c>
      <c r="B114" s="7" t="s">
        <v>203</v>
      </c>
      <c r="C114" s="6" t="s">
        <v>32</v>
      </c>
      <c r="D114" s="8">
        <v>20.696999999999999</v>
      </c>
      <c r="E114" s="403"/>
      <c r="F114" s="403">
        <f>BBNTHT!J154</f>
        <v>12.832139999999999</v>
      </c>
      <c r="G114" s="403">
        <f t="shared" si="4"/>
        <v>12.832139999999999</v>
      </c>
      <c r="H114" s="9">
        <v>25563194</v>
      </c>
      <c r="I114" s="404">
        <f t="shared" si="5"/>
        <v>529081426</v>
      </c>
      <c r="J114" s="403"/>
      <c r="K114" s="404">
        <f t="shared" si="6"/>
        <v>328030484</v>
      </c>
      <c r="L114" s="405">
        <f t="shared" si="7"/>
        <v>328030484</v>
      </c>
      <c r="M114" s="403"/>
    </row>
    <row r="115" spans="1:13" ht="47.25" x14ac:dyDescent="0.25">
      <c r="A115" s="6" t="s">
        <v>204</v>
      </c>
      <c r="B115" s="7" t="s">
        <v>205</v>
      </c>
      <c r="C115" s="6" t="s">
        <v>32</v>
      </c>
      <c r="D115" s="8">
        <v>70.975999999999999</v>
      </c>
      <c r="E115" s="403"/>
      <c r="F115" s="403">
        <f>BBNTHT!J155</f>
        <v>44.005119999999998</v>
      </c>
      <c r="G115" s="403">
        <f t="shared" si="4"/>
        <v>44.005119999999998</v>
      </c>
      <c r="H115" s="9">
        <v>26337656</v>
      </c>
      <c r="I115" s="404">
        <f t="shared" si="5"/>
        <v>1869341472</v>
      </c>
      <c r="J115" s="403"/>
      <c r="K115" s="404">
        <f t="shared" si="6"/>
        <v>1158991713</v>
      </c>
      <c r="L115" s="405">
        <f t="shared" si="7"/>
        <v>1158991713</v>
      </c>
      <c r="M115" s="403"/>
    </row>
    <row r="116" spans="1:13" ht="47.25" x14ac:dyDescent="0.25">
      <c r="A116" s="6" t="s">
        <v>206</v>
      </c>
      <c r="B116" s="7" t="s">
        <v>207</v>
      </c>
      <c r="C116" s="6" t="s">
        <v>32</v>
      </c>
      <c r="D116" s="8">
        <v>6.04</v>
      </c>
      <c r="E116" s="403"/>
      <c r="F116" s="403">
        <f>BBNTHT!J156</f>
        <v>3.7448000000000001</v>
      </c>
      <c r="G116" s="403">
        <f t="shared" si="4"/>
        <v>3.7448000000000001</v>
      </c>
      <c r="H116" s="9">
        <v>25555078</v>
      </c>
      <c r="I116" s="404">
        <f t="shared" si="5"/>
        <v>154352671</v>
      </c>
      <c r="J116" s="403"/>
      <c r="K116" s="404">
        <f t="shared" si="6"/>
        <v>95698656</v>
      </c>
      <c r="L116" s="405">
        <f t="shared" si="7"/>
        <v>95698656</v>
      </c>
      <c r="M116" s="403"/>
    </row>
    <row r="117" spans="1:13" ht="63" x14ac:dyDescent="0.25">
      <c r="A117" s="6" t="s">
        <v>208</v>
      </c>
      <c r="B117" s="7" t="s">
        <v>209</v>
      </c>
      <c r="C117" s="6" t="s">
        <v>37</v>
      </c>
      <c r="D117" s="8">
        <v>196.2</v>
      </c>
      <c r="E117" s="403"/>
      <c r="F117" s="403">
        <f>BBNTHT!J157</f>
        <v>0</v>
      </c>
      <c r="G117" s="403">
        <f t="shared" si="4"/>
        <v>0</v>
      </c>
      <c r="H117" s="9">
        <v>3254877</v>
      </c>
      <c r="I117" s="404">
        <f t="shared" si="5"/>
        <v>638606867</v>
      </c>
      <c r="J117" s="403"/>
      <c r="K117" s="404">
        <f t="shared" si="6"/>
        <v>0</v>
      </c>
      <c r="L117" s="405">
        <f t="shared" si="7"/>
        <v>0</v>
      </c>
      <c r="M117" s="403"/>
    </row>
    <row r="118" spans="1:13" ht="63" x14ac:dyDescent="0.25">
      <c r="A118" s="6" t="s">
        <v>210</v>
      </c>
      <c r="B118" s="7" t="s">
        <v>211</v>
      </c>
      <c r="C118" s="6" t="s">
        <v>37</v>
      </c>
      <c r="D118" s="8">
        <v>14.949</v>
      </c>
      <c r="E118" s="403"/>
      <c r="F118" s="403">
        <f>BBNTHT!J158</f>
        <v>0</v>
      </c>
      <c r="G118" s="403">
        <f t="shared" si="4"/>
        <v>0</v>
      </c>
      <c r="H118" s="9">
        <v>3082577</v>
      </c>
      <c r="I118" s="404">
        <f t="shared" si="5"/>
        <v>46081444</v>
      </c>
      <c r="J118" s="403"/>
      <c r="K118" s="404">
        <f t="shared" si="6"/>
        <v>0</v>
      </c>
      <c r="L118" s="405">
        <f t="shared" si="7"/>
        <v>0</v>
      </c>
      <c r="M118" s="403"/>
    </row>
    <row r="119" spans="1:13" ht="63" x14ac:dyDescent="0.25">
      <c r="A119" s="6" t="s">
        <v>212</v>
      </c>
      <c r="B119" s="7" t="s">
        <v>213</v>
      </c>
      <c r="C119" s="6" t="s">
        <v>61</v>
      </c>
      <c r="D119" s="8">
        <v>9.5860000000000003</v>
      </c>
      <c r="E119" s="403"/>
      <c r="F119" s="403">
        <f>BBNTHT!J159</f>
        <v>0</v>
      </c>
      <c r="G119" s="403">
        <f t="shared" si="4"/>
        <v>0</v>
      </c>
      <c r="H119" s="9">
        <v>13393436</v>
      </c>
      <c r="I119" s="404">
        <f t="shared" si="5"/>
        <v>128389477</v>
      </c>
      <c r="J119" s="403"/>
      <c r="K119" s="404">
        <f t="shared" si="6"/>
        <v>0</v>
      </c>
      <c r="L119" s="405">
        <f t="shared" si="7"/>
        <v>0</v>
      </c>
      <c r="M119" s="403"/>
    </row>
    <row r="120" spans="1:13" ht="47.25" x14ac:dyDescent="0.25">
      <c r="A120" s="6" t="s">
        <v>214</v>
      </c>
      <c r="B120" s="7" t="s">
        <v>215</v>
      </c>
      <c r="C120" s="6" t="s">
        <v>32</v>
      </c>
      <c r="D120" s="8">
        <v>8.6210000000000004</v>
      </c>
      <c r="E120" s="403"/>
      <c r="F120" s="403">
        <f>BBNTHT!J160</f>
        <v>3.2759800000000001</v>
      </c>
      <c r="G120" s="403">
        <f t="shared" si="4"/>
        <v>3.2759800000000001</v>
      </c>
      <c r="H120" s="9">
        <v>25939010</v>
      </c>
      <c r="I120" s="404">
        <f t="shared" si="5"/>
        <v>223620205</v>
      </c>
      <c r="J120" s="403"/>
      <c r="K120" s="404">
        <f t="shared" si="6"/>
        <v>84975678</v>
      </c>
      <c r="L120" s="405">
        <f t="shared" si="7"/>
        <v>84975678</v>
      </c>
      <c r="M120" s="403"/>
    </row>
    <row r="121" spans="1:13" ht="47.25" x14ac:dyDescent="0.25">
      <c r="A121" s="6" t="s">
        <v>216</v>
      </c>
      <c r="B121" s="7" t="s">
        <v>217</v>
      </c>
      <c r="C121" s="6" t="s">
        <v>32</v>
      </c>
      <c r="D121" s="8">
        <v>19.974</v>
      </c>
      <c r="E121" s="403"/>
      <c r="F121" s="403">
        <f>BBNTHT!J161</f>
        <v>7.5901199999999998</v>
      </c>
      <c r="G121" s="403">
        <f t="shared" si="4"/>
        <v>7.5901199999999998</v>
      </c>
      <c r="H121" s="9">
        <v>25738227</v>
      </c>
      <c r="I121" s="404">
        <f t="shared" si="5"/>
        <v>514095346</v>
      </c>
      <c r="J121" s="403"/>
      <c r="K121" s="404">
        <f t="shared" si="6"/>
        <v>195356232</v>
      </c>
      <c r="L121" s="405">
        <f t="shared" si="7"/>
        <v>195356232</v>
      </c>
      <c r="M121" s="403"/>
    </row>
    <row r="122" spans="1:13" ht="47.25" x14ac:dyDescent="0.25">
      <c r="A122" s="6" t="s">
        <v>218</v>
      </c>
      <c r="B122" s="7" t="s">
        <v>219</v>
      </c>
      <c r="C122" s="6" t="s">
        <v>32</v>
      </c>
      <c r="D122" s="8">
        <v>18.196000000000002</v>
      </c>
      <c r="E122" s="403"/>
      <c r="F122" s="403">
        <f>BBNTHT!J162</f>
        <v>6.9144800000000011</v>
      </c>
      <c r="G122" s="403">
        <f t="shared" si="4"/>
        <v>6.9144800000000011</v>
      </c>
      <c r="H122" s="9">
        <v>25307179</v>
      </c>
      <c r="I122" s="404">
        <f t="shared" si="5"/>
        <v>460489429</v>
      </c>
      <c r="J122" s="403"/>
      <c r="K122" s="404">
        <f t="shared" si="6"/>
        <v>174985983</v>
      </c>
      <c r="L122" s="405">
        <f t="shared" si="7"/>
        <v>174985983</v>
      </c>
      <c r="M122" s="403"/>
    </row>
    <row r="123" spans="1:13" ht="47.25" x14ac:dyDescent="0.25">
      <c r="A123" s="6" t="s">
        <v>220</v>
      </c>
      <c r="B123" s="7" t="s">
        <v>221</v>
      </c>
      <c r="C123" s="6" t="s">
        <v>37</v>
      </c>
      <c r="D123" s="8">
        <v>1218.181</v>
      </c>
      <c r="E123" s="403"/>
      <c r="F123" s="403">
        <f>BBNTHT!J163</f>
        <v>0</v>
      </c>
      <c r="G123" s="403">
        <f t="shared" si="4"/>
        <v>0</v>
      </c>
      <c r="H123" s="9">
        <v>2583587</v>
      </c>
      <c r="I123" s="404">
        <f t="shared" si="5"/>
        <v>3147276595</v>
      </c>
      <c r="J123" s="403"/>
      <c r="K123" s="404">
        <f t="shared" si="6"/>
        <v>0</v>
      </c>
      <c r="L123" s="405">
        <f t="shared" si="7"/>
        <v>0</v>
      </c>
      <c r="M123" s="403"/>
    </row>
    <row r="124" spans="1:13" ht="63" x14ac:dyDescent="0.25">
      <c r="A124" s="6" t="s">
        <v>222</v>
      </c>
      <c r="B124" s="7" t="s">
        <v>223</v>
      </c>
      <c r="C124" s="6" t="s">
        <v>61</v>
      </c>
      <c r="D124" s="8">
        <v>59.508000000000003</v>
      </c>
      <c r="E124" s="403"/>
      <c r="F124" s="403">
        <f>BBNTHT!J164</f>
        <v>0</v>
      </c>
      <c r="G124" s="403">
        <f t="shared" si="4"/>
        <v>0</v>
      </c>
      <c r="H124" s="9">
        <v>13949855</v>
      </c>
      <c r="I124" s="404">
        <f t="shared" si="5"/>
        <v>830127971</v>
      </c>
      <c r="J124" s="403"/>
      <c r="K124" s="404">
        <f t="shared" si="6"/>
        <v>0</v>
      </c>
      <c r="L124" s="405">
        <f t="shared" si="7"/>
        <v>0</v>
      </c>
      <c r="M124" s="403"/>
    </row>
    <row r="125" spans="1:13" ht="47.25" x14ac:dyDescent="0.25">
      <c r="A125" s="6" t="s">
        <v>224</v>
      </c>
      <c r="B125" s="7" t="s">
        <v>225</v>
      </c>
      <c r="C125" s="6" t="s">
        <v>32</v>
      </c>
      <c r="D125" s="8">
        <v>30.495000000000001</v>
      </c>
      <c r="E125" s="403"/>
      <c r="F125" s="403">
        <f>BBNTHT!J165</f>
        <v>11.588100000000001</v>
      </c>
      <c r="G125" s="403">
        <f t="shared" si="4"/>
        <v>11.588100000000001</v>
      </c>
      <c r="H125" s="9">
        <v>26363130</v>
      </c>
      <c r="I125" s="404">
        <f t="shared" si="5"/>
        <v>803943649</v>
      </c>
      <c r="J125" s="403"/>
      <c r="K125" s="404">
        <f t="shared" si="6"/>
        <v>305498587</v>
      </c>
      <c r="L125" s="405">
        <f t="shared" si="7"/>
        <v>305498587</v>
      </c>
      <c r="M125" s="403"/>
    </row>
    <row r="126" spans="1:13" ht="47.25" x14ac:dyDescent="0.25">
      <c r="A126" s="6" t="s">
        <v>226</v>
      </c>
      <c r="B126" s="7" t="s">
        <v>227</v>
      </c>
      <c r="C126" s="6" t="s">
        <v>32</v>
      </c>
      <c r="D126" s="8">
        <v>81.441000000000003</v>
      </c>
      <c r="E126" s="403"/>
      <c r="F126" s="403">
        <f>BBNTHT!J166</f>
        <v>30.947580000000002</v>
      </c>
      <c r="G126" s="403">
        <f t="shared" si="4"/>
        <v>30.947580000000002</v>
      </c>
      <c r="H126" s="9">
        <v>25787304</v>
      </c>
      <c r="I126" s="404">
        <f t="shared" si="5"/>
        <v>2100143825</v>
      </c>
      <c r="J126" s="403"/>
      <c r="K126" s="404">
        <f t="shared" si="6"/>
        <v>798054654</v>
      </c>
      <c r="L126" s="405">
        <f t="shared" si="7"/>
        <v>798054654</v>
      </c>
      <c r="M126" s="403"/>
    </row>
    <row r="127" spans="1:13" ht="47.25" x14ac:dyDescent="0.25">
      <c r="A127" s="6" t="s">
        <v>228</v>
      </c>
      <c r="B127" s="7" t="s">
        <v>229</v>
      </c>
      <c r="C127" s="6" t="s">
        <v>32</v>
      </c>
      <c r="D127" s="8">
        <v>156.20099999999999</v>
      </c>
      <c r="E127" s="403"/>
      <c r="F127" s="403">
        <f>BBNTHT!J167</f>
        <v>59.356380000000001</v>
      </c>
      <c r="G127" s="403">
        <f t="shared" si="4"/>
        <v>59.356380000000001</v>
      </c>
      <c r="H127" s="9">
        <v>25381902</v>
      </c>
      <c r="I127" s="404">
        <f t="shared" si="5"/>
        <v>3964678474</v>
      </c>
      <c r="J127" s="403"/>
      <c r="K127" s="404">
        <f t="shared" si="6"/>
        <v>1506577820</v>
      </c>
      <c r="L127" s="405">
        <f t="shared" si="7"/>
        <v>1506577820</v>
      </c>
      <c r="M127" s="403"/>
    </row>
    <row r="128" spans="1:13" ht="47.25" x14ac:dyDescent="0.25">
      <c r="A128" s="6" t="s">
        <v>230</v>
      </c>
      <c r="B128" s="7" t="s">
        <v>120</v>
      </c>
      <c r="C128" s="6" t="s">
        <v>37</v>
      </c>
      <c r="D128" s="8">
        <v>3112.7809999999999</v>
      </c>
      <c r="E128" s="403"/>
      <c r="F128" s="403">
        <f>BBNTHT!J168</f>
        <v>0</v>
      </c>
      <c r="G128" s="403">
        <f t="shared" si="4"/>
        <v>0</v>
      </c>
      <c r="H128" s="9">
        <v>2583587</v>
      </c>
      <c r="I128" s="404">
        <f t="shared" si="5"/>
        <v>8042140525</v>
      </c>
      <c r="J128" s="403"/>
      <c r="K128" s="404">
        <f t="shared" si="6"/>
        <v>0</v>
      </c>
      <c r="L128" s="405">
        <f t="shared" si="7"/>
        <v>0</v>
      </c>
      <c r="M128" s="403"/>
    </row>
    <row r="129" spans="1:13" ht="63" x14ac:dyDescent="0.25">
      <c r="A129" s="6" t="s">
        <v>231</v>
      </c>
      <c r="B129" s="7" t="s">
        <v>232</v>
      </c>
      <c r="C129" s="6" t="s">
        <v>61</v>
      </c>
      <c r="D129" s="8">
        <v>140.82</v>
      </c>
      <c r="E129" s="403"/>
      <c r="F129" s="403">
        <f>BBNTHT!J169</f>
        <v>0</v>
      </c>
      <c r="G129" s="403">
        <f t="shared" si="4"/>
        <v>0</v>
      </c>
      <c r="H129" s="9">
        <v>12956355</v>
      </c>
      <c r="I129" s="404">
        <f t="shared" si="5"/>
        <v>1824513911</v>
      </c>
      <c r="J129" s="403"/>
      <c r="K129" s="404">
        <f t="shared" si="6"/>
        <v>0</v>
      </c>
      <c r="L129" s="405">
        <f t="shared" si="7"/>
        <v>0</v>
      </c>
      <c r="M129" s="403"/>
    </row>
    <row r="130" spans="1:13" ht="47.25" x14ac:dyDescent="0.25">
      <c r="A130" s="6" t="s">
        <v>233</v>
      </c>
      <c r="B130" s="7" t="s">
        <v>234</v>
      </c>
      <c r="C130" s="6" t="s">
        <v>32</v>
      </c>
      <c r="D130" s="8">
        <v>198.596</v>
      </c>
      <c r="E130" s="403"/>
      <c r="F130" s="403">
        <f>BBNTHT!J170</f>
        <v>75.466480000000004</v>
      </c>
      <c r="G130" s="403">
        <f t="shared" si="4"/>
        <v>75.466480000000004</v>
      </c>
      <c r="H130" s="9">
        <v>25767540</v>
      </c>
      <c r="I130" s="404">
        <f t="shared" si="5"/>
        <v>5117330374</v>
      </c>
      <c r="J130" s="403"/>
      <c r="K130" s="404">
        <f t="shared" si="6"/>
        <v>1944585542</v>
      </c>
      <c r="L130" s="405">
        <f t="shared" si="7"/>
        <v>1944585542</v>
      </c>
      <c r="M130" s="403"/>
    </row>
    <row r="131" spans="1:13" ht="47.25" x14ac:dyDescent="0.25">
      <c r="A131" s="6" t="s">
        <v>235</v>
      </c>
      <c r="B131" s="7" t="s">
        <v>236</v>
      </c>
      <c r="C131" s="6" t="s">
        <v>32</v>
      </c>
      <c r="D131" s="8">
        <v>67.619</v>
      </c>
      <c r="E131" s="403"/>
      <c r="F131" s="403">
        <f>BBNTHT!J171</f>
        <v>25.695219999999999</v>
      </c>
      <c r="G131" s="403">
        <f t="shared" si="4"/>
        <v>25.695219999999999</v>
      </c>
      <c r="H131" s="9">
        <v>25961179</v>
      </c>
      <c r="I131" s="404">
        <f t="shared" si="5"/>
        <v>1755468963</v>
      </c>
      <c r="J131" s="403"/>
      <c r="K131" s="404">
        <f t="shared" si="6"/>
        <v>667078206</v>
      </c>
      <c r="L131" s="405">
        <f t="shared" si="7"/>
        <v>667078206</v>
      </c>
      <c r="M131" s="403"/>
    </row>
    <row r="132" spans="1:13" ht="31.5" x14ac:dyDescent="0.25">
      <c r="A132" s="6" t="s">
        <v>237</v>
      </c>
      <c r="B132" s="7" t="s">
        <v>238</v>
      </c>
      <c r="C132" s="6" t="s">
        <v>32</v>
      </c>
      <c r="D132" s="8">
        <v>34.116999999999997</v>
      </c>
      <c r="E132" s="403"/>
      <c r="F132" s="403">
        <f>BBNTHT!J172</f>
        <v>0</v>
      </c>
      <c r="G132" s="403">
        <f t="shared" si="4"/>
        <v>0</v>
      </c>
      <c r="H132" s="9">
        <v>45852339</v>
      </c>
      <c r="I132" s="404">
        <f t="shared" si="5"/>
        <v>1564344250</v>
      </c>
      <c r="J132" s="403"/>
      <c r="K132" s="404">
        <f t="shared" si="6"/>
        <v>0</v>
      </c>
      <c r="L132" s="405">
        <f t="shared" si="7"/>
        <v>0</v>
      </c>
      <c r="M132" s="403"/>
    </row>
    <row r="133" spans="1:13" ht="15.75" x14ac:dyDescent="0.25">
      <c r="A133" s="6" t="s">
        <v>239</v>
      </c>
      <c r="B133" s="7" t="s">
        <v>240</v>
      </c>
      <c r="C133" s="6" t="s">
        <v>241</v>
      </c>
      <c r="D133" s="8">
        <v>8508.5</v>
      </c>
      <c r="E133" s="403"/>
      <c r="F133" s="403">
        <f>BBNTHT!J173</f>
        <v>0</v>
      </c>
      <c r="G133" s="403">
        <f t="shared" si="4"/>
        <v>0</v>
      </c>
      <c r="H133" s="9">
        <v>30595</v>
      </c>
      <c r="I133" s="404">
        <f t="shared" si="5"/>
        <v>260317558</v>
      </c>
      <c r="J133" s="403"/>
      <c r="K133" s="404">
        <f t="shared" si="6"/>
        <v>0</v>
      </c>
      <c r="L133" s="405">
        <f t="shared" si="7"/>
        <v>0</v>
      </c>
      <c r="M133" s="403"/>
    </row>
    <row r="134" spans="1:13" ht="15.75" x14ac:dyDescent="0.25">
      <c r="A134" s="6" t="s">
        <v>242</v>
      </c>
      <c r="B134" s="7" t="s">
        <v>243</v>
      </c>
      <c r="C134" s="6" t="s">
        <v>241</v>
      </c>
      <c r="D134" s="8">
        <v>3025.1</v>
      </c>
      <c r="E134" s="403"/>
      <c r="F134" s="403">
        <f>BBNTHT!J174</f>
        <v>0</v>
      </c>
      <c r="G134" s="403">
        <f t="shared" si="4"/>
        <v>0</v>
      </c>
      <c r="H134" s="9">
        <v>34058</v>
      </c>
      <c r="I134" s="404">
        <f t="shared" si="5"/>
        <v>103028856</v>
      </c>
      <c r="J134" s="403"/>
      <c r="K134" s="404">
        <f t="shared" si="6"/>
        <v>0</v>
      </c>
      <c r="L134" s="405">
        <f t="shared" si="7"/>
        <v>0</v>
      </c>
      <c r="M134" s="403"/>
    </row>
    <row r="135" spans="1:13" ht="15.75" x14ac:dyDescent="0.25">
      <c r="A135" s="6" t="s">
        <v>244</v>
      </c>
      <c r="B135" s="7" t="s">
        <v>245</v>
      </c>
      <c r="C135" s="6" t="s">
        <v>241</v>
      </c>
      <c r="D135" s="8">
        <v>4862.2</v>
      </c>
      <c r="E135" s="403"/>
      <c r="F135" s="403">
        <f>BBNTHT!J175</f>
        <v>0</v>
      </c>
      <c r="G135" s="403">
        <f t="shared" si="4"/>
        <v>0</v>
      </c>
      <c r="H135" s="9">
        <v>51954</v>
      </c>
      <c r="I135" s="404">
        <f t="shared" si="5"/>
        <v>252610739</v>
      </c>
      <c r="J135" s="403"/>
      <c r="K135" s="404">
        <f t="shared" si="6"/>
        <v>0</v>
      </c>
      <c r="L135" s="405">
        <f t="shared" si="7"/>
        <v>0</v>
      </c>
      <c r="M135" s="403"/>
    </row>
    <row r="136" spans="1:13" ht="15.75" x14ac:dyDescent="0.25">
      <c r="A136" s="6" t="s">
        <v>246</v>
      </c>
      <c r="B136" s="7" t="s">
        <v>247</v>
      </c>
      <c r="C136" s="6" t="s">
        <v>248</v>
      </c>
      <c r="D136" s="8">
        <v>325</v>
      </c>
      <c r="E136" s="403"/>
      <c r="F136" s="403">
        <f>BBNTHT!J176</f>
        <v>0</v>
      </c>
      <c r="G136" s="403">
        <f t="shared" si="4"/>
        <v>0</v>
      </c>
      <c r="H136" s="9">
        <v>404083</v>
      </c>
      <c r="I136" s="404">
        <f t="shared" si="5"/>
        <v>131326975</v>
      </c>
      <c r="J136" s="403"/>
      <c r="K136" s="404">
        <f t="shared" si="6"/>
        <v>0</v>
      </c>
      <c r="L136" s="405">
        <f t="shared" si="7"/>
        <v>0</v>
      </c>
      <c r="M136" s="403"/>
    </row>
    <row r="137" spans="1:13" ht="15.75" x14ac:dyDescent="0.25">
      <c r="A137" s="6" t="s">
        <v>249</v>
      </c>
      <c r="B137" s="7" t="s">
        <v>250</v>
      </c>
      <c r="C137" s="6" t="s">
        <v>248</v>
      </c>
      <c r="D137" s="8">
        <v>182</v>
      </c>
      <c r="E137" s="403"/>
      <c r="F137" s="403">
        <f>BBNTHT!J177</f>
        <v>0</v>
      </c>
      <c r="G137" s="403">
        <f t="shared" si="4"/>
        <v>0</v>
      </c>
      <c r="H137" s="9">
        <v>505680</v>
      </c>
      <c r="I137" s="404">
        <f t="shared" si="5"/>
        <v>92033760</v>
      </c>
      <c r="J137" s="403"/>
      <c r="K137" s="404">
        <f t="shared" si="6"/>
        <v>0</v>
      </c>
      <c r="L137" s="405">
        <f t="shared" si="7"/>
        <v>0</v>
      </c>
      <c r="M137" s="403"/>
    </row>
    <row r="138" spans="1:13" ht="15.75" x14ac:dyDescent="0.25">
      <c r="A138" s="6" t="s">
        <v>251</v>
      </c>
      <c r="B138" s="7" t="s">
        <v>252</v>
      </c>
      <c r="C138" s="6" t="s">
        <v>248</v>
      </c>
      <c r="D138" s="8">
        <v>10</v>
      </c>
      <c r="E138" s="403"/>
      <c r="F138" s="403">
        <f>BBNTHT!J178</f>
        <v>0</v>
      </c>
      <c r="G138" s="403">
        <f t="shared" si="4"/>
        <v>0</v>
      </c>
      <c r="H138" s="9">
        <v>744666</v>
      </c>
      <c r="I138" s="404">
        <f t="shared" si="5"/>
        <v>7446660</v>
      </c>
      <c r="J138" s="403"/>
      <c r="K138" s="404">
        <f t="shared" si="6"/>
        <v>0</v>
      </c>
      <c r="L138" s="405">
        <f t="shared" si="7"/>
        <v>0</v>
      </c>
      <c r="M138" s="403"/>
    </row>
    <row r="139" spans="1:13" ht="15.75" x14ac:dyDescent="0.25">
      <c r="A139" s="6" t="s">
        <v>253</v>
      </c>
      <c r="B139" s="7" t="s">
        <v>254</v>
      </c>
      <c r="C139" s="6" t="s">
        <v>248</v>
      </c>
      <c r="D139" s="8">
        <v>325</v>
      </c>
      <c r="E139" s="403"/>
      <c r="F139" s="403">
        <f>BBNTHT!J179</f>
        <v>0</v>
      </c>
      <c r="G139" s="403">
        <f t="shared" si="4"/>
        <v>0</v>
      </c>
      <c r="H139" s="9">
        <v>207814</v>
      </c>
      <c r="I139" s="404">
        <f t="shared" si="5"/>
        <v>67539550</v>
      </c>
      <c r="J139" s="403"/>
      <c r="K139" s="404">
        <f t="shared" si="6"/>
        <v>0</v>
      </c>
      <c r="L139" s="405">
        <f t="shared" si="7"/>
        <v>0</v>
      </c>
      <c r="M139" s="403"/>
    </row>
    <row r="140" spans="1:13" ht="15.75" x14ac:dyDescent="0.25">
      <c r="A140" s="6" t="s">
        <v>255</v>
      </c>
      <c r="B140" s="7" t="s">
        <v>256</v>
      </c>
      <c r="C140" s="6" t="s">
        <v>248</v>
      </c>
      <c r="D140" s="8">
        <v>182</v>
      </c>
      <c r="E140" s="403"/>
      <c r="F140" s="403">
        <f>BBNTHT!J180</f>
        <v>0</v>
      </c>
      <c r="G140" s="403">
        <f t="shared" si="4"/>
        <v>0</v>
      </c>
      <c r="H140" s="9">
        <v>242449</v>
      </c>
      <c r="I140" s="404">
        <f t="shared" si="5"/>
        <v>44125718</v>
      </c>
      <c r="J140" s="403"/>
      <c r="K140" s="404">
        <f t="shared" si="6"/>
        <v>0</v>
      </c>
      <c r="L140" s="405">
        <f t="shared" si="7"/>
        <v>0</v>
      </c>
      <c r="M140" s="403"/>
    </row>
    <row r="141" spans="1:13" ht="15.75" x14ac:dyDescent="0.25">
      <c r="A141" s="6" t="s">
        <v>257</v>
      </c>
      <c r="B141" s="7" t="s">
        <v>258</v>
      </c>
      <c r="C141" s="6" t="s">
        <v>248</v>
      </c>
      <c r="D141" s="8">
        <v>10</v>
      </c>
      <c r="E141" s="403"/>
      <c r="F141" s="403">
        <f>BBNTHT!J181</f>
        <v>0</v>
      </c>
      <c r="G141" s="403">
        <f t="shared" si="4"/>
        <v>0</v>
      </c>
      <c r="H141" s="9">
        <v>496443</v>
      </c>
      <c r="I141" s="404">
        <f t="shared" si="5"/>
        <v>4964430</v>
      </c>
      <c r="J141" s="403"/>
      <c r="K141" s="404">
        <f t="shared" si="6"/>
        <v>0</v>
      </c>
      <c r="L141" s="405">
        <f t="shared" si="7"/>
        <v>0</v>
      </c>
      <c r="M141" s="403"/>
    </row>
    <row r="142" spans="1:13" ht="31.5" x14ac:dyDescent="0.25">
      <c r="A142" s="6" t="s">
        <v>259</v>
      </c>
      <c r="B142" s="7" t="s">
        <v>128</v>
      </c>
      <c r="C142" s="6" t="s">
        <v>37</v>
      </c>
      <c r="D142" s="8">
        <v>73.468000000000004</v>
      </c>
      <c r="E142" s="403"/>
      <c r="F142" s="403">
        <f>BBNTHT!J182</f>
        <v>0</v>
      </c>
      <c r="G142" s="403">
        <f t="shared" si="4"/>
        <v>0</v>
      </c>
      <c r="H142" s="9">
        <v>2176754</v>
      </c>
      <c r="I142" s="404">
        <f t="shared" si="5"/>
        <v>159921763</v>
      </c>
      <c r="J142" s="403"/>
      <c r="K142" s="404">
        <f t="shared" si="6"/>
        <v>0</v>
      </c>
      <c r="L142" s="405">
        <f t="shared" si="7"/>
        <v>0</v>
      </c>
      <c r="M142" s="403"/>
    </row>
    <row r="143" spans="1:13" ht="47.25" x14ac:dyDescent="0.25">
      <c r="A143" s="6" t="s">
        <v>260</v>
      </c>
      <c r="B143" s="7" t="s">
        <v>130</v>
      </c>
      <c r="C143" s="6" t="s">
        <v>61</v>
      </c>
      <c r="D143" s="8">
        <v>11.972</v>
      </c>
      <c r="E143" s="403"/>
      <c r="F143" s="403">
        <f>BBNTHT!J183</f>
        <v>0</v>
      </c>
      <c r="G143" s="403">
        <f t="shared" si="4"/>
        <v>0</v>
      </c>
      <c r="H143" s="9">
        <v>10869023</v>
      </c>
      <c r="I143" s="404">
        <f t="shared" si="5"/>
        <v>130123943</v>
      </c>
      <c r="J143" s="403"/>
      <c r="K143" s="404">
        <f t="shared" si="6"/>
        <v>0</v>
      </c>
      <c r="L143" s="405">
        <f t="shared" si="7"/>
        <v>0</v>
      </c>
      <c r="M143" s="403"/>
    </row>
    <row r="144" spans="1:13" ht="47.25" x14ac:dyDescent="0.25">
      <c r="A144" s="6" t="s">
        <v>261</v>
      </c>
      <c r="B144" s="7" t="s">
        <v>262</v>
      </c>
      <c r="C144" s="6" t="s">
        <v>32</v>
      </c>
      <c r="D144" s="8">
        <v>3.3540000000000001</v>
      </c>
      <c r="E144" s="403"/>
      <c r="F144" s="403">
        <f>BBNTHT!J184</f>
        <v>1.2745200000000001</v>
      </c>
      <c r="G144" s="403">
        <f t="shared" si="4"/>
        <v>1.2745200000000001</v>
      </c>
      <c r="H144" s="9">
        <v>27392695</v>
      </c>
      <c r="I144" s="404">
        <f t="shared" si="5"/>
        <v>91875099</v>
      </c>
      <c r="J144" s="403"/>
      <c r="K144" s="404">
        <f t="shared" si="6"/>
        <v>34912538</v>
      </c>
      <c r="L144" s="405">
        <f t="shared" si="7"/>
        <v>34912538</v>
      </c>
      <c r="M144" s="403"/>
    </row>
    <row r="145" spans="1:13" ht="47.25" x14ac:dyDescent="0.25">
      <c r="A145" s="6" t="s">
        <v>263</v>
      </c>
      <c r="B145" s="7" t="s">
        <v>264</v>
      </c>
      <c r="C145" s="6" t="s">
        <v>32</v>
      </c>
      <c r="D145" s="8">
        <v>4.1459999999999999</v>
      </c>
      <c r="E145" s="403"/>
      <c r="F145" s="403">
        <f>BBNTHT!J185</f>
        <v>1.57548</v>
      </c>
      <c r="G145" s="403">
        <f t="shared" si="4"/>
        <v>1.57548</v>
      </c>
      <c r="H145" s="9">
        <v>27915181</v>
      </c>
      <c r="I145" s="404">
        <f t="shared" si="5"/>
        <v>115736340</v>
      </c>
      <c r="J145" s="403"/>
      <c r="K145" s="404">
        <f t="shared" si="6"/>
        <v>43979809</v>
      </c>
      <c r="L145" s="405">
        <f t="shared" si="7"/>
        <v>43979809</v>
      </c>
      <c r="M145" s="403"/>
    </row>
    <row r="146" spans="1:13" ht="47.25" x14ac:dyDescent="0.25">
      <c r="A146" s="6" t="s">
        <v>265</v>
      </c>
      <c r="B146" s="7" t="s">
        <v>266</v>
      </c>
      <c r="C146" s="6" t="s">
        <v>37</v>
      </c>
      <c r="D146" s="8">
        <v>40.82</v>
      </c>
      <c r="E146" s="403"/>
      <c r="F146" s="403">
        <f>BBNTHT!J186</f>
        <v>0</v>
      </c>
      <c r="G146" s="403">
        <f t="shared" ref="G146:G209" si="8">F146+E146</f>
        <v>0</v>
      </c>
      <c r="H146" s="9">
        <v>1788358</v>
      </c>
      <c r="I146" s="404">
        <f t="shared" ref="I146:I209" si="9">ROUND(D146*H146,0)</f>
        <v>73000774</v>
      </c>
      <c r="J146" s="403"/>
      <c r="K146" s="404">
        <f t="shared" ref="K146:K209" si="10">ROUND(F146*H146,0)</f>
        <v>0</v>
      </c>
      <c r="L146" s="405">
        <f t="shared" ref="L146:L209" si="11">J146+K146</f>
        <v>0</v>
      </c>
      <c r="M146" s="403"/>
    </row>
    <row r="147" spans="1:13" ht="47.25" x14ac:dyDescent="0.25">
      <c r="A147" s="6" t="s">
        <v>267</v>
      </c>
      <c r="B147" s="7" t="s">
        <v>268</v>
      </c>
      <c r="C147" s="6" t="s">
        <v>61</v>
      </c>
      <c r="D147" s="8">
        <v>5.6790000000000003</v>
      </c>
      <c r="E147" s="403"/>
      <c r="F147" s="403">
        <f>BBNTHT!J187</f>
        <v>0</v>
      </c>
      <c r="G147" s="403">
        <f t="shared" si="8"/>
        <v>0</v>
      </c>
      <c r="H147" s="9">
        <v>9115373</v>
      </c>
      <c r="I147" s="404">
        <f t="shared" si="9"/>
        <v>51766203</v>
      </c>
      <c r="J147" s="403"/>
      <c r="K147" s="404">
        <f t="shared" si="10"/>
        <v>0</v>
      </c>
      <c r="L147" s="405">
        <f t="shared" si="11"/>
        <v>0</v>
      </c>
      <c r="M147" s="403"/>
    </row>
    <row r="148" spans="1:13" ht="47.25" x14ac:dyDescent="0.25">
      <c r="A148" s="6" t="s">
        <v>269</v>
      </c>
      <c r="B148" s="7" t="s">
        <v>88</v>
      </c>
      <c r="C148" s="6" t="s">
        <v>270</v>
      </c>
      <c r="D148" s="8">
        <v>87</v>
      </c>
      <c r="E148" s="403"/>
      <c r="F148" s="403">
        <f>BBNTHT!J188</f>
        <v>0</v>
      </c>
      <c r="G148" s="403">
        <f t="shared" si="8"/>
        <v>0</v>
      </c>
      <c r="H148" s="9">
        <v>44369</v>
      </c>
      <c r="I148" s="404">
        <f t="shared" si="9"/>
        <v>3860103</v>
      </c>
      <c r="J148" s="403"/>
      <c r="K148" s="404">
        <f t="shared" si="10"/>
        <v>0</v>
      </c>
      <c r="L148" s="405">
        <f t="shared" si="11"/>
        <v>0</v>
      </c>
      <c r="M148" s="403"/>
    </row>
    <row r="149" spans="1:13" ht="47.25" x14ac:dyDescent="0.25">
      <c r="A149" s="6" t="s">
        <v>271</v>
      </c>
      <c r="B149" s="7" t="s">
        <v>132</v>
      </c>
      <c r="C149" s="6" t="s">
        <v>37</v>
      </c>
      <c r="D149" s="8">
        <v>81.721999999999994</v>
      </c>
      <c r="E149" s="403"/>
      <c r="F149" s="403">
        <f>BBNTHT!J189</f>
        <v>0</v>
      </c>
      <c r="G149" s="403">
        <f t="shared" si="8"/>
        <v>0</v>
      </c>
      <c r="H149" s="9">
        <v>1983134</v>
      </c>
      <c r="I149" s="404">
        <f t="shared" si="9"/>
        <v>162065677</v>
      </c>
      <c r="J149" s="403"/>
      <c r="K149" s="404">
        <f t="shared" si="10"/>
        <v>0</v>
      </c>
      <c r="L149" s="405">
        <f t="shared" si="11"/>
        <v>0</v>
      </c>
      <c r="M149" s="403"/>
    </row>
    <row r="150" spans="1:13" ht="31.5" x14ac:dyDescent="0.25">
      <c r="A150" s="6" t="s">
        <v>272</v>
      </c>
      <c r="B150" s="7" t="s">
        <v>134</v>
      </c>
      <c r="C150" s="6" t="s">
        <v>61</v>
      </c>
      <c r="D150" s="8">
        <v>7.673</v>
      </c>
      <c r="E150" s="403"/>
      <c r="F150" s="403">
        <f>BBNTHT!J190</f>
        <v>0</v>
      </c>
      <c r="G150" s="403">
        <f t="shared" si="8"/>
        <v>0</v>
      </c>
      <c r="H150" s="9">
        <v>21630865</v>
      </c>
      <c r="I150" s="404">
        <f t="shared" si="9"/>
        <v>165973627</v>
      </c>
      <c r="J150" s="403"/>
      <c r="K150" s="404">
        <f t="shared" si="10"/>
        <v>0</v>
      </c>
      <c r="L150" s="405">
        <f t="shared" si="11"/>
        <v>0</v>
      </c>
      <c r="M150" s="403"/>
    </row>
    <row r="151" spans="1:13" ht="47.25" x14ac:dyDescent="0.25">
      <c r="A151" s="6" t="s">
        <v>273</v>
      </c>
      <c r="B151" s="7" t="s">
        <v>274</v>
      </c>
      <c r="C151" s="6" t="s">
        <v>32</v>
      </c>
      <c r="D151" s="8">
        <v>10.781000000000001</v>
      </c>
      <c r="E151" s="403"/>
      <c r="F151" s="403">
        <f>BBNTHT!J191</f>
        <v>4.0967799999999999</v>
      </c>
      <c r="G151" s="403">
        <f t="shared" si="8"/>
        <v>4.0967799999999999</v>
      </c>
      <c r="H151" s="9">
        <v>26983943</v>
      </c>
      <c r="I151" s="404">
        <f t="shared" si="9"/>
        <v>290913889</v>
      </c>
      <c r="J151" s="403"/>
      <c r="K151" s="404">
        <f t="shared" si="10"/>
        <v>110547278</v>
      </c>
      <c r="L151" s="405">
        <f t="shared" si="11"/>
        <v>110547278</v>
      </c>
      <c r="M151" s="403"/>
    </row>
    <row r="152" spans="1:13" ht="47.25" x14ac:dyDescent="0.25">
      <c r="A152" s="6" t="s">
        <v>275</v>
      </c>
      <c r="B152" s="7" t="s">
        <v>276</v>
      </c>
      <c r="C152" s="6" t="s">
        <v>32</v>
      </c>
      <c r="D152" s="8">
        <v>1.732</v>
      </c>
      <c r="E152" s="403"/>
      <c r="F152" s="403">
        <f>BBNTHT!J192</f>
        <v>0.65815999999999997</v>
      </c>
      <c r="G152" s="403">
        <f t="shared" si="8"/>
        <v>0.65815999999999997</v>
      </c>
      <c r="H152" s="9">
        <v>27049139</v>
      </c>
      <c r="I152" s="404">
        <f t="shared" si="9"/>
        <v>46849109</v>
      </c>
      <c r="J152" s="403"/>
      <c r="K152" s="404">
        <f t="shared" si="10"/>
        <v>17802661</v>
      </c>
      <c r="L152" s="405">
        <f t="shared" si="11"/>
        <v>17802661</v>
      </c>
      <c r="M152" s="403"/>
    </row>
    <row r="153" spans="1:13" ht="47.25" x14ac:dyDescent="0.25">
      <c r="A153" s="6" t="s">
        <v>277</v>
      </c>
      <c r="B153" s="7" t="s">
        <v>278</v>
      </c>
      <c r="C153" s="6" t="s">
        <v>279</v>
      </c>
      <c r="D153" s="8">
        <v>17447</v>
      </c>
      <c r="E153" s="403"/>
      <c r="F153" s="403">
        <f>BBNTHT!J193</f>
        <v>0</v>
      </c>
      <c r="G153" s="403">
        <f t="shared" si="8"/>
        <v>0</v>
      </c>
      <c r="H153" s="9">
        <v>11974</v>
      </c>
      <c r="I153" s="404">
        <f t="shared" si="9"/>
        <v>208910378</v>
      </c>
      <c r="J153" s="403"/>
      <c r="K153" s="404">
        <f t="shared" si="10"/>
        <v>0</v>
      </c>
      <c r="L153" s="405">
        <f t="shared" si="11"/>
        <v>0</v>
      </c>
      <c r="M153" s="403"/>
    </row>
    <row r="154" spans="1:13" ht="47.25" x14ac:dyDescent="0.25">
      <c r="A154" s="6" t="s">
        <v>280</v>
      </c>
      <c r="B154" s="7" t="s">
        <v>215</v>
      </c>
      <c r="C154" s="6" t="s">
        <v>32</v>
      </c>
      <c r="D154" s="8">
        <v>1.919</v>
      </c>
      <c r="E154" s="403"/>
      <c r="F154" s="403">
        <f>BBNTHT!J194</f>
        <v>0.72921999999999998</v>
      </c>
      <c r="G154" s="403">
        <f t="shared" si="8"/>
        <v>0.72921999999999998</v>
      </c>
      <c r="H154" s="9">
        <v>25939010</v>
      </c>
      <c r="I154" s="404">
        <f t="shared" si="9"/>
        <v>49776960</v>
      </c>
      <c r="J154" s="403"/>
      <c r="K154" s="404">
        <f t="shared" si="10"/>
        <v>18915245</v>
      </c>
      <c r="L154" s="405">
        <f t="shared" si="11"/>
        <v>18915245</v>
      </c>
      <c r="M154" s="403"/>
    </row>
    <row r="155" spans="1:13" ht="15.75" x14ac:dyDescent="0.25">
      <c r="A155" s="2" t="s">
        <v>281</v>
      </c>
      <c r="B155" s="3" t="s">
        <v>282</v>
      </c>
      <c r="C155" s="2" t="s">
        <v>3</v>
      </c>
      <c r="D155" s="4" t="s">
        <v>3</v>
      </c>
      <c r="E155" s="403"/>
      <c r="F155" s="403">
        <f>BBNTHT!J195</f>
        <v>0</v>
      </c>
      <c r="G155" s="403">
        <f t="shared" si="8"/>
        <v>0</v>
      </c>
      <c r="H155" s="5"/>
      <c r="I155" s="404"/>
      <c r="J155" s="403"/>
      <c r="K155" s="404">
        <f t="shared" si="10"/>
        <v>0</v>
      </c>
      <c r="L155" s="405">
        <f t="shared" si="11"/>
        <v>0</v>
      </c>
      <c r="M155" s="403"/>
    </row>
    <row r="156" spans="1:13" ht="47.25" x14ac:dyDescent="0.25">
      <c r="A156" s="6" t="s">
        <v>283</v>
      </c>
      <c r="B156" s="7" t="s">
        <v>284</v>
      </c>
      <c r="C156" s="6" t="s">
        <v>37</v>
      </c>
      <c r="D156" s="8">
        <v>54.518999999999998</v>
      </c>
      <c r="E156" s="403"/>
      <c r="F156" s="403">
        <f>BBNTHT!J196</f>
        <v>0</v>
      </c>
      <c r="G156" s="403">
        <f t="shared" si="8"/>
        <v>0</v>
      </c>
      <c r="H156" s="9">
        <v>3693206</v>
      </c>
      <c r="I156" s="404">
        <f t="shared" si="9"/>
        <v>201349898</v>
      </c>
      <c r="J156" s="403"/>
      <c r="K156" s="404">
        <f t="shared" si="10"/>
        <v>0</v>
      </c>
      <c r="L156" s="405">
        <f t="shared" si="11"/>
        <v>0</v>
      </c>
      <c r="M156" s="403"/>
    </row>
    <row r="157" spans="1:13" ht="31.5" x14ac:dyDescent="0.25">
      <c r="A157" s="6" t="s">
        <v>285</v>
      </c>
      <c r="B157" s="7" t="s">
        <v>286</v>
      </c>
      <c r="C157" s="6" t="s">
        <v>52</v>
      </c>
      <c r="D157" s="8">
        <v>156.03700000000001</v>
      </c>
      <c r="E157" s="403"/>
      <c r="F157" s="403">
        <f>BBNTHT!J197</f>
        <v>0</v>
      </c>
      <c r="G157" s="403">
        <f t="shared" si="8"/>
        <v>0</v>
      </c>
      <c r="H157" s="9">
        <v>3087605</v>
      </c>
      <c r="I157" s="404">
        <f t="shared" si="9"/>
        <v>481780621</v>
      </c>
      <c r="J157" s="403"/>
      <c r="K157" s="404">
        <f t="shared" si="10"/>
        <v>0</v>
      </c>
      <c r="L157" s="405">
        <f t="shared" si="11"/>
        <v>0</v>
      </c>
      <c r="M157" s="403"/>
    </row>
    <row r="158" spans="1:13" ht="31.5" x14ac:dyDescent="0.25">
      <c r="A158" s="6" t="s">
        <v>287</v>
      </c>
      <c r="B158" s="7" t="s">
        <v>288</v>
      </c>
      <c r="C158" s="6" t="s">
        <v>52</v>
      </c>
      <c r="D158" s="8">
        <v>844.66899999999998</v>
      </c>
      <c r="E158" s="403"/>
      <c r="F158" s="403">
        <f>BBNTHT!J198</f>
        <v>0</v>
      </c>
      <c r="G158" s="403">
        <f t="shared" si="8"/>
        <v>0</v>
      </c>
      <c r="H158" s="9">
        <v>2162469</v>
      </c>
      <c r="I158" s="404">
        <f t="shared" si="9"/>
        <v>1826570528</v>
      </c>
      <c r="J158" s="403"/>
      <c r="K158" s="404">
        <f t="shared" si="10"/>
        <v>0</v>
      </c>
      <c r="L158" s="405">
        <f t="shared" si="11"/>
        <v>0</v>
      </c>
      <c r="M158" s="403"/>
    </row>
    <row r="159" spans="1:13" ht="31.5" x14ac:dyDescent="0.25">
      <c r="A159" s="6" t="s">
        <v>289</v>
      </c>
      <c r="B159" s="7" t="s">
        <v>290</v>
      </c>
      <c r="C159" s="6" t="s">
        <v>52</v>
      </c>
      <c r="D159" s="8">
        <v>282.28899999999999</v>
      </c>
      <c r="E159" s="403"/>
      <c r="F159" s="403">
        <f>BBNTHT!J199</f>
        <v>0</v>
      </c>
      <c r="G159" s="403">
        <f t="shared" si="8"/>
        <v>0</v>
      </c>
      <c r="H159" s="9">
        <v>1523967</v>
      </c>
      <c r="I159" s="404">
        <f t="shared" si="9"/>
        <v>430199120</v>
      </c>
      <c r="J159" s="403"/>
      <c r="K159" s="404">
        <f t="shared" si="10"/>
        <v>0</v>
      </c>
      <c r="L159" s="405">
        <f t="shared" si="11"/>
        <v>0</v>
      </c>
      <c r="M159" s="403"/>
    </row>
    <row r="160" spans="1:13" ht="15.75" x14ac:dyDescent="0.25">
      <c r="A160" s="6" t="s">
        <v>291</v>
      </c>
      <c r="B160" s="7" t="s">
        <v>292</v>
      </c>
      <c r="C160" s="6" t="s">
        <v>52</v>
      </c>
      <c r="D160" s="8">
        <v>282.28899999999999</v>
      </c>
      <c r="E160" s="403"/>
      <c r="F160" s="403">
        <f>BBNTHT!J200</f>
        <v>0</v>
      </c>
      <c r="G160" s="403">
        <f t="shared" si="8"/>
        <v>0</v>
      </c>
      <c r="H160" s="9">
        <v>180503</v>
      </c>
      <c r="I160" s="404">
        <f t="shared" si="9"/>
        <v>50954011</v>
      </c>
      <c r="J160" s="403"/>
      <c r="K160" s="404">
        <f t="shared" si="10"/>
        <v>0</v>
      </c>
      <c r="L160" s="405">
        <f t="shared" si="11"/>
        <v>0</v>
      </c>
      <c r="M160" s="403"/>
    </row>
    <row r="161" spans="1:13" ht="31.5" x14ac:dyDescent="0.25">
      <c r="A161" s="6" t="s">
        <v>293</v>
      </c>
      <c r="B161" s="7" t="s">
        <v>294</v>
      </c>
      <c r="C161" s="6" t="s">
        <v>52</v>
      </c>
      <c r="D161" s="8">
        <v>8.8640000000000008</v>
      </c>
      <c r="E161" s="403"/>
      <c r="F161" s="403">
        <f>BBNTHT!J201</f>
        <v>0</v>
      </c>
      <c r="G161" s="403">
        <f t="shared" si="8"/>
        <v>0</v>
      </c>
      <c r="H161" s="9">
        <v>2158953</v>
      </c>
      <c r="I161" s="404">
        <f t="shared" si="9"/>
        <v>19136959</v>
      </c>
      <c r="J161" s="403"/>
      <c r="K161" s="404">
        <f t="shared" si="10"/>
        <v>0</v>
      </c>
      <c r="L161" s="405">
        <f t="shared" si="11"/>
        <v>0</v>
      </c>
      <c r="M161" s="403"/>
    </row>
    <row r="162" spans="1:13" ht="15.75" x14ac:dyDescent="0.25">
      <c r="A162" s="6" t="s">
        <v>295</v>
      </c>
      <c r="B162" s="7" t="s">
        <v>292</v>
      </c>
      <c r="C162" s="6" t="s">
        <v>52</v>
      </c>
      <c r="D162" s="8">
        <v>8.8640000000000008</v>
      </c>
      <c r="E162" s="403"/>
      <c r="F162" s="403">
        <f>BBNTHT!J202</f>
        <v>0</v>
      </c>
      <c r="G162" s="403">
        <f t="shared" si="8"/>
        <v>0</v>
      </c>
      <c r="H162" s="9">
        <v>180841</v>
      </c>
      <c r="I162" s="404">
        <f t="shared" si="9"/>
        <v>1602975</v>
      </c>
      <c r="J162" s="403"/>
      <c r="K162" s="404">
        <f t="shared" si="10"/>
        <v>0</v>
      </c>
      <c r="L162" s="405">
        <f t="shared" si="11"/>
        <v>0</v>
      </c>
      <c r="M162" s="403"/>
    </row>
    <row r="163" spans="1:13" ht="31.5" x14ac:dyDescent="0.25">
      <c r="A163" s="6" t="s">
        <v>296</v>
      </c>
      <c r="B163" s="7" t="s">
        <v>297</v>
      </c>
      <c r="C163" s="6" t="s">
        <v>52</v>
      </c>
      <c r="D163" s="8">
        <v>572.34199999999998</v>
      </c>
      <c r="E163" s="403"/>
      <c r="F163" s="403">
        <f>BBNTHT!J203</f>
        <v>0</v>
      </c>
      <c r="G163" s="403">
        <f t="shared" si="8"/>
        <v>0</v>
      </c>
      <c r="H163" s="9">
        <v>177682</v>
      </c>
      <c r="I163" s="404">
        <f t="shared" si="9"/>
        <v>101694871</v>
      </c>
      <c r="J163" s="403"/>
      <c r="K163" s="404">
        <f t="shared" si="10"/>
        <v>0</v>
      </c>
      <c r="L163" s="405">
        <f t="shared" si="11"/>
        <v>0</v>
      </c>
      <c r="M163" s="403"/>
    </row>
    <row r="164" spans="1:13" ht="47.25" x14ac:dyDescent="0.25">
      <c r="A164" s="6" t="s">
        <v>298</v>
      </c>
      <c r="B164" s="7" t="s">
        <v>299</v>
      </c>
      <c r="C164" s="6" t="s">
        <v>52</v>
      </c>
      <c r="D164" s="8">
        <v>36.930999999999997</v>
      </c>
      <c r="E164" s="403"/>
      <c r="F164" s="403">
        <f>BBNTHT!J204</f>
        <v>0</v>
      </c>
      <c r="G164" s="403">
        <f t="shared" si="8"/>
        <v>0</v>
      </c>
      <c r="H164" s="9">
        <v>2857437</v>
      </c>
      <c r="I164" s="404">
        <f t="shared" si="9"/>
        <v>105528006</v>
      </c>
      <c r="J164" s="403"/>
      <c r="K164" s="404">
        <f t="shared" si="10"/>
        <v>0</v>
      </c>
      <c r="L164" s="405">
        <f t="shared" si="11"/>
        <v>0</v>
      </c>
      <c r="M164" s="403"/>
    </row>
    <row r="165" spans="1:13" ht="47.25" x14ac:dyDescent="0.25">
      <c r="A165" s="6" t="s">
        <v>300</v>
      </c>
      <c r="B165" s="7" t="s">
        <v>301</v>
      </c>
      <c r="C165" s="6" t="s">
        <v>52</v>
      </c>
      <c r="D165" s="8">
        <v>1255.33</v>
      </c>
      <c r="E165" s="403"/>
      <c r="F165" s="403">
        <f>BBNTHT!J205</f>
        <v>0</v>
      </c>
      <c r="G165" s="403">
        <f t="shared" si="8"/>
        <v>0</v>
      </c>
      <c r="H165" s="9">
        <v>2857437</v>
      </c>
      <c r="I165" s="404">
        <f t="shared" si="9"/>
        <v>3587026389</v>
      </c>
      <c r="J165" s="403"/>
      <c r="K165" s="404">
        <f t="shared" si="10"/>
        <v>0</v>
      </c>
      <c r="L165" s="405">
        <f t="shared" si="11"/>
        <v>0</v>
      </c>
      <c r="M165" s="403"/>
    </row>
    <row r="166" spans="1:13" ht="15.75" x14ac:dyDescent="0.25">
      <c r="A166" s="6" t="s">
        <v>302</v>
      </c>
      <c r="B166" s="7" t="s">
        <v>303</v>
      </c>
      <c r="C166" s="6" t="s">
        <v>52</v>
      </c>
      <c r="D166" s="8">
        <v>1292.261</v>
      </c>
      <c r="E166" s="403"/>
      <c r="F166" s="403">
        <f>BBNTHT!J206</f>
        <v>0</v>
      </c>
      <c r="G166" s="403">
        <f t="shared" si="8"/>
        <v>0</v>
      </c>
      <c r="H166" s="9">
        <v>168782</v>
      </c>
      <c r="I166" s="404">
        <f t="shared" si="9"/>
        <v>218110396</v>
      </c>
      <c r="J166" s="403"/>
      <c r="K166" s="404">
        <f t="shared" si="10"/>
        <v>0</v>
      </c>
      <c r="L166" s="405">
        <f t="shared" si="11"/>
        <v>0</v>
      </c>
      <c r="M166" s="403"/>
    </row>
    <row r="167" spans="1:13" ht="15.75" x14ac:dyDescent="0.25">
      <c r="A167" s="6" t="s">
        <v>304</v>
      </c>
      <c r="B167" s="7" t="s">
        <v>305</v>
      </c>
      <c r="C167" s="6" t="s">
        <v>52</v>
      </c>
      <c r="D167" s="8">
        <v>184.41499999999999</v>
      </c>
      <c r="E167" s="403"/>
      <c r="F167" s="403">
        <f>BBNTHT!J207</f>
        <v>0</v>
      </c>
      <c r="G167" s="403">
        <f t="shared" si="8"/>
        <v>0</v>
      </c>
      <c r="H167" s="9">
        <v>1523967</v>
      </c>
      <c r="I167" s="404">
        <f t="shared" si="9"/>
        <v>281042374</v>
      </c>
      <c r="J167" s="403"/>
      <c r="K167" s="404">
        <f t="shared" si="10"/>
        <v>0</v>
      </c>
      <c r="L167" s="405">
        <f t="shared" si="11"/>
        <v>0</v>
      </c>
      <c r="M167" s="403"/>
    </row>
    <row r="168" spans="1:13" ht="15.75" x14ac:dyDescent="0.25">
      <c r="A168" s="6" t="s">
        <v>306</v>
      </c>
      <c r="B168" s="7" t="s">
        <v>307</v>
      </c>
      <c r="C168" s="6" t="s">
        <v>52</v>
      </c>
      <c r="D168" s="8">
        <v>184.41499999999999</v>
      </c>
      <c r="E168" s="403"/>
      <c r="F168" s="403">
        <f>BBNTHT!J208</f>
        <v>0</v>
      </c>
      <c r="G168" s="403">
        <f t="shared" si="8"/>
        <v>0</v>
      </c>
      <c r="H168" s="9">
        <v>168782</v>
      </c>
      <c r="I168" s="404">
        <f t="shared" si="9"/>
        <v>31125933</v>
      </c>
      <c r="J168" s="403"/>
      <c r="K168" s="404">
        <f t="shared" si="10"/>
        <v>0</v>
      </c>
      <c r="L168" s="405">
        <f t="shared" si="11"/>
        <v>0</v>
      </c>
      <c r="M168" s="403"/>
    </row>
    <row r="169" spans="1:13" ht="15.75" x14ac:dyDescent="0.25">
      <c r="A169" s="6" t="s">
        <v>308</v>
      </c>
      <c r="B169" s="7" t="s">
        <v>309</v>
      </c>
      <c r="C169" s="6" t="s">
        <v>32</v>
      </c>
      <c r="D169" s="8">
        <v>9.2080000000000002</v>
      </c>
      <c r="E169" s="403"/>
      <c r="F169" s="403">
        <f>BBNTHT!J209</f>
        <v>0</v>
      </c>
      <c r="G169" s="403">
        <f t="shared" si="8"/>
        <v>0</v>
      </c>
      <c r="H169" s="9">
        <v>36662025</v>
      </c>
      <c r="I169" s="404">
        <f t="shared" si="9"/>
        <v>337583926</v>
      </c>
      <c r="J169" s="403"/>
      <c r="K169" s="404">
        <f t="shared" si="10"/>
        <v>0</v>
      </c>
      <c r="L169" s="405">
        <f t="shared" si="11"/>
        <v>0</v>
      </c>
      <c r="M169" s="403"/>
    </row>
    <row r="170" spans="1:13" ht="31.5" x14ac:dyDescent="0.25">
      <c r="A170" s="6" t="s">
        <v>310</v>
      </c>
      <c r="B170" s="7" t="s">
        <v>311</v>
      </c>
      <c r="C170" s="6" t="s">
        <v>32</v>
      </c>
      <c r="D170" s="8">
        <v>8.3800000000000008</v>
      </c>
      <c r="E170" s="403"/>
      <c r="F170" s="403">
        <f>BBNTHT!J210</f>
        <v>0</v>
      </c>
      <c r="G170" s="403">
        <f t="shared" si="8"/>
        <v>0</v>
      </c>
      <c r="H170" s="9">
        <v>4060250</v>
      </c>
      <c r="I170" s="404">
        <f t="shared" si="9"/>
        <v>34024895</v>
      </c>
      <c r="J170" s="403"/>
      <c r="K170" s="404">
        <f t="shared" si="10"/>
        <v>0</v>
      </c>
      <c r="L170" s="405">
        <f t="shared" si="11"/>
        <v>0</v>
      </c>
      <c r="M170" s="403"/>
    </row>
    <row r="171" spans="1:13" ht="31.5" x14ac:dyDescent="0.25">
      <c r="A171" s="6" t="s">
        <v>312</v>
      </c>
      <c r="B171" s="7" t="s">
        <v>297</v>
      </c>
      <c r="C171" s="6" t="s">
        <v>52</v>
      </c>
      <c r="D171" s="8">
        <v>190.94</v>
      </c>
      <c r="E171" s="403"/>
      <c r="F171" s="403">
        <f>BBNTHT!J211</f>
        <v>0</v>
      </c>
      <c r="G171" s="403">
        <f t="shared" si="8"/>
        <v>0</v>
      </c>
      <c r="H171" s="9">
        <v>177682</v>
      </c>
      <c r="I171" s="404">
        <f t="shared" si="9"/>
        <v>33926601</v>
      </c>
      <c r="J171" s="403"/>
      <c r="K171" s="404">
        <f t="shared" si="10"/>
        <v>0</v>
      </c>
      <c r="L171" s="405">
        <f t="shared" si="11"/>
        <v>0</v>
      </c>
      <c r="M171" s="403"/>
    </row>
    <row r="172" spans="1:13" ht="47.25" x14ac:dyDescent="0.25">
      <c r="A172" s="6" t="s">
        <v>313</v>
      </c>
      <c r="B172" s="7" t="s">
        <v>314</v>
      </c>
      <c r="C172" s="6" t="s">
        <v>37</v>
      </c>
      <c r="D172" s="8">
        <v>82.629000000000005</v>
      </c>
      <c r="E172" s="403"/>
      <c r="F172" s="403">
        <f>BBNTHT!J212</f>
        <v>0</v>
      </c>
      <c r="G172" s="403">
        <f t="shared" si="8"/>
        <v>0</v>
      </c>
      <c r="H172" s="9">
        <v>2832517</v>
      </c>
      <c r="I172" s="404">
        <f t="shared" si="9"/>
        <v>234048047</v>
      </c>
      <c r="J172" s="403"/>
      <c r="K172" s="404">
        <f t="shared" si="10"/>
        <v>0</v>
      </c>
      <c r="L172" s="405">
        <f t="shared" si="11"/>
        <v>0</v>
      </c>
      <c r="M172" s="403"/>
    </row>
    <row r="173" spans="1:13" ht="47.25" x14ac:dyDescent="0.25">
      <c r="A173" s="6" t="s">
        <v>315</v>
      </c>
      <c r="B173" s="7" t="s">
        <v>316</v>
      </c>
      <c r="C173" s="6" t="s">
        <v>37</v>
      </c>
      <c r="D173" s="8">
        <v>12.314</v>
      </c>
      <c r="E173" s="403"/>
      <c r="F173" s="403">
        <f>BBNTHT!J213</f>
        <v>0</v>
      </c>
      <c r="G173" s="403">
        <f t="shared" si="8"/>
        <v>0</v>
      </c>
      <c r="H173" s="9">
        <v>3052345</v>
      </c>
      <c r="I173" s="404">
        <f t="shared" si="9"/>
        <v>37586576</v>
      </c>
      <c r="J173" s="403"/>
      <c r="K173" s="404">
        <f t="shared" si="10"/>
        <v>0</v>
      </c>
      <c r="L173" s="405">
        <f t="shared" si="11"/>
        <v>0</v>
      </c>
      <c r="M173" s="403"/>
    </row>
    <row r="174" spans="1:13" ht="47.25" x14ac:dyDescent="0.25">
      <c r="A174" s="6" t="s">
        <v>317</v>
      </c>
      <c r="B174" s="7" t="s">
        <v>316</v>
      </c>
      <c r="C174" s="6" t="s">
        <v>37</v>
      </c>
      <c r="D174" s="8">
        <v>7.1319999999999997</v>
      </c>
      <c r="E174" s="403"/>
      <c r="F174" s="403">
        <f>BBNTHT!J214</f>
        <v>0</v>
      </c>
      <c r="G174" s="403">
        <f t="shared" si="8"/>
        <v>0</v>
      </c>
      <c r="H174" s="9">
        <v>3052345</v>
      </c>
      <c r="I174" s="404">
        <f t="shared" si="9"/>
        <v>21769325</v>
      </c>
      <c r="J174" s="403"/>
      <c r="K174" s="404">
        <f t="shared" si="10"/>
        <v>0</v>
      </c>
      <c r="L174" s="405">
        <f t="shared" si="11"/>
        <v>0</v>
      </c>
      <c r="M174" s="403"/>
    </row>
    <row r="175" spans="1:13" ht="47.25" x14ac:dyDescent="0.25">
      <c r="A175" s="6" t="s">
        <v>318</v>
      </c>
      <c r="B175" s="7" t="s">
        <v>319</v>
      </c>
      <c r="C175" s="6" t="s">
        <v>52</v>
      </c>
      <c r="D175" s="8">
        <v>155.04</v>
      </c>
      <c r="E175" s="403"/>
      <c r="F175" s="403">
        <f>BBNTHT!J215</f>
        <v>0</v>
      </c>
      <c r="G175" s="403">
        <f t="shared" si="8"/>
        <v>0</v>
      </c>
      <c r="H175" s="9">
        <v>106077</v>
      </c>
      <c r="I175" s="404">
        <f t="shared" si="9"/>
        <v>16446178</v>
      </c>
      <c r="J175" s="403"/>
      <c r="K175" s="404">
        <f t="shared" si="10"/>
        <v>0</v>
      </c>
      <c r="L175" s="405">
        <f t="shared" si="11"/>
        <v>0</v>
      </c>
      <c r="M175" s="403"/>
    </row>
    <row r="176" spans="1:13" ht="31.5" x14ac:dyDescent="0.25">
      <c r="A176" s="6" t="s">
        <v>320</v>
      </c>
      <c r="B176" s="7" t="s">
        <v>321</v>
      </c>
      <c r="C176" s="6" t="s">
        <v>52</v>
      </c>
      <c r="D176" s="8">
        <v>124.032</v>
      </c>
      <c r="E176" s="403"/>
      <c r="F176" s="403">
        <f>BBNTHT!J216</f>
        <v>0</v>
      </c>
      <c r="G176" s="403">
        <f t="shared" si="8"/>
        <v>0</v>
      </c>
      <c r="H176" s="9">
        <v>2191540</v>
      </c>
      <c r="I176" s="404">
        <f t="shared" si="9"/>
        <v>271821089</v>
      </c>
      <c r="J176" s="403"/>
      <c r="K176" s="404">
        <f t="shared" si="10"/>
        <v>0</v>
      </c>
      <c r="L176" s="405">
        <f t="shared" si="11"/>
        <v>0</v>
      </c>
      <c r="M176" s="403"/>
    </row>
    <row r="177" spans="1:13" ht="31.5" x14ac:dyDescent="0.25">
      <c r="A177" s="6" t="s">
        <v>322</v>
      </c>
      <c r="B177" s="7" t="s">
        <v>323</v>
      </c>
      <c r="C177" s="6" t="s">
        <v>52</v>
      </c>
      <c r="D177" s="8">
        <v>101.28</v>
      </c>
      <c r="E177" s="403"/>
      <c r="F177" s="403">
        <f>BBNTHT!J217</f>
        <v>0</v>
      </c>
      <c r="G177" s="403">
        <f t="shared" si="8"/>
        <v>0</v>
      </c>
      <c r="H177" s="9">
        <v>3174930</v>
      </c>
      <c r="I177" s="404">
        <f t="shared" si="9"/>
        <v>321556910</v>
      </c>
      <c r="J177" s="403"/>
      <c r="K177" s="404">
        <f t="shared" si="10"/>
        <v>0</v>
      </c>
      <c r="L177" s="405">
        <f t="shared" si="11"/>
        <v>0</v>
      </c>
      <c r="M177" s="403"/>
    </row>
    <row r="178" spans="1:13" ht="47.25" x14ac:dyDescent="0.25">
      <c r="A178" s="6" t="s">
        <v>324</v>
      </c>
      <c r="B178" s="7" t="s">
        <v>325</v>
      </c>
      <c r="C178" s="6" t="s">
        <v>37</v>
      </c>
      <c r="D178" s="8">
        <v>12.321</v>
      </c>
      <c r="E178" s="403"/>
      <c r="F178" s="403">
        <f>BBNTHT!J218</f>
        <v>0</v>
      </c>
      <c r="G178" s="403">
        <f t="shared" si="8"/>
        <v>0</v>
      </c>
      <c r="H178" s="9">
        <v>1708042</v>
      </c>
      <c r="I178" s="404">
        <f t="shared" si="9"/>
        <v>21044785</v>
      </c>
      <c r="J178" s="403"/>
      <c r="K178" s="404">
        <f t="shared" si="10"/>
        <v>0</v>
      </c>
      <c r="L178" s="405">
        <f t="shared" si="11"/>
        <v>0</v>
      </c>
      <c r="M178" s="403"/>
    </row>
    <row r="179" spans="1:13" ht="63" x14ac:dyDescent="0.25">
      <c r="A179" s="6" t="s">
        <v>326</v>
      </c>
      <c r="B179" s="7" t="s">
        <v>327</v>
      </c>
      <c r="C179" s="6" t="s">
        <v>37</v>
      </c>
      <c r="D179" s="8">
        <v>15.504</v>
      </c>
      <c r="E179" s="403"/>
      <c r="F179" s="403">
        <f>BBNTHT!J219</f>
        <v>0</v>
      </c>
      <c r="G179" s="403">
        <f t="shared" si="8"/>
        <v>0</v>
      </c>
      <c r="H179" s="9">
        <v>1976846</v>
      </c>
      <c r="I179" s="404">
        <f t="shared" si="9"/>
        <v>30649020</v>
      </c>
      <c r="J179" s="403"/>
      <c r="K179" s="404">
        <f t="shared" si="10"/>
        <v>0</v>
      </c>
      <c r="L179" s="405">
        <f t="shared" si="11"/>
        <v>0</v>
      </c>
      <c r="M179" s="403"/>
    </row>
    <row r="180" spans="1:13" ht="47.25" x14ac:dyDescent="0.25">
      <c r="A180" s="6" t="s">
        <v>328</v>
      </c>
      <c r="B180" s="7" t="s">
        <v>316</v>
      </c>
      <c r="C180" s="6" t="s">
        <v>37</v>
      </c>
      <c r="D180" s="8">
        <v>466.18299999999999</v>
      </c>
      <c r="E180" s="403"/>
      <c r="F180" s="403">
        <f>BBNTHT!J220</f>
        <v>0</v>
      </c>
      <c r="G180" s="403">
        <f t="shared" si="8"/>
        <v>0</v>
      </c>
      <c r="H180" s="9">
        <v>3052345</v>
      </c>
      <c r="I180" s="404">
        <f t="shared" si="9"/>
        <v>1422951349</v>
      </c>
      <c r="J180" s="403"/>
      <c r="K180" s="404">
        <f t="shared" si="10"/>
        <v>0</v>
      </c>
      <c r="L180" s="405">
        <f t="shared" si="11"/>
        <v>0</v>
      </c>
      <c r="M180" s="403"/>
    </row>
    <row r="181" spans="1:13" ht="63" x14ac:dyDescent="0.25">
      <c r="A181" s="6" t="s">
        <v>329</v>
      </c>
      <c r="B181" s="7" t="s">
        <v>330</v>
      </c>
      <c r="C181" s="6" t="s">
        <v>37</v>
      </c>
      <c r="D181" s="8">
        <v>11.936999999999999</v>
      </c>
      <c r="E181" s="403"/>
      <c r="F181" s="403">
        <f>BBNTHT!J221</f>
        <v>0</v>
      </c>
      <c r="G181" s="403">
        <f t="shared" si="8"/>
        <v>0</v>
      </c>
      <c r="H181" s="9">
        <v>1546879</v>
      </c>
      <c r="I181" s="404">
        <f t="shared" si="9"/>
        <v>18465095</v>
      </c>
      <c r="J181" s="403"/>
      <c r="K181" s="404">
        <f t="shared" si="10"/>
        <v>0</v>
      </c>
      <c r="L181" s="405">
        <f t="shared" si="11"/>
        <v>0</v>
      </c>
      <c r="M181" s="403"/>
    </row>
    <row r="182" spans="1:13" ht="63" x14ac:dyDescent="0.25">
      <c r="A182" s="6" t="s">
        <v>331</v>
      </c>
      <c r="B182" s="7" t="s">
        <v>332</v>
      </c>
      <c r="C182" s="6" t="s">
        <v>37</v>
      </c>
      <c r="D182" s="8">
        <v>159.59800000000001</v>
      </c>
      <c r="E182" s="403"/>
      <c r="F182" s="403">
        <f>BBNTHT!J222</f>
        <v>0</v>
      </c>
      <c r="G182" s="403">
        <f t="shared" si="8"/>
        <v>0</v>
      </c>
      <c r="H182" s="9">
        <v>2105279</v>
      </c>
      <c r="I182" s="404">
        <f t="shared" si="9"/>
        <v>335998318</v>
      </c>
      <c r="J182" s="403"/>
      <c r="K182" s="404">
        <f t="shared" si="10"/>
        <v>0</v>
      </c>
      <c r="L182" s="405">
        <f t="shared" si="11"/>
        <v>0</v>
      </c>
      <c r="M182" s="403"/>
    </row>
    <row r="183" spans="1:13" ht="63" x14ac:dyDescent="0.25">
      <c r="A183" s="6" t="s">
        <v>333</v>
      </c>
      <c r="B183" s="7" t="s">
        <v>334</v>
      </c>
      <c r="C183" s="6" t="s">
        <v>37</v>
      </c>
      <c r="D183" s="8">
        <v>1056.271</v>
      </c>
      <c r="E183" s="403"/>
      <c r="F183" s="403">
        <f>BBNTHT!J223</f>
        <v>0</v>
      </c>
      <c r="G183" s="403">
        <f t="shared" si="8"/>
        <v>0</v>
      </c>
      <c r="H183" s="9">
        <v>1997918</v>
      </c>
      <c r="I183" s="404">
        <f t="shared" si="9"/>
        <v>2110342844</v>
      </c>
      <c r="J183" s="403"/>
      <c r="K183" s="404">
        <f t="shared" si="10"/>
        <v>0</v>
      </c>
      <c r="L183" s="405">
        <f t="shared" si="11"/>
        <v>0</v>
      </c>
      <c r="M183" s="403"/>
    </row>
    <row r="184" spans="1:13" ht="63" x14ac:dyDescent="0.25">
      <c r="A184" s="6" t="s">
        <v>335</v>
      </c>
      <c r="B184" s="7" t="s">
        <v>334</v>
      </c>
      <c r="C184" s="6" t="s">
        <v>37</v>
      </c>
      <c r="D184" s="8">
        <v>67.051000000000002</v>
      </c>
      <c r="E184" s="403"/>
      <c r="F184" s="403">
        <f>BBNTHT!J224</f>
        <v>0</v>
      </c>
      <c r="G184" s="403">
        <f t="shared" si="8"/>
        <v>0</v>
      </c>
      <c r="H184" s="9">
        <v>1997918</v>
      </c>
      <c r="I184" s="404">
        <f t="shared" si="9"/>
        <v>133962400</v>
      </c>
      <c r="J184" s="403"/>
      <c r="K184" s="404">
        <f t="shared" si="10"/>
        <v>0</v>
      </c>
      <c r="L184" s="405">
        <f t="shared" si="11"/>
        <v>0</v>
      </c>
      <c r="M184" s="403"/>
    </row>
    <row r="185" spans="1:13" ht="63" x14ac:dyDescent="0.25">
      <c r="A185" s="6" t="s">
        <v>336</v>
      </c>
      <c r="B185" s="7" t="s">
        <v>334</v>
      </c>
      <c r="C185" s="6" t="s">
        <v>37</v>
      </c>
      <c r="D185" s="8">
        <v>652.26</v>
      </c>
      <c r="E185" s="403"/>
      <c r="F185" s="403">
        <f>BBNTHT!J225</f>
        <v>0</v>
      </c>
      <c r="G185" s="403">
        <f t="shared" si="8"/>
        <v>0</v>
      </c>
      <c r="H185" s="9">
        <v>1997918</v>
      </c>
      <c r="I185" s="404">
        <f t="shared" si="9"/>
        <v>1303161995</v>
      </c>
      <c r="J185" s="403"/>
      <c r="K185" s="404">
        <f t="shared" si="10"/>
        <v>0</v>
      </c>
      <c r="L185" s="405">
        <f t="shared" si="11"/>
        <v>0</v>
      </c>
      <c r="M185" s="403"/>
    </row>
    <row r="186" spans="1:13" ht="63" x14ac:dyDescent="0.25">
      <c r="A186" s="6" t="s">
        <v>337</v>
      </c>
      <c r="B186" s="7" t="s">
        <v>334</v>
      </c>
      <c r="C186" s="6" t="s">
        <v>37</v>
      </c>
      <c r="D186" s="8">
        <v>934.16700000000003</v>
      </c>
      <c r="E186" s="403"/>
      <c r="F186" s="403">
        <f>BBNTHT!J226</f>
        <v>0</v>
      </c>
      <c r="G186" s="403">
        <f t="shared" si="8"/>
        <v>0</v>
      </c>
      <c r="H186" s="9">
        <v>1997918</v>
      </c>
      <c r="I186" s="404">
        <f t="shared" si="9"/>
        <v>1866389064</v>
      </c>
      <c r="J186" s="403"/>
      <c r="K186" s="404">
        <f t="shared" si="10"/>
        <v>0</v>
      </c>
      <c r="L186" s="405">
        <f t="shared" si="11"/>
        <v>0</v>
      </c>
      <c r="M186" s="403"/>
    </row>
    <row r="187" spans="1:13" ht="31.5" x14ac:dyDescent="0.25">
      <c r="A187" s="6" t="s">
        <v>338</v>
      </c>
      <c r="B187" s="7" t="s">
        <v>339</v>
      </c>
      <c r="C187" s="6" t="s">
        <v>52</v>
      </c>
      <c r="D187" s="8">
        <v>1893.54</v>
      </c>
      <c r="E187" s="403"/>
      <c r="F187" s="403">
        <f>BBNTHT!J227</f>
        <v>0</v>
      </c>
      <c r="G187" s="403">
        <f t="shared" si="8"/>
        <v>0</v>
      </c>
      <c r="H187" s="9">
        <v>143935</v>
      </c>
      <c r="I187" s="404">
        <f t="shared" si="9"/>
        <v>272546680</v>
      </c>
      <c r="J187" s="403"/>
      <c r="K187" s="404">
        <f t="shared" si="10"/>
        <v>0</v>
      </c>
      <c r="L187" s="405">
        <f t="shared" si="11"/>
        <v>0</v>
      </c>
      <c r="M187" s="403"/>
    </row>
    <row r="188" spans="1:13" ht="47.25" x14ac:dyDescent="0.25">
      <c r="A188" s="6" t="s">
        <v>340</v>
      </c>
      <c r="B188" s="7" t="s">
        <v>319</v>
      </c>
      <c r="C188" s="6" t="s">
        <v>52</v>
      </c>
      <c r="D188" s="8">
        <v>2332.4749999999999</v>
      </c>
      <c r="E188" s="403"/>
      <c r="F188" s="403">
        <f>BBNTHT!J228</f>
        <v>0</v>
      </c>
      <c r="G188" s="403">
        <f t="shared" si="8"/>
        <v>0</v>
      </c>
      <c r="H188" s="9">
        <v>106077</v>
      </c>
      <c r="I188" s="404">
        <f t="shared" si="9"/>
        <v>247421951</v>
      </c>
      <c r="J188" s="403"/>
      <c r="K188" s="404">
        <f t="shared" si="10"/>
        <v>0</v>
      </c>
      <c r="L188" s="405">
        <f t="shared" si="11"/>
        <v>0</v>
      </c>
      <c r="M188" s="403"/>
    </row>
    <row r="189" spans="1:13" ht="47.25" x14ac:dyDescent="0.25">
      <c r="A189" s="6" t="s">
        <v>341</v>
      </c>
      <c r="B189" s="7" t="s">
        <v>342</v>
      </c>
      <c r="C189" s="6" t="s">
        <v>52</v>
      </c>
      <c r="D189" s="8">
        <v>32578.859</v>
      </c>
      <c r="E189" s="403"/>
      <c r="F189" s="403">
        <f>BBNTHT!J229</f>
        <v>0</v>
      </c>
      <c r="G189" s="403">
        <f t="shared" si="8"/>
        <v>0</v>
      </c>
      <c r="H189" s="9">
        <v>84564</v>
      </c>
      <c r="I189" s="404">
        <f t="shared" si="9"/>
        <v>2754998632</v>
      </c>
      <c r="J189" s="403"/>
      <c r="K189" s="404">
        <f t="shared" si="10"/>
        <v>0</v>
      </c>
      <c r="L189" s="405">
        <f t="shared" si="11"/>
        <v>0</v>
      </c>
      <c r="M189" s="403"/>
    </row>
    <row r="190" spans="1:13" ht="47.25" x14ac:dyDescent="0.25">
      <c r="A190" s="6" t="s">
        <v>343</v>
      </c>
      <c r="B190" s="7" t="s">
        <v>344</v>
      </c>
      <c r="C190" s="6" t="s">
        <v>52</v>
      </c>
      <c r="D190" s="8">
        <v>6614.22</v>
      </c>
      <c r="E190" s="403"/>
      <c r="F190" s="403">
        <f>BBNTHT!J230</f>
        <v>0</v>
      </c>
      <c r="G190" s="403">
        <f t="shared" si="8"/>
        <v>0</v>
      </c>
      <c r="H190" s="9">
        <v>213398</v>
      </c>
      <c r="I190" s="404">
        <f t="shared" si="9"/>
        <v>1411461320</v>
      </c>
      <c r="J190" s="403"/>
      <c r="K190" s="404">
        <f t="shared" si="10"/>
        <v>0</v>
      </c>
      <c r="L190" s="405">
        <f t="shared" si="11"/>
        <v>0</v>
      </c>
      <c r="M190" s="403"/>
    </row>
    <row r="191" spans="1:13" ht="15.75" x14ac:dyDescent="0.25">
      <c r="A191" s="6" t="s">
        <v>345</v>
      </c>
      <c r="B191" s="7" t="s">
        <v>346</v>
      </c>
      <c r="C191" s="6" t="s">
        <v>52</v>
      </c>
      <c r="D191" s="8">
        <v>542.75</v>
      </c>
      <c r="E191" s="403"/>
      <c r="F191" s="403">
        <f>BBNTHT!J231</f>
        <v>0</v>
      </c>
      <c r="G191" s="403">
        <f t="shared" si="8"/>
        <v>0</v>
      </c>
      <c r="H191" s="9">
        <v>206059</v>
      </c>
      <c r="I191" s="404">
        <f t="shared" si="9"/>
        <v>111838522</v>
      </c>
      <c r="J191" s="403"/>
      <c r="K191" s="404">
        <f t="shared" si="10"/>
        <v>0</v>
      </c>
      <c r="L191" s="405">
        <f t="shared" si="11"/>
        <v>0</v>
      </c>
      <c r="M191" s="403"/>
    </row>
    <row r="192" spans="1:13" ht="31.5" x14ac:dyDescent="0.25">
      <c r="A192" s="6" t="s">
        <v>347</v>
      </c>
      <c r="B192" s="7" t="s">
        <v>348</v>
      </c>
      <c r="C192" s="6" t="s">
        <v>52</v>
      </c>
      <c r="D192" s="8">
        <v>2120.1</v>
      </c>
      <c r="E192" s="403"/>
      <c r="F192" s="403">
        <f>BBNTHT!J232</f>
        <v>0</v>
      </c>
      <c r="G192" s="403">
        <f t="shared" si="8"/>
        <v>0</v>
      </c>
      <c r="H192" s="9">
        <v>102499</v>
      </c>
      <c r="I192" s="404">
        <f t="shared" si="9"/>
        <v>217308130</v>
      </c>
      <c r="J192" s="403"/>
      <c r="K192" s="404">
        <f t="shared" si="10"/>
        <v>0</v>
      </c>
      <c r="L192" s="405">
        <f t="shared" si="11"/>
        <v>0</v>
      </c>
      <c r="M192" s="403"/>
    </row>
    <row r="193" spans="1:13" ht="15.75" x14ac:dyDescent="0.25">
      <c r="A193" s="6" t="s">
        <v>349</v>
      </c>
      <c r="B193" s="7" t="s">
        <v>350</v>
      </c>
      <c r="C193" s="6" t="s">
        <v>52</v>
      </c>
      <c r="D193" s="8">
        <v>2380.3200000000002</v>
      </c>
      <c r="E193" s="403"/>
      <c r="F193" s="403">
        <f>BBNTHT!J233</f>
        <v>0</v>
      </c>
      <c r="G193" s="403">
        <f t="shared" si="8"/>
        <v>0</v>
      </c>
      <c r="H193" s="9">
        <v>151012</v>
      </c>
      <c r="I193" s="404">
        <f t="shared" si="9"/>
        <v>359456884</v>
      </c>
      <c r="J193" s="403"/>
      <c r="K193" s="404">
        <f t="shared" si="10"/>
        <v>0</v>
      </c>
      <c r="L193" s="405">
        <f t="shared" si="11"/>
        <v>0</v>
      </c>
      <c r="M193" s="403"/>
    </row>
    <row r="194" spans="1:13" ht="47.25" x14ac:dyDescent="0.25">
      <c r="A194" s="6" t="s">
        <v>351</v>
      </c>
      <c r="B194" s="7" t="s">
        <v>352</v>
      </c>
      <c r="C194" s="6" t="s">
        <v>52</v>
      </c>
      <c r="D194" s="8">
        <v>398.22</v>
      </c>
      <c r="E194" s="403"/>
      <c r="F194" s="403">
        <f>BBNTHT!J234</f>
        <v>0</v>
      </c>
      <c r="G194" s="403">
        <f t="shared" si="8"/>
        <v>0</v>
      </c>
      <c r="H194" s="9">
        <v>8032573</v>
      </c>
      <c r="I194" s="404">
        <f t="shared" si="9"/>
        <v>3198731220</v>
      </c>
      <c r="J194" s="403"/>
      <c r="K194" s="404">
        <f t="shared" si="10"/>
        <v>0</v>
      </c>
      <c r="L194" s="405">
        <f t="shared" si="11"/>
        <v>0</v>
      </c>
      <c r="M194" s="403"/>
    </row>
    <row r="195" spans="1:13" ht="47.25" x14ac:dyDescent="0.25">
      <c r="A195" s="6" t="s">
        <v>353</v>
      </c>
      <c r="B195" s="7" t="s">
        <v>354</v>
      </c>
      <c r="C195" s="6" t="s">
        <v>52</v>
      </c>
      <c r="D195" s="8">
        <v>102.95</v>
      </c>
      <c r="E195" s="403"/>
      <c r="F195" s="403">
        <f>BBNTHT!J235</f>
        <v>0</v>
      </c>
      <c r="G195" s="403">
        <f t="shared" si="8"/>
        <v>0</v>
      </c>
      <c r="H195" s="9">
        <v>5333882</v>
      </c>
      <c r="I195" s="404">
        <f t="shared" si="9"/>
        <v>549123152</v>
      </c>
      <c r="J195" s="403"/>
      <c r="K195" s="404">
        <f t="shared" si="10"/>
        <v>0</v>
      </c>
      <c r="L195" s="405">
        <f t="shared" si="11"/>
        <v>0</v>
      </c>
      <c r="M195" s="403"/>
    </row>
    <row r="196" spans="1:13" ht="47.25" x14ac:dyDescent="0.25">
      <c r="A196" s="6" t="s">
        <v>355</v>
      </c>
      <c r="B196" s="7" t="s">
        <v>356</v>
      </c>
      <c r="C196" s="6" t="s">
        <v>52</v>
      </c>
      <c r="D196" s="8">
        <v>15.46</v>
      </c>
      <c r="E196" s="403"/>
      <c r="F196" s="403">
        <f>BBNTHT!J236</f>
        <v>0</v>
      </c>
      <c r="G196" s="403">
        <f t="shared" si="8"/>
        <v>0</v>
      </c>
      <c r="H196" s="9">
        <v>5111637</v>
      </c>
      <c r="I196" s="404">
        <f t="shared" si="9"/>
        <v>79025908</v>
      </c>
      <c r="J196" s="403"/>
      <c r="K196" s="404">
        <f t="shared" si="10"/>
        <v>0</v>
      </c>
      <c r="L196" s="405">
        <f t="shared" si="11"/>
        <v>0</v>
      </c>
      <c r="M196" s="403"/>
    </row>
    <row r="197" spans="1:13" ht="47.25" x14ac:dyDescent="0.25">
      <c r="A197" s="6" t="s">
        <v>357</v>
      </c>
      <c r="B197" s="7" t="s">
        <v>358</v>
      </c>
      <c r="C197" s="6" t="s">
        <v>52</v>
      </c>
      <c r="D197" s="8">
        <v>717.63800000000003</v>
      </c>
      <c r="E197" s="403"/>
      <c r="F197" s="403">
        <f>BBNTHT!J237</f>
        <v>0</v>
      </c>
      <c r="G197" s="403">
        <f t="shared" si="8"/>
        <v>0</v>
      </c>
      <c r="H197" s="9">
        <v>4222656</v>
      </c>
      <c r="I197" s="404">
        <f t="shared" si="9"/>
        <v>3030338407</v>
      </c>
      <c r="J197" s="403"/>
      <c r="K197" s="404">
        <f t="shared" si="10"/>
        <v>0</v>
      </c>
      <c r="L197" s="405">
        <f t="shared" si="11"/>
        <v>0</v>
      </c>
      <c r="M197" s="403"/>
    </row>
    <row r="198" spans="1:13" ht="31.5" x14ac:dyDescent="0.25">
      <c r="A198" s="6" t="s">
        <v>359</v>
      </c>
      <c r="B198" s="7" t="s">
        <v>360</v>
      </c>
      <c r="C198" s="6" t="s">
        <v>52</v>
      </c>
      <c r="D198" s="8">
        <v>32.96</v>
      </c>
      <c r="E198" s="403"/>
      <c r="F198" s="403">
        <f>BBNTHT!J238</f>
        <v>0</v>
      </c>
      <c r="G198" s="403">
        <f t="shared" si="8"/>
        <v>0</v>
      </c>
      <c r="H198" s="9">
        <v>4724295</v>
      </c>
      <c r="I198" s="404">
        <f t="shared" si="9"/>
        <v>155712763</v>
      </c>
      <c r="J198" s="403"/>
      <c r="K198" s="404">
        <f t="shared" si="10"/>
        <v>0</v>
      </c>
      <c r="L198" s="405">
        <f t="shared" si="11"/>
        <v>0</v>
      </c>
      <c r="M198" s="403"/>
    </row>
    <row r="199" spans="1:13" ht="31.5" x14ac:dyDescent="0.25">
      <c r="A199" s="6" t="s">
        <v>361</v>
      </c>
      <c r="B199" s="7" t="s">
        <v>362</v>
      </c>
      <c r="C199" s="6" t="s">
        <v>52</v>
      </c>
      <c r="D199" s="8">
        <v>4.2</v>
      </c>
      <c r="E199" s="403"/>
      <c r="F199" s="403">
        <f>BBNTHT!J239</f>
        <v>0</v>
      </c>
      <c r="G199" s="403">
        <f t="shared" si="8"/>
        <v>0</v>
      </c>
      <c r="H199" s="9">
        <v>4724295</v>
      </c>
      <c r="I199" s="404">
        <f t="shared" si="9"/>
        <v>19842039</v>
      </c>
      <c r="J199" s="403"/>
      <c r="K199" s="404">
        <f t="shared" si="10"/>
        <v>0</v>
      </c>
      <c r="L199" s="405">
        <f t="shared" si="11"/>
        <v>0</v>
      </c>
      <c r="M199" s="403"/>
    </row>
    <row r="200" spans="1:13" ht="31.5" x14ac:dyDescent="0.25">
      <c r="A200" s="6" t="s">
        <v>363</v>
      </c>
      <c r="B200" s="7" t="s">
        <v>364</v>
      </c>
      <c r="C200" s="6" t="s">
        <v>52</v>
      </c>
      <c r="D200" s="8">
        <v>2670.47</v>
      </c>
      <c r="E200" s="403"/>
      <c r="F200" s="403">
        <f>BBNTHT!J240</f>
        <v>0</v>
      </c>
      <c r="G200" s="403">
        <f t="shared" si="8"/>
        <v>0</v>
      </c>
      <c r="H200" s="9">
        <v>3200330</v>
      </c>
      <c r="I200" s="404">
        <f t="shared" si="9"/>
        <v>8546385255</v>
      </c>
      <c r="J200" s="403"/>
      <c r="K200" s="404">
        <f t="shared" si="10"/>
        <v>0</v>
      </c>
      <c r="L200" s="405">
        <f t="shared" si="11"/>
        <v>0</v>
      </c>
      <c r="M200" s="403"/>
    </row>
    <row r="201" spans="1:13" ht="47.25" x14ac:dyDescent="0.25">
      <c r="A201" s="6" t="s">
        <v>365</v>
      </c>
      <c r="B201" s="7" t="s">
        <v>366</v>
      </c>
      <c r="C201" s="6" t="s">
        <v>52</v>
      </c>
      <c r="D201" s="8">
        <v>2.6</v>
      </c>
      <c r="E201" s="403"/>
      <c r="F201" s="403">
        <f>BBNTHT!J241</f>
        <v>0</v>
      </c>
      <c r="G201" s="403">
        <f t="shared" si="8"/>
        <v>0</v>
      </c>
      <c r="H201" s="9">
        <v>10442633</v>
      </c>
      <c r="I201" s="404">
        <f t="shared" si="9"/>
        <v>27150846</v>
      </c>
      <c r="J201" s="403"/>
      <c r="K201" s="404">
        <f t="shared" si="10"/>
        <v>0</v>
      </c>
      <c r="L201" s="405">
        <f t="shared" si="11"/>
        <v>0</v>
      </c>
      <c r="M201" s="403"/>
    </row>
    <row r="202" spans="1:13" ht="31.5" x14ac:dyDescent="0.25">
      <c r="A202" s="6" t="s">
        <v>367</v>
      </c>
      <c r="B202" s="7" t="s">
        <v>368</v>
      </c>
      <c r="C202" s="6" t="s">
        <v>52</v>
      </c>
      <c r="D202" s="8">
        <v>103.53</v>
      </c>
      <c r="E202" s="403"/>
      <c r="F202" s="403">
        <f>BBNTHT!J242</f>
        <v>0</v>
      </c>
      <c r="G202" s="403">
        <f t="shared" si="8"/>
        <v>0</v>
      </c>
      <c r="H202" s="9">
        <v>3200330</v>
      </c>
      <c r="I202" s="404">
        <f t="shared" si="9"/>
        <v>331330165</v>
      </c>
      <c r="J202" s="403"/>
      <c r="K202" s="404">
        <f t="shared" si="10"/>
        <v>0</v>
      </c>
      <c r="L202" s="405">
        <f t="shared" si="11"/>
        <v>0</v>
      </c>
      <c r="M202" s="403"/>
    </row>
    <row r="203" spans="1:13" ht="47.25" x14ac:dyDescent="0.25">
      <c r="A203" s="6" t="s">
        <v>369</v>
      </c>
      <c r="B203" s="7" t="s">
        <v>370</v>
      </c>
      <c r="C203" s="6" t="s">
        <v>52</v>
      </c>
      <c r="D203" s="8">
        <v>44.201999999999998</v>
      </c>
      <c r="E203" s="403"/>
      <c r="F203" s="403">
        <f>BBNTHT!J243</f>
        <v>0</v>
      </c>
      <c r="G203" s="403">
        <f t="shared" si="8"/>
        <v>0</v>
      </c>
      <c r="H203" s="9">
        <v>7452427</v>
      </c>
      <c r="I203" s="404">
        <f t="shared" si="9"/>
        <v>329412178</v>
      </c>
      <c r="J203" s="403"/>
      <c r="K203" s="404">
        <f t="shared" si="10"/>
        <v>0</v>
      </c>
      <c r="L203" s="405">
        <f t="shared" si="11"/>
        <v>0</v>
      </c>
      <c r="M203" s="403"/>
    </row>
    <row r="204" spans="1:13" ht="31.5" x14ac:dyDescent="0.25">
      <c r="A204" s="6" t="s">
        <v>371</v>
      </c>
      <c r="B204" s="7" t="s">
        <v>372</v>
      </c>
      <c r="C204" s="6" t="s">
        <v>52</v>
      </c>
      <c r="D204" s="8">
        <v>2153.36</v>
      </c>
      <c r="E204" s="403"/>
      <c r="F204" s="403">
        <f>BBNTHT!J244</f>
        <v>0</v>
      </c>
      <c r="G204" s="403">
        <f t="shared" si="8"/>
        <v>0</v>
      </c>
      <c r="H204" s="9">
        <v>3505123</v>
      </c>
      <c r="I204" s="404">
        <f t="shared" si="9"/>
        <v>7547791663</v>
      </c>
      <c r="J204" s="403"/>
      <c r="K204" s="404">
        <f t="shared" si="10"/>
        <v>0</v>
      </c>
      <c r="L204" s="405">
        <f t="shared" si="11"/>
        <v>0</v>
      </c>
      <c r="M204" s="403"/>
    </row>
    <row r="205" spans="1:13" ht="31.5" x14ac:dyDescent="0.25">
      <c r="A205" s="6" t="s">
        <v>373</v>
      </c>
      <c r="B205" s="7" t="s">
        <v>374</v>
      </c>
      <c r="C205" s="6" t="s">
        <v>52</v>
      </c>
      <c r="D205" s="8">
        <v>57.03</v>
      </c>
      <c r="E205" s="403"/>
      <c r="F205" s="403">
        <f>BBNTHT!J245</f>
        <v>0</v>
      </c>
      <c r="G205" s="403">
        <f t="shared" si="8"/>
        <v>0</v>
      </c>
      <c r="H205" s="9">
        <v>2061908</v>
      </c>
      <c r="I205" s="404">
        <f t="shared" si="9"/>
        <v>117590613</v>
      </c>
      <c r="J205" s="403"/>
      <c r="K205" s="404">
        <f t="shared" si="10"/>
        <v>0</v>
      </c>
      <c r="L205" s="405">
        <f t="shared" si="11"/>
        <v>0</v>
      </c>
      <c r="M205" s="403"/>
    </row>
    <row r="206" spans="1:13" ht="31.5" x14ac:dyDescent="0.25">
      <c r="A206" s="6" t="s">
        <v>375</v>
      </c>
      <c r="B206" s="7" t="s">
        <v>376</v>
      </c>
      <c r="C206" s="6" t="s">
        <v>52</v>
      </c>
      <c r="D206" s="8">
        <v>722.26199999999994</v>
      </c>
      <c r="E206" s="403"/>
      <c r="F206" s="403">
        <f>BBNTHT!J246</f>
        <v>0</v>
      </c>
      <c r="G206" s="403">
        <f t="shared" si="8"/>
        <v>0</v>
      </c>
      <c r="H206" s="9">
        <v>3486956</v>
      </c>
      <c r="I206" s="404">
        <f t="shared" si="9"/>
        <v>2518495814</v>
      </c>
      <c r="J206" s="403"/>
      <c r="K206" s="404">
        <f t="shared" si="10"/>
        <v>0</v>
      </c>
      <c r="L206" s="405">
        <f t="shared" si="11"/>
        <v>0</v>
      </c>
      <c r="M206" s="403"/>
    </row>
    <row r="207" spans="1:13" ht="31.5" x14ac:dyDescent="0.25">
      <c r="A207" s="6" t="s">
        <v>377</v>
      </c>
      <c r="B207" s="7" t="s">
        <v>378</v>
      </c>
      <c r="C207" s="6" t="s">
        <v>52</v>
      </c>
      <c r="D207" s="8">
        <v>248.51</v>
      </c>
      <c r="E207" s="403"/>
      <c r="F207" s="403">
        <f>BBNTHT!J247</f>
        <v>0</v>
      </c>
      <c r="G207" s="403">
        <f t="shared" si="8"/>
        <v>0</v>
      </c>
      <c r="H207" s="9">
        <v>2968756</v>
      </c>
      <c r="I207" s="404">
        <f t="shared" si="9"/>
        <v>737765554</v>
      </c>
      <c r="J207" s="403"/>
      <c r="K207" s="404">
        <f t="shared" si="10"/>
        <v>0</v>
      </c>
      <c r="L207" s="405">
        <f t="shared" si="11"/>
        <v>0</v>
      </c>
      <c r="M207" s="403"/>
    </row>
    <row r="208" spans="1:13" ht="47.25" x14ac:dyDescent="0.25">
      <c r="A208" s="6" t="s">
        <v>379</v>
      </c>
      <c r="B208" s="7" t="s">
        <v>380</v>
      </c>
      <c r="C208" s="6" t="s">
        <v>52</v>
      </c>
      <c r="D208" s="8">
        <v>1550.25</v>
      </c>
      <c r="E208" s="403"/>
      <c r="F208" s="403">
        <f>BBNTHT!J248</f>
        <v>0</v>
      </c>
      <c r="G208" s="403">
        <f t="shared" si="8"/>
        <v>0</v>
      </c>
      <c r="H208" s="9">
        <v>848651</v>
      </c>
      <c r="I208" s="404">
        <f t="shared" si="9"/>
        <v>1315621213</v>
      </c>
      <c r="J208" s="403"/>
      <c r="K208" s="404">
        <f t="shared" si="10"/>
        <v>0</v>
      </c>
      <c r="L208" s="405">
        <f t="shared" si="11"/>
        <v>0</v>
      </c>
      <c r="M208" s="403"/>
    </row>
    <row r="209" spans="1:13" ht="47.25" x14ac:dyDescent="0.25">
      <c r="A209" s="6" t="s">
        <v>381</v>
      </c>
      <c r="B209" s="7" t="s">
        <v>382</v>
      </c>
      <c r="C209" s="6" t="s">
        <v>52</v>
      </c>
      <c r="D209" s="8">
        <v>2967.6129999999998</v>
      </c>
      <c r="E209" s="403"/>
      <c r="F209" s="403">
        <f>BBNTHT!J249</f>
        <v>0</v>
      </c>
      <c r="G209" s="403">
        <f t="shared" si="8"/>
        <v>0</v>
      </c>
      <c r="H209" s="9">
        <v>486735</v>
      </c>
      <c r="I209" s="404">
        <f t="shared" si="9"/>
        <v>1444441114</v>
      </c>
      <c r="J209" s="403"/>
      <c r="K209" s="404">
        <f t="shared" si="10"/>
        <v>0</v>
      </c>
      <c r="L209" s="405">
        <f t="shared" si="11"/>
        <v>0</v>
      </c>
      <c r="M209" s="403"/>
    </row>
    <row r="210" spans="1:13" ht="47.25" x14ac:dyDescent="0.25">
      <c r="A210" s="6" t="s">
        <v>383</v>
      </c>
      <c r="B210" s="7" t="s">
        <v>384</v>
      </c>
      <c r="C210" s="6" t="s">
        <v>52</v>
      </c>
      <c r="D210" s="8">
        <v>1882</v>
      </c>
      <c r="E210" s="403"/>
      <c r="F210" s="403">
        <f>BBNTHT!J250</f>
        <v>0</v>
      </c>
      <c r="G210" s="403">
        <f t="shared" ref="G210:G273" si="12">F210+E210</f>
        <v>0</v>
      </c>
      <c r="H210" s="9">
        <v>382556</v>
      </c>
      <c r="I210" s="404">
        <f t="shared" ref="I210:I273" si="13">ROUND(D210*H210,0)</f>
        <v>719970392</v>
      </c>
      <c r="J210" s="403"/>
      <c r="K210" s="404">
        <f t="shared" ref="K210:K273" si="14">ROUND(F210*H210,0)</f>
        <v>0</v>
      </c>
      <c r="L210" s="405">
        <f t="shared" ref="L210:L273" si="15">J210+K210</f>
        <v>0</v>
      </c>
      <c r="M210" s="403"/>
    </row>
    <row r="211" spans="1:13" ht="31.5" x14ac:dyDescent="0.25">
      <c r="A211" s="6" t="s">
        <v>385</v>
      </c>
      <c r="B211" s="7" t="s">
        <v>386</v>
      </c>
      <c r="C211" s="6" t="s">
        <v>52</v>
      </c>
      <c r="D211" s="8">
        <v>107.66500000000001</v>
      </c>
      <c r="E211" s="403"/>
      <c r="F211" s="403">
        <f>BBNTHT!J251</f>
        <v>0</v>
      </c>
      <c r="G211" s="403">
        <f t="shared" si="12"/>
        <v>0</v>
      </c>
      <c r="H211" s="9">
        <v>2968756</v>
      </c>
      <c r="I211" s="404">
        <f t="shared" si="13"/>
        <v>319631115</v>
      </c>
      <c r="J211" s="403"/>
      <c r="K211" s="404">
        <f t="shared" si="14"/>
        <v>0</v>
      </c>
      <c r="L211" s="405">
        <f t="shared" si="15"/>
        <v>0</v>
      </c>
      <c r="M211" s="403"/>
    </row>
    <row r="212" spans="1:13" ht="47.25" x14ac:dyDescent="0.25">
      <c r="A212" s="6" t="s">
        <v>387</v>
      </c>
      <c r="B212" s="7" t="s">
        <v>388</v>
      </c>
      <c r="C212" s="6" t="s">
        <v>52</v>
      </c>
      <c r="D212" s="8">
        <v>1642.153</v>
      </c>
      <c r="E212" s="403"/>
      <c r="F212" s="403">
        <f>BBNTHT!J252</f>
        <v>0</v>
      </c>
      <c r="G212" s="403">
        <f t="shared" si="12"/>
        <v>0</v>
      </c>
      <c r="H212" s="9">
        <v>732633</v>
      </c>
      <c r="I212" s="404">
        <f t="shared" si="13"/>
        <v>1203095479</v>
      </c>
      <c r="J212" s="403"/>
      <c r="K212" s="404">
        <f t="shared" si="14"/>
        <v>0</v>
      </c>
      <c r="L212" s="405">
        <f t="shared" si="15"/>
        <v>0</v>
      </c>
      <c r="M212" s="403"/>
    </row>
    <row r="213" spans="1:13" ht="31.5" x14ac:dyDescent="0.25">
      <c r="A213" s="6" t="s">
        <v>389</v>
      </c>
      <c r="B213" s="7" t="s">
        <v>390</v>
      </c>
      <c r="C213" s="6" t="s">
        <v>52</v>
      </c>
      <c r="D213" s="8">
        <v>1010.341</v>
      </c>
      <c r="E213" s="403"/>
      <c r="F213" s="403">
        <f>BBNTHT!J253</f>
        <v>0</v>
      </c>
      <c r="G213" s="403">
        <f t="shared" si="12"/>
        <v>0</v>
      </c>
      <c r="H213" s="9">
        <v>205021</v>
      </c>
      <c r="I213" s="404">
        <f t="shared" si="13"/>
        <v>207141122</v>
      </c>
      <c r="J213" s="403"/>
      <c r="K213" s="404">
        <f t="shared" si="14"/>
        <v>0</v>
      </c>
      <c r="L213" s="405">
        <f t="shared" si="15"/>
        <v>0</v>
      </c>
      <c r="M213" s="403"/>
    </row>
    <row r="214" spans="1:13" ht="47.25" x14ac:dyDescent="0.25">
      <c r="A214" s="6" t="s">
        <v>391</v>
      </c>
      <c r="B214" s="7" t="s">
        <v>392</v>
      </c>
      <c r="C214" s="6" t="s">
        <v>52</v>
      </c>
      <c r="D214" s="8">
        <v>5074.7</v>
      </c>
      <c r="E214" s="403"/>
      <c r="F214" s="403">
        <f>BBNTHT!J254</f>
        <v>0</v>
      </c>
      <c r="G214" s="403">
        <f t="shared" si="12"/>
        <v>0</v>
      </c>
      <c r="H214" s="9">
        <v>761983</v>
      </c>
      <c r="I214" s="404">
        <f t="shared" si="13"/>
        <v>3866835130</v>
      </c>
      <c r="J214" s="403"/>
      <c r="K214" s="404">
        <f t="shared" si="14"/>
        <v>0</v>
      </c>
      <c r="L214" s="405">
        <f t="shared" si="15"/>
        <v>0</v>
      </c>
      <c r="M214" s="403"/>
    </row>
    <row r="215" spans="1:13" ht="31.5" x14ac:dyDescent="0.25">
      <c r="A215" s="6" t="s">
        <v>393</v>
      </c>
      <c r="B215" s="7" t="s">
        <v>394</v>
      </c>
      <c r="C215" s="6" t="s">
        <v>52</v>
      </c>
      <c r="D215" s="8">
        <v>2892.3409999999999</v>
      </c>
      <c r="E215" s="403"/>
      <c r="F215" s="403">
        <f>BBNTHT!J255</f>
        <v>0</v>
      </c>
      <c r="G215" s="403">
        <f t="shared" si="12"/>
        <v>0</v>
      </c>
      <c r="H215" s="9">
        <v>50383</v>
      </c>
      <c r="I215" s="404">
        <f t="shared" si="13"/>
        <v>145724817</v>
      </c>
      <c r="J215" s="403"/>
      <c r="K215" s="404">
        <f t="shared" si="14"/>
        <v>0</v>
      </c>
      <c r="L215" s="405">
        <f t="shared" si="15"/>
        <v>0</v>
      </c>
      <c r="M215" s="403"/>
    </row>
    <row r="216" spans="1:13" ht="31.5" x14ac:dyDescent="0.25">
      <c r="A216" s="6" t="s">
        <v>395</v>
      </c>
      <c r="B216" s="7" t="s">
        <v>396</v>
      </c>
      <c r="C216" s="6" t="s">
        <v>52</v>
      </c>
      <c r="D216" s="8">
        <v>5074.7</v>
      </c>
      <c r="E216" s="403"/>
      <c r="F216" s="403">
        <f>BBNTHT!J256</f>
        <v>0</v>
      </c>
      <c r="G216" s="403">
        <f t="shared" si="12"/>
        <v>0</v>
      </c>
      <c r="H216" s="9">
        <v>70152</v>
      </c>
      <c r="I216" s="404">
        <f t="shared" si="13"/>
        <v>356000354</v>
      </c>
      <c r="J216" s="403"/>
      <c r="K216" s="404">
        <f t="shared" si="14"/>
        <v>0</v>
      </c>
      <c r="L216" s="405">
        <f t="shared" si="15"/>
        <v>0</v>
      </c>
      <c r="M216" s="403"/>
    </row>
    <row r="217" spans="1:13" ht="31.5" x14ac:dyDescent="0.25">
      <c r="A217" s="6" t="s">
        <v>397</v>
      </c>
      <c r="B217" s="7" t="s">
        <v>398</v>
      </c>
      <c r="C217" s="6" t="s">
        <v>52</v>
      </c>
      <c r="D217" s="8">
        <v>5565.5730000000003</v>
      </c>
      <c r="E217" s="403"/>
      <c r="F217" s="403">
        <f>BBNTHT!J257</f>
        <v>0</v>
      </c>
      <c r="G217" s="403">
        <f t="shared" si="12"/>
        <v>0</v>
      </c>
      <c r="H217" s="9">
        <v>604541</v>
      </c>
      <c r="I217" s="404">
        <f t="shared" si="13"/>
        <v>3364617067</v>
      </c>
      <c r="J217" s="403"/>
      <c r="K217" s="404">
        <f t="shared" si="14"/>
        <v>0</v>
      </c>
      <c r="L217" s="405">
        <f t="shared" si="15"/>
        <v>0</v>
      </c>
      <c r="M217" s="403"/>
    </row>
    <row r="218" spans="1:13" ht="47.25" x14ac:dyDescent="0.25">
      <c r="A218" s="6" t="s">
        <v>399</v>
      </c>
      <c r="B218" s="7" t="s">
        <v>400</v>
      </c>
      <c r="C218" s="6" t="s">
        <v>52</v>
      </c>
      <c r="D218" s="8">
        <v>340.92</v>
      </c>
      <c r="E218" s="403"/>
      <c r="F218" s="403">
        <f>BBNTHT!J258</f>
        <v>0</v>
      </c>
      <c r="G218" s="403">
        <f t="shared" si="12"/>
        <v>0</v>
      </c>
      <c r="H218" s="9">
        <v>506301</v>
      </c>
      <c r="I218" s="404">
        <f t="shared" si="13"/>
        <v>172608137</v>
      </c>
      <c r="J218" s="403"/>
      <c r="K218" s="404">
        <f t="shared" si="14"/>
        <v>0</v>
      </c>
      <c r="L218" s="405">
        <f t="shared" si="15"/>
        <v>0</v>
      </c>
      <c r="M218" s="403"/>
    </row>
    <row r="219" spans="1:13" ht="31.5" x14ac:dyDescent="0.25">
      <c r="A219" s="6" t="s">
        <v>401</v>
      </c>
      <c r="B219" s="7" t="s">
        <v>402</v>
      </c>
      <c r="C219" s="6" t="s">
        <v>52</v>
      </c>
      <c r="D219" s="8">
        <v>668.11500000000001</v>
      </c>
      <c r="E219" s="403"/>
      <c r="F219" s="403">
        <f>BBNTHT!J259</f>
        <v>0</v>
      </c>
      <c r="G219" s="403">
        <f t="shared" si="12"/>
        <v>0</v>
      </c>
      <c r="H219" s="9">
        <v>3118631</v>
      </c>
      <c r="I219" s="404">
        <f t="shared" si="13"/>
        <v>2083604151</v>
      </c>
      <c r="J219" s="403"/>
      <c r="K219" s="404">
        <f t="shared" si="14"/>
        <v>0</v>
      </c>
      <c r="L219" s="405">
        <f t="shared" si="15"/>
        <v>0</v>
      </c>
      <c r="M219" s="403"/>
    </row>
    <row r="220" spans="1:13" ht="31.5" x14ac:dyDescent="0.25">
      <c r="A220" s="6" t="s">
        <v>403</v>
      </c>
      <c r="B220" s="7" t="s">
        <v>404</v>
      </c>
      <c r="C220" s="6" t="s">
        <v>52</v>
      </c>
      <c r="D220" s="8">
        <v>458.75799999999998</v>
      </c>
      <c r="E220" s="403"/>
      <c r="F220" s="403">
        <f>BBNTHT!J260</f>
        <v>0</v>
      </c>
      <c r="G220" s="403">
        <f t="shared" si="12"/>
        <v>0</v>
      </c>
      <c r="H220" s="9">
        <v>2723108</v>
      </c>
      <c r="I220" s="404">
        <f t="shared" si="13"/>
        <v>1249247580</v>
      </c>
      <c r="J220" s="403"/>
      <c r="K220" s="404">
        <f t="shared" si="14"/>
        <v>0</v>
      </c>
      <c r="L220" s="405">
        <f t="shared" si="15"/>
        <v>0</v>
      </c>
      <c r="M220" s="403"/>
    </row>
    <row r="221" spans="1:13" ht="31.5" x14ac:dyDescent="0.25">
      <c r="A221" s="6" t="s">
        <v>405</v>
      </c>
      <c r="B221" s="7" t="s">
        <v>406</v>
      </c>
      <c r="C221" s="6" t="s">
        <v>52</v>
      </c>
      <c r="D221" s="8">
        <v>1159.9000000000001</v>
      </c>
      <c r="E221" s="403"/>
      <c r="F221" s="403">
        <f>BBNTHT!J261</f>
        <v>0</v>
      </c>
      <c r="G221" s="403">
        <f t="shared" si="12"/>
        <v>0</v>
      </c>
      <c r="H221" s="9">
        <v>295054</v>
      </c>
      <c r="I221" s="404">
        <f t="shared" si="13"/>
        <v>342233135</v>
      </c>
      <c r="J221" s="403"/>
      <c r="K221" s="404">
        <f t="shared" si="14"/>
        <v>0</v>
      </c>
      <c r="L221" s="405">
        <f t="shared" si="15"/>
        <v>0</v>
      </c>
      <c r="M221" s="403"/>
    </row>
    <row r="222" spans="1:13" ht="31.5" x14ac:dyDescent="0.25">
      <c r="A222" s="6" t="s">
        <v>407</v>
      </c>
      <c r="B222" s="7" t="s">
        <v>408</v>
      </c>
      <c r="C222" s="6" t="s">
        <v>52</v>
      </c>
      <c r="D222" s="8">
        <v>10469.861999999999</v>
      </c>
      <c r="E222" s="403"/>
      <c r="F222" s="403">
        <f>BBNTHT!J262</f>
        <v>0</v>
      </c>
      <c r="G222" s="403">
        <f t="shared" si="12"/>
        <v>0</v>
      </c>
      <c r="H222" s="9">
        <v>264027</v>
      </c>
      <c r="I222" s="404">
        <f t="shared" si="13"/>
        <v>2764326254</v>
      </c>
      <c r="J222" s="403"/>
      <c r="K222" s="404">
        <f t="shared" si="14"/>
        <v>0</v>
      </c>
      <c r="L222" s="405">
        <f t="shared" si="15"/>
        <v>0</v>
      </c>
      <c r="M222" s="403"/>
    </row>
    <row r="223" spans="1:13" ht="31.5" x14ac:dyDescent="0.25">
      <c r="A223" s="6" t="s">
        <v>409</v>
      </c>
      <c r="B223" s="7" t="s">
        <v>410</v>
      </c>
      <c r="C223" s="6" t="s">
        <v>52</v>
      </c>
      <c r="D223" s="8">
        <v>343.64</v>
      </c>
      <c r="E223" s="403"/>
      <c r="F223" s="403">
        <f>BBNTHT!J263</f>
        <v>0</v>
      </c>
      <c r="G223" s="403">
        <f t="shared" si="12"/>
        <v>0</v>
      </c>
      <c r="H223" s="9">
        <v>290953</v>
      </c>
      <c r="I223" s="404">
        <f t="shared" si="13"/>
        <v>99983089</v>
      </c>
      <c r="J223" s="403"/>
      <c r="K223" s="404">
        <f t="shared" si="14"/>
        <v>0</v>
      </c>
      <c r="L223" s="405">
        <f t="shared" si="15"/>
        <v>0</v>
      </c>
      <c r="M223" s="403"/>
    </row>
    <row r="224" spans="1:13" ht="31.5" x14ac:dyDescent="0.25">
      <c r="A224" s="6" t="s">
        <v>411</v>
      </c>
      <c r="B224" s="7" t="s">
        <v>412</v>
      </c>
      <c r="C224" s="6" t="s">
        <v>52</v>
      </c>
      <c r="D224" s="8">
        <v>27.914000000000001</v>
      </c>
      <c r="E224" s="403"/>
      <c r="F224" s="403">
        <f>BBNTHT!J264</f>
        <v>0</v>
      </c>
      <c r="G224" s="403">
        <f t="shared" si="12"/>
        <v>0</v>
      </c>
      <c r="H224" s="9">
        <v>2179097</v>
      </c>
      <c r="I224" s="404">
        <f t="shared" si="13"/>
        <v>60827314</v>
      </c>
      <c r="J224" s="403"/>
      <c r="K224" s="404">
        <f t="shared" si="14"/>
        <v>0</v>
      </c>
      <c r="L224" s="405">
        <f t="shared" si="15"/>
        <v>0</v>
      </c>
      <c r="M224" s="403"/>
    </row>
    <row r="225" spans="1:13" ht="94.5" x14ac:dyDescent="0.25">
      <c r="A225" s="6" t="s">
        <v>413</v>
      </c>
      <c r="B225" s="7" t="s">
        <v>414</v>
      </c>
      <c r="C225" s="6" t="s">
        <v>52</v>
      </c>
      <c r="D225" s="8">
        <v>3953.027</v>
      </c>
      <c r="E225" s="403"/>
      <c r="F225" s="403">
        <f>BBNTHT!J265</f>
        <v>0</v>
      </c>
      <c r="G225" s="403">
        <f t="shared" si="12"/>
        <v>0</v>
      </c>
      <c r="H225" s="9">
        <v>143519</v>
      </c>
      <c r="I225" s="404">
        <f t="shared" si="13"/>
        <v>567334482</v>
      </c>
      <c r="J225" s="403"/>
      <c r="K225" s="404">
        <f t="shared" si="14"/>
        <v>0</v>
      </c>
      <c r="L225" s="405">
        <f t="shared" si="15"/>
        <v>0</v>
      </c>
      <c r="M225" s="403"/>
    </row>
    <row r="226" spans="1:13" ht="31.5" x14ac:dyDescent="0.25">
      <c r="A226" s="6" t="s">
        <v>415</v>
      </c>
      <c r="B226" s="7" t="s">
        <v>416</v>
      </c>
      <c r="C226" s="6" t="s">
        <v>52</v>
      </c>
      <c r="D226" s="8">
        <v>1448.15</v>
      </c>
      <c r="E226" s="403"/>
      <c r="F226" s="403">
        <f>BBNTHT!J266</f>
        <v>0</v>
      </c>
      <c r="G226" s="403">
        <f t="shared" si="12"/>
        <v>0</v>
      </c>
      <c r="H226" s="9">
        <v>37930</v>
      </c>
      <c r="I226" s="404">
        <f t="shared" si="13"/>
        <v>54928330</v>
      </c>
      <c r="J226" s="403"/>
      <c r="K226" s="404">
        <f t="shared" si="14"/>
        <v>0</v>
      </c>
      <c r="L226" s="405">
        <f t="shared" si="15"/>
        <v>0</v>
      </c>
      <c r="M226" s="403"/>
    </row>
    <row r="227" spans="1:13" ht="47.25" x14ac:dyDescent="0.25">
      <c r="A227" s="6" t="s">
        <v>417</v>
      </c>
      <c r="B227" s="7" t="s">
        <v>418</v>
      </c>
      <c r="C227" s="6" t="s">
        <v>52</v>
      </c>
      <c r="D227" s="8">
        <v>1448.15</v>
      </c>
      <c r="E227" s="403"/>
      <c r="F227" s="403">
        <f>BBNTHT!J267</f>
        <v>0</v>
      </c>
      <c r="G227" s="403">
        <f t="shared" si="12"/>
        <v>0</v>
      </c>
      <c r="H227" s="9">
        <v>103481</v>
      </c>
      <c r="I227" s="404">
        <f t="shared" si="13"/>
        <v>149856010</v>
      </c>
      <c r="J227" s="403"/>
      <c r="K227" s="404">
        <f t="shared" si="14"/>
        <v>0</v>
      </c>
      <c r="L227" s="405">
        <f t="shared" si="15"/>
        <v>0</v>
      </c>
      <c r="M227" s="403"/>
    </row>
    <row r="228" spans="1:13" ht="15.75" x14ac:dyDescent="0.25">
      <c r="A228" s="6" t="s">
        <v>419</v>
      </c>
      <c r="B228" s="7" t="s">
        <v>420</v>
      </c>
      <c r="C228" s="6" t="s">
        <v>421</v>
      </c>
      <c r="D228" s="8">
        <v>1924</v>
      </c>
      <c r="E228" s="403"/>
      <c r="F228" s="403">
        <f>BBNTHT!J268</f>
        <v>0</v>
      </c>
      <c r="G228" s="403">
        <f t="shared" si="12"/>
        <v>0</v>
      </c>
      <c r="H228" s="9">
        <v>158746</v>
      </c>
      <c r="I228" s="404">
        <f t="shared" si="13"/>
        <v>305427304</v>
      </c>
      <c r="J228" s="403"/>
      <c r="K228" s="404">
        <f t="shared" si="14"/>
        <v>0</v>
      </c>
      <c r="L228" s="405">
        <f t="shared" si="15"/>
        <v>0</v>
      </c>
      <c r="M228" s="403"/>
    </row>
    <row r="229" spans="1:13" ht="47.25" x14ac:dyDescent="0.25">
      <c r="A229" s="6" t="s">
        <v>422</v>
      </c>
      <c r="B229" s="7" t="s">
        <v>423</v>
      </c>
      <c r="C229" s="6" t="s">
        <v>52</v>
      </c>
      <c r="D229" s="8">
        <v>2487.5149999999999</v>
      </c>
      <c r="E229" s="403"/>
      <c r="F229" s="403">
        <f>BBNTHT!J269</f>
        <v>0</v>
      </c>
      <c r="G229" s="403">
        <f t="shared" si="12"/>
        <v>0</v>
      </c>
      <c r="H229" s="9">
        <v>94337</v>
      </c>
      <c r="I229" s="404">
        <f t="shared" si="13"/>
        <v>234664703</v>
      </c>
      <c r="J229" s="403"/>
      <c r="K229" s="404">
        <f t="shared" si="14"/>
        <v>0</v>
      </c>
      <c r="L229" s="405">
        <f t="shared" si="15"/>
        <v>0</v>
      </c>
      <c r="M229" s="403"/>
    </row>
    <row r="230" spans="1:13" ht="15.75" x14ac:dyDescent="0.25">
      <c r="A230" s="6" t="s">
        <v>424</v>
      </c>
      <c r="B230" s="7" t="s">
        <v>425</v>
      </c>
      <c r="C230" s="6" t="s">
        <v>52</v>
      </c>
      <c r="D230" s="8">
        <v>32578.589</v>
      </c>
      <c r="E230" s="403"/>
      <c r="F230" s="403">
        <f>BBNTHT!J270</f>
        <v>0</v>
      </c>
      <c r="G230" s="403">
        <f t="shared" si="12"/>
        <v>0</v>
      </c>
      <c r="H230" s="9">
        <v>39445</v>
      </c>
      <c r="I230" s="404">
        <f t="shared" si="13"/>
        <v>1285062443</v>
      </c>
      <c r="J230" s="403"/>
      <c r="K230" s="404">
        <f t="shared" si="14"/>
        <v>0</v>
      </c>
      <c r="L230" s="405">
        <f t="shared" si="15"/>
        <v>0</v>
      </c>
      <c r="M230" s="403"/>
    </row>
    <row r="231" spans="1:13" ht="31.5" x14ac:dyDescent="0.25">
      <c r="A231" s="6" t="s">
        <v>426</v>
      </c>
      <c r="B231" s="7" t="s">
        <v>427</v>
      </c>
      <c r="C231" s="6" t="s">
        <v>52</v>
      </c>
      <c r="D231" s="8">
        <v>22357.212</v>
      </c>
      <c r="E231" s="403"/>
      <c r="F231" s="403">
        <f>BBNTHT!J271</f>
        <v>0</v>
      </c>
      <c r="G231" s="403">
        <f t="shared" si="12"/>
        <v>0</v>
      </c>
      <c r="H231" s="9">
        <v>45592</v>
      </c>
      <c r="I231" s="404">
        <f t="shared" si="13"/>
        <v>1019310010</v>
      </c>
      <c r="J231" s="403"/>
      <c r="K231" s="404">
        <f t="shared" si="14"/>
        <v>0</v>
      </c>
      <c r="L231" s="405">
        <f t="shared" si="15"/>
        <v>0</v>
      </c>
      <c r="M231" s="403"/>
    </row>
    <row r="232" spans="1:13" ht="47.25" x14ac:dyDescent="0.25">
      <c r="A232" s="6" t="s">
        <v>428</v>
      </c>
      <c r="B232" s="7" t="s">
        <v>429</v>
      </c>
      <c r="C232" s="6" t="s">
        <v>52</v>
      </c>
      <c r="D232" s="8">
        <v>54935.800999999999</v>
      </c>
      <c r="E232" s="403"/>
      <c r="F232" s="403">
        <f>BBNTHT!J272</f>
        <v>0</v>
      </c>
      <c r="G232" s="403">
        <f t="shared" si="12"/>
        <v>0</v>
      </c>
      <c r="H232" s="9">
        <v>88082</v>
      </c>
      <c r="I232" s="404">
        <f t="shared" si="13"/>
        <v>4838855224</v>
      </c>
      <c r="J232" s="403"/>
      <c r="K232" s="404">
        <f t="shared" si="14"/>
        <v>0</v>
      </c>
      <c r="L232" s="405">
        <f t="shared" si="15"/>
        <v>0</v>
      </c>
      <c r="M232" s="403"/>
    </row>
    <row r="233" spans="1:13" ht="15.75" x14ac:dyDescent="0.25">
      <c r="A233" s="6" t="s">
        <v>430</v>
      </c>
      <c r="B233" s="7" t="s">
        <v>431</v>
      </c>
      <c r="C233" s="6" t="s">
        <v>52</v>
      </c>
      <c r="D233" s="8">
        <v>1114.652</v>
      </c>
      <c r="E233" s="403"/>
      <c r="F233" s="403">
        <f>BBNTHT!J273</f>
        <v>0</v>
      </c>
      <c r="G233" s="403">
        <f t="shared" si="12"/>
        <v>0</v>
      </c>
      <c r="H233" s="9">
        <v>31749</v>
      </c>
      <c r="I233" s="404">
        <f t="shared" si="13"/>
        <v>35389086</v>
      </c>
      <c r="J233" s="403"/>
      <c r="K233" s="404">
        <f t="shared" si="14"/>
        <v>0</v>
      </c>
      <c r="L233" s="405">
        <f t="shared" si="15"/>
        <v>0</v>
      </c>
      <c r="M233" s="403"/>
    </row>
    <row r="234" spans="1:13" ht="31.5" x14ac:dyDescent="0.25">
      <c r="A234" s="6" t="s">
        <v>432</v>
      </c>
      <c r="B234" s="7" t="s">
        <v>433</v>
      </c>
      <c r="C234" s="6" t="s">
        <v>52</v>
      </c>
      <c r="D234" s="8">
        <v>81.48</v>
      </c>
      <c r="E234" s="403"/>
      <c r="F234" s="403">
        <f>BBNTHT!J274</f>
        <v>0</v>
      </c>
      <c r="G234" s="403">
        <f t="shared" si="12"/>
        <v>0</v>
      </c>
      <c r="H234" s="9">
        <v>1849916</v>
      </c>
      <c r="I234" s="404">
        <f t="shared" si="13"/>
        <v>150731156</v>
      </c>
      <c r="J234" s="403"/>
      <c r="K234" s="404">
        <f t="shared" si="14"/>
        <v>0</v>
      </c>
      <c r="L234" s="405">
        <f t="shared" si="15"/>
        <v>0</v>
      </c>
      <c r="M234" s="403"/>
    </row>
    <row r="235" spans="1:13" ht="15.75" x14ac:dyDescent="0.25">
      <c r="A235" s="6" t="s">
        <v>434</v>
      </c>
      <c r="B235" s="7" t="s">
        <v>435</v>
      </c>
      <c r="C235" s="6" t="s">
        <v>9</v>
      </c>
      <c r="D235" s="8">
        <v>7</v>
      </c>
      <c r="E235" s="403"/>
      <c r="F235" s="403">
        <f>BBNTHT!J275</f>
        <v>0</v>
      </c>
      <c r="G235" s="403">
        <f t="shared" si="12"/>
        <v>0</v>
      </c>
      <c r="H235" s="9">
        <v>139697</v>
      </c>
      <c r="I235" s="404">
        <f t="shared" si="13"/>
        <v>977879</v>
      </c>
      <c r="J235" s="403"/>
      <c r="K235" s="404">
        <f t="shared" si="14"/>
        <v>0</v>
      </c>
      <c r="L235" s="405">
        <f t="shared" si="15"/>
        <v>0</v>
      </c>
      <c r="M235" s="403"/>
    </row>
    <row r="236" spans="1:13" ht="31.5" x14ac:dyDescent="0.25">
      <c r="A236" s="6" t="s">
        <v>436</v>
      </c>
      <c r="B236" s="7" t="s">
        <v>437</v>
      </c>
      <c r="C236" s="6" t="s">
        <v>52</v>
      </c>
      <c r="D236" s="8">
        <v>1.9950000000000001</v>
      </c>
      <c r="E236" s="403"/>
      <c r="F236" s="403">
        <f>BBNTHT!J276</f>
        <v>0</v>
      </c>
      <c r="G236" s="403">
        <f t="shared" si="12"/>
        <v>0</v>
      </c>
      <c r="H236" s="9">
        <v>1015978</v>
      </c>
      <c r="I236" s="404">
        <f t="shared" si="13"/>
        <v>2026876</v>
      </c>
      <c r="J236" s="403"/>
      <c r="K236" s="404">
        <f t="shared" si="14"/>
        <v>0</v>
      </c>
      <c r="L236" s="405">
        <f t="shared" si="15"/>
        <v>0</v>
      </c>
      <c r="M236" s="403"/>
    </row>
    <row r="237" spans="1:13" ht="15.75" x14ac:dyDescent="0.25">
      <c r="A237" s="6" t="s">
        <v>438</v>
      </c>
      <c r="B237" s="7" t="s">
        <v>439</v>
      </c>
      <c r="C237" s="6" t="s">
        <v>52</v>
      </c>
      <c r="D237" s="8">
        <v>9.9719999999999995</v>
      </c>
      <c r="E237" s="403"/>
      <c r="F237" s="403">
        <f>BBNTHT!J277</f>
        <v>0</v>
      </c>
      <c r="G237" s="403">
        <f t="shared" si="12"/>
        <v>0</v>
      </c>
      <c r="H237" s="9">
        <v>1523967</v>
      </c>
      <c r="I237" s="404">
        <f t="shared" si="13"/>
        <v>15196999</v>
      </c>
      <c r="J237" s="403"/>
      <c r="K237" s="404">
        <f t="shared" si="14"/>
        <v>0</v>
      </c>
      <c r="L237" s="405">
        <f t="shared" si="15"/>
        <v>0</v>
      </c>
      <c r="M237" s="403"/>
    </row>
    <row r="238" spans="1:13" ht="15.75" x14ac:dyDescent="0.25">
      <c r="A238" s="6" t="s">
        <v>440</v>
      </c>
      <c r="B238" s="7" t="s">
        <v>441</v>
      </c>
      <c r="C238" s="6" t="s">
        <v>442</v>
      </c>
      <c r="D238" s="8">
        <v>28.524999999999999</v>
      </c>
      <c r="E238" s="403"/>
      <c r="F238" s="403">
        <f>BBNTHT!J278</f>
        <v>0</v>
      </c>
      <c r="G238" s="403">
        <f t="shared" si="12"/>
        <v>0</v>
      </c>
      <c r="H238" s="9">
        <v>342571</v>
      </c>
      <c r="I238" s="404">
        <f t="shared" si="13"/>
        <v>9771838</v>
      </c>
      <c r="J238" s="403"/>
      <c r="K238" s="404">
        <f t="shared" si="14"/>
        <v>0</v>
      </c>
      <c r="L238" s="405">
        <f t="shared" si="15"/>
        <v>0</v>
      </c>
      <c r="M238" s="403"/>
    </row>
    <row r="239" spans="1:13" ht="31.5" x14ac:dyDescent="0.25">
      <c r="A239" s="6" t="s">
        <v>443</v>
      </c>
      <c r="B239" s="7" t="s">
        <v>444</v>
      </c>
      <c r="C239" s="6" t="s">
        <v>61</v>
      </c>
      <c r="D239" s="8">
        <v>102.61499999999999</v>
      </c>
      <c r="E239" s="403"/>
      <c r="F239" s="403">
        <f>BBNTHT!J279</f>
        <v>0</v>
      </c>
      <c r="G239" s="403">
        <f t="shared" si="12"/>
        <v>0</v>
      </c>
      <c r="H239" s="9">
        <v>16336457</v>
      </c>
      <c r="I239" s="404">
        <f t="shared" si="13"/>
        <v>1676365535</v>
      </c>
      <c r="J239" s="403"/>
      <c r="K239" s="404">
        <f t="shared" si="14"/>
        <v>0</v>
      </c>
      <c r="L239" s="405">
        <f t="shared" si="15"/>
        <v>0</v>
      </c>
      <c r="M239" s="403"/>
    </row>
    <row r="240" spans="1:13" ht="31.5" x14ac:dyDescent="0.25">
      <c r="A240" s="6" t="s">
        <v>445</v>
      </c>
      <c r="B240" s="7" t="s">
        <v>446</v>
      </c>
      <c r="C240" s="6" t="s">
        <v>61</v>
      </c>
      <c r="D240" s="8">
        <v>61.393000000000001</v>
      </c>
      <c r="E240" s="403"/>
      <c r="F240" s="403">
        <f>BBNTHT!J280</f>
        <v>0</v>
      </c>
      <c r="G240" s="403">
        <f t="shared" si="12"/>
        <v>0</v>
      </c>
      <c r="H240" s="9">
        <v>1538716</v>
      </c>
      <c r="I240" s="404">
        <f t="shared" si="13"/>
        <v>94466391</v>
      </c>
      <c r="J240" s="403"/>
      <c r="K240" s="404">
        <f t="shared" si="14"/>
        <v>0</v>
      </c>
      <c r="L240" s="405">
        <f t="shared" si="15"/>
        <v>0</v>
      </c>
      <c r="M240" s="403"/>
    </row>
    <row r="241" spans="1:13" ht="15.75" x14ac:dyDescent="0.25">
      <c r="A241" s="6" t="s">
        <v>447</v>
      </c>
      <c r="B241" s="7" t="s">
        <v>448</v>
      </c>
      <c r="C241" s="6" t="s">
        <v>52</v>
      </c>
      <c r="D241" s="8">
        <v>10261.5</v>
      </c>
      <c r="E241" s="403"/>
      <c r="F241" s="403">
        <f>BBNTHT!J281</f>
        <v>0</v>
      </c>
      <c r="G241" s="403">
        <f t="shared" si="12"/>
        <v>0</v>
      </c>
      <c r="H241" s="9">
        <v>12700</v>
      </c>
      <c r="I241" s="404">
        <f t="shared" si="13"/>
        <v>130321050</v>
      </c>
      <c r="J241" s="403"/>
      <c r="K241" s="404">
        <f t="shared" si="14"/>
        <v>0</v>
      </c>
      <c r="L241" s="405">
        <f t="shared" si="15"/>
        <v>0</v>
      </c>
      <c r="M241" s="403"/>
    </row>
    <row r="242" spans="1:13" ht="15.75" x14ac:dyDescent="0.25">
      <c r="A242" s="6" t="s">
        <v>449</v>
      </c>
      <c r="B242" s="7" t="s">
        <v>450</v>
      </c>
      <c r="C242" s="6" t="s">
        <v>52</v>
      </c>
      <c r="D242" s="8">
        <v>1090.8</v>
      </c>
      <c r="E242" s="403"/>
      <c r="F242" s="403">
        <f>BBNTHT!J282</f>
        <v>0</v>
      </c>
      <c r="G242" s="403">
        <f t="shared" si="12"/>
        <v>0</v>
      </c>
      <c r="H242" s="9">
        <v>12700</v>
      </c>
      <c r="I242" s="404">
        <f t="shared" si="13"/>
        <v>13853160</v>
      </c>
      <c r="J242" s="403"/>
      <c r="K242" s="404">
        <f t="shared" si="14"/>
        <v>0</v>
      </c>
      <c r="L242" s="405">
        <f t="shared" si="15"/>
        <v>0</v>
      </c>
      <c r="M242" s="403"/>
    </row>
    <row r="243" spans="1:13" ht="31.5" x14ac:dyDescent="0.25">
      <c r="A243" s="6" t="s">
        <v>451</v>
      </c>
      <c r="B243" s="7" t="s">
        <v>452</v>
      </c>
      <c r="C243" s="6" t="s">
        <v>52</v>
      </c>
      <c r="D243" s="8">
        <v>10261.5</v>
      </c>
      <c r="E243" s="403"/>
      <c r="F243" s="403">
        <f>BBNTHT!J283</f>
        <v>0</v>
      </c>
      <c r="G243" s="403">
        <f t="shared" si="12"/>
        <v>0</v>
      </c>
      <c r="H243" s="9">
        <v>95248</v>
      </c>
      <c r="I243" s="404">
        <f t="shared" si="13"/>
        <v>977387352</v>
      </c>
      <c r="J243" s="403"/>
      <c r="K243" s="404">
        <f t="shared" si="14"/>
        <v>0</v>
      </c>
      <c r="L243" s="405">
        <f t="shared" si="15"/>
        <v>0</v>
      </c>
      <c r="M243" s="403"/>
    </row>
    <row r="244" spans="1:13" ht="31.5" x14ac:dyDescent="0.25">
      <c r="A244" s="6" t="s">
        <v>453</v>
      </c>
      <c r="B244" s="7" t="s">
        <v>454</v>
      </c>
      <c r="C244" s="6" t="s">
        <v>37</v>
      </c>
      <c r="D244" s="8">
        <v>1634.6379999999999</v>
      </c>
      <c r="E244" s="403"/>
      <c r="F244" s="403">
        <f>BBNTHT!J284</f>
        <v>0</v>
      </c>
      <c r="G244" s="403">
        <f t="shared" si="12"/>
        <v>0</v>
      </c>
      <c r="H244" s="9">
        <v>189079</v>
      </c>
      <c r="I244" s="404">
        <f t="shared" si="13"/>
        <v>309075718</v>
      </c>
      <c r="J244" s="403"/>
      <c r="K244" s="404">
        <f t="shared" si="14"/>
        <v>0</v>
      </c>
      <c r="L244" s="405">
        <f t="shared" si="15"/>
        <v>0</v>
      </c>
      <c r="M244" s="403"/>
    </row>
    <row r="245" spans="1:13" ht="47.25" x14ac:dyDescent="0.25">
      <c r="A245" s="6" t="s">
        <v>455</v>
      </c>
      <c r="B245" s="7" t="s">
        <v>456</v>
      </c>
      <c r="C245" s="6" t="s">
        <v>32</v>
      </c>
      <c r="D245" s="8">
        <v>55.335999999999999</v>
      </c>
      <c r="E245" s="403"/>
      <c r="F245" s="403">
        <f>BBNTHT!J285</f>
        <v>0</v>
      </c>
      <c r="G245" s="403">
        <f t="shared" si="12"/>
        <v>0</v>
      </c>
      <c r="H245" s="9">
        <v>189553</v>
      </c>
      <c r="I245" s="404">
        <f t="shared" si="13"/>
        <v>10489105</v>
      </c>
      <c r="J245" s="403"/>
      <c r="K245" s="404">
        <f t="shared" si="14"/>
        <v>0</v>
      </c>
      <c r="L245" s="405">
        <f t="shared" si="15"/>
        <v>0</v>
      </c>
      <c r="M245" s="403"/>
    </row>
    <row r="246" spans="1:13" ht="31.5" x14ac:dyDescent="0.25">
      <c r="A246" s="6" t="s">
        <v>457</v>
      </c>
      <c r="B246" s="7" t="s">
        <v>458</v>
      </c>
      <c r="C246" s="6" t="s">
        <v>459</v>
      </c>
      <c r="D246" s="8">
        <v>1214.2</v>
      </c>
      <c r="E246" s="403"/>
      <c r="F246" s="403">
        <f>BBNTHT!J286</f>
        <v>0</v>
      </c>
      <c r="G246" s="403">
        <f t="shared" si="12"/>
        <v>0</v>
      </c>
      <c r="H246" s="9">
        <v>71836</v>
      </c>
      <c r="I246" s="404">
        <f t="shared" si="13"/>
        <v>87223271</v>
      </c>
      <c r="J246" s="403"/>
      <c r="K246" s="404">
        <f t="shared" si="14"/>
        <v>0</v>
      </c>
      <c r="L246" s="405">
        <f t="shared" si="15"/>
        <v>0</v>
      </c>
      <c r="M246" s="403"/>
    </row>
    <row r="247" spans="1:13" ht="31.5" x14ac:dyDescent="0.25">
      <c r="A247" s="6" t="s">
        <v>460</v>
      </c>
      <c r="B247" s="7" t="s">
        <v>461</v>
      </c>
      <c r="C247" s="6" t="s">
        <v>459</v>
      </c>
      <c r="D247" s="8">
        <v>380.154</v>
      </c>
      <c r="E247" s="403"/>
      <c r="F247" s="403">
        <f>BBNTHT!J287</f>
        <v>0</v>
      </c>
      <c r="G247" s="403">
        <f t="shared" si="12"/>
        <v>0</v>
      </c>
      <c r="H247" s="9">
        <v>71836</v>
      </c>
      <c r="I247" s="404">
        <f t="shared" si="13"/>
        <v>27308743</v>
      </c>
      <c r="J247" s="403"/>
      <c r="K247" s="404">
        <f t="shared" si="14"/>
        <v>0</v>
      </c>
      <c r="L247" s="405">
        <f t="shared" si="15"/>
        <v>0</v>
      </c>
      <c r="M247" s="403"/>
    </row>
    <row r="248" spans="1:13" ht="31.5" x14ac:dyDescent="0.25">
      <c r="A248" s="6" t="s">
        <v>462</v>
      </c>
      <c r="B248" s="7" t="s">
        <v>463</v>
      </c>
      <c r="C248" s="6" t="s">
        <v>32</v>
      </c>
      <c r="D248" s="8">
        <v>368.04399999999998</v>
      </c>
      <c r="E248" s="403"/>
      <c r="F248" s="403">
        <f>BBNTHT!J288</f>
        <v>0</v>
      </c>
      <c r="G248" s="403">
        <f t="shared" si="12"/>
        <v>0</v>
      </c>
      <c r="H248" s="9">
        <v>191611</v>
      </c>
      <c r="I248" s="404">
        <f t="shared" si="13"/>
        <v>70521279</v>
      </c>
      <c r="J248" s="403"/>
      <c r="K248" s="404">
        <f t="shared" si="14"/>
        <v>0</v>
      </c>
      <c r="L248" s="405">
        <f t="shared" si="15"/>
        <v>0</v>
      </c>
      <c r="M248" s="403"/>
    </row>
    <row r="249" spans="1:13" ht="31.5" x14ac:dyDescent="0.25">
      <c r="A249" s="6" t="s">
        <v>464</v>
      </c>
      <c r="B249" s="7" t="s">
        <v>465</v>
      </c>
      <c r="C249" s="6" t="s">
        <v>459</v>
      </c>
      <c r="D249" s="8">
        <v>129.226</v>
      </c>
      <c r="E249" s="403"/>
      <c r="F249" s="403">
        <f>BBNTHT!J289</f>
        <v>0</v>
      </c>
      <c r="G249" s="403">
        <f t="shared" si="12"/>
        <v>0</v>
      </c>
      <c r="H249" s="9">
        <v>128955</v>
      </c>
      <c r="I249" s="404">
        <f t="shared" si="13"/>
        <v>16664339</v>
      </c>
      <c r="J249" s="403"/>
      <c r="K249" s="404">
        <f t="shared" si="14"/>
        <v>0</v>
      </c>
      <c r="L249" s="405">
        <f t="shared" si="15"/>
        <v>0</v>
      </c>
      <c r="M249" s="403"/>
    </row>
    <row r="250" spans="1:13" ht="31.5" x14ac:dyDescent="0.25">
      <c r="A250" s="6" t="s">
        <v>466</v>
      </c>
      <c r="B250" s="7" t="s">
        <v>467</v>
      </c>
      <c r="C250" s="6" t="s">
        <v>459</v>
      </c>
      <c r="D250" s="8">
        <v>514.24900000000002</v>
      </c>
      <c r="E250" s="403"/>
      <c r="F250" s="403">
        <f>BBNTHT!J290</f>
        <v>0</v>
      </c>
      <c r="G250" s="403">
        <f t="shared" si="12"/>
        <v>0</v>
      </c>
      <c r="H250" s="9">
        <v>549370</v>
      </c>
      <c r="I250" s="404">
        <f t="shared" si="13"/>
        <v>282512973</v>
      </c>
      <c r="J250" s="403"/>
      <c r="K250" s="404">
        <f t="shared" si="14"/>
        <v>0</v>
      </c>
      <c r="L250" s="405">
        <f t="shared" si="15"/>
        <v>0</v>
      </c>
      <c r="M250" s="403"/>
    </row>
    <row r="251" spans="1:13" ht="31.5" x14ac:dyDescent="0.25">
      <c r="A251" s="6" t="s">
        <v>468</v>
      </c>
      <c r="B251" s="7" t="s">
        <v>41</v>
      </c>
      <c r="C251" s="6" t="s">
        <v>27</v>
      </c>
      <c r="D251" s="8">
        <v>0.67200000000000004</v>
      </c>
      <c r="E251" s="403"/>
      <c r="F251" s="403">
        <f>BBNTHT!J291</f>
        <v>0</v>
      </c>
      <c r="G251" s="403">
        <f t="shared" si="12"/>
        <v>0</v>
      </c>
      <c r="H251" s="9">
        <v>2229062</v>
      </c>
      <c r="I251" s="404">
        <f t="shared" si="13"/>
        <v>1497930</v>
      </c>
      <c r="J251" s="403"/>
      <c r="K251" s="404">
        <f t="shared" si="14"/>
        <v>0</v>
      </c>
      <c r="L251" s="405">
        <f t="shared" si="15"/>
        <v>0</v>
      </c>
      <c r="M251" s="403"/>
    </row>
    <row r="252" spans="1:13" ht="31.5" x14ac:dyDescent="0.25">
      <c r="A252" s="6" t="s">
        <v>469</v>
      </c>
      <c r="B252" s="7" t="s">
        <v>43</v>
      </c>
      <c r="C252" s="6" t="s">
        <v>27</v>
      </c>
      <c r="D252" s="8">
        <v>0.67200000000000004</v>
      </c>
      <c r="E252" s="403"/>
      <c r="F252" s="403">
        <f>BBNTHT!J292</f>
        <v>0</v>
      </c>
      <c r="G252" s="403">
        <f t="shared" si="12"/>
        <v>0</v>
      </c>
      <c r="H252" s="9">
        <v>3013626</v>
      </c>
      <c r="I252" s="404">
        <f t="shared" si="13"/>
        <v>2025157</v>
      </c>
      <c r="J252" s="403"/>
      <c r="K252" s="404">
        <f t="shared" si="14"/>
        <v>0</v>
      </c>
      <c r="L252" s="405">
        <f t="shared" si="15"/>
        <v>0</v>
      </c>
      <c r="M252" s="403"/>
    </row>
    <row r="253" spans="1:13" ht="15.75" x14ac:dyDescent="0.25">
      <c r="A253" s="6" t="s">
        <v>470</v>
      </c>
      <c r="B253" s="7" t="s">
        <v>471</v>
      </c>
      <c r="C253" s="6" t="s">
        <v>37</v>
      </c>
      <c r="D253" s="8">
        <v>67.2</v>
      </c>
      <c r="E253" s="403"/>
      <c r="F253" s="403">
        <f>BBNTHT!J293</f>
        <v>0</v>
      </c>
      <c r="G253" s="403">
        <f t="shared" si="12"/>
        <v>0</v>
      </c>
      <c r="H253" s="9">
        <v>731286</v>
      </c>
      <c r="I253" s="404">
        <f t="shared" si="13"/>
        <v>49142419</v>
      </c>
      <c r="J253" s="403"/>
      <c r="K253" s="404">
        <f t="shared" si="14"/>
        <v>0</v>
      </c>
      <c r="L253" s="405">
        <f t="shared" si="15"/>
        <v>0</v>
      </c>
      <c r="M253" s="403"/>
    </row>
    <row r="254" spans="1:13" ht="15.75" x14ac:dyDescent="0.25">
      <c r="A254" s="6" t="s">
        <v>472</v>
      </c>
      <c r="B254" s="7" t="s">
        <v>473</v>
      </c>
      <c r="C254" s="6" t="s">
        <v>52</v>
      </c>
      <c r="D254" s="8">
        <v>1247.1500000000001</v>
      </c>
      <c r="E254" s="403"/>
      <c r="F254" s="403">
        <f>BBNTHT!J294</f>
        <v>0</v>
      </c>
      <c r="G254" s="403">
        <f t="shared" si="12"/>
        <v>0</v>
      </c>
      <c r="H254" s="9">
        <v>230235</v>
      </c>
      <c r="I254" s="404">
        <f t="shared" si="13"/>
        <v>287137580</v>
      </c>
      <c r="J254" s="403"/>
      <c r="K254" s="404">
        <f t="shared" si="14"/>
        <v>0</v>
      </c>
      <c r="L254" s="405">
        <f t="shared" si="15"/>
        <v>0</v>
      </c>
      <c r="M254" s="403"/>
    </row>
    <row r="255" spans="1:13" ht="15.75" x14ac:dyDescent="0.25">
      <c r="A255" s="2" t="s">
        <v>474</v>
      </c>
      <c r="B255" s="3" t="s">
        <v>475</v>
      </c>
      <c r="C255" s="2" t="s">
        <v>3</v>
      </c>
      <c r="D255" s="4" t="s">
        <v>3</v>
      </c>
      <c r="E255" s="403"/>
      <c r="F255" s="403">
        <f>BBNTHT!J295</f>
        <v>0</v>
      </c>
      <c r="G255" s="403">
        <f t="shared" si="12"/>
        <v>0</v>
      </c>
      <c r="H255" s="5"/>
      <c r="I255" s="404"/>
      <c r="J255" s="403"/>
      <c r="K255" s="404">
        <f t="shared" si="14"/>
        <v>0</v>
      </c>
      <c r="L255" s="405">
        <f t="shared" si="15"/>
        <v>0</v>
      </c>
      <c r="M255" s="403"/>
    </row>
    <row r="256" spans="1:13" ht="15.75" x14ac:dyDescent="0.25">
      <c r="A256" s="2" t="s">
        <v>476</v>
      </c>
      <c r="B256" s="3" t="s">
        <v>477</v>
      </c>
      <c r="C256" s="2" t="s">
        <v>3</v>
      </c>
      <c r="D256" s="4" t="s">
        <v>3</v>
      </c>
      <c r="E256" s="403"/>
      <c r="F256" s="403">
        <f>BBNTHT!J296</f>
        <v>0</v>
      </c>
      <c r="G256" s="403">
        <f t="shared" si="12"/>
        <v>0</v>
      </c>
      <c r="H256" s="5"/>
      <c r="I256" s="404"/>
      <c r="J256" s="403"/>
      <c r="K256" s="404">
        <f t="shared" si="14"/>
        <v>0</v>
      </c>
      <c r="L256" s="405">
        <f t="shared" si="15"/>
        <v>0</v>
      </c>
      <c r="M256" s="403"/>
    </row>
    <row r="257" spans="1:13" ht="15.75" x14ac:dyDescent="0.25">
      <c r="A257" s="6" t="s">
        <v>478</v>
      </c>
      <c r="B257" s="7" t="s">
        <v>479</v>
      </c>
      <c r="C257" s="6" t="s">
        <v>9</v>
      </c>
      <c r="D257" s="8">
        <v>1</v>
      </c>
      <c r="E257" s="403"/>
      <c r="F257" s="403">
        <f>BBNTHT!J297</f>
        <v>0</v>
      </c>
      <c r="G257" s="403">
        <f t="shared" si="12"/>
        <v>0</v>
      </c>
      <c r="H257" s="9">
        <v>66354638</v>
      </c>
      <c r="I257" s="404">
        <f t="shared" si="13"/>
        <v>66354638</v>
      </c>
      <c r="J257" s="403"/>
      <c r="K257" s="404">
        <f t="shared" si="14"/>
        <v>0</v>
      </c>
      <c r="L257" s="405">
        <f t="shared" si="15"/>
        <v>0</v>
      </c>
      <c r="M257" s="403"/>
    </row>
    <row r="258" spans="1:13" ht="15.75" x14ac:dyDescent="0.25">
      <c r="A258" s="6" t="s">
        <v>480</v>
      </c>
      <c r="B258" s="7" t="s">
        <v>481</v>
      </c>
      <c r="C258" s="6" t="s">
        <v>248</v>
      </c>
      <c r="D258" s="8">
        <v>6</v>
      </c>
      <c r="E258" s="403"/>
      <c r="F258" s="403">
        <f>BBNTHT!J298</f>
        <v>0</v>
      </c>
      <c r="G258" s="403">
        <f t="shared" si="12"/>
        <v>0</v>
      </c>
      <c r="H258" s="9">
        <v>1452644</v>
      </c>
      <c r="I258" s="404">
        <f t="shared" si="13"/>
        <v>8715864</v>
      </c>
      <c r="J258" s="403"/>
      <c r="K258" s="404">
        <f t="shared" si="14"/>
        <v>0</v>
      </c>
      <c r="L258" s="405">
        <f t="shared" si="15"/>
        <v>0</v>
      </c>
      <c r="M258" s="403"/>
    </row>
    <row r="259" spans="1:13" ht="15.75" x14ac:dyDescent="0.25">
      <c r="A259" s="6" t="s">
        <v>482</v>
      </c>
      <c r="B259" s="7" t="s">
        <v>483</v>
      </c>
      <c r="C259" s="6" t="s">
        <v>248</v>
      </c>
      <c r="D259" s="8">
        <v>3</v>
      </c>
      <c r="E259" s="403"/>
      <c r="F259" s="403">
        <f>BBNTHT!J299</f>
        <v>0</v>
      </c>
      <c r="G259" s="403">
        <f t="shared" si="12"/>
        <v>0</v>
      </c>
      <c r="H259" s="9">
        <v>396005</v>
      </c>
      <c r="I259" s="404">
        <f t="shared" si="13"/>
        <v>1188015</v>
      </c>
      <c r="J259" s="403"/>
      <c r="K259" s="404">
        <f t="shared" si="14"/>
        <v>0</v>
      </c>
      <c r="L259" s="405">
        <f t="shared" si="15"/>
        <v>0</v>
      </c>
      <c r="M259" s="403"/>
    </row>
    <row r="260" spans="1:13" ht="15.75" x14ac:dyDescent="0.25">
      <c r="A260" s="6" t="s">
        <v>484</v>
      </c>
      <c r="B260" s="7" t="s">
        <v>485</v>
      </c>
      <c r="C260" s="6" t="s">
        <v>248</v>
      </c>
      <c r="D260" s="8">
        <v>6</v>
      </c>
      <c r="E260" s="403"/>
      <c r="F260" s="403">
        <f>BBNTHT!J300</f>
        <v>0</v>
      </c>
      <c r="G260" s="403">
        <f t="shared" si="12"/>
        <v>0</v>
      </c>
      <c r="H260" s="9">
        <v>83756</v>
      </c>
      <c r="I260" s="404">
        <f t="shared" si="13"/>
        <v>502536</v>
      </c>
      <c r="J260" s="403"/>
      <c r="K260" s="404">
        <f t="shared" si="14"/>
        <v>0</v>
      </c>
      <c r="L260" s="405">
        <f t="shared" si="15"/>
        <v>0</v>
      </c>
      <c r="M260" s="403"/>
    </row>
    <row r="261" spans="1:13" ht="15.75" x14ac:dyDescent="0.25">
      <c r="A261" s="6" t="s">
        <v>486</v>
      </c>
      <c r="B261" s="7" t="s">
        <v>487</v>
      </c>
      <c r="C261" s="6" t="s">
        <v>9</v>
      </c>
      <c r="D261" s="8">
        <v>1</v>
      </c>
      <c r="E261" s="403"/>
      <c r="F261" s="403">
        <f>BBNTHT!J301</f>
        <v>0</v>
      </c>
      <c r="G261" s="403">
        <f t="shared" si="12"/>
        <v>0</v>
      </c>
      <c r="H261" s="9">
        <v>7204683</v>
      </c>
      <c r="I261" s="404">
        <f t="shared" si="13"/>
        <v>7204683</v>
      </c>
      <c r="J261" s="403"/>
      <c r="K261" s="404">
        <f t="shared" si="14"/>
        <v>0</v>
      </c>
      <c r="L261" s="405">
        <f t="shared" si="15"/>
        <v>0</v>
      </c>
      <c r="M261" s="403"/>
    </row>
    <row r="262" spans="1:13" ht="15.75" x14ac:dyDescent="0.25">
      <c r="A262" s="6" t="s">
        <v>488</v>
      </c>
      <c r="B262" s="7" t="s">
        <v>489</v>
      </c>
      <c r="C262" s="6" t="s">
        <v>9</v>
      </c>
      <c r="D262" s="8">
        <v>1</v>
      </c>
      <c r="E262" s="403"/>
      <c r="F262" s="403">
        <f>BBNTHT!J302</f>
        <v>0</v>
      </c>
      <c r="G262" s="403">
        <f t="shared" si="12"/>
        <v>0</v>
      </c>
      <c r="H262" s="9">
        <v>50113</v>
      </c>
      <c r="I262" s="404">
        <f t="shared" si="13"/>
        <v>50113</v>
      </c>
      <c r="J262" s="403"/>
      <c r="K262" s="404">
        <f t="shared" si="14"/>
        <v>0</v>
      </c>
      <c r="L262" s="405">
        <f t="shared" si="15"/>
        <v>0</v>
      </c>
      <c r="M262" s="403"/>
    </row>
    <row r="263" spans="1:13" ht="15.75" x14ac:dyDescent="0.25">
      <c r="A263" s="6" t="s">
        <v>490</v>
      </c>
      <c r="B263" s="7" t="s">
        <v>491</v>
      </c>
      <c r="C263" s="6" t="s">
        <v>9</v>
      </c>
      <c r="D263" s="8">
        <v>1</v>
      </c>
      <c r="E263" s="403"/>
      <c r="F263" s="403">
        <f>BBNTHT!J303</f>
        <v>0</v>
      </c>
      <c r="G263" s="403">
        <f t="shared" si="12"/>
        <v>0</v>
      </c>
      <c r="H263" s="9">
        <v>397618</v>
      </c>
      <c r="I263" s="404">
        <f t="shared" si="13"/>
        <v>397618</v>
      </c>
      <c r="J263" s="403"/>
      <c r="K263" s="404">
        <f t="shared" si="14"/>
        <v>0</v>
      </c>
      <c r="L263" s="405">
        <f t="shared" si="15"/>
        <v>0</v>
      </c>
      <c r="M263" s="403"/>
    </row>
    <row r="264" spans="1:13" ht="15.75" x14ac:dyDescent="0.25">
      <c r="A264" s="6" t="s">
        <v>492</v>
      </c>
      <c r="B264" s="7" t="s">
        <v>493</v>
      </c>
      <c r="C264" s="6" t="s">
        <v>9</v>
      </c>
      <c r="D264" s="8">
        <v>3</v>
      </c>
      <c r="E264" s="403"/>
      <c r="F264" s="403">
        <f>BBNTHT!J304</f>
        <v>0</v>
      </c>
      <c r="G264" s="403">
        <f t="shared" si="12"/>
        <v>0</v>
      </c>
      <c r="H264" s="9">
        <v>614082</v>
      </c>
      <c r="I264" s="404">
        <f t="shared" si="13"/>
        <v>1842246</v>
      </c>
      <c r="J264" s="403"/>
      <c r="K264" s="404">
        <f t="shared" si="14"/>
        <v>0</v>
      </c>
      <c r="L264" s="405">
        <f t="shared" si="15"/>
        <v>0</v>
      </c>
      <c r="M264" s="403"/>
    </row>
    <row r="265" spans="1:13" ht="15.75" x14ac:dyDescent="0.25">
      <c r="A265" s="6" t="s">
        <v>494</v>
      </c>
      <c r="B265" s="7" t="s">
        <v>495</v>
      </c>
      <c r="C265" s="6" t="s">
        <v>496</v>
      </c>
      <c r="D265" s="8">
        <v>1</v>
      </c>
      <c r="E265" s="403"/>
      <c r="F265" s="403">
        <f>BBNTHT!J305</f>
        <v>0</v>
      </c>
      <c r="G265" s="403">
        <f t="shared" si="12"/>
        <v>0</v>
      </c>
      <c r="H265" s="9">
        <v>634986</v>
      </c>
      <c r="I265" s="404">
        <f t="shared" si="13"/>
        <v>634986</v>
      </c>
      <c r="J265" s="403"/>
      <c r="K265" s="404">
        <f t="shared" si="14"/>
        <v>0</v>
      </c>
      <c r="L265" s="405">
        <f t="shared" si="15"/>
        <v>0</v>
      </c>
      <c r="M265" s="403"/>
    </row>
    <row r="266" spans="1:13" ht="31.5" x14ac:dyDescent="0.25">
      <c r="A266" s="6" t="s">
        <v>497</v>
      </c>
      <c r="B266" s="7" t="s">
        <v>498</v>
      </c>
      <c r="C266" s="6" t="s">
        <v>499</v>
      </c>
      <c r="D266" s="8">
        <v>1</v>
      </c>
      <c r="E266" s="403"/>
      <c r="F266" s="403">
        <f>BBNTHT!J306</f>
        <v>0</v>
      </c>
      <c r="G266" s="403">
        <f t="shared" si="12"/>
        <v>0</v>
      </c>
      <c r="H266" s="9">
        <v>5935608</v>
      </c>
      <c r="I266" s="404">
        <f t="shared" si="13"/>
        <v>5935608</v>
      </c>
      <c r="J266" s="403"/>
      <c r="K266" s="404">
        <f t="shared" si="14"/>
        <v>0</v>
      </c>
      <c r="L266" s="405">
        <f t="shared" si="15"/>
        <v>0</v>
      </c>
      <c r="M266" s="403"/>
    </row>
    <row r="267" spans="1:13" ht="15.75" x14ac:dyDescent="0.25">
      <c r="A267" s="2" t="s">
        <v>500</v>
      </c>
      <c r="B267" s="3" t="s">
        <v>501</v>
      </c>
      <c r="C267" s="4" t="s">
        <v>3</v>
      </c>
      <c r="D267" s="4" t="s">
        <v>3</v>
      </c>
      <c r="E267" s="403"/>
      <c r="F267" s="403">
        <f>BBNTHT!J307</f>
        <v>0</v>
      </c>
      <c r="G267" s="403">
        <f t="shared" si="12"/>
        <v>0</v>
      </c>
      <c r="H267" s="4" t="s">
        <v>3</v>
      </c>
      <c r="I267" s="404"/>
      <c r="J267" s="403"/>
      <c r="K267" s="404"/>
      <c r="L267" s="405"/>
      <c r="M267" s="403"/>
    </row>
    <row r="268" spans="1:13" ht="15.75" x14ac:dyDescent="0.25">
      <c r="A268" s="6" t="s">
        <v>502</v>
      </c>
      <c r="B268" s="7" t="s">
        <v>503</v>
      </c>
      <c r="C268" s="6" t="s">
        <v>9</v>
      </c>
      <c r="D268" s="8">
        <v>1</v>
      </c>
      <c r="E268" s="403"/>
      <c r="F268" s="403">
        <f>BBNTHT!J308</f>
        <v>0</v>
      </c>
      <c r="G268" s="403">
        <f t="shared" si="12"/>
        <v>0</v>
      </c>
      <c r="H268" s="9">
        <v>60738822</v>
      </c>
      <c r="I268" s="404">
        <f t="shared" si="13"/>
        <v>60738822</v>
      </c>
      <c r="J268" s="403"/>
      <c r="K268" s="404">
        <f t="shared" si="14"/>
        <v>0</v>
      </c>
      <c r="L268" s="405">
        <f t="shared" si="15"/>
        <v>0</v>
      </c>
      <c r="M268" s="403"/>
    </row>
    <row r="269" spans="1:13" ht="15.75" x14ac:dyDescent="0.25">
      <c r="A269" s="6" t="s">
        <v>504</v>
      </c>
      <c r="B269" s="7" t="s">
        <v>505</v>
      </c>
      <c r="C269" s="6" t="s">
        <v>9</v>
      </c>
      <c r="D269" s="8">
        <v>1</v>
      </c>
      <c r="E269" s="403"/>
      <c r="F269" s="403">
        <f>BBNTHT!J309</f>
        <v>0</v>
      </c>
      <c r="G269" s="403">
        <f t="shared" si="12"/>
        <v>0</v>
      </c>
      <c r="H269" s="9">
        <v>3748221</v>
      </c>
      <c r="I269" s="404">
        <f t="shared" si="13"/>
        <v>3748221</v>
      </c>
      <c r="J269" s="403"/>
      <c r="K269" s="404">
        <f t="shared" si="14"/>
        <v>0</v>
      </c>
      <c r="L269" s="405">
        <f t="shared" si="15"/>
        <v>0</v>
      </c>
      <c r="M269" s="403"/>
    </row>
    <row r="270" spans="1:13" ht="15.75" x14ac:dyDescent="0.25">
      <c r="A270" s="6" t="s">
        <v>506</v>
      </c>
      <c r="B270" s="7" t="s">
        <v>507</v>
      </c>
      <c r="C270" s="6" t="s">
        <v>248</v>
      </c>
      <c r="D270" s="8">
        <v>3</v>
      </c>
      <c r="E270" s="403"/>
      <c r="F270" s="403">
        <f>BBNTHT!J310</f>
        <v>0</v>
      </c>
      <c r="G270" s="403">
        <f t="shared" si="12"/>
        <v>0</v>
      </c>
      <c r="H270" s="9">
        <v>3720561</v>
      </c>
      <c r="I270" s="404">
        <f t="shared" si="13"/>
        <v>11161683</v>
      </c>
      <c r="J270" s="403"/>
      <c r="K270" s="404">
        <f t="shared" si="14"/>
        <v>0</v>
      </c>
      <c r="L270" s="405">
        <f t="shared" si="15"/>
        <v>0</v>
      </c>
      <c r="M270" s="403"/>
    </row>
    <row r="271" spans="1:13" ht="15.75" x14ac:dyDescent="0.25">
      <c r="A271" s="6" t="s">
        <v>508</v>
      </c>
      <c r="B271" s="7" t="s">
        <v>509</v>
      </c>
      <c r="C271" s="6" t="s">
        <v>9</v>
      </c>
      <c r="D271" s="8">
        <v>2</v>
      </c>
      <c r="E271" s="403"/>
      <c r="F271" s="403">
        <f>BBNTHT!J311</f>
        <v>0</v>
      </c>
      <c r="G271" s="403">
        <f t="shared" si="12"/>
        <v>0</v>
      </c>
      <c r="H271" s="9">
        <v>2585790</v>
      </c>
      <c r="I271" s="404">
        <f t="shared" si="13"/>
        <v>5171580</v>
      </c>
      <c r="J271" s="403"/>
      <c r="K271" s="404">
        <f t="shared" si="14"/>
        <v>0</v>
      </c>
      <c r="L271" s="405">
        <f t="shared" si="15"/>
        <v>0</v>
      </c>
      <c r="M271" s="403"/>
    </row>
    <row r="272" spans="1:13" ht="15.75" x14ac:dyDescent="0.25">
      <c r="A272" s="6" t="s">
        <v>510</v>
      </c>
      <c r="B272" s="7" t="s">
        <v>511</v>
      </c>
      <c r="C272" s="6" t="s">
        <v>9</v>
      </c>
      <c r="D272" s="8">
        <v>3</v>
      </c>
      <c r="E272" s="403"/>
      <c r="F272" s="403">
        <f>BBNTHT!J312</f>
        <v>0</v>
      </c>
      <c r="G272" s="403">
        <f t="shared" si="12"/>
        <v>0</v>
      </c>
      <c r="H272" s="9">
        <v>2585790</v>
      </c>
      <c r="I272" s="404">
        <f t="shared" si="13"/>
        <v>7757370</v>
      </c>
      <c r="J272" s="403"/>
      <c r="K272" s="404">
        <f t="shared" si="14"/>
        <v>0</v>
      </c>
      <c r="L272" s="405">
        <f t="shared" si="15"/>
        <v>0</v>
      </c>
      <c r="M272" s="403"/>
    </row>
    <row r="273" spans="1:13" ht="15.75" x14ac:dyDescent="0.25">
      <c r="A273" s="6" t="s">
        <v>512</v>
      </c>
      <c r="B273" s="7" t="s">
        <v>495</v>
      </c>
      <c r="C273" s="6" t="s">
        <v>248</v>
      </c>
      <c r="D273" s="8">
        <v>1</v>
      </c>
      <c r="E273" s="403"/>
      <c r="F273" s="403">
        <f>BBNTHT!J313</f>
        <v>0</v>
      </c>
      <c r="G273" s="403">
        <f t="shared" si="12"/>
        <v>0</v>
      </c>
      <c r="H273" s="9">
        <v>634986</v>
      </c>
      <c r="I273" s="404">
        <f t="shared" si="13"/>
        <v>634986</v>
      </c>
      <c r="J273" s="403"/>
      <c r="K273" s="404">
        <f t="shared" si="14"/>
        <v>0</v>
      </c>
      <c r="L273" s="405">
        <f t="shared" si="15"/>
        <v>0</v>
      </c>
      <c r="M273" s="403"/>
    </row>
    <row r="274" spans="1:13" ht="31.5" x14ac:dyDescent="0.25">
      <c r="A274" s="6" t="s">
        <v>513</v>
      </c>
      <c r="B274" s="7" t="s">
        <v>498</v>
      </c>
      <c r="C274" s="6" t="s">
        <v>499</v>
      </c>
      <c r="D274" s="8">
        <v>1</v>
      </c>
      <c r="E274" s="403"/>
      <c r="F274" s="403">
        <f>BBNTHT!J314</f>
        <v>0</v>
      </c>
      <c r="G274" s="403">
        <f t="shared" ref="G274:G337" si="16">F274+E274</f>
        <v>0</v>
      </c>
      <c r="H274" s="9">
        <v>5935608</v>
      </c>
      <c r="I274" s="404">
        <f t="shared" ref="I274:I337" si="17">ROUND(D274*H274,0)</f>
        <v>5935608</v>
      </c>
      <c r="J274" s="403"/>
      <c r="K274" s="404">
        <f t="shared" ref="K274:K337" si="18">ROUND(F274*H274,0)</f>
        <v>0</v>
      </c>
      <c r="L274" s="405">
        <f t="shared" ref="L274:L337" si="19">J274+K274</f>
        <v>0</v>
      </c>
      <c r="M274" s="403"/>
    </row>
    <row r="275" spans="1:13" ht="15.75" x14ac:dyDescent="0.25">
      <c r="A275" s="2" t="s">
        <v>514</v>
      </c>
      <c r="B275" s="3" t="s">
        <v>515</v>
      </c>
      <c r="C275" s="2"/>
      <c r="D275" s="4" t="s">
        <v>3</v>
      </c>
      <c r="E275" s="403"/>
      <c r="F275" s="403">
        <f>BBNTHT!J315</f>
        <v>0</v>
      </c>
      <c r="G275" s="403">
        <f t="shared" si="16"/>
        <v>0</v>
      </c>
      <c r="H275" s="5"/>
      <c r="I275" s="404"/>
      <c r="J275" s="403"/>
      <c r="K275" s="404">
        <f t="shared" si="18"/>
        <v>0</v>
      </c>
      <c r="L275" s="405">
        <f t="shared" si="19"/>
        <v>0</v>
      </c>
      <c r="M275" s="403"/>
    </row>
    <row r="276" spans="1:13" ht="15.75" x14ac:dyDescent="0.25">
      <c r="A276" s="6" t="s">
        <v>516</v>
      </c>
      <c r="B276" s="7" t="s">
        <v>517</v>
      </c>
      <c r="C276" s="6" t="s">
        <v>9</v>
      </c>
      <c r="D276" s="8">
        <v>1</v>
      </c>
      <c r="E276" s="403"/>
      <c r="F276" s="403">
        <f>BBNTHT!J316</f>
        <v>0</v>
      </c>
      <c r="G276" s="403">
        <f t="shared" si="16"/>
        <v>0</v>
      </c>
      <c r="H276" s="9">
        <v>14574262</v>
      </c>
      <c r="I276" s="404">
        <f t="shared" si="17"/>
        <v>14574262</v>
      </c>
      <c r="J276" s="403"/>
      <c r="K276" s="404">
        <f t="shared" si="18"/>
        <v>0</v>
      </c>
      <c r="L276" s="405">
        <f t="shared" si="19"/>
        <v>0</v>
      </c>
      <c r="M276" s="403"/>
    </row>
    <row r="277" spans="1:13" ht="15.75" x14ac:dyDescent="0.25">
      <c r="A277" s="6" t="s">
        <v>518</v>
      </c>
      <c r="B277" s="7" t="s">
        <v>519</v>
      </c>
      <c r="C277" s="6" t="s">
        <v>9</v>
      </c>
      <c r="D277" s="8">
        <v>2</v>
      </c>
      <c r="E277" s="403"/>
      <c r="F277" s="403">
        <f>BBNTHT!J317</f>
        <v>0</v>
      </c>
      <c r="G277" s="403">
        <f t="shared" si="16"/>
        <v>0</v>
      </c>
      <c r="H277" s="9">
        <v>9239236</v>
      </c>
      <c r="I277" s="404">
        <f t="shared" si="17"/>
        <v>18478472</v>
      </c>
      <c r="J277" s="403"/>
      <c r="K277" s="404">
        <f t="shared" si="18"/>
        <v>0</v>
      </c>
      <c r="L277" s="405">
        <f t="shared" si="19"/>
        <v>0</v>
      </c>
      <c r="M277" s="403"/>
    </row>
    <row r="278" spans="1:13" ht="15.75" x14ac:dyDescent="0.25">
      <c r="A278" s="6" t="s">
        <v>520</v>
      </c>
      <c r="B278" s="7" t="s">
        <v>521</v>
      </c>
      <c r="C278" s="6" t="s">
        <v>9</v>
      </c>
      <c r="D278" s="8">
        <v>1</v>
      </c>
      <c r="E278" s="403"/>
      <c r="F278" s="403">
        <f>BBNTHT!J318</f>
        <v>0</v>
      </c>
      <c r="G278" s="403">
        <f t="shared" si="16"/>
        <v>0</v>
      </c>
      <c r="H278" s="9">
        <v>3942500</v>
      </c>
      <c r="I278" s="404">
        <f t="shared" si="17"/>
        <v>3942500</v>
      </c>
      <c r="J278" s="403"/>
      <c r="K278" s="404">
        <f t="shared" si="18"/>
        <v>0</v>
      </c>
      <c r="L278" s="405">
        <f t="shared" si="19"/>
        <v>0</v>
      </c>
      <c r="M278" s="403"/>
    </row>
    <row r="279" spans="1:13" ht="15.75" x14ac:dyDescent="0.25">
      <c r="A279" s="6" t="s">
        <v>522</v>
      </c>
      <c r="B279" s="7" t="s">
        <v>523</v>
      </c>
      <c r="C279" s="6" t="s">
        <v>9</v>
      </c>
      <c r="D279" s="8">
        <v>1</v>
      </c>
      <c r="E279" s="403"/>
      <c r="F279" s="403">
        <f>BBNTHT!J319</f>
        <v>0</v>
      </c>
      <c r="G279" s="403">
        <f t="shared" si="16"/>
        <v>0</v>
      </c>
      <c r="H279" s="9">
        <v>6048623</v>
      </c>
      <c r="I279" s="404">
        <f t="shared" si="17"/>
        <v>6048623</v>
      </c>
      <c r="J279" s="403"/>
      <c r="K279" s="404">
        <f t="shared" si="18"/>
        <v>0</v>
      </c>
      <c r="L279" s="405">
        <f t="shared" si="19"/>
        <v>0</v>
      </c>
      <c r="M279" s="403"/>
    </row>
    <row r="280" spans="1:13" ht="15.75" x14ac:dyDescent="0.25">
      <c r="A280" s="6" t="s">
        <v>524</v>
      </c>
      <c r="B280" s="7" t="s">
        <v>525</v>
      </c>
      <c r="C280" s="6" t="s">
        <v>9</v>
      </c>
      <c r="D280" s="8">
        <v>1</v>
      </c>
      <c r="E280" s="403"/>
      <c r="F280" s="403">
        <f>BBNTHT!J320</f>
        <v>0</v>
      </c>
      <c r="G280" s="403">
        <f t="shared" si="16"/>
        <v>0</v>
      </c>
      <c r="H280" s="9">
        <v>3720561</v>
      </c>
      <c r="I280" s="404">
        <f t="shared" si="17"/>
        <v>3720561</v>
      </c>
      <c r="J280" s="403"/>
      <c r="K280" s="404">
        <f t="shared" si="18"/>
        <v>0</v>
      </c>
      <c r="L280" s="405">
        <f t="shared" si="19"/>
        <v>0</v>
      </c>
      <c r="M280" s="403"/>
    </row>
    <row r="281" spans="1:13" ht="15.75" x14ac:dyDescent="0.25">
      <c r="A281" s="6" t="s">
        <v>526</v>
      </c>
      <c r="B281" s="7" t="s">
        <v>511</v>
      </c>
      <c r="C281" s="6" t="s">
        <v>9</v>
      </c>
      <c r="D281" s="8">
        <v>1</v>
      </c>
      <c r="E281" s="403"/>
      <c r="F281" s="403">
        <f>BBNTHT!J321</f>
        <v>0</v>
      </c>
      <c r="G281" s="403">
        <f t="shared" si="16"/>
        <v>0</v>
      </c>
      <c r="H281" s="9">
        <v>2585790</v>
      </c>
      <c r="I281" s="404">
        <f t="shared" si="17"/>
        <v>2585790</v>
      </c>
      <c r="J281" s="403"/>
      <c r="K281" s="404">
        <f t="shared" si="18"/>
        <v>0</v>
      </c>
      <c r="L281" s="405">
        <f t="shared" si="19"/>
        <v>0</v>
      </c>
      <c r="M281" s="403"/>
    </row>
    <row r="282" spans="1:13" ht="15.75" x14ac:dyDescent="0.25">
      <c r="A282" s="6" t="s">
        <v>527</v>
      </c>
      <c r="B282" s="7" t="s">
        <v>528</v>
      </c>
      <c r="C282" s="6" t="s">
        <v>248</v>
      </c>
      <c r="D282" s="8">
        <v>7</v>
      </c>
      <c r="E282" s="403"/>
      <c r="F282" s="403">
        <f>BBNTHT!J322</f>
        <v>0</v>
      </c>
      <c r="G282" s="403">
        <f t="shared" si="16"/>
        <v>0</v>
      </c>
      <c r="H282" s="9">
        <v>1042190</v>
      </c>
      <c r="I282" s="404">
        <f t="shared" si="17"/>
        <v>7295330</v>
      </c>
      <c r="J282" s="403"/>
      <c r="K282" s="404">
        <f t="shared" si="18"/>
        <v>0</v>
      </c>
      <c r="L282" s="405">
        <f t="shared" si="19"/>
        <v>0</v>
      </c>
      <c r="M282" s="403"/>
    </row>
    <row r="283" spans="1:13" ht="15.75" x14ac:dyDescent="0.25">
      <c r="A283" s="6" t="s">
        <v>529</v>
      </c>
      <c r="B283" s="7" t="s">
        <v>483</v>
      </c>
      <c r="C283" s="6" t="s">
        <v>248</v>
      </c>
      <c r="D283" s="8">
        <v>3</v>
      </c>
      <c r="E283" s="403"/>
      <c r="F283" s="403">
        <f>BBNTHT!J323</f>
        <v>0</v>
      </c>
      <c r="G283" s="403">
        <f t="shared" si="16"/>
        <v>0</v>
      </c>
      <c r="H283" s="9">
        <v>396005</v>
      </c>
      <c r="I283" s="404">
        <f t="shared" si="17"/>
        <v>1188015</v>
      </c>
      <c r="J283" s="403"/>
      <c r="K283" s="404">
        <f t="shared" si="18"/>
        <v>0</v>
      </c>
      <c r="L283" s="405">
        <f t="shared" si="19"/>
        <v>0</v>
      </c>
      <c r="M283" s="403"/>
    </row>
    <row r="284" spans="1:13" ht="15.75" x14ac:dyDescent="0.25">
      <c r="A284" s="6" t="s">
        <v>530</v>
      </c>
      <c r="B284" s="7" t="s">
        <v>485</v>
      </c>
      <c r="C284" s="6" t="s">
        <v>248</v>
      </c>
      <c r="D284" s="8">
        <v>6</v>
      </c>
      <c r="E284" s="403"/>
      <c r="F284" s="403">
        <f>BBNTHT!J324</f>
        <v>0</v>
      </c>
      <c r="G284" s="403">
        <f t="shared" si="16"/>
        <v>0</v>
      </c>
      <c r="H284" s="9">
        <v>83756</v>
      </c>
      <c r="I284" s="404">
        <f t="shared" si="17"/>
        <v>502536</v>
      </c>
      <c r="J284" s="403"/>
      <c r="K284" s="404">
        <f t="shared" si="18"/>
        <v>0</v>
      </c>
      <c r="L284" s="405">
        <f t="shared" si="19"/>
        <v>0</v>
      </c>
      <c r="M284" s="403"/>
    </row>
    <row r="285" spans="1:13" ht="15.75" x14ac:dyDescent="0.25">
      <c r="A285" s="6" t="s">
        <v>531</v>
      </c>
      <c r="B285" s="7" t="s">
        <v>487</v>
      </c>
      <c r="C285" s="6" t="s">
        <v>9</v>
      </c>
      <c r="D285" s="8">
        <v>1</v>
      </c>
      <c r="E285" s="403"/>
      <c r="F285" s="403">
        <f>BBNTHT!J325</f>
        <v>0</v>
      </c>
      <c r="G285" s="403">
        <f t="shared" si="16"/>
        <v>0</v>
      </c>
      <c r="H285" s="9">
        <v>7204683</v>
      </c>
      <c r="I285" s="404">
        <f t="shared" si="17"/>
        <v>7204683</v>
      </c>
      <c r="J285" s="403"/>
      <c r="K285" s="404">
        <f t="shared" si="18"/>
        <v>0</v>
      </c>
      <c r="L285" s="405">
        <f t="shared" si="19"/>
        <v>0</v>
      </c>
      <c r="M285" s="403"/>
    </row>
    <row r="286" spans="1:13" ht="15.75" x14ac:dyDescent="0.25">
      <c r="A286" s="6" t="s">
        <v>532</v>
      </c>
      <c r="B286" s="7" t="s">
        <v>489</v>
      </c>
      <c r="C286" s="6" t="s">
        <v>9</v>
      </c>
      <c r="D286" s="8">
        <v>1</v>
      </c>
      <c r="E286" s="403"/>
      <c r="F286" s="403">
        <f>BBNTHT!J326</f>
        <v>0</v>
      </c>
      <c r="G286" s="403">
        <f t="shared" si="16"/>
        <v>0</v>
      </c>
      <c r="H286" s="9">
        <v>50113</v>
      </c>
      <c r="I286" s="404">
        <f t="shared" si="17"/>
        <v>50113</v>
      </c>
      <c r="J286" s="403"/>
      <c r="K286" s="404">
        <f t="shared" si="18"/>
        <v>0</v>
      </c>
      <c r="L286" s="405">
        <f t="shared" si="19"/>
        <v>0</v>
      </c>
      <c r="M286" s="403"/>
    </row>
    <row r="287" spans="1:13" ht="15.75" x14ac:dyDescent="0.25">
      <c r="A287" s="6" t="s">
        <v>533</v>
      </c>
      <c r="B287" s="7" t="s">
        <v>491</v>
      </c>
      <c r="C287" s="6" t="s">
        <v>9</v>
      </c>
      <c r="D287" s="8">
        <v>1</v>
      </c>
      <c r="E287" s="403"/>
      <c r="F287" s="403">
        <f>BBNTHT!J327</f>
        <v>0</v>
      </c>
      <c r="G287" s="403">
        <f t="shared" si="16"/>
        <v>0</v>
      </c>
      <c r="H287" s="9">
        <v>397618</v>
      </c>
      <c r="I287" s="404">
        <f t="shared" si="17"/>
        <v>397618</v>
      </c>
      <c r="J287" s="403"/>
      <c r="K287" s="404">
        <f t="shared" si="18"/>
        <v>0</v>
      </c>
      <c r="L287" s="405">
        <f t="shared" si="19"/>
        <v>0</v>
      </c>
      <c r="M287" s="403"/>
    </row>
    <row r="288" spans="1:13" ht="15.75" x14ac:dyDescent="0.25">
      <c r="A288" s="6" t="s">
        <v>534</v>
      </c>
      <c r="B288" s="7" t="s">
        <v>535</v>
      </c>
      <c r="C288" s="6" t="s">
        <v>9</v>
      </c>
      <c r="D288" s="8">
        <v>3</v>
      </c>
      <c r="E288" s="403"/>
      <c r="F288" s="403">
        <f>BBNTHT!J328</f>
        <v>0</v>
      </c>
      <c r="G288" s="403">
        <f t="shared" si="16"/>
        <v>0</v>
      </c>
      <c r="H288" s="9">
        <v>614082</v>
      </c>
      <c r="I288" s="404">
        <f t="shared" si="17"/>
        <v>1842246</v>
      </c>
      <c r="J288" s="403"/>
      <c r="K288" s="404">
        <f t="shared" si="18"/>
        <v>0</v>
      </c>
      <c r="L288" s="405">
        <f t="shared" si="19"/>
        <v>0</v>
      </c>
      <c r="M288" s="403"/>
    </row>
    <row r="289" spans="1:13" ht="15.75" x14ac:dyDescent="0.25">
      <c r="A289" s="6" t="s">
        <v>536</v>
      </c>
      <c r="B289" s="7" t="s">
        <v>495</v>
      </c>
      <c r="C289" s="6" t="s">
        <v>248</v>
      </c>
      <c r="D289" s="8">
        <v>1</v>
      </c>
      <c r="E289" s="403"/>
      <c r="F289" s="403">
        <f>BBNTHT!J329</f>
        <v>0</v>
      </c>
      <c r="G289" s="403">
        <f t="shared" si="16"/>
        <v>0</v>
      </c>
      <c r="H289" s="9">
        <v>634986</v>
      </c>
      <c r="I289" s="404">
        <f t="shared" si="17"/>
        <v>634986</v>
      </c>
      <c r="J289" s="403"/>
      <c r="K289" s="404">
        <f t="shared" si="18"/>
        <v>0</v>
      </c>
      <c r="L289" s="405">
        <f t="shared" si="19"/>
        <v>0</v>
      </c>
      <c r="M289" s="403"/>
    </row>
    <row r="290" spans="1:13" ht="31.5" x14ac:dyDescent="0.25">
      <c r="A290" s="6" t="s">
        <v>537</v>
      </c>
      <c r="B290" s="7" t="s">
        <v>498</v>
      </c>
      <c r="C290" s="6" t="s">
        <v>499</v>
      </c>
      <c r="D290" s="8">
        <v>1</v>
      </c>
      <c r="E290" s="403"/>
      <c r="F290" s="403">
        <f>BBNTHT!J330</f>
        <v>0</v>
      </c>
      <c r="G290" s="403">
        <f t="shared" si="16"/>
        <v>0</v>
      </c>
      <c r="H290" s="9">
        <v>5935608</v>
      </c>
      <c r="I290" s="404">
        <f t="shared" si="17"/>
        <v>5935608</v>
      </c>
      <c r="J290" s="403"/>
      <c r="K290" s="404">
        <f t="shared" si="18"/>
        <v>0</v>
      </c>
      <c r="L290" s="405">
        <f t="shared" si="19"/>
        <v>0</v>
      </c>
      <c r="M290" s="403"/>
    </row>
    <row r="291" spans="1:13" ht="15.75" x14ac:dyDescent="0.25">
      <c r="A291" s="2" t="s">
        <v>538</v>
      </c>
      <c r="B291" s="3" t="s">
        <v>539</v>
      </c>
      <c r="C291" s="2"/>
      <c r="D291" s="4" t="s">
        <v>3</v>
      </c>
      <c r="E291" s="403"/>
      <c r="F291" s="403">
        <f>BBNTHT!J331</f>
        <v>0</v>
      </c>
      <c r="G291" s="403">
        <f t="shared" si="16"/>
        <v>0</v>
      </c>
      <c r="H291" s="5"/>
      <c r="I291" s="404"/>
      <c r="J291" s="403"/>
      <c r="K291" s="404">
        <f t="shared" si="18"/>
        <v>0</v>
      </c>
      <c r="L291" s="405">
        <f t="shared" si="19"/>
        <v>0</v>
      </c>
      <c r="M291" s="403"/>
    </row>
    <row r="292" spans="1:13" ht="15.75" x14ac:dyDescent="0.25">
      <c r="A292" s="6" t="s">
        <v>540</v>
      </c>
      <c r="B292" s="7" t="s">
        <v>541</v>
      </c>
      <c r="C292" s="6" t="s">
        <v>9</v>
      </c>
      <c r="D292" s="8">
        <v>1</v>
      </c>
      <c r="E292" s="403"/>
      <c r="F292" s="403">
        <f>BBNTHT!J332</f>
        <v>0</v>
      </c>
      <c r="G292" s="403">
        <f t="shared" si="16"/>
        <v>0</v>
      </c>
      <c r="H292" s="9">
        <v>59079603</v>
      </c>
      <c r="I292" s="404">
        <f t="shared" si="17"/>
        <v>59079603</v>
      </c>
      <c r="J292" s="403"/>
      <c r="K292" s="404">
        <f t="shared" si="18"/>
        <v>0</v>
      </c>
      <c r="L292" s="405">
        <f t="shared" si="19"/>
        <v>0</v>
      </c>
      <c r="M292" s="403"/>
    </row>
    <row r="293" spans="1:13" ht="15.75" x14ac:dyDescent="0.25">
      <c r="A293" s="6" t="s">
        <v>542</v>
      </c>
      <c r="B293" s="7" t="s">
        <v>543</v>
      </c>
      <c r="C293" s="6" t="s">
        <v>9</v>
      </c>
      <c r="D293" s="8">
        <v>1</v>
      </c>
      <c r="E293" s="403"/>
      <c r="F293" s="403">
        <f>BBNTHT!J333</f>
        <v>0</v>
      </c>
      <c r="G293" s="403">
        <f t="shared" si="16"/>
        <v>0</v>
      </c>
      <c r="H293" s="9">
        <v>3868081</v>
      </c>
      <c r="I293" s="404">
        <f t="shared" si="17"/>
        <v>3868081</v>
      </c>
      <c r="J293" s="403"/>
      <c r="K293" s="404">
        <f t="shared" si="18"/>
        <v>0</v>
      </c>
      <c r="L293" s="405">
        <f t="shared" si="19"/>
        <v>0</v>
      </c>
      <c r="M293" s="403"/>
    </row>
    <row r="294" spans="1:13" ht="15.75" x14ac:dyDescent="0.25">
      <c r="A294" s="6" t="s">
        <v>544</v>
      </c>
      <c r="B294" s="7" t="s">
        <v>523</v>
      </c>
      <c r="C294" s="6" t="s">
        <v>9</v>
      </c>
      <c r="D294" s="8">
        <v>1</v>
      </c>
      <c r="E294" s="403"/>
      <c r="F294" s="403">
        <f>BBNTHT!J334</f>
        <v>0</v>
      </c>
      <c r="G294" s="403">
        <f t="shared" si="16"/>
        <v>0</v>
      </c>
      <c r="H294" s="9">
        <v>6048623</v>
      </c>
      <c r="I294" s="404">
        <f t="shared" si="17"/>
        <v>6048623</v>
      </c>
      <c r="J294" s="403"/>
      <c r="K294" s="404">
        <f t="shared" si="18"/>
        <v>0</v>
      </c>
      <c r="L294" s="405">
        <f t="shared" si="19"/>
        <v>0</v>
      </c>
      <c r="M294" s="403"/>
    </row>
    <row r="295" spans="1:13" ht="15.75" x14ac:dyDescent="0.25">
      <c r="A295" s="6" t="s">
        <v>545</v>
      </c>
      <c r="B295" s="7" t="s">
        <v>525</v>
      </c>
      <c r="C295" s="6" t="s">
        <v>9</v>
      </c>
      <c r="D295" s="8">
        <v>1</v>
      </c>
      <c r="E295" s="403"/>
      <c r="F295" s="403">
        <f>BBNTHT!J335</f>
        <v>0</v>
      </c>
      <c r="G295" s="403">
        <f t="shared" si="16"/>
        <v>0</v>
      </c>
      <c r="H295" s="9">
        <v>2694423</v>
      </c>
      <c r="I295" s="404">
        <f t="shared" si="17"/>
        <v>2694423</v>
      </c>
      <c r="J295" s="403"/>
      <c r="K295" s="404">
        <f t="shared" si="18"/>
        <v>0</v>
      </c>
      <c r="L295" s="405">
        <f t="shared" si="19"/>
        <v>0</v>
      </c>
      <c r="M295" s="403"/>
    </row>
    <row r="296" spans="1:13" ht="15.75" x14ac:dyDescent="0.25">
      <c r="A296" s="6" t="s">
        <v>546</v>
      </c>
      <c r="B296" s="7" t="s">
        <v>509</v>
      </c>
      <c r="C296" s="6" t="s">
        <v>9</v>
      </c>
      <c r="D296" s="8">
        <v>3</v>
      </c>
      <c r="E296" s="403"/>
      <c r="F296" s="403">
        <f>BBNTHT!J336</f>
        <v>0</v>
      </c>
      <c r="G296" s="403">
        <f t="shared" si="16"/>
        <v>0</v>
      </c>
      <c r="H296" s="9">
        <v>2585790</v>
      </c>
      <c r="I296" s="404">
        <f t="shared" si="17"/>
        <v>7757370</v>
      </c>
      <c r="J296" s="403"/>
      <c r="K296" s="404">
        <f t="shared" si="18"/>
        <v>0</v>
      </c>
      <c r="L296" s="405">
        <f t="shared" si="19"/>
        <v>0</v>
      </c>
      <c r="M296" s="403"/>
    </row>
    <row r="297" spans="1:13" ht="15.75" x14ac:dyDescent="0.25">
      <c r="A297" s="6" t="s">
        <v>547</v>
      </c>
      <c r="B297" s="7" t="s">
        <v>548</v>
      </c>
      <c r="C297" s="6" t="s">
        <v>9</v>
      </c>
      <c r="D297" s="8">
        <v>2</v>
      </c>
      <c r="E297" s="403"/>
      <c r="F297" s="403">
        <f>BBNTHT!J337</f>
        <v>0</v>
      </c>
      <c r="G297" s="403">
        <f t="shared" si="16"/>
        <v>0</v>
      </c>
      <c r="H297" s="9">
        <v>2585790</v>
      </c>
      <c r="I297" s="404">
        <f t="shared" si="17"/>
        <v>5171580</v>
      </c>
      <c r="J297" s="403"/>
      <c r="K297" s="404">
        <f t="shared" si="18"/>
        <v>0</v>
      </c>
      <c r="L297" s="405">
        <f t="shared" si="19"/>
        <v>0</v>
      </c>
      <c r="M297" s="403"/>
    </row>
    <row r="298" spans="1:13" ht="15.75" x14ac:dyDescent="0.25">
      <c r="A298" s="6" t="s">
        <v>549</v>
      </c>
      <c r="B298" s="7" t="s">
        <v>550</v>
      </c>
      <c r="C298" s="6" t="s">
        <v>248</v>
      </c>
      <c r="D298" s="8">
        <v>7</v>
      </c>
      <c r="E298" s="403"/>
      <c r="F298" s="403">
        <f>BBNTHT!J338</f>
        <v>0</v>
      </c>
      <c r="G298" s="403">
        <f t="shared" si="16"/>
        <v>0</v>
      </c>
      <c r="H298" s="9">
        <v>1298724</v>
      </c>
      <c r="I298" s="404">
        <f t="shared" si="17"/>
        <v>9091068</v>
      </c>
      <c r="J298" s="403"/>
      <c r="K298" s="404">
        <f t="shared" si="18"/>
        <v>0</v>
      </c>
      <c r="L298" s="405">
        <f t="shared" si="19"/>
        <v>0</v>
      </c>
      <c r="M298" s="403"/>
    </row>
    <row r="299" spans="1:13" ht="15.75" x14ac:dyDescent="0.25">
      <c r="A299" s="6" t="s">
        <v>551</v>
      </c>
      <c r="B299" s="7" t="s">
        <v>483</v>
      </c>
      <c r="C299" s="6" t="s">
        <v>248</v>
      </c>
      <c r="D299" s="8">
        <v>3</v>
      </c>
      <c r="E299" s="403"/>
      <c r="F299" s="403">
        <f>BBNTHT!J339</f>
        <v>0</v>
      </c>
      <c r="G299" s="403">
        <f t="shared" si="16"/>
        <v>0</v>
      </c>
      <c r="H299" s="9">
        <v>396005</v>
      </c>
      <c r="I299" s="404">
        <f t="shared" si="17"/>
        <v>1188015</v>
      </c>
      <c r="J299" s="403"/>
      <c r="K299" s="404">
        <f t="shared" si="18"/>
        <v>0</v>
      </c>
      <c r="L299" s="405">
        <f t="shared" si="19"/>
        <v>0</v>
      </c>
      <c r="M299" s="403"/>
    </row>
    <row r="300" spans="1:13" ht="15.75" x14ac:dyDescent="0.25">
      <c r="A300" s="6" t="s">
        <v>552</v>
      </c>
      <c r="B300" s="7" t="s">
        <v>485</v>
      </c>
      <c r="C300" s="6" t="s">
        <v>248</v>
      </c>
      <c r="D300" s="8">
        <v>6</v>
      </c>
      <c r="E300" s="403"/>
      <c r="F300" s="403">
        <f>BBNTHT!J340</f>
        <v>0</v>
      </c>
      <c r="G300" s="403">
        <f t="shared" si="16"/>
        <v>0</v>
      </c>
      <c r="H300" s="9">
        <v>83756</v>
      </c>
      <c r="I300" s="404">
        <f t="shared" si="17"/>
        <v>502536</v>
      </c>
      <c r="J300" s="403"/>
      <c r="K300" s="404">
        <f t="shared" si="18"/>
        <v>0</v>
      </c>
      <c r="L300" s="405">
        <f t="shared" si="19"/>
        <v>0</v>
      </c>
      <c r="M300" s="403"/>
    </row>
    <row r="301" spans="1:13" ht="15.75" x14ac:dyDescent="0.25">
      <c r="A301" s="6" t="s">
        <v>553</v>
      </c>
      <c r="B301" s="7" t="s">
        <v>487</v>
      </c>
      <c r="C301" s="6" t="s">
        <v>9</v>
      </c>
      <c r="D301" s="8">
        <v>1</v>
      </c>
      <c r="E301" s="403"/>
      <c r="F301" s="403">
        <f>BBNTHT!J341</f>
        <v>0</v>
      </c>
      <c r="G301" s="403">
        <f t="shared" si="16"/>
        <v>0</v>
      </c>
      <c r="H301" s="9">
        <v>7204683</v>
      </c>
      <c r="I301" s="404">
        <f t="shared" si="17"/>
        <v>7204683</v>
      </c>
      <c r="J301" s="403"/>
      <c r="K301" s="404">
        <f t="shared" si="18"/>
        <v>0</v>
      </c>
      <c r="L301" s="405">
        <f t="shared" si="19"/>
        <v>0</v>
      </c>
      <c r="M301" s="403"/>
    </row>
    <row r="302" spans="1:13" ht="15.75" x14ac:dyDescent="0.25">
      <c r="A302" s="6" t="s">
        <v>554</v>
      </c>
      <c r="B302" s="7" t="s">
        <v>489</v>
      </c>
      <c r="C302" s="6" t="s">
        <v>9</v>
      </c>
      <c r="D302" s="8">
        <v>1</v>
      </c>
      <c r="E302" s="403"/>
      <c r="F302" s="403">
        <f>BBNTHT!J342</f>
        <v>0</v>
      </c>
      <c r="G302" s="403">
        <f t="shared" si="16"/>
        <v>0</v>
      </c>
      <c r="H302" s="9">
        <v>50113</v>
      </c>
      <c r="I302" s="404">
        <f t="shared" si="17"/>
        <v>50113</v>
      </c>
      <c r="J302" s="403"/>
      <c r="K302" s="404">
        <f t="shared" si="18"/>
        <v>0</v>
      </c>
      <c r="L302" s="405">
        <f t="shared" si="19"/>
        <v>0</v>
      </c>
      <c r="M302" s="403"/>
    </row>
    <row r="303" spans="1:13" ht="15.75" x14ac:dyDescent="0.25">
      <c r="A303" s="6" t="s">
        <v>555</v>
      </c>
      <c r="B303" s="7" t="s">
        <v>491</v>
      </c>
      <c r="C303" s="6" t="s">
        <v>9</v>
      </c>
      <c r="D303" s="8">
        <v>1</v>
      </c>
      <c r="E303" s="403"/>
      <c r="F303" s="403">
        <f>BBNTHT!J343</f>
        <v>0</v>
      </c>
      <c r="G303" s="403">
        <f t="shared" si="16"/>
        <v>0</v>
      </c>
      <c r="H303" s="9">
        <v>397618</v>
      </c>
      <c r="I303" s="404">
        <f t="shared" si="17"/>
        <v>397618</v>
      </c>
      <c r="J303" s="403"/>
      <c r="K303" s="404">
        <f t="shared" si="18"/>
        <v>0</v>
      </c>
      <c r="L303" s="405">
        <f t="shared" si="19"/>
        <v>0</v>
      </c>
      <c r="M303" s="403"/>
    </row>
    <row r="304" spans="1:13" ht="15.75" x14ac:dyDescent="0.25">
      <c r="A304" s="6" t="s">
        <v>556</v>
      </c>
      <c r="B304" s="7" t="s">
        <v>557</v>
      </c>
      <c r="C304" s="6" t="s">
        <v>9</v>
      </c>
      <c r="D304" s="8">
        <v>3</v>
      </c>
      <c r="E304" s="403"/>
      <c r="F304" s="403">
        <f>BBNTHT!J344</f>
        <v>0</v>
      </c>
      <c r="G304" s="403">
        <f t="shared" si="16"/>
        <v>0</v>
      </c>
      <c r="H304" s="9">
        <v>614082</v>
      </c>
      <c r="I304" s="404">
        <f t="shared" si="17"/>
        <v>1842246</v>
      </c>
      <c r="J304" s="403"/>
      <c r="K304" s="404">
        <f t="shared" si="18"/>
        <v>0</v>
      </c>
      <c r="L304" s="405">
        <f t="shared" si="19"/>
        <v>0</v>
      </c>
      <c r="M304" s="403"/>
    </row>
    <row r="305" spans="1:13" ht="15.75" x14ac:dyDescent="0.25">
      <c r="A305" s="6" t="s">
        <v>558</v>
      </c>
      <c r="B305" s="7" t="s">
        <v>495</v>
      </c>
      <c r="C305" s="6" t="s">
        <v>248</v>
      </c>
      <c r="D305" s="8">
        <v>1</v>
      </c>
      <c r="E305" s="403"/>
      <c r="F305" s="403">
        <f>BBNTHT!J345</f>
        <v>0</v>
      </c>
      <c r="G305" s="403">
        <f t="shared" si="16"/>
        <v>0</v>
      </c>
      <c r="H305" s="9">
        <v>634986</v>
      </c>
      <c r="I305" s="404">
        <f t="shared" si="17"/>
        <v>634986</v>
      </c>
      <c r="J305" s="403"/>
      <c r="K305" s="404">
        <f t="shared" si="18"/>
        <v>0</v>
      </c>
      <c r="L305" s="405">
        <f t="shared" si="19"/>
        <v>0</v>
      </c>
      <c r="M305" s="403"/>
    </row>
    <row r="306" spans="1:13" ht="31.5" x14ac:dyDescent="0.25">
      <c r="A306" s="6" t="s">
        <v>559</v>
      </c>
      <c r="B306" s="7" t="s">
        <v>498</v>
      </c>
      <c r="C306" s="6" t="s">
        <v>499</v>
      </c>
      <c r="D306" s="8">
        <v>1</v>
      </c>
      <c r="E306" s="403"/>
      <c r="F306" s="403">
        <f>BBNTHT!J346</f>
        <v>0</v>
      </c>
      <c r="G306" s="403">
        <f t="shared" si="16"/>
        <v>0</v>
      </c>
      <c r="H306" s="9">
        <v>5935608</v>
      </c>
      <c r="I306" s="404">
        <f t="shared" si="17"/>
        <v>5935608</v>
      </c>
      <c r="J306" s="403"/>
      <c r="K306" s="404">
        <f t="shared" si="18"/>
        <v>0</v>
      </c>
      <c r="L306" s="405">
        <f t="shared" si="19"/>
        <v>0</v>
      </c>
      <c r="M306" s="403"/>
    </row>
    <row r="307" spans="1:13" ht="15.75" x14ac:dyDescent="0.25">
      <c r="A307" s="2" t="s">
        <v>560</v>
      </c>
      <c r="B307" s="3" t="s">
        <v>561</v>
      </c>
      <c r="C307" s="2"/>
      <c r="D307" s="4" t="s">
        <v>3</v>
      </c>
      <c r="E307" s="403"/>
      <c r="F307" s="403">
        <f>BBNTHT!J347</f>
        <v>0</v>
      </c>
      <c r="G307" s="403">
        <f t="shared" si="16"/>
        <v>0</v>
      </c>
      <c r="H307" s="5"/>
      <c r="I307" s="404"/>
      <c r="J307" s="403"/>
      <c r="K307" s="404">
        <f t="shared" si="18"/>
        <v>0</v>
      </c>
      <c r="L307" s="405">
        <f t="shared" si="19"/>
        <v>0</v>
      </c>
      <c r="M307" s="403"/>
    </row>
    <row r="308" spans="1:13" ht="15.75" x14ac:dyDescent="0.25">
      <c r="A308" s="6" t="s">
        <v>562</v>
      </c>
      <c r="B308" s="7" t="s">
        <v>505</v>
      </c>
      <c r="C308" s="6" t="s">
        <v>9</v>
      </c>
      <c r="D308" s="8">
        <v>6</v>
      </c>
      <c r="E308" s="403"/>
      <c r="F308" s="403">
        <f>BBNTHT!J348</f>
        <v>0</v>
      </c>
      <c r="G308" s="403">
        <f t="shared" si="16"/>
        <v>0</v>
      </c>
      <c r="H308" s="9">
        <v>3748221</v>
      </c>
      <c r="I308" s="404">
        <f t="shared" si="17"/>
        <v>22489326</v>
      </c>
      <c r="J308" s="403"/>
      <c r="K308" s="404">
        <f t="shared" si="18"/>
        <v>0</v>
      </c>
      <c r="L308" s="405">
        <f t="shared" si="19"/>
        <v>0</v>
      </c>
      <c r="M308" s="403"/>
    </row>
    <row r="309" spans="1:13" ht="15.75" x14ac:dyDescent="0.25">
      <c r="A309" s="6" t="s">
        <v>563</v>
      </c>
      <c r="B309" s="7" t="s">
        <v>509</v>
      </c>
      <c r="C309" s="6" t="s">
        <v>9</v>
      </c>
      <c r="D309" s="8">
        <v>3</v>
      </c>
      <c r="E309" s="403"/>
      <c r="F309" s="403">
        <f>BBNTHT!J349</f>
        <v>0</v>
      </c>
      <c r="G309" s="403">
        <f t="shared" si="16"/>
        <v>0</v>
      </c>
      <c r="H309" s="9">
        <v>2585790</v>
      </c>
      <c r="I309" s="404">
        <f t="shared" si="17"/>
        <v>7757370</v>
      </c>
      <c r="J309" s="403"/>
      <c r="K309" s="404">
        <f t="shared" si="18"/>
        <v>0</v>
      </c>
      <c r="L309" s="405">
        <f t="shared" si="19"/>
        <v>0</v>
      </c>
      <c r="M309" s="403"/>
    </row>
    <row r="310" spans="1:13" ht="15.75" x14ac:dyDescent="0.25">
      <c r="A310" s="6" t="s">
        <v>564</v>
      </c>
      <c r="B310" s="7" t="s">
        <v>565</v>
      </c>
      <c r="C310" s="6" t="s">
        <v>9</v>
      </c>
      <c r="D310" s="8">
        <v>2</v>
      </c>
      <c r="E310" s="403"/>
      <c r="F310" s="403">
        <f>BBNTHT!J350</f>
        <v>0</v>
      </c>
      <c r="G310" s="403">
        <f t="shared" si="16"/>
        <v>0</v>
      </c>
      <c r="H310" s="9">
        <v>2585790</v>
      </c>
      <c r="I310" s="404">
        <f t="shared" si="17"/>
        <v>5171580</v>
      </c>
      <c r="J310" s="403"/>
      <c r="K310" s="404">
        <f t="shared" si="18"/>
        <v>0</v>
      </c>
      <c r="L310" s="405">
        <f t="shared" si="19"/>
        <v>0</v>
      </c>
      <c r="M310" s="403"/>
    </row>
    <row r="311" spans="1:13" ht="15.75" x14ac:dyDescent="0.25">
      <c r="A311" s="6" t="s">
        <v>566</v>
      </c>
      <c r="B311" s="7" t="s">
        <v>511</v>
      </c>
      <c r="C311" s="6" t="s">
        <v>9</v>
      </c>
      <c r="D311" s="8">
        <v>1</v>
      </c>
      <c r="E311" s="403"/>
      <c r="F311" s="403">
        <f>BBNTHT!J351</f>
        <v>0</v>
      </c>
      <c r="G311" s="403">
        <f t="shared" si="16"/>
        <v>0</v>
      </c>
      <c r="H311" s="9">
        <v>2585790</v>
      </c>
      <c r="I311" s="404">
        <f t="shared" si="17"/>
        <v>2585790</v>
      </c>
      <c r="J311" s="403"/>
      <c r="K311" s="404">
        <f t="shared" si="18"/>
        <v>0</v>
      </c>
      <c r="L311" s="405">
        <f t="shared" si="19"/>
        <v>0</v>
      </c>
      <c r="M311" s="403"/>
    </row>
    <row r="312" spans="1:13" ht="15.75" x14ac:dyDescent="0.25">
      <c r="A312" s="6" t="s">
        <v>567</v>
      </c>
      <c r="B312" s="7" t="s">
        <v>548</v>
      </c>
      <c r="C312" s="6" t="s">
        <v>9</v>
      </c>
      <c r="D312" s="8">
        <v>2</v>
      </c>
      <c r="E312" s="403"/>
      <c r="F312" s="403">
        <f>BBNTHT!J352</f>
        <v>0</v>
      </c>
      <c r="G312" s="403">
        <f t="shared" si="16"/>
        <v>0</v>
      </c>
      <c r="H312" s="9">
        <v>2585790</v>
      </c>
      <c r="I312" s="404">
        <f t="shared" si="17"/>
        <v>5171580</v>
      </c>
      <c r="J312" s="403"/>
      <c r="K312" s="404">
        <f t="shared" si="18"/>
        <v>0</v>
      </c>
      <c r="L312" s="405">
        <f t="shared" si="19"/>
        <v>0</v>
      </c>
      <c r="M312" s="403"/>
    </row>
    <row r="313" spans="1:13" ht="15.75" x14ac:dyDescent="0.25">
      <c r="A313" s="6" t="s">
        <v>568</v>
      </c>
      <c r="B313" s="7" t="s">
        <v>495</v>
      </c>
      <c r="C313" s="6" t="s">
        <v>248</v>
      </c>
      <c r="D313" s="8">
        <v>1</v>
      </c>
      <c r="E313" s="403"/>
      <c r="F313" s="403">
        <f>BBNTHT!J353</f>
        <v>0</v>
      </c>
      <c r="G313" s="403">
        <f t="shared" si="16"/>
        <v>0</v>
      </c>
      <c r="H313" s="9">
        <v>634986</v>
      </c>
      <c r="I313" s="404">
        <f t="shared" si="17"/>
        <v>634986</v>
      </c>
      <c r="J313" s="403"/>
      <c r="K313" s="404">
        <f t="shared" si="18"/>
        <v>0</v>
      </c>
      <c r="L313" s="405">
        <f t="shared" si="19"/>
        <v>0</v>
      </c>
      <c r="M313" s="403"/>
    </row>
    <row r="314" spans="1:13" ht="31.5" x14ac:dyDescent="0.25">
      <c r="A314" s="6" t="s">
        <v>569</v>
      </c>
      <c r="B314" s="7" t="s">
        <v>498</v>
      </c>
      <c r="C314" s="6" t="s">
        <v>499</v>
      </c>
      <c r="D314" s="8">
        <v>1</v>
      </c>
      <c r="E314" s="403"/>
      <c r="F314" s="403">
        <f>BBNTHT!J354</f>
        <v>0</v>
      </c>
      <c r="G314" s="403">
        <f t="shared" si="16"/>
        <v>0</v>
      </c>
      <c r="H314" s="9">
        <v>5935608</v>
      </c>
      <c r="I314" s="404">
        <f t="shared" si="17"/>
        <v>5935608</v>
      </c>
      <c r="J314" s="403"/>
      <c r="K314" s="404">
        <f t="shared" si="18"/>
        <v>0</v>
      </c>
      <c r="L314" s="405">
        <f t="shared" si="19"/>
        <v>0</v>
      </c>
      <c r="M314" s="403"/>
    </row>
    <row r="315" spans="1:13" ht="15.75" x14ac:dyDescent="0.25">
      <c r="A315" s="2" t="s">
        <v>570</v>
      </c>
      <c r="B315" s="3" t="s">
        <v>571</v>
      </c>
      <c r="C315" s="2"/>
      <c r="D315" s="4" t="s">
        <v>3</v>
      </c>
      <c r="E315" s="403"/>
      <c r="F315" s="403">
        <f>BBNTHT!J355</f>
        <v>0</v>
      </c>
      <c r="G315" s="403">
        <f t="shared" si="16"/>
        <v>0</v>
      </c>
      <c r="H315" s="5"/>
      <c r="I315" s="404"/>
      <c r="J315" s="403"/>
      <c r="K315" s="404">
        <f t="shared" si="18"/>
        <v>0</v>
      </c>
      <c r="L315" s="405">
        <f t="shared" si="19"/>
        <v>0</v>
      </c>
      <c r="M315" s="403"/>
    </row>
    <row r="316" spans="1:13" ht="15.75" x14ac:dyDescent="0.25">
      <c r="A316" s="6" t="s">
        <v>572</v>
      </c>
      <c r="B316" s="7" t="s">
        <v>505</v>
      </c>
      <c r="C316" s="6" t="s">
        <v>9</v>
      </c>
      <c r="D316" s="8">
        <v>5</v>
      </c>
      <c r="E316" s="403"/>
      <c r="F316" s="403">
        <f>BBNTHT!J356</f>
        <v>0</v>
      </c>
      <c r="G316" s="403">
        <f t="shared" si="16"/>
        <v>0</v>
      </c>
      <c r="H316" s="9">
        <v>3748221</v>
      </c>
      <c r="I316" s="404">
        <f t="shared" si="17"/>
        <v>18741105</v>
      </c>
      <c r="J316" s="403"/>
      <c r="K316" s="404">
        <f t="shared" si="18"/>
        <v>0</v>
      </c>
      <c r="L316" s="405">
        <f t="shared" si="19"/>
        <v>0</v>
      </c>
      <c r="M316" s="403"/>
    </row>
    <row r="317" spans="1:13" ht="15.75" x14ac:dyDescent="0.25">
      <c r="A317" s="6" t="s">
        <v>573</v>
      </c>
      <c r="B317" s="7" t="s">
        <v>507</v>
      </c>
      <c r="C317" s="6" t="s">
        <v>9</v>
      </c>
      <c r="D317" s="8">
        <v>3</v>
      </c>
      <c r="E317" s="403"/>
      <c r="F317" s="403">
        <f>BBNTHT!J357</f>
        <v>0</v>
      </c>
      <c r="G317" s="403">
        <f t="shared" si="16"/>
        <v>0</v>
      </c>
      <c r="H317" s="9">
        <v>3720561</v>
      </c>
      <c r="I317" s="404">
        <f t="shared" si="17"/>
        <v>11161683</v>
      </c>
      <c r="J317" s="403"/>
      <c r="K317" s="404">
        <f t="shared" si="18"/>
        <v>0</v>
      </c>
      <c r="L317" s="405">
        <f t="shared" si="19"/>
        <v>0</v>
      </c>
      <c r="M317" s="403"/>
    </row>
    <row r="318" spans="1:13" ht="15.75" x14ac:dyDescent="0.25">
      <c r="A318" s="6" t="s">
        <v>574</v>
      </c>
      <c r="B318" s="7" t="s">
        <v>525</v>
      </c>
      <c r="C318" s="6" t="s">
        <v>9</v>
      </c>
      <c r="D318" s="8">
        <v>1</v>
      </c>
      <c r="E318" s="403"/>
      <c r="F318" s="403">
        <f>BBNTHT!J358</f>
        <v>0</v>
      </c>
      <c r="G318" s="403">
        <f t="shared" si="16"/>
        <v>0</v>
      </c>
      <c r="H318" s="9">
        <v>2694423</v>
      </c>
      <c r="I318" s="404">
        <f t="shared" si="17"/>
        <v>2694423</v>
      </c>
      <c r="J318" s="403"/>
      <c r="K318" s="404">
        <f t="shared" si="18"/>
        <v>0</v>
      </c>
      <c r="L318" s="405">
        <f t="shared" si="19"/>
        <v>0</v>
      </c>
      <c r="M318" s="403"/>
    </row>
    <row r="319" spans="1:13" ht="15.75" x14ac:dyDescent="0.25">
      <c r="A319" s="6" t="s">
        <v>575</v>
      </c>
      <c r="B319" s="7" t="s">
        <v>509</v>
      </c>
      <c r="C319" s="6" t="s">
        <v>9</v>
      </c>
      <c r="D319" s="8">
        <v>5</v>
      </c>
      <c r="E319" s="403"/>
      <c r="F319" s="403">
        <f>BBNTHT!J359</f>
        <v>0</v>
      </c>
      <c r="G319" s="403">
        <f t="shared" si="16"/>
        <v>0</v>
      </c>
      <c r="H319" s="9">
        <v>2585790</v>
      </c>
      <c r="I319" s="404">
        <f t="shared" si="17"/>
        <v>12928950</v>
      </c>
      <c r="J319" s="403"/>
      <c r="K319" s="404">
        <f t="shared" si="18"/>
        <v>0</v>
      </c>
      <c r="L319" s="405">
        <f t="shared" si="19"/>
        <v>0</v>
      </c>
      <c r="M319" s="403"/>
    </row>
    <row r="320" spans="1:13" ht="15.75" x14ac:dyDescent="0.25">
      <c r="A320" s="6" t="s">
        <v>576</v>
      </c>
      <c r="B320" s="7" t="s">
        <v>495</v>
      </c>
      <c r="C320" s="6" t="s">
        <v>248</v>
      </c>
      <c r="D320" s="8">
        <v>1</v>
      </c>
      <c r="E320" s="403"/>
      <c r="F320" s="403">
        <f>BBNTHT!J360</f>
        <v>0</v>
      </c>
      <c r="G320" s="403">
        <f t="shared" si="16"/>
        <v>0</v>
      </c>
      <c r="H320" s="9">
        <v>634986</v>
      </c>
      <c r="I320" s="404">
        <f t="shared" si="17"/>
        <v>634986</v>
      </c>
      <c r="J320" s="403"/>
      <c r="K320" s="404">
        <f t="shared" si="18"/>
        <v>0</v>
      </c>
      <c r="L320" s="405">
        <f t="shared" si="19"/>
        <v>0</v>
      </c>
      <c r="M320" s="403"/>
    </row>
    <row r="321" spans="1:13" ht="31.5" x14ac:dyDescent="0.25">
      <c r="A321" s="6" t="s">
        <v>577</v>
      </c>
      <c r="B321" s="7" t="s">
        <v>498</v>
      </c>
      <c r="C321" s="6" t="s">
        <v>499</v>
      </c>
      <c r="D321" s="8">
        <v>1</v>
      </c>
      <c r="E321" s="403"/>
      <c r="F321" s="403">
        <f>BBNTHT!J361</f>
        <v>0</v>
      </c>
      <c r="G321" s="403">
        <f t="shared" si="16"/>
        <v>0</v>
      </c>
      <c r="H321" s="9">
        <v>5935608</v>
      </c>
      <c r="I321" s="404">
        <f t="shared" si="17"/>
        <v>5935608</v>
      </c>
      <c r="J321" s="403"/>
      <c r="K321" s="404">
        <f t="shared" si="18"/>
        <v>0</v>
      </c>
      <c r="L321" s="405">
        <f t="shared" si="19"/>
        <v>0</v>
      </c>
      <c r="M321" s="403"/>
    </row>
    <row r="322" spans="1:13" ht="15.75" x14ac:dyDescent="0.25">
      <c r="A322" s="2" t="s">
        <v>578</v>
      </c>
      <c r="B322" s="3" t="s">
        <v>579</v>
      </c>
      <c r="C322" s="2"/>
      <c r="D322" s="4" t="s">
        <v>3</v>
      </c>
      <c r="E322" s="403"/>
      <c r="F322" s="403">
        <f>BBNTHT!J362</f>
        <v>0</v>
      </c>
      <c r="G322" s="403">
        <f t="shared" si="16"/>
        <v>0</v>
      </c>
      <c r="H322" s="5"/>
      <c r="I322" s="404"/>
      <c r="J322" s="403"/>
      <c r="K322" s="404">
        <f t="shared" si="18"/>
        <v>0</v>
      </c>
      <c r="L322" s="405">
        <f t="shared" si="19"/>
        <v>0</v>
      </c>
      <c r="M322" s="403"/>
    </row>
    <row r="323" spans="1:13" ht="15.75" x14ac:dyDescent="0.25">
      <c r="A323" s="6" t="s">
        <v>580</v>
      </c>
      <c r="B323" s="7" t="s">
        <v>581</v>
      </c>
      <c r="C323" s="6" t="s">
        <v>9</v>
      </c>
      <c r="D323" s="8">
        <v>1</v>
      </c>
      <c r="E323" s="403"/>
      <c r="F323" s="403">
        <f>BBNTHT!J363</f>
        <v>0</v>
      </c>
      <c r="G323" s="403">
        <f t="shared" si="16"/>
        <v>0</v>
      </c>
      <c r="H323" s="9">
        <v>1411124</v>
      </c>
      <c r="I323" s="404">
        <f t="shared" si="17"/>
        <v>1411124</v>
      </c>
      <c r="J323" s="403"/>
      <c r="K323" s="404">
        <f t="shared" si="18"/>
        <v>0</v>
      </c>
      <c r="L323" s="405">
        <f t="shared" si="19"/>
        <v>0</v>
      </c>
      <c r="M323" s="403"/>
    </row>
    <row r="324" spans="1:13" ht="15.75" x14ac:dyDescent="0.25">
      <c r="A324" s="6" t="s">
        <v>582</v>
      </c>
      <c r="B324" s="7" t="s">
        <v>485</v>
      </c>
      <c r="C324" s="6" t="s">
        <v>248</v>
      </c>
      <c r="D324" s="8">
        <v>3</v>
      </c>
      <c r="E324" s="403"/>
      <c r="F324" s="403">
        <f>BBNTHT!J364</f>
        <v>0</v>
      </c>
      <c r="G324" s="403">
        <f t="shared" si="16"/>
        <v>0</v>
      </c>
      <c r="H324" s="9">
        <v>83756</v>
      </c>
      <c r="I324" s="404">
        <f t="shared" si="17"/>
        <v>251268</v>
      </c>
      <c r="J324" s="403"/>
      <c r="K324" s="404">
        <f t="shared" si="18"/>
        <v>0</v>
      </c>
      <c r="L324" s="405">
        <f t="shared" si="19"/>
        <v>0</v>
      </c>
      <c r="M324" s="403"/>
    </row>
    <row r="325" spans="1:13" ht="15.75" x14ac:dyDescent="0.25">
      <c r="A325" s="6" t="s">
        <v>583</v>
      </c>
      <c r="B325" s="7" t="s">
        <v>483</v>
      </c>
      <c r="C325" s="6" t="s">
        <v>248</v>
      </c>
      <c r="D325" s="8">
        <v>3</v>
      </c>
      <c r="E325" s="403"/>
      <c r="F325" s="403">
        <f>BBNTHT!J365</f>
        <v>0</v>
      </c>
      <c r="G325" s="403">
        <f t="shared" si="16"/>
        <v>0</v>
      </c>
      <c r="H325" s="9">
        <v>396005</v>
      </c>
      <c r="I325" s="404">
        <f t="shared" si="17"/>
        <v>1188015</v>
      </c>
      <c r="J325" s="403"/>
      <c r="K325" s="404">
        <f t="shared" si="18"/>
        <v>0</v>
      </c>
      <c r="L325" s="405">
        <f t="shared" si="19"/>
        <v>0</v>
      </c>
      <c r="M325" s="403"/>
    </row>
    <row r="326" spans="1:13" ht="15.75" x14ac:dyDescent="0.25">
      <c r="A326" s="6" t="s">
        <v>584</v>
      </c>
      <c r="B326" s="7" t="s">
        <v>585</v>
      </c>
      <c r="C326" s="6" t="s">
        <v>9</v>
      </c>
      <c r="D326" s="8">
        <v>1</v>
      </c>
      <c r="E326" s="403"/>
      <c r="F326" s="403">
        <f>BBNTHT!J366</f>
        <v>0</v>
      </c>
      <c r="G326" s="403">
        <f t="shared" si="16"/>
        <v>0</v>
      </c>
      <c r="H326" s="9">
        <v>581227</v>
      </c>
      <c r="I326" s="404">
        <f t="shared" si="17"/>
        <v>581227</v>
      </c>
      <c r="J326" s="403"/>
      <c r="K326" s="404">
        <f t="shared" si="18"/>
        <v>0</v>
      </c>
      <c r="L326" s="405">
        <f t="shared" si="19"/>
        <v>0</v>
      </c>
      <c r="M326" s="403"/>
    </row>
    <row r="327" spans="1:13" ht="15.75" x14ac:dyDescent="0.25">
      <c r="A327" s="6" t="s">
        <v>586</v>
      </c>
      <c r="B327" s="7" t="s">
        <v>587</v>
      </c>
      <c r="C327" s="6" t="s">
        <v>9</v>
      </c>
      <c r="D327" s="8">
        <v>1</v>
      </c>
      <c r="E327" s="403"/>
      <c r="F327" s="403">
        <f>BBNTHT!J367</f>
        <v>0</v>
      </c>
      <c r="G327" s="403">
        <f t="shared" si="16"/>
        <v>0</v>
      </c>
      <c r="H327" s="9">
        <v>148367</v>
      </c>
      <c r="I327" s="404">
        <f t="shared" si="17"/>
        <v>148367</v>
      </c>
      <c r="J327" s="403"/>
      <c r="K327" s="404">
        <f t="shared" si="18"/>
        <v>0</v>
      </c>
      <c r="L327" s="405">
        <f t="shared" si="19"/>
        <v>0</v>
      </c>
      <c r="M327" s="403"/>
    </row>
    <row r="328" spans="1:13" ht="15.75" x14ac:dyDescent="0.25">
      <c r="A328" s="6" t="s">
        <v>588</v>
      </c>
      <c r="B328" s="7" t="s">
        <v>589</v>
      </c>
      <c r="C328" s="6" t="s">
        <v>9</v>
      </c>
      <c r="D328" s="8">
        <v>1</v>
      </c>
      <c r="E328" s="403"/>
      <c r="F328" s="403">
        <f>BBNTHT!J368</f>
        <v>0</v>
      </c>
      <c r="G328" s="403">
        <f t="shared" si="16"/>
        <v>0</v>
      </c>
      <c r="H328" s="9">
        <v>148367</v>
      </c>
      <c r="I328" s="404">
        <f t="shared" si="17"/>
        <v>148367</v>
      </c>
      <c r="J328" s="403"/>
      <c r="K328" s="404">
        <f t="shared" si="18"/>
        <v>0</v>
      </c>
      <c r="L328" s="405">
        <f t="shared" si="19"/>
        <v>0</v>
      </c>
      <c r="M328" s="403"/>
    </row>
    <row r="329" spans="1:13" ht="15.75" x14ac:dyDescent="0.25">
      <c r="A329" s="6" t="s">
        <v>590</v>
      </c>
      <c r="B329" s="7" t="s">
        <v>591</v>
      </c>
      <c r="C329" s="6" t="s">
        <v>9</v>
      </c>
      <c r="D329" s="8">
        <v>3</v>
      </c>
      <c r="E329" s="403"/>
      <c r="F329" s="403">
        <f>BBNTHT!J369</f>
        <v>0</v>
      </c>
      <c r="G329" s="403">
        <f t="shared" si="16"/>
        <v>0</v>
      </c>
      <c r="H329" s="9">
        <v>745395</v>
      </c>
      <c r="I329" s="404">
        <f t="shared" si="17"/>
        <v>2236185</v>
      </c>
      <c r="J329" s="403"/>
      <c r="K329" s="404">
        <f t="shared" si="18"/>
        <v>0</v>
      </c>
      <c r="L329" s="405">
        <f t="shared" si="19"/>
        <v>0</v>
      </c>
      <c r="M329" s="403"/>
    </row>
    <row r="330" spans="1:13" ht="15.75" x14ac:dyDescent="0.25">
      <c r="A330" s="6" t="s">
        <v>592</v>
      </c>
      <c r="B330" s="7" t="s">
        <v>593</v>
      </c>
      <c r="C330" s="6" t="s">
        <v>9</v>
      </c>
      <c r="D330" s="8">
        <v>12</v>
      </c>
      <c r="E330" s="403"/>
      <c r="F330" s="403">
        <f>BBNTHT!J370</f>
        <v>0</v>
      </c>
      <c r="G330" s="403">
        <f t="shared" si="16"/>
        <v>0</v>
      </c>
      <c r="H330" s="9">
        <v>138060</v>
      </c>
      <c r="I330" s="404">
        <f t="shared" si="17"/>
        <v>1656720</v>
      </c>
      <c r="J330" s="403"/>
      <c r="K330" s="404">
        <f t="shared" si="18"/>
        <v>0</v>
      </c>
      <c r="L330" s="405">
        <f t="shared" si="19"/>
        <v>0</v>
      </c>
      <c r="M330" s="403"/>
    </row>
    <row r="331" spans="1:13" ht="15.75" x14ac:dyDescent="0.25">
      <c r="A331" s="6" t="s">
        <v>594</v>
      </c>
      <c r="B331" s="7" t="s">
        <v>595</v>
      </c>
      <c r="C331" s="6" t="s">
        <v>9</v>
      </c>
      <c r="D331" s="8">
        <v>2</v>
      </c>
      <c r="E331" s="403"/>
      <c r="F331" s="403">
        <f>BBNTHT!J371</f>
        <v>0</v>
      </c>
      <c r="G331" s="403">
        <f t="shared" si="16"/>
        <v>0</v>
      </c>
      <c r="H331" s="9">
        <v>860118</v>
      </c>
      <c r="I331" s="404">
        <f t="shared" si="17"/>
        <v>1720236</v>
      </c>
      <c r="J331" s="403"/>
      <c r="K331" s="404">
        <f t="shared" si="18"/>
        <v>0</v>
      </c>
      <c r="L331" s="405">
        <f t="shared" si="19"/>
        <v>0</v>
      </c>
      <c r="M331" s="403"/>
    </row>
    <row r="332" spans="1:13" ht="15.75" x14ac:dyDescent="0.25">
      <c r="A332" s="6" t="s">
        <v>596</v>
      </c>
      <c r="B332" s="7" t="s">
        <v>597</v>
      </c>
      <c r="C332" s="6" t="s">
        <v>9</v>
      </c>
      <c r="D332" s="8">
        <v>3</v>
      </c>
      <c r="E332" s="403"/>
      <c r="F332" s="403">
        <f>BBNTHT!J372</f>
        <v>0</v>
      </c>
      <c r="G332" s="403">
        <f t="shared" si="16"/>
        <v>0</v>
      </c>
      <c r="H332" s="9">
        <v>633868</v>
      </c>
      <c r="I332" s="404">
        <f t="shared" si="17"/>
        <v>1901604</v>
      </c>
      <c r="J332" s="403"/>
      <c r="K332" s="404">
        <f t="shared" si="18"/>
        <v>0</v>
      </c>
      <c r="L332" s="405">
        <f t="shared" si="19"/>
        <v>0</v>
      </c>
      <c r="M332" s="403"/>
    </row>
    <row r="333" spans="1:13" ht="15.75" x14ac:dyDescent="0.25">
      <c r="A333" s="6" t="s">
        <v>598</v>
      </c>
      <c r="B333" s="7" t="s">
        <v>599</v>
      </c>
      <c r="C333" s="6" t="s">
        <v>9</v>
      </c>
      <c r="D333" s="8">
        <v>2</v>
      </c>
      <c r="E333" s="403"/>
      <c r="F333" s="403">
        <f>BBNTHT!J373</f>
        <v>0</v>
      </c>
      <c r="G333" s="403">
        <f t="shared" si="16"/>
        <v>0</v>
      </c>
      <c r="H333" s="9">
        <v>142936</v>
      </c>
      <c r="I333" s="404">
        <f t="shared" si="17"/>
        <v>285872</v>
      </c>
      <c r="J333" s="403"/>
      <c r="K333" s="404">
        <f t="shared" si="18"/>
        <v>0</v>
      </c>
      <c r="L333" s="405">
        <f t="shared" si="19"/>
        <v>0</v>
      </c>
      <c r="M333" s="403"/>
    </row>
    <row r="334" spans="1:13" ht="15.75" x14ac:dyDescent="0.25">
      <c r="A334" s="6" t="s">
        <v>600</v>
      </c>
      <c r="B334" s="7" t="s">
        <v>495</v>
      </c>
      <c r="C334" s="6" t="s">
        <v>248</v>
      </c>
      <c r="D334" s="8">
        <v>1</v>
      </c>
      <c r="E334" s="403"/>
      <c r="F334" s="403">
        <f>BBNTHT!J374</f>
        <v>0</v>
      </c>
      <c r="G334" s="403">
        <f t="shared" si="16"/>
        <v>0</v>
      </c>
      <c r="H334" s="9">
        <v>634986</v>
      </c>
      <c r="I334" s="404">
        <f t="shared" si="17"/>
        <v>634986</v>
      </c>
      <c r="J334" s="403"/>
      <c r="K334" s="404">
        <f t="shared" si="18"/>
        <v>0</v>
      </c>
      <c r="L334" s="405">
        <f t="shared" si="19"/>
        <v>0</v>
      </c>
      <c r="M334" s="403"/>
    </row>
    <row r="335" spans="1:13" ht="31.5" x14ac:dyDescent="0.25">
      <c r="A335" s="6" t="s">
        <v>601</v>
      </c>
      <c r="B335" s="7" t="s">
        <v>602</v>
      </c>
      <c r="C335" s="6" t="s">
        <v>499</v>
      </c>
      <c r="D335" s="8">
        <v>1</v>
      </c>
      <c r="E335" s="403"/>
      <c r="F335" s="403">
        <f>BBNTHT!J375</f>
        <v>0</v>
      </c>
      <c r="G335" s="403">
        <f t="shared" si="16"/>
        <v>0</v>
      </c>
      <c r="H335" s="9">
        <v>2627389</v>
      </c>
      <c r="I335" s="404">
        <f t="shared" si="17"/>
        <v>2627389</v>
      </c>
      <c r="J335" s="403"/>
      <c r="K335" s="404">
        <f t="shared" si="18"/>
        <v>0</v>
      </c>
      <c r="L335" s="405">
        <f t="shared" si="19"/>
        <v>0</v>
      </c>
      <c r="M335" s="403"/>
    </row>
    <row r="336" spans="1:13" ht="15.75" x14ac:dyDescent="0.25">
      <c r="A336" s="2" t="s">
        <v>603</v>
      </c>
      <c r="B336" s="3" t="s">
        <v>604</v>
      </c>
      <c r="C336" s="2"/>
      <c r="D336" s="4" t="s">
        <v>3</v>
      </c>
      <c r="E336" s="403"/>
      <c r="F336" s="403">
        <f>BBNTHT!J376</f>
        <v>0</v>
      </c>
      <c r="G336" s="403">
        <f t="shared" si="16"/>
        <v>0</v>
      </c>
      <c r="H336" s="5"/>
      <c r="I336" s="404"/>
      <c r="J336" s="403"/>
      <c r="K336" s="404">
        <f t="shared" si="18"/>
        <v>0</v>
      </c>
      <c r="L336" s="405">
        <f t="shared" si="19"/>
        <v>0</v>
      </c>
      <c r="M336" s="403"/>
    </row>
    <row r="337" spans="1:13" ht="15.75" x14ac:dyDescent="0.25">
      <c r="A337" s="6" t="s">
        <v>605</v>
      </c>
      <c r="B337" s="7" t="s">
        <v>525</v>
      </c>
      <c r="C337" s="6" t="s">
        <v>9</v>
      </c>
      <c r="D337" s="8">
        <v>1</v>
      </c>
      <c r="E337" s="403"/>
      <c r="F337" s="403">
        <f>BBNTHT!J377</f>
        <v>0</v>
      </c>
      <c r="G337" s="403">
        <f t="shared" si="16"/>
        <v>0</v>
      </c>
      <c r="H337" s="9">
        <v>2694423</v>
      </c>
      <c r="I337" s="404">
        <f t="shared" si="17"/>
        <v>2694423</v>
      </c>
      <c r="J337" s="403"/>
      <c r="K337" s="404">
        <f t="shared" si="18"/>
        <v>0</v>
      </c>
      <c r="L337" s="405">
        <f t="shared" si="19"/>
        <v>0</v>
      </c>
      <c r="M337" s="403"/>
    </row>
    <row r="338" spans="1:13" ht="15.75" x14ac:dyDescent="0.25">
      <c r="A338" s="6" t="s">
        <v>606</v>
      </c>
      <c r="B338" s="7" t="s">
        <v>485</v>
      </c>
      <c r="C338" s="6" t="s">
        <v>248</v>
      </c>
      <c r="D338" s="8">
        <v>3</v>
      </c>
      <c r="E338" s="403"/>
      <c r="F338" s="403">
        <f>BBNTHT!J378</f>
        <v>0</v>
      </c>
      <c r="G338" s="403">
        <f t="shared" ref="G338:G401" si="20">F338+E338</f>
        <v>0</v>
      </c>
      <c r="H338" s="9">
        <v>83756</v>
      </c>
      <c r="I338" s="404">
        <f t="shared" ref="I338:I401" si="21">ROUND(D338*H338,0)</f>
        <v>251268</v>
      </c>
      <c r="J338" s="403"/>
      <c r="K338" s="404">
        <f t="shared" ref="K338:K401" si="22">ROUND(F338*H338,0)</f>
        <v>0</v>
      </c>
      <c r="L338" s="405">
        <f t="shared" ref="L338:L401" si="23">J338+K338</f>
        <v>0</v>
      </c>
      <c r="M338" s="403"/>
    </row>
    <row r="339" spans="1:13" ht="15.75" x14ac:dyDescent="0.25">
      <c r="A339" s="6" t="s">
        <v>607</v>
      </c>
      <c r="B339" s="7" t="s">
        <v>483</v>
      </c>
      <c r="C339" s="6" t="s">
        <v>248</v>
      </c>
      <c r="D339" s="8">
        <v>3</v>
      </c>
      <c r="E339" s="403"/>
      <c r="F339" s="403">
        <f>BBNTHT!J379</f>
        <v>0</v>
      </c>
      <c r="G339" s="403">
        <f t="shared" si="20"/>
        <v>0</v>
      </c>
      <c r="H339" s="9">
        <v>396005</v>
      </c>
      <c r="I339" s="404">
        <f t="shared" si="21"/>
        <v>1188015</v>
      </c>
      <c r="J339" s="403"/>
      <c r="K339" s="404">
        <f t="shared" si="22"/>
        <v>0</v>
      </c>
      <c r="L339" s="405">
        <f t="shared" si="23"/>
        <v>0</v>
      </c>
      <c r="M339" s="403"/>
    </row>
    <row r="340" spans="1:13" ht="15.75" x14ac:dyDescent="0.25">
      <c r="A340" s="6" t="s">
        <v>608</v>
      </c>
      <c r="B340" s="7" t="s">
        <v>589</v>
      </c>
      <c r="C340" s="6" t="s">
        <v>9</v>
      </c>
      <c r="D340" s="8">
        <v>8</v>
      </c>
      <c r="E340" s="403"/>
      <c r="F340" s="403">
        <f>BBNTHT!J380</f>
        <v>0</v>
      </c>
      <c r="G340" s="403">
        <f t="shared" si="20"/>
        <v>0</v>
      </c>
      <c r="H340" s="9">
        <v>148367</v>
      </c>
      <c r="I340" s="404">
        <f t="shared" si="21"/>
        <v>1186936</v>
      </c>
      <c r="J340" s="403"/>
      <c r="K340" s="404">
        <f t="shared" si="22"/>
        <v>0</v>
      </c>
      <c r="L340" s="405">
        <f t="shared" si="23"/>
        <v>0</v>
      </c>
      <c r="M340" s="403"/>
    </row>
    <row r="341" spans="1:13" ht="15.75" x14ac:dyDescent="0.25">
      <c r="A341" s="6" t="s">
        <v>609</v>
      </c>
      <c r="B341" s="7" t="s">
        <v>591</v>
      </c>
      <c r="C341" s="6" t="s">
        <v>9</v>
      </c>
      <c r="D341" s="8">
        <v>5</v>
      </c>
      <c r="E341" s="403"/>
      <c r="F341" s="403">
        <f>BBNTHT!J381</f>
        <v>0</v>
      </c>
      <c r="G341" s="403">
        <f t="shared" si="20"/>
        <v>0</v>
      </c>
      <c r="H341" s="9">
        <v>744134</v>
      </c>
      <c r="I341" s="404">
        <f t="shared" si="21"/>
        <v>3720670</v>
      </c>
      <c r="J341" s="403"/>
      <c r="K341" s="404">
        <f t="shared" si="22"/>
        <v>0</v>
      </c>
      <c r="L341" s="405">
        <f t="shared" si="23"/>
        <v>0</v>
      </c>
      <c r="M341" s="403"/>
    </row>
    <row r="342" spans="1:13" ht="15.75" x14ac:dyDescent="0.25">
      <c r="A342" s="6" t="s">
        <v>610</v>
      </c>
      <c r="B342" s="7" t="s">
        <v>611</v>
      </c>
      <c r="C342" s="6" t="s">
        <v>9</v>
      </c>
      <c r="D342" s="8">
        <v>1</v>
      </c>
      <c r="E342" s="403"/>
      <c r="F342" s="403">
        <f>BBNTHT!J382</f>
        <v>0</v>
      </c>
      <c r="G342" s="403">
        <f t="shared" si="20"/>
        <v>0</v>
      </c>
      <c r="H342" s="9">
        <v>138060</v>
      </c>
      <c r="I342" s="404">
        <f t="shared" si="21"/>
        <v>138060</v>
      </c>
      <c r="J342" s="403"/>
      <c r="K342" s="404">
        <f t="shared" si="22"/>
        <v>0</v>
      </c>
      <c r="L342" s="405">
        <f t="shared" si="23"/>
        <v>0</v>
      </c>
      <c r="M342" s="403"/>
    </row>
    <row r="343" spans="1:13" ht="15.75" x14ac:dyDescent="0.25">
      <c r="A343" s="6" t="s">
        <v>612</v>
      </c>
      <c r="B343" s="7" t="s">
        <v>593</v>
      </c>
      <c r="C343" s="6" t="s">
        <v>9</v>
      </c>
      <c r="D343" s="8">
        <v>8</v>
      </c>
      <c r="E343" s="403"/>
      <c r="F343" s="403">
        <f>BBNTHT!J383</f>
        <v>0</v>
      </c>
      <c r="G343" s="403">
        <f t="shared" si="20"/>
        <v>0</v>
      </c>
      <c r="H343" s="9">
        <v>138060</v>
      </c>
      <c r="I343" s="404">
        <f t="shared" si="21"/>
        <v>1104480</v>
      </c>
      <c r="J343" s="403"/>
      <c r="K343" s="404">
        <f t="shared" si="22"/>
        <v>0</v>
      </c>
      <c r="L343" s="405">
        <f t="shared" si="23"/>
        <v>0</v>
      </c>
      <c r="M343" s="403"/>
    </row>
    <row r="344" spans="1:13" ht="15.75" x14ac:dyDescent="0.25">
      <c r="A344" s="6" t="s">
        <v>613</v>
      </c>
      <c r="B344" s="7" t="s">
        <v>495</v>
      </c>
      <c r="C344" s="6" t="s">
        <v>248</v>
      </c>
      <c r="D344" s="8">
        <v>1</v>
      </c>
      <c r="E344" s="403"/>
      <c r="F344" s="403">
        <f>BBNTHT!J384</f>
        <v>0</v>
      </c>
      <c r="G344" s="403">
        <f t="shared" si="20"/>
        <v>0</v>
      </c>
      <c r="H344" s="9">
        <v>634986</v>
      </c>
      <c r="I344" s="404">
        <f t="shared" si="21"/>
        <v>634986</v>
      </c>
      <c r="J344" s="403"/>
      <c r="K344" s="404">
        <f t="shared" si="22"/>
        <v>0</v>
      </c>
      <c r="L344" s="405">
        <f t="shared" si="23"/>
        <v>0</v>
      </c>
      <c r="M344" s="403"/>
    </row>
    <row r="345" spans="1:13" ht="31.5" x14ac:dyDescent="0.25">
      <c r="A345" s="6" t="s">
        <v>614</v>
      </c>
      <c r="B345" s="7" t="s">
        <v>602</v>
      </c>
      <c r="C345" s="6" t="s">
        <v>499</v>
      </c>
      <c r="D345" s="8">
        <v>1</v>
      </c>
      <c r="E345" s="403"/>
      <c r="F345" s="403">
        <f>BBNTHT!J385</f>
        <v>0</v>
      </c>
      <c r="G345" s="403">
        <f t="shared" si="20"/>
        <v>0</v>
      </c>
      <c r="H345" s="9">
        <v>2627389</v>
      </c>
      <c r="I345" s="404">
        <f t="shared" si="21"/>
        <v>2627389</v>
      </c>
      <c r="J345" s="403"/>
      <c r="K345" s="404">
        <f t="shared" si="22"/>
        <v>0</v>
      </c>
      <c r="L345" s="405">
        <f t="shared" si="23"/>
        <v>0</v>
      </c>
      <c r="M345" s="403"/>
    </row>
    <row r="346" spans="1:13" ht="15.75" x14ac:dyDescent="0.25">
      <c r="A346" s="2" t="s">
        <v>615</v>
      </c>
      <c r="B346" s="3" t="s">
        <v>616</v>
      </c>
      <c r="C346" s="2"/>
      <c r="D346" s="4" t="s">
        <v>3</v>
      </c>
      <c r="E346" s="403"/>
      <c r="F346" s="403">
        <f>BBNTHT!J386</f>
        <v>0</v>
      </c>
      <c r="G346" s="403">
        <f t="shared" si="20"/>
        <v>0</v>
      </c>
      <c r="H346" s="5"/>
      <c r="I346" s="404"/>
      <c r="J346" s="403"/>
      <c r="K346" s="404">
        <f t="shared" si="22"/>
        <v>0</v>
      </c>
      <c r="L346" s="405">
        <f t="shared" si="23"/>
        <v>0</v>
      </c>
      <c r="M346" s="403"/>
    </row>
    <row r="347" spans="1:13" ht="15.75" x14ac:dyDescent="0.25">
      <c r="A347" s="6" t="s">
        <v>617</v>
      </c>
      <c r="B347" s="7" t="s">
        <v>618</v>
      </c>
      <c r="C347" s="6" t="s">
        <v>9</v>
      </c>
      <c r="D347" s="8">
        <v>1</v>
      </c>
      <c r="E347" s="403"/>
      <c r="F347" s="403">
        <f>BBNTHT!J387</f>
        <v>0</v>
      </c>
      <c r="G347" s="403">
        <f t="shared" si="20"/>
        <v>0</v>
      </c>
      <c r="H347" s="9">
        <v>4882557</v>
      </c>
      <c r="I347" s="404">
        <f t="shared" si="21"/>
        <v>4882557</v>
      </c>
      <c r="J347" s="403"/>
      <c r="K347" s="404">
        <f t="shared" si="22"/>
        <v>0</v>
      </c>
      <c r="L347" s="405">
        <f t="shared" si="23"/>
        <v>0</v>
      </c>
      <c r="M347" s="403"/>
    </row>
    <row r="348" spans="1:13" ht="15.75" x14ac:dyDescent="0.25">
      <c r="A348" s="6" t="s">
        <v>619</v>
      </c>
      <c r="B348" s="7" t="s">
        <v>485</v>
      </c>
      <c r="C348" s="6" t="s">
        <v>248</v>
      </c>
      <c r="D348" s="8">
        <v>3</v>
      </c>
      <c r="E348" s="403"/>
      <c r="F348" s="403">
        <f>BBNTHT!J388</f>
        <v>0</v>
      </c>
      <c r="G348" s="403">
        <f t="shared" si="20"/>
        <v>0</v>
      </c>
      <c r="H348" s="9">
        <v>83756</v>
      </c>
      <c r="I348" s="404">
        <f t="shared" si="21"/>
        <v>251268</v>
      </c>
      <c r="J348" s="403"/>
      <c r="K348" s="404">
        <f t="shared" si="22"/>
        <v>0</v>
      </c>
      <c r="L348" s="405">
        <f t="shared" si="23"/>
        <v>0</v>
      </c>
      <c r="M348" s="403"/>
    </row>
    <row r="349" spans="1:13" ht="15.75" x14ac:dyDescent="0.25">
      <c r="A349" s="6" t="s">
        <v>620</v>
      </c>
      <c r="B349" s="7" t="s">
        <v>483</v>
      </c>
      <c r="C349" s="6" t="s">
        <v>248</v>
      </c>
      <c r="D349" s="8">
        <v>3</v>
      </c>
      <c r="E349" s="403"/>
      <c r="F349" s="403">
        <f>BBNTHT!J389</f>
        <v>0</v>
      </c>
      <c r="G349" s="403">
        <f t="shared" si="20"/>
        <v>0</v>
      </c>
      <c r="H349" s="9">
        <v>396005</v>
      </c>
      <c r="I349" s="404">
        <f t="shared" si="21"/>
        <v>1188015</v>
      </c>
      <c r="J349" s="403"/>
      <c r="K349" s="404">
        <f t="shared" si="22"/>
        <v>0</v>
      </c>
      <c r="L349" s="405">
        <f t="shared" si="23"/>
        <v>0</v>
      </c>
      <c r="M349" s="403"/>
    </row>
    <row r="350" spans="1:13" ht="15.75" x14ac:dyDescent="0.25">
      <c r="A350" s="6" t="s">
        <v>621</v>
      </c>
      <c r="B350" s="7" t="s">
        <v>622</v>
      </c>
      <c r="C350" s="6" t="s">
        <v>9</v>
      </c>
      <c r="D350" s="8">
        <v>1</v>
      </c>
      <c r="E350" s="403"/>
      <c r="F350" s="403">
        <f>BBNTHT!J390</f>
        <v>0</v>
      </c>
      <c r="G350" s="403">
        <f t="shared" si="20"/>
        <v>0</v>
      </c>
      <c r="H350" s="9">
        <v>3503347</v>
      </c>
      <c r="I350" s="404">
        <f t="shared" si="21"/>
        <v>3503347</v>
      </c>
      <c r="J350" s="403"/>
      <c r="K350" s="404">
        <f t="shared" si="22"/>
        <v>0</v>
      </c>
      <c r="L350" s="405">
        <f t="shared" si="23"/>
        <v>0</v>
      </c>
      <c r="M350" s="403"/>
    </row>
    <row r="351" spans="1:13" ht="15.75" x14ac:dyDescent="0.25">
      <c r="A351" s="6" t="s">
        <v>623</v>
      </c>
      <c r="B351" s="7" t="s">
        <v>624</v>
      </c>
      <c r="C351" s="6" t="s">
        <v>9</v>
      </c>
      <c r="D351" s="8">
        <v>1</v>
      </c>
      <c r="E351" s="403"/>
      <c r="F351" s="403">
        <f>BBNTHT!J391</f>
        <v>0</v>
      </c>
      <c r="G351" s="403">
        <f t="shared" si="20"/>
        <v>0</v>
      </c>
      <c r="H351" s="9">
        <v>607994</v>
      </c>
      <c r="I351" s="404">
        <f t="shared" si="21"/>
        <v>607994</v>
      </c>
      <c r="J351" s="403"/>
      <c r="K351" s="404">
        <f t="shared" si="22"/>
        <v>0</v>
      </c>
      <c r="L351" s="405">
        <f t="shared" si="23"/>
        <v>0</v>
      </c>
      <c r="M351" s="403"/>
    </row>
    <row r="352" spans="1:13" ht="15.75" x14ac:dyDescent="0.25">
      <c r="A352" s="6" t="s">
        <v>625</v>
      </c>
      <c r="B352" s="7" t="s">
        <v>626</v>
      </c>
      <c r="C352" s="6" t="s">
        <v>9</v>
      </c>
      <c r="D352" s="8">
        <v>1</v>
      </c>
      <c r="E352" s="403"/>
      <c r="F352" s="403">
        <f>BBNTHT!J392</f>
        <v>0</v>
      </c>
      <c r="G352" s="403">
        <f t="shared" si="20"/>
        <v>0</v>
      </c>
      <c r="H352" s="9">
        <v>607994</v>
      </c>
      <c r="I352" s="404">
        <f t="shared" si="21"/>
        <v>607994</v>
      </c>
      <c r="J352" s="403"/>
      <c r="K352" s="404">
        <f t="shared" si="22"/>
        <v>0</v>
      </c>
      <c r="L352" s="405">
        <f t="shared" si="23"/>
        <v>0</v>
      </c>
      <c r="M352" s="403"/>
    </row>
    <row r="353" spans="1:13" ht="15.75" x14ac:dyDescent="0.25">
      <c r="A353" s="6" t="s">
        <v>627</v>
      </c>
      <c r="B353" s="7" t="s">
        <v>628</v>
      </c>
      <c r="C353" s="6" t="s">
        <v>9</v>
      </c>
      <c r="D353" s="8">
        <v>2</v>
      </c>
      <c r="E353" s="403"/>
      <c r="F353" s="403">
        <f>BBNTHT!J393</f>
        <v>0</v>
      </c>
      <c r="G353" s="403">
        <f t="shared" si="20"/>
        <v>0</v>
      </c>
      <c r="H353" s="9">
        <v>148367</v>
      </c>
      <c r="I353" s="404">
        <f t="shared" si="21"/>
        <v>296734</v>
      </c>
      <c r="J353" s="403"/>
      <c r="K353" s="404">
        <f t="shared" si="22"/>
        <v>0</v>
      </c>
      <c r="L353" s="405">
        <f t="shared" si="23"/>
        <v>0</v>
      </c>
      <c r="M353" s="403"/>
    </row>
    <row r="354" spans="1:13" ht="15.75" x14ac:dyDescent="0.25">
      <c r="A354" s="6" t="s">
        <v>629</v>
      </c>
      <c r="B354" s="7" t="s">
        <v>593</v>
      </c>
      <c r="C354" s="6" t="s">
        <v>9</v>
      </c>
      <c r="D354" s="8">
        <v>1</v>
      </c>
      <c r="E354" s="403"/>
      <c r="F354" s="403">
        <f>BBNTHT!J394</f>
        <v>0</v>
      </c>
      <c r="G354" s="403">
        <f t="shared" si="20"/>
        <v>0</v>
      </c>
      <c r="H354" s="9">
        <v>138060</v>
      </c>
      <c r="I354" s="404">
        <f t="shared" si="21"/>
        <v>138060</v>
      </c>
      <c r="J354" s="403"/>
      <c r="K354" s="404">
        <f t="shared" si="22"/>
        <v>0</v>
      </c>
      <c r="L354" s="405">
        <f t="shared" si="23"/>
        <v>0</v>
      </c>
      <c r="M354" s="403"/>
    </row>
    <row r="355" spans="1:13" ht="15.75" x14ac:dyDescent="0.25">
      <c r="A355" s="6" t="s">
        <v>630</v>
      </c>
      <c r="B355" s="7" t="s">
        <v>495</v>
      </c>
      <c r="C355" s="6" t="s">
        <v>248</v>
      </c>
      <c r="D355" s="8">
        <v>1</v>
      </c>
      <c r="E355" s="403"/>
      <c r="F355" s="403">
        <f>BBNTHT!J395</f>
        <v>0</v>
      </c>
      <c r="G355" s="403">
        <f t="shared" si="20"/>
        <v>0</v>
      </c>
      <c r="H355" s="9">
        <v>634986</v>
      </c>
      <c r="I355" s="404">
        <f t="shared" si="21"/>
        <v>634986</v>
      </c>
      <c r="J355" s="403"/>
      <c r="K355" s="404">
        <f t="shared" si="22"/>
        <v>0</v>
      </c>
      <c r="L355" s="405">
        <f t="shared" si="23"/>
        <v>0</v>
      </c>
      <c r="M355" s="403"/>
    </row>
    <row r="356" spans="1:13" ht="31.5" x14ac:dyDescent="0.25">
      <c r="A356" s="6" t="s">
        <v>631</v>
      </c>
      <c r="B356" s="7" t="s">
        <v>602</v>
      </c>
      <c r="C356" s="6" t="s">
        <v>499</v>
      </c>
      <c r="D356" s="8">
        <v>1</v>
      </c>
      <c r="E356" s="403"/>
      <c r="F356" s="403">
        <f>BBNTHT!J396</f>
        <v>0</v>
      </c>
      <c r="G356" s="403">
        <f t="shared" si="20"/>
        <v>0</v>
      </c>
      <c r="H356" s="9">
        <v>2627389</v>
      </c>
      <c r="I356" s="404">
        <f t="shared" si="21"/>
        <v>2627389</v>
      </c>
      <c r="J356" s="403"/>
      <c r="K356" s="404">
        <f t="shared" si="22"/>
        <v>0</v>
      </c>
      <c r="L356" s="405">
        <f t="shared" si="23"/>
        <v>0</v>
      </c>
      <c r="M356" s="403"/>
    </row>
    <row r="357" spans="1:13" ht="15.75" x14ac:dyDescent="0.25">
      <c r="A357" s="2" t="s">
        <v>632</v>
      </c>
      <c r="B357" s="3" t="s">
        <v>633</v>
      </c>
      <c r="C357" s="2"/>
      <c r="D357" s="4" t="s">
        <v>3</v>
      </c>
      <c r="E357" s="403"/>
      <c r="F357" s="403">
        <f>BBNTHT!J397</f>
        <v>0</v>
      </c>
      <c r="G357" s="403">
        <f t="shared" si="20"/>
        <v>0</v>
      </c>
      <c r="H357" s="5"/>
      <c r="I357" s="404"/>
      <c r="J357" s="403"/>
      <c r="K357" s="404">
        <f t="shared" si="22"/>
        <v>0</v>
      </c>
      <c r="L357" s="405">
        <f t="shared" si="23"/>
        <v>0</v>
      </c>
      <c r="M357" s="403"/>
    </row>
    <row r="358" spans="1:13" ht="15.75" x14ac:dyDescent="0.25">
      <c r="A358" s="6" t="s">
        <v>634</v>
      </c>
      <c r="B358" s="7" t="s">
        <v>635</v>
      </c>
      <c r="C358" s="6" t="s">
        <v>9</v>
      </c>
      <c r="D358" s="8">
        <v>1</v>
      </c>
      <c r="E358" s="403"/>
      <c r="F358" s="403">
        <f>BBNTHT!J398</f>
        <v>0</v>
      </c>
      <c r="G358" s="403">
        <f t="shared" si="20"/>
        <v>0</v>
      </c>
      <c r="H358" s="9">
        <v>4882557</v>
      </c>
      <c r="I358" s="404">
        <f t="shared" si="21"/>
        <v>4882557</v>
      </c>
      <c r="J358" s="403"/>
      <c r="K358" s="404">
        <f t="shared" si="22"/>
        <v>0</v>
      </c>
      <c r="L358" s="405">
        <f t="shared" si="23"/>
        <v>0</v>
      </c>
      <c r="M358" s="403"/>
    </row>
    <row r="359" spans="1:13" ht="15.75" x14ac:dyDescent="0.25">
      <c r="A359" s="6" t="s">
        <v>636</v>
      </c>
      <c r="B359" s="7" t="s">
        <v>485</v>
      </c>
      <c r="C359" s="6" t="s">
        <v>248</v>
      </c>
      <c r="D359" s="8">
        <v>3</v>
      </c>
      <c r="E359" s="403"/>
      <c r="F359" s="403">
        <f>BBNTHT!J399</f>
        <v>0</v>
      </c>
      <c r="G359" s="403">
        <f t="shared" si="20"/>
        <v>0</v>
      </c>
      <c r="H359" s="9">
        <v>83756</v>
      </c>
      <c r="I359" s="404">
        <f t="shared" si="21"/>
        <v>251268</v>
      </c>
      <c r="J359" s="403"/>
      <c r="K359" s="404">
        <f t="shared" si="22"/>
        <v>0</v>
      </c>
      <c r="L359" s="405">
        <f t="shared" si="23"/>
        <v>0</v>
      </c>
      <c r="M359" s="403"/>
    </row>
    <row r="360" spans="1:13" ht="15.75" x14ac:dyDescent="0.25">
      <c r="A360" s="6" t="s">
        <v>637</v>
      </c>
      <c r="B360" s="7" t="s">
        <v>483</v>
      </c>
      <c r="C360" s="6" t="s">
        <v>248</v>
      </c>
      <c r="D360" s="8">
        <v>3</v>
      </c>
      <c r="E360" s="403"/>
      <c r="F360" s="403">
        <f>BBNTHT!J400</f>
        <v>0</v>
      </c>
      <c r="G360" s="403">
        <f t="shared" si="20"/>
        <v>0</v>
      </c>
      <c r="H360" s="9">
        <v>396005</v>
      </c>
      <c r="I360" s="404">
        <f t="shared" si="21"/>
        <v>1188015</v>
      </c>
      <c r="J360" s="403"/>
      <c r="K360" s="404">
        <f t="shared" si="22"/>
        <v>0</v>
      </c>
      <c r="L360" s="405">
        <f t="shared" si="23"/>
        <v>0</v>
      </c>
      <c r="M360" s="403"/>
    </row>
    <row r="361" spans="1:13" ht="15.75" x14ac:dyDescent="0.25">
      <c r="A361" s="6" t="s">
        <v>638</v>
      </c>
      <c r="B361" s="7" t="s">
        <v>639</v>
      </c>
      <c r="C361" s="6" t="s">
        <v>9</v>
      </c>
      <c r="D361" s="8">
        <v>2</v>
      </c>
      <c r="E361" s="403"/>
      <c r="F361" s="403">
        <f>BBNTHT!J401</f>
        <v>0</v>
      </c>
      <c r="G361" s="403">
        <f t="shared" si="20"/>
        <v>0</v>
      </c>
      <c r="H361" s="9">
        <v>1336798</v>
      </c>
      <c r="I361" s="404">
        <f t="shared" si="21"/>
        <v>2673596</v>
      </c>
      <c r="J361" s="403"/>
      <c r="K361" s="404">
        <f t="shared" si="22"/>
        <v>0</v>
      </c>
      <c r="L361" s="405">
        <f t="shared" si="23"/>
        <v>0</v>
      </c>
      <c r="M361" s="403"/>
    </row>
    <row r="362" spans="1:13" ht="15.75" x14ac:dyDescent="0.25">
      <c r="A362" s="6" t="s">
        <v>640</v>
      </c>
      <c r="B362" s="7" t="s">
        <v>626</v>
      </c>
      <c r="C362" s="6" t="s">
        <v>9</v>
      </c>
      <c r="D362" s="8">
        <v>1</v>
      </c>
      <c r="E362" s="403"/>
      <c r="F362" s="403">
        <f>BBNTHT!J402</f>
        <v>0</v>
      </c>
      <c r="G362" s="403">
        <f t="shared" si="20"/>
        <v>0</v>
      </c>
      <c r="H362" s="9">
        <v>607994</v>
      </c>
      <c r="I362" s="404">
        <f t="shared" si="21"/>
        <v>607994</v>
      </c>
      <c r="J362" s="403"/>
      <c r="K362" s="404">
        <f t="shared" si="22"/>
        <v>0</v>
      </c>
      <c r="L362" s="405">
        <f t="shared" si="23"/>
        <v>0</v>
      </c>
      <c r="M362" s="403"/>
    </row>
    <row r="363" spans="1:13" ht="15.75" x14ac:dyDescent="0.25">
      <c r="A363" s="6" t="s">
        <v>641</v>
      </c>
      <c r="B363" s="7" t="s">
        <v>628</v>
      </c>
      <c r="C363" s="6" t="s">
        <v>9</v>
      </c>
      <c r="D363" s="8">
        <v>2</v>
      </c>
      <c r="E363" s="403"/>
      <c r="F363" s="403">
        <f>BBNTHT!J403</f>
        <v>0</v>
      </c>
      <c r="G363" s="403">
        <f t="shared" si="20"/>
        <v>0</v>
      </c>
      <c r="H363" s="9">
        <v>148367</v>
      </c>
      <c r="I363" s="404">
        <f t="shared" si="21"/>
        <v>296734</v>
      </c>
      <c r="J363" s="403"/>
      <c r="K363" s="404">
        <f t="shared" si="22"/>
        <v>0</v>
      </c>
      <c r="L363" s="405">
        <f t="shared" si="23"/>
        <v>0</v>
      </c>
      <c r="M363" s="403"/>
    </row>
    <row r="364" spans="1:13" ht="15.75" x14ac:dyDescent="0.25">
      <c r="A364" s="6" t="s">
        <v>642</v>
      </c>
      <c r="B364" s="7" t="s">
        <v>593</v>
      </c>
      <c r="C364" s="6" t="s">
        <v>9</v>
      </c>
      <c r="D364" s="8">
        <v>1</v>
      </c>
      <c r="E364" s="403"/>
      <c r="F364" s="403">
        <f>BBNTHT!J404</f>
        <v>0</v>
      </c>
      <c r="G364" s="403">
        <f t="shared" si="20"/>
        <v>0</v>
      </c>
      <c r="H364" s="9">
        <v>138060</v>
      </c>
      <c r="I364" s="404">
        <f t="shared" si="21"/>
        <v>138060</v>
      </c>
      <c r="J364" s="403"/>
      <c r="K364" s="404">
        <f t="shared" si="22"/>
        <v>0</v>
      </c>
      <c r="L364" s="405">
        <f t="shared" si="23"/>
        <v>0</v>
      </c>
      <c r="M364" s="403"/>
    </row>
    <row r="365" spans="1:13" ht="15.75" x14ac:dyDescent="0.25">
      <c r="A365" s="6" t="s">
        <v>643</v>
      </c>
      <c r="B365" s="7" t="s">
        <v>495</v>
      </c>
      <c r="C365" s="6" t="s">
        <v>248</v>
      </c>
      <c r="D365" s="8">
        <v>1</v>
      </c>
      <c r="E365" s="403"/>
      <c r="F365" s="403">
        <f>BBNTHT!J405</f>
        <v>0</v>
      </c>
      <c r="G365" s="403">
        <f t="shared" si="20"/>
        <v>0</v>
      </c>
      <c r="H365" s="9">
        <v>634986</v>
      </c>
      <c r="I365" s="404">
        <f t="shared" si="21"/>
        <v>634986</v>
      </c>
      <c r="J365" s="403"/>
      <c r="K365" s="404">
        <f t="shared" si="22"/>
        <v>0</v>
      </c>
      <c r="L365" s="405">
        <f t="shared" si="23"/>
        <v>0</v>
      </c>
      <c r="M365" s="403"/>
    </row>
    <row r="366" spans="1:13" ht="31.5" x14ac:dyDescent="0.25">
      <c r="A366" s="6" t="s">
        <v>644</v>
      </c>
      <c r="B366" s="7" t="s">
        <v>645</v>
      </c>
      <c r="C366" s="6" t="s">
        <v>499</v>
      </c>
      <c r="D366" s="8">
        <v>1</v>
      </c>
      <c r="E366" s="403"/>
      <c r="F366" s="403">
        <f>BBNTHT!J406</f>
        <v>0</v>
      </c>
      <c r="G366" s="403">
        <f t="shared" si="20"/>
        <v>0</v>
      </c>
      <c r="H366" s="9">
        <v>1130266</v>
      </c>
      <c r="I366" s="404">
        <f t="shared" si="21"/>
        <v>1130266</v>
      </c>
      <c r="J366" s="403"/>
      <c r="K366" s="404">
        <f t="shared" si="22"/>
        <v>0</v>
      </c>
      <c r="L366" s="405">
        <f t="shared" si="23"/>
        <v>0</v>
      </c>
      <c r="M366" s="403"/>
    </row>
    <row r="367" spans="1:13" ht="15.75" x14ac:dyDescent="0.25">
      <c r="A367" s="2" t="s">
        <v>646</v>
      </c>
      <c r="B367" s="3" t="s">
        <v>647</v>
      </c>
      <c r="C367" s="2"/>
      <c r="D367" s="4" t="s">
        <v>3</v>
      </c>
      <c r="E367" s="403"/>
      <c r="F367" s="403">
        <f>BBNTHT!J407</f>
        <v>0</v>
      </c>
      <c r="G367" s="403">
        <f t="shared" si="20"/>
        <v>0</v>
      </c>
      <c r="H367" s="5"/>
      <c r="I367" s="404"/>
      <c r="J367" s="403"/>
      <c r="K367" s="404">
        <f t="shared" si="22"/>
        <v>0</v>
      </c>
      <c r="L367" s="405">
        <f t="shared" si="23"/>
        <v>0</v>
      </c>
      <c r="M367" s="403"/>
    </row>
    <row r="368" spans="1:13" ht="15.75" x14ac:dyDescent="0.25">
      <c r="A368" s="6" t="s">
        <v>648</v>
      </c>
      <c r="B368" s="7" t="s">
        <v>649</v>
      </c>
      <c r="C368" s="6" t="s">
        <v>9</v>
      </c>
      <c r="D368" s="8">
        <v>1</v>
      </c>
      <c r="E368" s="403"/>
      <c r="F368" s="403">
        <f>BBNTHT!J408</f>
        <v>0</v>
      </c>
      <c r="G368" s="403">
        <f t="shared" si="20"/>
        <v>0</v>
      </c>
      <c r="H368" s="9">
        <v>1411124</v>
      </c>
      <c r="I368" s="404">
        <f t="shared" si="21"/>
        <v>1411124</v>
      </c>
      <c r="J368" s="403"/>
      <c r="K368" s="404">
        <f t="shared" si="22"/>
        <v>0</v>
      </c>
      <c r="L368" s="405">
        <f t="shared" si="23"/>
        <v>0</v>
      </c>
      <c r="M368" s="403"/>
    </row>
    <row r="369" spans="1:13" ht="15.75" x14ac:dyDescent="0.25">
      <c r="A369" s="6" t="s">
        <v>650</v>
      </c>
      <c r="B369" s="7" t="s">
        <v>485</v>
      </c>
      <c r="C369" s="6" t="s">
        <v>248</v>
      </c>
      <c r="D369" s="8">
        <v>3</v>
      </c>
      <c r="E369" s="403"/>
      <c r="F369" s="403">
        <f>BBNTHT!J409</f>
        <v>0</v>
      </c>
      <c r="G369" s="403">
        <f t="shared" si="20"/>
        <v>0</v>
      </c>
      <c r="H369" s="9">
        <v>83756</v>
      </c>
      <c r="I369" s="404">
        <f t="shared" si="21"/>
        <v>251268</v>
      </c>
      <c r="J369" s="403"/>
      <c r="K369" s="404">
        <f t="shared" si="22"/>
        <v>0</v>
      </c>
      <c r="L369" s="405">
        <f t="shared" si="23"/>
        <v>0</v>
      </c>
      <c r="M369" s="403"/>
    </row>
    <row r="370" spans="1:13" ht="15.75" x14ac:dyDescent="0.25">
      <c r="A370" s="6" t="s">
        <v>651</v>
      </c>
      <c r="B370" s="7" t="s">
        <v>483</v>
      </c>
      <c r="C370" s="6" t="s">
        <v>248</v>
      </c>
      <c r="D370" s="8">
        <v>3</v>
      </c>
      <c r="E370" s="403"/>
      <c r="F370" s="403">
        <f>BBNTHT!J410</f>
        <v>0</v>
      </c>
      <c r="G370" s="403">
        <f t="shared" si="20"/>
        <v>0</v>
      </c>
      <c r="H370" s="9">
        <v>396005</v>
      </c>
      <c r="I370" s="404">
        <f t="shared" si="21"/>
        <v>1188015</v>
      </c>
      <c r="J370" s="403"/>
      <c r="K370" s="404">
        <f t="shared" si="22"/>
        <v>0</v>
      </c>
      <c r="L370" s="405">
        <f t="shared" si="23"/>
        <v>0</v>
      </c>
      <c r="M370" s="403"/>
    </row>
    <row r="371" spans="1:13" ht="15.75" x14ac:dyDescent="0.25">
      <c r="A371" s="6" t="s">
        <v>652</v>
      </c>
      <c r="B371" s="7" t="s">
        <v>653</v>
      </c>
      <c r="C371" s="6" t="s">
        <v>9</v>
      </c>
      <c r="D371" s="8">
        <v>2</v>
      </c>
      <c r="E371" s="403"/>
      <c r="F371" s="403">
        <f>BBNTHT!J411</f>
        <v>0</v>
      </c>
      <c r="G371" s="403">
        <f t="shared" si="20"/>
        <v>0</v>
      </c>
      <c r="H371" s="9">
        <v>148367</v>
      </c>
      <c r="I371" s="404">
        <f t="shared" si="21"/>
        <v>296734</v>
      </c>
      <c r="J371" s="403"/>
      <c r="K371" s="404">
        <f t="shared" si="22"/>
        <v>0</v>
      </c>
      <c r="L371" s="405">
        <f t="shared" si="23"/>
        <v>0</v>
      </c>
      <c r="M371" s="403"/>
    </row>
    <row r="372" spans="1:13" ht="15.75" x14ac:dyDescent="0.25">
      <c r="A372" s="6" t="s">
        <v>654</v>
      </c>
      <c r="B372" s="7" t="s">
        <v>587</v>
      </c>
      <c r="C372" s="6" t="s">
        <v>9</v>
      </c>
      <c r="D372" s="8">
        <v>2</v>
      </c>
      <c r="E372" s="403"/>
      <c r="F372" s="403">
        <f>BBNTHT!J412</f>
        <v>0</v>
      </c>
      <c r="G372" s="403">
        <f t="shared" si="20"/>
        <v>0</v>
      </c>
      <c r="H372" s="9">
        <v>148367</v>
      </c>
      <c r="I372" s="404">
        <f t="shared" si="21"/>
        <v>296734</v>
      </c>
      <c r="J372" s="403"/>
      <c r="K372" s="404">
        <f t="shared" si="22"/>
        <v>0</v>
      </c>
      <c r="L372" s="405">
        <f t="shared" si="23"/>
        <v>0</v>
      </c>
      <c r="M372" s="403"/>
    </row>
    <row r="373" spans="1:13" ht="15.75" x14ac:dyDescent="0.25">
      <c r="A373" s="6" t="s">
        <v>655</v>
      </c>
      <c r="B373" s="7" t="s">
        <v>628</v>
      </c>
      <c r="C373" s="6" t="s">
        <v>9</v>
      </c>
      <c r="D373" s="8">
        <v>2</v>
      </c>
      <c r="E373" s="403"/>
      <c r="F373" s="403">
        <f>BBNTHT!J413</f>
        <v>0</v>
      </c>
      <c r="G373" s="403">
        <f t="shared" si="20"/>
        <v>0</v>
      </c>
      <c r="H373" s="9">
        <v>148367</v>
      </c>
      <c r="I373" s="404">
        <f t="shared" si="21"/>
        <v>296734</v>
      </c>
      <c r="J373" s="403"/>
      <c r="K373" s="404">
        <f t="shared" si="22"/>
        <v>0</v>
      </c>
      <c r="L373" s="405">
        <f t="shared" si="23"/>
        <v>0</v>
      </c>
      <c r="M373" s="403"/>
    </row>
    <row r="374" spans="1:13" ht="15.75" x14ac:dyDescent="0.25">
      <c r="A374" s="6" t="s">
        <v>656</v>
      </c>
      <c r="B374" s="7" t="s">
        <v>593</v>
      </c>
      <c r="C374" s="6" t="s">
        <v>9</v>
      </c>
      <c r="D374" s="8">
        <v>1</v>
      </c>
      <c r="E374" s="403"/>
      <c r="F374" s="403">
        <f>BBNTHT!J414</f>
        <v>0</v>
      </c>
      <c r="G374" s="403">
        <f t="shared" si="20"/>
        <v>0</v>
      </c>
      <c r="H374" s="9">
        <v>138060</v>
      </c>
      <c r="I374" s="404">
        <f t="shared" si="21"/>
        <v>138060</v>
      </c>
      <c r="J374" s="403"/>
      <c r="K374" s="404">
        <f t="shared" si="22"/>
        <v>0</v>
      </c>
      <c r="L374" s="405">
        <f t="shared" si="23"/>
        <v>0</v>
      </c>
      <c r="M374" s="403"/>
    </row>
    <row r="375" spans="1:13" ht="15.75" x14ac:dyDescent="0.25">
      <c r="A375" s="6" t="s">
        <v>657</v>
      </c>
      <c r="B375" s="7" t="s">
        <v>495</v>
      </c>
      <c r="C375" s="6" t="s">
        <v>248</v>
      </c>
      <c r="D375" s="8">
        <v>1</v>
      </c>
      <c r="E375" s="403"/>
      <c r="F375" s="403">
        <f>BBNTHT!J415</f>
        <v>0</v>
      </c>
      <c r="G375" s="403">
        <f t="shared" si="20"/>
        <v>0</v>
      </c>
      <c r="H375" s="9">
        <v>634986</v>
      </c>
      <c r="I375" s="404">
        <f t="shared" si="21"/>
        <v>634986</v>
      </c>
      <c r="J375" s="403"/>
      <c r="K375" s="404">
        <f t="shared" si="22"/>
        <v>0</v>
      </c>
      <c r="L375" s="405">
        <f t="shared" si="23"/>
        <v>0</v>
      </c>
      <c r="M375" s="403"/>
    </row>
    <row r="376" spans="1:13" ht="31.5" x14ac:dyDescent="0.25">
      <c r="A376" s="6" t="s">
        <v>658</v>
      </c>
      <c r="B376" s="7" t="s">
        <v>645</v>
      </c>
      <c r="C376" s="6" t="s">
        <v>499</v>
      </c>
      <c r="D376" s="8">
        <v>1</v>
      </c>
      <c r="E376" s="403"/>
      <c r="F376" s="403">
        <f>BBNTHT!J416</f>
        <v>0</v>
      </c>
      <c r="G376" s="403">
        <f t="shared" si="20"/>
        <v>0</v>
      </c>
      <c r="H376" s="9">
        <v>1130266</v>
      </c>
      <c r="I376" s="404">
        <f t="shared" si="21"/>
        <v>1130266</v>
      </c>
      <c r="J376" s="403"/>
      <c r="K376" s="404">
        <f t="shared" si="22"/>
        <v>0</v>
      </c>
      <c r="L376" s="405">
        <f t="shared" si="23"/>
        <v>0</v>
      </c>
      <c r="M376" s="403"/>
    </row>
    <row r="377" spans="1:13" ht="15.75" x14ac:dyDescent="0.25">
      <c r="A377" s="2" t="s">
        <v>659</v>
      </c>
      <c r="B377" s="3" t="s">
        <v>660</v>
      </c>
      <c r="C377" s="2"/>
      <c r="D377" s="4" t="s">
        <v>3</v>
      </c>
      <c r="E377" s="403"/>
      <c r="F377" s="403">
        <f>BBNTHT!J417</f>
        <v>0</v>
      </c>
      <c r="G377" s="403">
        <f t="shared" si="20"/>
        <v>0</v>
      </c>
      <c r="H377" s="5"/>
      <c r="I377" s="404"/>
      <c r="J377" s="403"/>
      <c r="K377" s="404">
        <f t="shared" si="22"/>
        <v>0</v>
      </c>
      <c r="L377" s="405">
        <f t="shared" si="23"/>
        <v>0</v>
      </c>
      <c r="M377" s="403"/>
    </row>
    <row r="378" spans="1:13" ht="15.75" x14ac:dyDescent="0.25">
      <c r="A378" s="6" t="s">
        <v>661</v>
      </c>
      <c r="B378" s="7" t="s">
        <v>649</v>
      </c>
      <c r="C378" s="6" t="s">
        <v>9</v>
      </c>
      <c r="D378" s="8">
        <v>1</v>
      </c>
      <c r="E378" s="403"/>
      <c r="F378" s="403">
        <f>BBNTHT!J418</f>
        <v>0</v>
      </c>
      <c r="G378" s="403">
        <f t="shared" si="20"/>
        <v>0</v>
      </c>
      <c r="H378" s="9">
        <v>1411124</v>
      </c>
      <c r="I378" s="404">
        <f t="shared" si="21"/>
        <v>1411124</v>
      </c>
      <c r="J378" s="403"/>
      <c r="K378" s="404">
        <f t="shared" si="22"/>
        <v>0</v>
      </c>
      <c r="L378" s="405">
        <f t="shared" si="23"/>
        <v>0</v>
      </c>
      <c r="M378" s="403"/>
    </row>
    <row r="379" spans="1:13" ht="15.75" x14ac:dyDescent="0.25">
      <c r="A379" s="6" t="s">
        <v>662</v>
      </c>
      <c r="B379" s="7" t="s">
        <v>485</v>
      </c>
      <c r="C379" s="6" t="s">
        <v>248</v>
      </c>
      <c r="D379" s="8">
        <v>3</v>
      </c>
      <c r="E379" s="403"/>
      <c r="F379" s="403">
        <f>BBNTHT!J419</f>
        <v>0</v>
      </c>
      <c r="G379" s="403">
        <f t="shared" si="20"/>
        <v>0</v>
      </c>
      <c r="H379" s="9">
        <v>83756</v>
      </c>
      <c r="I379" s="404">
        <f t="shared" si="21"/>
        <v>251268</v>
      </c>
      <c r="J379" s="403"/>
      <c r="K379" s="404">
        <f t="shared" si="22"/>
        <v>0</v>
      </c>
      <c r="L379" s="405">
        <f t="shared" si="23"/>
        <v>0</v>
      </c>
      <c r="M379" s="403"/>
    </row>
    <row r="380" spans="1:13" ht="15.75" x14ac:dyDescent="0.25">
      <c r="A380" s="6" t="s">
        <v>663</v>
      </c>
      <c r="B380" s="7" t="s">
        <v>483</v>
      </c>
      <c r="C380" s="6" t="s">
        <v>248</v>
      </c>
      <c r="D380" s="8">
        <v>3</v>
      </c>
      <c r="E380" s="403"/>
      <c r="F380" s="403">
        <f>BBNTHT!J420</f>
        <v>0</v>
      </c>
      <c r="G380" s="403">
        <f t="shared" si="20"/>
        <v>0</v>
      </c>
      <c r="H380" s="9">
        <v>396005</v>
      </c>
      <c r="I380" s="404">
        <f t="shared" si="21"/>
        <v>1188015</v>
      </c>
      <c r="J380" s="403"/>
      <c r="K380" s="404">
        <f t="shared" si="22"/>
        <v>0</v>
      </c>
      <c r="L380" s="405">
        <f t="shared" si="23"/>
        <v>0</v>
      </c>
      <c r="M380" s="403"/>
    </row>
    <row r="381" spans="1:13" ht="15.75" x14ac:dyDescent="0.25">
      <c r="A381" s="6" t="s">
        <v>664</v>
      </c>
      <c r="B381" s="7" t="s">
        <v>587</v>
      </c>
      <c r="C381" s="6" t="s">
        <v>9</v>
      </c>
      <c r="D381" s="8">
        <v>1</v>
      </c>
      <c r="E381" s="403"/>
      <c r="F381" s="403">
        <f>BBNTHT!J421</f>
        <v>0</v>
      </c>
      <c r="G381" s="403">
        <f t="shared" si="20"/>
        <v>0</v>
      </c>
      <c r="H381" s="9">
        <v>148367</v>
      </c>
      <c r="I381" s="404">
        <f t="shared" si="21"/>
        <v>148367</v>
      </c>
      <c r="J381" s="403"/>
      <c r="K381" s="404">
        <f t="shared" si="22"/>
        <v>0</v>
      </c>
      <c r="L381" s="405">
        <f t="shared" si="23"/>
        <v>0</v>
      </c>
      <c r="M381" s="403"/>
    </row>
    <row r="382" spans="1:13" ht="15.75" x14ac:dyDescent="0.25">
      <c r="A382" s="6" t="s">
        <v>665</v>
      </c>
      <c r="B382" s="7" t="s">
        <v>589</v>
      </c>
      <c r="C382" s="6" t="s">
        <v>9</v>
      </c>
      <c r="D382" s="8">
        <v>7</v>
      </c>
      <c r="E382" s="403"/>
      <c r="F382" s="403">
        <f>BBNTHT!J422</f>
        <v>0</v>
      </c>
      <c r="G382" s="403">
        <f t="shared" si="20"/>
        <v>0</v>
      </c>
      <c r="H382" s="9">
        <v>148367</v>
      </c>
      <c r="I382" s="404">
        <f t="shared" si="21"/>
        <v>1038569</v>
      </c>
      <c r="J382" s="403"/>
      <c r="K382" s="404">
        <f t="shared" si="22"/>
        <v>0</v>
      </c>
      <c r="L382" s="405">
        <f t="shared" si="23"/>
        <v>0</v>
      </c>
      <c r="M382" s="403"/>
    </row>
    <row r="383" spans="1:13" ht="15.75" x14ac:dyDescent="0.25">
      <c r="A383" s="6" t="s">
        <v>666</v>
      </c>
      <c r="B383" s="7" t="s">
        <v>667</v>
      </c>
      <c r="C383" s="6" t="s">
        <v>9</v>
      </c>
      <c r="D383" s="8">
        <v>1</v>
      </c>
      <c r="E383" s="403"/>
      <c r="F383" s="403">
        <f>BBNTHT!J423</f>
        <v>0</v>
      </c>
      <c r="G383" s="403">
        <f t="shared" si="20"/>
        <v>0</v>
      </c>
      <c r="H383" s="9">
        <v>745395</v>
      </c>
      <c r="I383" s="404">
        <f t="shared" si="21"/>
        <v>745395</v>
      </c>
      <c r="J383" s="403"/>
      <c r="K383" s="404">
        <f t="shared" si="22"/>
        <v>0</v>
      </c>
      <c r="L383" s="405">
        <f t="shared" si="23"/>
        <v>0</v>
      </c>
      <c r="M383" s="403"/>
    </row>
    <row r="384" spans="1:13" ht="15.75" x14ac:dyDescent="0.25">
      <c r="A384" s="6" t="s">
        <v>668</v>
      </c>
      <c r="B384" s="7" t="s">
        <v>611</v>
      </c>
      <c r="C384" s="6" t="s">
        <v>9</v>
      </c>
      <c r="D384" s="8">
        <v>2</v>
      </c>
      <c r="E384" s="403"/>
      <c r="F384" s="403">
        <f>BBNTHT!J424</f>
        <v>0</v>
      </c>
      <c r="G384" s="403">
        <f t="shared" si="20"/>
        <v>0</v>
      </c>
      <c r="H384" s="9">
        <v>138060</v>
      </c>
      <c r="I384" s="404">
        <f t="shared" si="21"/>
        <v>276120</v>
      </c>
      <c r="J384" s="403"/>
      <c r="K384" s="404">
        <f t="shared" si="22"/>
        <v>0</v>
      </c>
      <c r="L384" s="405">
        <f t="shared" si="23"/>
        <v>0</v>
      </c>
      <c r="M384" s="403"/>
    </row>
    <row r="385" spans="1:13" ht="15.75" x14ac:dyDescent="0.25">
      <c r="A385" s="6" t="s">
        <v>669</v>
      </c>
      <c r="B385" s="7" t="s">
        <v>593</v>
      </c>
      <c r="C385" s="6" t="s">
        <v>9</v>
      </c>
      <c r="D385" s="8">
        <v>1</v>
      </c>
      <c r="E385" s="403"/>
      <c r="F385" s="403">
        <f>BBNTHT!J425</f>
        <v>0</v>
      </c>
      <c r="G385" s="403">
        <f t="shared" si="20"/>
        <v>0</v>
      </c>
      <c r="H385" s="9">
        <v>138060</v>
      </c>
      <c r="I385" s="404">
        <f t="shared" si="21"/>
        <v>138060</v>
      </c>
      <c r="J385" s="403"/>
      <c r="K385" s="404">
        <f t="shared" si="22"/>
        <v>0</v>
      </c>
      <c r="L385" s="405">
        <f t="shared" si="23"/>
        <v>0</v>
      </c>
      <c r="M385" s="403"/>
    </row>
    <row r="386" spans="1:13" ht="15.75" x14ac:dyDescent="0.25">
      <c r="A386" s="6" t="s">
        <v>670</v>
      </c>
      <c r="B386" s="7" t="s">
        <v>495</v>
      </c>
      <c r="C386" s="6" t="s">
        <v>248</v>
      </c>
      <c r="D386" s="8">
        <v>1</v>
      </c>
      <c r="E386" s="403"/>
      <c r="F386" s="403">
        <f>BBNTHT!J426</f>
        <v>0</v>
      </c>
      <c r="G386" s="403">
        <f t="shared" si="20"/>
        <v>0</v>
      </c>
      <c r="H386" s="9">
        <v>634986</v>
      </c>
      <c r="I386" s="404">
        <f t="shared" si="21"/>
        <v>634986</v>
      </c>
      <c r="J386" s="403"/>
      <c r="K386" s="404">
        <f t="shared" si="22"/>
        <v>0</v>
      </c>
      <c r="L386" s="405">
        <f t="shared" si="23"/>
        <v>0</v>
      </c>
      <c r="M386" s="403"/>
    </row>
    <row r="387" spans="1:13" ht="31.5" x14ac:dyDescent="0.25">
      <c r="A387" s="6" t="s">
        <v>671</v>
      </c>
      <c r="B387" s="7" t="s">
        <v>672</v>
      </c>
      <c r="C387" s="6" t="s">
        <v>499</v>
      </c>
      <c r="D387" s="8">
        <v>1</v>
      </c>
      <c r="E387" s="403"/>
      <c r="F387" s="403">
        <f>BBNTHT!J427</f>
        <v>0</v>
      </c>
      <c r="G387" s="403">
        <f t="shared" si="20"/>
        <v>0</v>
      </c>
      <c r="H387" s="9">
        <v>1310890</v>
      </c>
      <c r="I387" s="404">
        <f t="shared" si="21"/>
        <v>1310890</v>
      </c>
      <c r="J387" s="403"/>
      <c r="K387" s="404">
        <f t="shared" si="22"/>
        <v>0</v>
      </c>
      <c r="L387" s="405">
        <f t="shared" si="23"/>
        <v>0</v>
      </c>
      <c r="M387" s="403"/>
    </row>
    <row r="388" spans="1:13" ht="15.75" x14ac:dyDescent="0.25">
      <c r="A388" s="2" t="s">
        <v>673</v>
      </c>
      <c r="B388" s="3" t="s">
        <v>674</v>
      </c>
      <c r="C388" s="2"/>
      <c r="D388" s="4" t="s">
        <v>3</v>
      </c>
      <c r="E388" s="403"/>
      <c r="F388" s="403">
        <f>BBNTHT!J428</f>
        <v>0</v>
      </c>
      <c r="G388" s="403">
        <f t="shared" si="20"/>
        <v>0</v>
      </c>
      <c r="H388" s="5"/>
      <c r="I388" s="404"/>
      <c r="J388" s="403"/>
      <c r="K388" s="404">
        <f t="shared" si="22"/>
        <v>0</v>
      </c>
      <c r="L388" s="405">
        <f t="shared" si="23"/>
        <v>0</v>
      </c>
      <c r="M388" s="403"/>
    </row>
    <row r="389" spans="1:13" ht="15.75" x14ac:dyDescent="0.25">
      <c r="A389" s="6" t="s">
        <v>675</v>
      </c>
      <c r="B389" s="7" t="s">
        <v>676</v>
      </c>
      <c r="C389" s="6" t="s">
        <v>9</v>
      </c>
      <c r="D389" s="8">
        <v>11</v>
      </c>
      <c r="E389" s="403"/>
      <c r="F389" s="403">
        <f>BBNTHT!J429</f>
        <v>0</v>
      </c>
      <c r="G389" s="403">
        <f t="shared" si="20"/>
        <v>0</v>
      </c>
      <c r="H389" s="9">
        <v>3503347</v>
      </c>
      <c r="I389" s="404">
        <f t="shared" si="21"/>
        <v>38536817</v>
      </c>
      <c r="J389" s="403"/>
      <c r="K389" s="404">
        <f t="shared" si="22"/>
        <v>0</v>
      </c>
      <c r="L389" s="405">
        <f t="shared" si="23"/>
        <v>0</v>
      </c>
      <c r="M389" s="403"/>
    </row>
    <row r="390" spans="1:13" ht="15.75" x14ac:dyDescent="0.25">
      <c r="A390" s="6" t="s">
        <v>677</v>
      </c>
      <c r="B390" s="7" t="s">
        <v>485</v>
      </c>
      <c r="C390" s="6" t="s">
        <v>248</v>
      </c>
      <c r="D390" s="8">
        <v>33</v>
      </c>
      <c r="E390" s="403"/>
      <c r="F390" s="403">
        <f>BBNTHT!J430</f>
        <v>0</v>
      </c>
      <c r="G390" s="403">
        <f t="shared" si="20"/>
        <v>0</v>
      </c>
      <c r="H390" s="9">
        <v>83756</v>
      </c>
      <c r="I390" s="404">
        <f t="shared" si="21"/>
        <v>2763948</v>
      </c>
      <c r="J390" s="403"/>
      <c r="K390" s="404">
        <f t="shared" si="22"/>
        <v>0</v>
      </c>
      <c r="L390" s="405">
        <f t="shared" si="23"/>
        <v>0</v>
      </c>
      <c r="M390" s="403"/>
    </row>
    <row r="391" spans="1:13" ht="15.75" x14ac:dyDescent="0.25">
      <c r="A391" s="6" t="s">
        <v>678</v>
      </c>
      <c r="B391" s="7" t="s">
        <v>483</v>
      </c>
      <c r="C391" s="6" t="s">
        <v>248</v>
      </c>
      <c r="D391" s="8">
        <v>33</v>
      </c>
      <c r="E391" s="403"/>
      <c r="F391" s="403">
        <f>BBNTHT!J431</f>
        <v>0</v>
      </c>
      <c r="G391" s="403">
        <f t="shared" si="20"/>
        <v>0</v>
      </c>
      <c r="H391" s="9">
        <v>396005</v>
      </c>
      <c r="I391" s="404">
        <f t="shared" si="21"/>
        <v>13068165</v>
      </c>
      <c r="J391" s="403"/>
      <c r="K391" s="404">
        <f t="shared" si="22"/>
        <v>0</v>
      </c>
      <c r="L391" s="405">
        <f t="shared" si="23"/>
        <v>0</v>
      </c>
      <c r="M391" s="403"/>
    </row>
    <row r="392" spans="1:13" ht="15.75" x14ac:dyDescent="0.25">
      <c r="A392" s="6" t="s">
        <v>679</v>
      </c>
      <c r="B392" s="7" t="s">
        <v>653</v>
      </c>
      <c r="C392" s="6" t="s">
        <v>9</v>
      </c>
      <c r="D392" s="8">
        <v>231</v>
      </c>
      <c r="E392" s="403"/>
      <c r="F392" s="403">
        <f>BBNTHT!J432</f>
        <v>0</v>
      </c>
      <c r="G392" s="403">
        <f t="shared" si="20"/>
        <v>0</v>
      </c>
      <c r="H392" s="9">
        <v>148367</v>
      </c>
      <c r="I392" s="404">
        <f t="shared" si="21"/>
        <v>34272777</v>
      </c>
      <c r="J392" s="403"/>
      <c r="K392" s="404">
        <f t="shared" si="22"/>
        <v>0</v>
      </c>
      <c r="L392" s="405">
        <f t="shared" si="23"/>
        <v>0</v>
      </c>
      <c r="M392" s="403"/>
    </row>
    <row r="393" spans="1:13" ht="15.75" x14ac:dyDescent="0.25">
      <c r="A393" s="6" t="s">
        <v>680</v>
      </c>
      <c r="B393" s="7" t="s">
        <v>495</v>
      </c>
      <c r="C393" s="6" t="s">
        <v>248</v>
      </c>
      <c r="D393" s="8">
        <v>11</v>
      </c>
      <c r="E393" s="403"/>
      <c r="F393" s="403">
        <f>BBNTHT!J433</f>
        <v>0</v>
      </c>
      <c r="G393" s="403">
        <f t="shared" si="20"/>
        <v>0</v>
      </c>
      <c r="H393" s="9">
        <v>634986</v>
      </c>
      <c r="I393" s="404">
        <f t="shared" si="21"/>
        <v>6984846</v>
      </c>
      <c r="J393" s="403"/>
      <c r="K393" s="404">
        <f t="shared" si="22"/>
        <v>0</v>
      </c>
      <c r="L393" s="405">
        <f t="shared" si="23"/>
        <v>0</v>
      </c>
      <c r="M393" s="403"/>
    </row>
    <row r="394" spans="1:13" ht="31.5" x14ac:dyDescent="0.25">
      <c r="A394" s="6" t="s">
        <v>681</v>
      </c>
      <c r="B394" s="7" t="s">
        <v>682</v>
      </c>
      <c r="C394" s="6" t="s">
        <v>499</v>
      </c>
      <c r="D394" s="8">
        <v>11</v>
      </c>
      <c r="E394" s="403"/>
      <c r="F394" s="403">
        <f>BBNTHT!J434</f>
        <v>0</v>
      </c>
      <c r="G394" s="403">
        <f t="shared" si="20"/>
        <v>0</v>
      </c>
      <c r="H394" s="9">
        <v>3323218</v>
      </c>
      <c r="I394" s="404">
        <f t="shared" si="21"/>
        <v>36555398</v>
      </c>
      <c r="J394" s="403"/>
      <c r="K394" s="404">
        <f t="shared" si="22"/>
        <v>0</v>
      </c>
      <c r="L394" s="405">
        <f t="shared" si="23"/>
        <v>0</v>
      </c>
      <c r="M394" s="403"/>
    </row>
    <row r="395" spans="1:13" ht="15.75" x14ac:dyDescent="0.25">
      <c r="A395" s="2" t="s">
        <v>683</v>
      </c>
      <c r="B395" s="3" t="s">
        <v>684</v>
      </c>
      <c r="C395" s="2"/>
      <c r="D395" s="4" t="s">
        <v>3</v>
      </c>
      <c r="E395" s="403"/>
      <c r="F395" s="403">
        <f>BBNTHT!J435</f>
        <v>0</v>
      </c>
      <c r="G395" s="403">
        <f t="shared" si="20"/>
        <v>0</v>
      </c>
      <c r="H395" s="5"/>
      <c r="I395" s="404"/>
      <c r="J395" s="403"/>
      <c r="K395" s="404">
        <f t="shared" si="22"/>
        <v>0</v>
      </c>
      <c r="L395" s="405">
        <f t="shared" si="23"/>
        <v>0</v>
      </c>
      <c r="M395" s="403"/>
    </row>
    <row r="396" spans="1:13" ht="15.75" x14ac:dyDescent="0.25">
      <c r="A396" s="6" t="s">
        <v>685</v>
      </c>
      <c r="B396" s="7" t="s">
        <v>686</v>
      </c>
      <c r="C396" s="6" t="s">
        <v>9</v>
      </c>
      <c r="D396" s="8">
        <v>1</v>
      </c>
      <c r="E396" s="403"/>
      <c r="F396" s="403">
        <f>BBNTHT!J436</f>
        <v>0</v>
      </c>
      <c r="G396" s="403">
        <f t="shared" si="20"/>
        <v>0</v>
      </c>
      <c r="H396" s="9">
        <v>2694423</v>
      </c>
      <c r="I396" s="404">
        <f t="shared" si="21"/>
        <v>2694423</v>
      </c>
      <c r="J396" s="403"/>
      <c r="K396" s="404">
        <f t="shared" si="22"/>
        <v>0</v>
      </c>
      <c r="L396" s="405">
        <f t="shared" si="23"/>
        <v>0</v>
      </c>
      <c r="M396" s="403"/>
    </row>
    <row r="397" spans="1:13" ht="15.75" x14ac:dyDescent="0.25">
      <c r="A397" s="6" t="s">
        <v>687</v>
      </c>
      <c r="B397" s="7" t="s">
        <v>485</v>
      </c>
      <c r="C397" s="6" t="s">
        <v>248</v>
      </c>
      <c r="D397" s="8">
        <v>3</v>
      </c>
      <c r="E397" s="403"/>
      <c r="F397" s="403">
        <f>BBNTHT!J437</f>
        <v>0</v>
      </c>
      <c r="G397" s="403">
        <f t="shared" si="20"/>
        <v>0</v>
      </c>
      <c r="H397" s="9">
        <v>83756</v>
      </c>
      <c r="I397" s="404">
        <f t="shared" si="21"/>
        <v>251268</v>
      </c>
      <c r="J397" s="403"/>
      <c r="K397" s="404">
        <f t="shared" si="22"/>
        <v>0</v>
      </c>
      <c r="L397" s="405">
        <f t="shared" si="23"/>
        <v>0</v>
      </c>
      <c r="M397" s="403"/>
    </row>
    <row r="398" spans="1:13" ht="15.75" x14ac:dyDescent="0.25">
      <c r="A398" s="6" t="s">
        <v>688</v>
      </c>
      <c r="B398" s="7" t="s">
        <v>483</v>
      </c>
      <c r="C398" s="6" t="s">
        <v>248</v>
      </c>
      <c r="D398" s="8">
        <v>3</v>
      </c>
      <c r="E398" s="403"/>
      <c r="F398" s="403">
        <f>BBNTHT!J438</f>
        <v>0</v>
      </c>
      <c r="G398" s="403">
        <f t="shared" si="20"/>
        <v>0</v>
      </c>
      <c r="H398" s="9">
        <v>396005</v>
      </c>
      <c r="I398" s="404">
        <f t="shared" si="21"/>
        <v>1188015</v>
      </c>
      <c r="J398" s="403"/>
      <c r="K398" s="404">
        <f t="shared" si="22"/>
        <v>0</v>
      </c>
      <c r="L398" s="405">
        <f t="shared" si="23"/>
        <v>0</v>
      </c>
      <c r="M398" s="403"/>
    </row>
    <row r="399" spans="1:13" ht="15.75" x14ac:dyDescent="0.25">
      <c r="A399" s="6" t="s">
        <v>689</v>
      </c>
      <c r="B399" s="7" t="s">
        <v>690</v>
      </c>
      <c r="C399" s="6" t="s">
        <v>9</v>
      </c>
      <c r="D399" s="8">
        <v>5</v>
      </c>
      <c r="E399" s="403"/>
      <c r="F399" s="403">
        <f>BBNTHT!J439</f>
        <v>0</v>
      </c>
      <c r="G399" s="403">
        <f t="shared" si="20"/>
        <v>0</v>
      </c>
      <c r="H399" s="9">
        <v>148367</v>
      </c>
      <c r="I399" s="404">
        <f t="shared" si="21"/>
        <v>741835</v>
      </c>
      <c r="J399" s="403"/>
      <c r="K399" s="404">
        <f t="shared" si="22"/>
        <v>0</v>
      </c>
      <c r="L399" s="405">
        <f t="shared" si="23"/>
        <v>0</v>
      </c>
      <c r="M399" s="403"/>
    </row>
    <row r="400" spans="1:13" ht="15.75" x14ac:dyDescent="0.25">
      <c r="A400" s="6" t="s">
        <v>691</v>
      </c>
      <c r="B400" s="7" t="s">
        <v>653</v>
      </c>
      <c r="C400" s="6" t="s">
        <v>9</v>
      </c>
      <c r="D400" s="8">
        <v>11</v>
      </c>
      <c r="E400" s="403"/>
      <c r="F400" s="403">
        <f>BBNTHT!J440</f>
        <v>0</v>
      </c>
      <c r="G400" s="403">
        <f t="shared" si="20"/>
        <v>0</v>
      </c>
      <c r="H400" s="9">
        <v>148367</v>
      </c>
      <c r="I400" s="404">
        <f t="shared" si="21"/>
        <v>1632037</v>
      </c>
      <c r="J400" s="403"/>
      <c r="K400" s="404">
        <f t="shared" si="22"/>
        <v>0</v>
      </c>
      <c r="L400" s="405">
        <f t="shared" si="23"/>
        <v>0</v>
      </c>
      <c r="M400" s="403"/>
    </row>
    <row r="401" spans="1:13" ht="15.75" x14ac:dyDescent="0.25">
      <c r="A401" s="6" t="s">
        <v>692</v>
      </c>
      <c r="B401" s="7" t="s">
        <v>495</v>
      </c>
      <c r="C401" s="6" t="s">
        <v>248</v>
      </c>
      <c r="D401" s="8">
        <v>1</v>
      </c>
      <c r="E401" s="403"/>
      <c r="F401" s="403">
        <f>BBNTHT!J441</f>
        <v>0</v>
      </c>
      <c r="G401" s="403">
        <f t="shared" si="20"/>
        <v>0</v>
      </c>
      <c r="H401" s="9">
        <v>634986</v>
      </c>
      <c r="I401" s="404">
        <f t="shared" si="21"/>
        <v>634986</v>
      </c>
      <c r="J401" s="403"/>
      <c r="K401" s="404">
        <f t="shared" si="22"/>
        <v>0</v>
      </c>
      <c r="L401" s="405">
        <f t="shared" si="23"/>
        <v>0</v>
      </c>
      <c r="M401" s="403"/>
    </row>
    <row r="402" spans="1:13" ht="31.5" x14ac:dyDescent="0.25">
      <c r="A402" s="6" t="s">
        <v>693</v>
      </c>
      <c r="B402" s="7" t="s">
        <v>682</v>
      </c>
      <c r="C402" s="6" t="s">
        <v>499</v>
      </c>
      <c r="D402" s="8">
        <v>1</v>
      </c>
      <c r="E402" s="403"/>
      <c r="F402" s="403">
        <f>BBNTHT!J442</f>
        <v>0</v>
      </c>
      <c r="G402" s="403">
        <f t="shared" ref="G402:G465" si="24">F402+E402</f>
        <v>0</v>
      </c>
      <c r="H402" s="9">
        <v>3323218</v>
      </c>
      <c r="I402" s="404">
        <f t="shared" ref="I402:I465" si="25">ROUND(D402*H402,0)</f>
        <v>3323218</v>
      </c>
      <c r="J402" s="403"/>
      <c r="K402" s="404">
        <f t="shared" ref="K402:K465" si="26">ROUND(F402*H402,0)</f>
        <v>0</v>
      </c>
      <c r="L402" s="405">
        <f t="shared" ref="L402:L465" si="27">J402+K402</f>
        <v>0</v>
      </c>
      <c r="M402" s="403"/>
    </row>
    <row r="403" spans="1:13" ht="15.75" x14ac:dyDescent="0.25">
      <c r="A403" s="2" t="s">
        <v>694</v>
      </c>
      <c r="B403" s="3" t="s">
        <v>695</v>
      </c>
      <c r="C403" s="2"/>
      <c r="D403" s="4" t="s">
        <v>3</v>
      </c>
      <c r="E403" s="403"/>
      <c r="F403" s="403">
        <f>BBNTHT!J443</f>
        <v>0</v>
      </c>
      <c r="G403" s="403">
        <f t="shared" si="24"/>
        <v>0</v>
      </c>
      <c r="H403" s="5"/>
      <c r="I403" s="404"/>
      <c r="J403" s="403"/>
      <c r="K403" s="404">
        <f t="shared" si="26"/>
        <v>0</v>
      </c>
      <c r="L403" s="405">
        <f t="shared" si="27"/>
        <v>0</v>
      </c>
      <c r="M403" s="403"/>
    </row>
    <row r="404" spans="1:13" ht="15.75" x14ac:dyDescent="0.25">
      <c r="A404" s="6" t="s">
        <v>696</v>
      </c>
      <c r="B404" s="7" t="s">
        <v>697</v>
      </c>
      <c r="C404" s="6" t="s">
        <v>9</v>
      </c>
      <c r="D404" s="8">
        <v>1</v>
      </c>
      <c r="E404" s="403"/>
      <c r="F404" s="403">
        <f>BBNTHT!J444</f>
        <v>0</v>
      </c>
      <c r="G404" s="403">
        <f t="shared" si="24"/>
        <v>0</v>
      </c>
      <c r="H404" s="9">
        <v>2694423</v>
      </c>
      <c r="I404" s="404">
        <f t="shared" si="25"/>
        <v>2694423</v>
      </c>
      <c r="J404" s="403"/>
      <c r="K404" s="404">
        <f t="shared" si="26"/>
        <v>0</v>
      </c>
      <c r="L404" s="405">
        <f t="shared" si="27"/>
        <v>0</v>
      </c>
      <c r="M404" s="403"/>
    </row>
    <row r="405" spans="1:13" ht="15.75" x14ac:dyDescent="0.25">
      <c r="A405" s="6" t="s">
        <v>698</v>
      </c>
      <c r="B405" s="7" t="s">
        <v>485</v>
      </c>
      <c r="C405" s="6" t="s">
        <v>248</v>
      </c>
      <c r="D405" s="8">
        <v>3</v>
      </c>
      <c r="E405" s="403"/>
      <c r="F405" s="403">
        <f>BBNTHT!J445</f>
        <v>0</v>
      </c>
      <c r="G405" s="403">
        <f t="shared" si="24"/>
        <v>0</v>
      </c>
      <c r="H405" s="9">
        <v>83756</v>
      </c>
      <c r="I405" s="404">
        <f t="shared" si="25"/>
        <v>251268</v>
      </c>
      <c r="J405" s="403"/>
      <c r="K405" s="404">
        <f t="shared" si="26"/>
        <v>0</v>
      </c>
      <c r="L405" s="405">
        <f t="shared" si="27"/>
        <v>0</v>
      </c>
      <c r="M405" s="403"/>
    </row>
    <row r="406" spans="1:13" ht="15.75" x14ac:dyDescent="0.25">
      <c r="A406" s="6" t="s">
        <v>699</v>
      </c>
      <c r="B406" s="7" t="s">
        <v>483</v>
      </c>
      <c r="C406" s="6" t="s">
        <v>248</v>
      </c>
      <c r="D406" s="8">
        <v>3</v>
      </c>
      <c r="E406" s="403"/>
      <c r="F406" s="403">
        <f>BBNTHT!J446</f>
        <v>0</v>
      </c>
      <c r="G406" s="403">
        <f t="shared" si="24"/>
        <v>0</v>
      </c>
      <c r="H406" s="9">
        <v>396005</v>
      </c>
      <c r="I406" s="404">
        <f t="shared" si="25"/>
        <v>1188015</v>
      </c>
      <c r="J406" s="403"/>
      <c r="K406" s="404">
        <f t="shared" si="26"/>
        <v>0</v>
      </c>
      <c r="L406" s="405">
        <f t="shared" si="27"/>
        <v>0</v>
      </c>
      <c r="M406" s="403"/>
    </row>
    <row r="407" spans="1:13" ht="15.75" x14ac:dyDescent="0.25">
      <c r="A407" s="6" t="s">
        <v>700</v>
      </c>
      <c r="B407" s="7" t="s">
        <v>690</v>
      </c>
      <c r="C407" s="6" t="s">
        <v>9</v>
      </c>
      <c r="D407" s="8">
        <v>4</v>
      </c>
      <c r="E407" s="403"/>
      <c r="F407" s="403">
        <f>BBNTHT!J447</f>
        <v>0</v>
      </c>
      <c r="G407" s="403">
        <f t="shared" si="24"/>
        <v>0</v>
      </c>
      <c r="H407" s="9">
        <v>148367</v>
      </c>
      <c r="I407" s="404">
        <f t="shared" si="25"/>
        <v>593468</v>
      </c>
      <c r="J407" s="403"/>
      <c r="K407" s="404">
        <f t="shared" si="26"/>
        <v>0</v>
      </c>
      <c r="L407" s="405">
        <f t="shared" si="27"/>
        <v>0</v>
      </c>
      <c r="M407" s="403"/>
    </row>
    <row r="408" spans="1:13" ht="15.75" x14ac:dyDescent="0.25">
      <c r="A408" s="6" t="s">
        <v>701</v>
      </c>
      <c r="B408" s="7" t="s">
        <v>653</v>
      </c>
      <c r="C408" s="6" t="s">
        <v>9</v>
      </c>
      <c r="D408" s="8">
        <v>2</v>
      </c>
      <c r="E408" s="403"/>
      <c r="F408" s="403">
        <f>BBNTHT!J448</f>
        <v>0</v>
      </c>
      <c r="G408" s="403">
        <f t="shared" si="24"/>
        <v>0</v>
      </c>
      <c r="H408" s="9">
        <v>148367</v>
      </c>
      <c r="I408" s="404">
        <f t="shared" si="25"/>
        <v>296734</v>
      </c>
      <c r="J408" s="403"/>
      <c r="K408" s="404">
        <f t="shared" si="26"/>
        <v>0</v>
      </c>
      <c r="L408" s="405">
        <f t="shared" si="27"/>
        <v>0</v>
      </c>
      <c r="M408" s="403"/>
    </row>
    <row r="409" spans="1:13" ht="15.75" x14ac:dyDescent="0.25">
      <c r="A409" s="6" t="s">
        <v>702</v>
      </c>
      <c r="B409" s="7" t="s">
        <v>495</v>
      </c>
      <c r="C409" s="6" t="s">
        <v>248</v>
      </c>
      <c r="D409" s="8">
        <v>1</v>
      </c>
      <c r="E409" s="403"/>
      <c r="F409" s="403">
        <f>BBNTHT!J449</f>
        <v>0</v>
      </c>
      <c r="G409" s="403">
        <f t="shared" si="24"/>
        <v>0</v>
      </c>
      <c r="H409" s="9">
        <v>634986</v>
      </c>
      <c r="I409" s="404">
        <f t="shared" si="25"/>
        <v>634986</v>
      </c>
      <c r="J409" s="403"/>
      <c r="K409" s="404">
        <f t="shared" si="26"/>
        <v>0</v>
      </c>
      <c r="L409" s="405">
        <f t="shared" si="27"/>
        <v>0</v>
      </c>
      <c r="M409" s="403"/>
    </row>
    <row r="410" spans="1:13" ht="31.5" x14ac:dyDescent="0.25">
      <c r="A410" s="6" t="s">
        <v>703</v>
      </c>
      <c r="B410" s="7" t="s">
        <v>645</v>
      </c>
      <c r="C410" s="6" t="s">
        <v>499</v>
      </c>
      <c r="D410" s="8">
        <v>1</v>
      </c>
      <c r="E410" s="403"/>
      <c r="F410" s="403">
        <f>BBNTHT!J450</f>
        <v>0</v>
      </c>
      <c r="G410" s="403">
        <f t="shared" si="24"/>
        <v>0</v>
      </c>
      <c r="H410" s="9">
        <v>1130266</v>
      </c>
      <c r="I410" s="404">
        <f t="shared" si="25"/>
        <v>1130266</v>
      </c>
      <c r="J410" s="403"/>
      <c r="K410" s="404">
        <f t="shared" si="26"/>
        <v>0</v>
      </c>
      <c r="L410" s="405">
        <f t="shared" si="27"/>
        <v>0</v>
      </c>
      <c r="M410" s="403"/>
    </row>
    <row r="411" spans="1:13" ht="15.75" x14ac:dyDescent="0.25">
      <c r="A411" s="2" t="s">
        <v>704</v>
      </c>
      <c r="B411" s="3" t="s">
        <v>705</v>
      </c>
      <c r="C411" s="2"/>
      <c r="D411" s="4" t="s">
        <v>3</v>
      </c>
      <c r="E411" s="403"/>
      <c r="F411" s="403">
        <f>BBNTHT!J451</f>
        <v>0</v>
      </c>
      <c r="G411" s="403">
        <f t="shared" si="24"/>
        <v>0</v>
      </c>
      <c r="H411" s="5"/>
      <c r="I411" s="404"/>
      <c r="J411" s="403"/>
      <c r="K411" s="404">
        <f t="shared" si="26"/>
        <v>0</v>
      </c>
      <c r="L411" s="405">
        <f t="shared" si="27"/>
        <v>0</v>
      </c>
      <c r="M411" s="403"/>
    </row>
    <row r="412" spans="1:13" ht="15.75" x14ac:dyDescent="0.25">
      <c r="A412" s="6" t="s">
        <v>706</v>
      </c>
      <c r="B412" s="7" t="s">
        <v>707</v>
      </c>
      <c r="C412" s="6" t="s">
        <v>9</v>
      </c>
      <c r="D412" s="8">
        <v>1</v>
      </c>
      <c r="E412" s="403"/>
      <c r="F412" s="403">
        <f>BBNTHT!J452</f>
        <v>0</v>
      </c>
      <c r="G412" s="403">
        <f t="shared" si="24"/>
        <v>0</v>
      </c>
      <c r="H412" s="9">
        <v>904751</v>
      </c>
      <c r="I412" s="404">
        <f t="shared" si="25"/>
        <v>904751</v>
      </c>
      <c r="J412" s="403"/>
      <c r="K412" s="404">
        <f t="shared" si="26"/>
        <v>0</v>
      </c>
      <c r="L412" s="405">
        <f t="shared" si="27"/>
        <v>0</v>
      </c>
      <c r="M412" s="403"/>
    </row>
    <row r="413" spans="1:13" ht="15.75" x14ac:dyDescent="0.25">
      <c r="A413" s="6" t="s">
        <v>708</v>
      </c>
      <c r="B413" s="7" t="s">
        <v>485</v>
      </c>
      <c r="C413" s="6" t="s">
        <v>248</v>
      </c>
      <c r="D413" s="8">
        <v>3</v>
      </c>
      <c r="E413" s="403"/>
      <c r="F413" s="403">
        <f>BBNTHT!J453</f>
        <v>0</v>
      </c>
      <c r="G413" s="403">
        <f t="shared" si="24"/>
        <v>0</v>
      </c>
      <c r="H413" s="9">
        <v>83756</v>
      </c>
      <c r="I413" s="404">
        <f t="shared" si="25"/>
        <v>251268</v>
      </c>
      <c r="J413" s="403"/>
      <c r="K413" s="404">
        <f t="shared" si="26"/>
        <v>0</v>
      </c>
      <c r="L413" s="405">
        <f t="shared" si="27"/>
        <v>0</v>
      </c>
      <c r="M413" s="403"/>
    </row>
    <row r="414" spans="1:13" ht="15.75" x14ac:dyDescent="0.25">
      <c r="A414" s="6" t="s">
        <v>709</v>
      </c>
      <c r="B414" s="7" t="s">
        <v>483</v>
      </c>
      <c r="C414" s="6" t="s">
        <v>248</v>
      </c>
      <c r="D414" s="8">
        <v>3</v>
      </c>
      <c r="E414" s="403"/>
      <c r="F414" s="403">
        <f>BBNTHT!J454</f>
        <v>0</v>
      </c>
      <c r="G414" s="403">
        <f t="shared" si="24"/>
        <v>0</v>
      </c>
      <c r="H414" s="9">
        <v>396005</v>
      </c>
      <c r="I414" s="404">
        <f t="shared" si="25"/>
        <v>1188015</v>
      </c>
      <c r="J414" s="403"/>
      <c r="K414" s="404">
        <f t="shared" si="26"/>
        <v>0</v>
      </c>
      <c r="L414" s="405">
        <f t="shared" si="27"/>
        <v>0</v>
      </c>
      <c r="M414" s="403"/>
    </row>
    <row r="415" spans="1:13" ht="15.75" x14ac:dyDescent="0.25">
      <c r="A415" s="6" t="s">
        <v>710</v>
      </c>
      <c r="B415" s="7" t="s">
        <v>667</v>
      </c>
      <c r="C415" s="6" t="s">
        <v>9</v>
      </c>
      <c r="D415" s="8">
        <v>1</v>
      </c>
      <c r="E415" s="403"/>
      <c r="F415" s="403">
        <f>BBNTHT!J455</f>
        <v>0</v>
      </c>
      <c r="G415" s="403">
        <f t="shared" si="24"/>
        <v>0</v>
      </c>
      <c r="H415" s="9">
        <v>745395</v>
      </c>
      <c r="I415" s="404">
        <f t="shared" si="25"/>
        <v>745395</v>
      </c>
      <c r="J415" s="403"/>
      <c r="K415" s="404">
        <f t="shared" si="26"/>
        <v>0</v>
      </c>
      <c r="L415" s="405">
        <f t="shared" si="27"/>
        <v>0</v>
      </c>
      <c r="M415" s="403"/>
    </row>
    <row r="416" spans="1:13" ht="15.75" x14ac:dyDescent="0.25">
      <c r="A416" s="6" t="s">
        <v>711</v>
      </c>
      <c r="B416" s="7" t="s">
        <v>593</v>
      </c>
      <c r="C416" s="6" t="s">
        <v>9</v>
      </c>
      <c r="D416" s="8">
        <v>3</v>
      </c>
      <c r="E416" s="403"/>
      <c r="F416" s="403">
        <f>BBNTHT!J456</f>
        <v>0</v>
      </c>
      <c r="G416" s="403">
        <f t="shared" si="24"/>
        <v>0</v>
      </c>
      <c r="H416" s="9">
        <v>138060</v>
      </c>
      <c r="I416" s="404">
        <f t="shared" si="25"/>
        <v>414180</v>
      </c>
      <c r="J416" s="403"/>
      <c r="K416" s="404">
        <f t="shared" si="26"/>
        <v>0</v>
      </c>
      <c r="L416" s="405">
        <f t="shared" si="27"/>
        <v>0</v>
      </c>
      <c r="M416" s="403"/>
    </row>
    <row r="417" spans="1:13" ht="15.75" x14ac:dyDescent="0.25">
      <c r="A417" s="6" t="s">
        <v>712</v>
      </c>
      <c r="B417" s="7" t="s">
        <v>595</v>
      </c>
      <c r="C417" s="6" t="s">
        <v>9</v>
      </c>
      <c r="D417" s="8">
        <v>1</v>
      </c>
      <c r="E417" s="403"/>
      <c r="F417" s="403">
        <f>BBNTHT!J457</f>
        <v>0</v>
      </c>
      <c r="G417" s="403">
        <f t="shared" si="24"/>
        <v>0</v>
      </c>
      <c r="H417" s="9">
        <v>860118</v>
      </c>
      <c r="I417" s="404">
        <f t="shared" si="25"/>
        <v>860118</v>
      </c>
      <c r="J417" s="403"/>
      <c r="K417" s="404">
        <f t="shared" si="26"/>
        <v>0</v>
      </c>
      <c r="L417" s="405">
        <f t="shared" si="27"/>
        <v>0</v>
      </c>
      <c r="M417" s="403"/>
    </row>
    <row r="418" spans="1:13" ht="15.75" x14ac:dyDescent="0.25">
      <c r="A418" s="6" t="s">
        <v>713</v>
      </c>
      <c r="B418" s="7" t="s">
        <v>599</v>
      </c>
      <c r="C418" s="6" t="s">
        <v>9</v>
      </c>
      <c r="D418" s="8">
        <v>1</v>
      </c>
      <c r="E418" s="403"/>
      <c r="F418" s="403">
        <f>BBNTHT!J458</f>
        <v>0</v>
      </c>
      <c r="G418" s="403">
        <f t="shared" si="24"/>
        <v>0</v>
      </c>
      <c r="H418" s="9">
        <v>142936</v>
      </c>
      <c r="I418" s="404">
        <f t="shared" si="25"/>
        <v>142936</v>
      </c>
      <c r="J418" s="403"/>
      <c r="K418" s="404">
        <f t="shared" si="26"/>
        <v>0</v>
      </c>
      <c r="L418" s="405">
        <f t="shared" si="27"/>
        <v>0</v>
      </c>
      <c r="M418" s="403"/>
    </row>
    <row r="419" spans="1:13" ht="15.75" x14ac:dyDescent="0.25">
      <c r="A419" s="6" t="s">
        <v>714</v>
      </c>
      <c r="B419" s="7" t="s">
        <v>495</v>
      </c>
      <c r="C419" s="6" t="s">
        <v>248</v>
      </c>
      <c r="D419" s="8">
        <v>1</v>
      </c>
      <c r="E419" s="403"/>
      <c r="F419" s="403">
        <f>BBNTHT!J459</f>
        <v>0</v>
      </c>
      <c r="G419" s="403">
        <f t="shared" si="24"/>
        <v>0</v>
      </c>
      <c r="H419" s="9">
        <v>634986</v>
      </c>
      <c r="I419" s="404">
        <f t="shared" si="25"/>
        <v>634986</v>
      </c>
      <c r="J419" s="403"/>
      <c r="K419" s="404">
        <f t="shared" si="26"/>
        <v>0</v>
      </c>
      <c r="L419" s="405">
        <f t="shared" si="27"/>
        <v>0</v>
      </c>
      <c r="M419" s="403"/>
    </row>
    <row r="420" spans="1:13" ht="31.5" x14ac:dyDescent="0.25">
      <c r="A420" s="6" t="s">
        <v>715</v>
      </c>
      <c r="B420" s="7" t="s">
        <v>716</v>
      </c>
      <c r="C420" s="6" t="s">
        <v>499</v>
      </c>
      <c r="D420" s="8">
        <v>1</v>
      </c>
      <c r="E420" s="403"/>
      <c r="F420" s="403">
        <f>BBNTHT!J460</f>
        <v>0</v>
      </c>
      <c r="G420" s="403">
        <f t="shared" si="24"/>
        <v>0</v>
      </c>
      <c r="H420" s="9">
        <v>799323</v>
      </c>
      <c r="I420" s="404">
        <f t="shared" si="25"/>
        <v>799323</v>
      </c>
      <c r="J420" s="403"/>
      <c r="K420" s="404">
        <f t="shared" si="26"/>
        <v>0</v>
      </c>
      <c r="L420" s="405">
        <f t="shared" si="27"/>
        <v>0</v>
      </c>
      <c r="M420" s="403"/>
    </row>
    <row r="421" spans="1:13" ht="31.5" x14ac:dyDescent="0.25">
      <c r="A421" s="2" t="s">
        <v>717</v>
      </c>
      <c r="B421" s="3" t="s">
        <v>718</v>
      </c>
      <c r="C421" s="2"/>
      <c r="D421" s="4" t="s">
        <v>3</v>
      </c>
      <c r="E421" s="403"/>
      <c r="F421" s="403">
        <f>BBNTHT!J461</f>
        <v>0</v>
      </c>
      <c r="G421" s="403">
        <f t="shared" si="24"/>
        <v>0</v>
      </c>
      <c r="H421" s="5"/>
      <c r="I421" s="404"/>
      <c r="J421" s="403"/>
      <c r="K421" s="404">
        <f t="shared" si="26"/>
        <v>0</v>
      </c>
      <c r="L421" s="405">
        <f t="shared" si="27"/>
        <v>0</v>
      </c>
      <c r="M421" s="403"/>
    </row>
    <row r="422" spans="1:13" ht="15.75" x14ac:dyDescent="0.25">
      <c r="A422" s="6" t="s">
        <v>719</v>
      </c>
      <c r="B422" s="7" t="s">
        <v>707</v>
      </c>
      <c r="C422" s="6" t="s">
        <v>9</v>
      </c>
      <c r="D422" s="8">
        <v>2</v>
      </c>
      <c r="E422" s="403"/>
      <c r="F422" s="403">
        <f>BBNTHT!J462</f>
        <v>0</v>
      </c>
      <c r="G422" s="403">
        <f t="shared" si="24"/>
        <v>0</v>
      </c>
      <c r="H422" s="9">
        <v>904751</v>
      </c>
      <c r="I422" s="404">
        <f t="shared" si="25"/>
        <v>1809502</v>
      </c>
      <c r="J422" s="403"/>
      <c r="K422" s="404">
        <f t="shared" si="26"/>
        <v>0</v>
      </c>
      <c r="L422" s="405">
        <f t="shared" si="27"/>
        <v>0</v>
      </c>
      <c r="M422" s="403"/>
    </row>
    <row r="423" spans="1:13" ht="15.75" x14ac:dyDescent="0.25">
      <c r="A423" s="6" t="s">
        <v>720</v>
      </c>
      <c r="B423" s="7" t="s">
        <v>485</v>
      </c>
      <c r="C423" s="6" t="s">
        <v>248</v>
      </c>
      <c r="D423" s="8">
        <v>6</v>
      </c>
      <c r="E423" s="403"/>
      <c r="F423" s="403">
        <f>BBNTHT!J463</f>
        <v>0</v>
      </c>
      <c r="G423" s="403">
        <f t="shared" si="24"/>
        <v>0</v>
      </c>
      <c r="H423" s="9">
        <v>83756</v>
      </c>
      <c r="I423" s="404">
        <f t="shared" si="25"/>
        <v>502536</v>
      </c>
      <c r="J423" s="403"/>
      <c r="K423" s="404">
        <f t="shared" si="26"/>
        <v>0</v>
      </c>
      <c r="L423" s="405">
        <f t="shared" si="27"/>
        <v>0</v>
      </c>
      <c r="M423" s="403"/>
    </row>
    <row r="424" spans="1:13" ht="15.75" x14ac:dyDescent="0.25">
      <c r="A424" s="6" t="s">
        <v>721</v>
      </c>
      <c r="B424" s="7" t="s">
        <v>483</v>
      </c>
      <c r="C424" s="6" t="s">
        <v>248</v>
      </c>
      <c r="D424" s="8">
        <v>6</v>
      </c>
      <c r="E424" s="403"/>
      <c r="F424" s="403">
        <f>BBNTHT!J464</f>
        <v>0</v>
      </c>
      <c r="G424" s="403">
        <f t="shared" si="24"/>
        <v>0</v>
      </c>
      <c r="H424" s="9">
        <v>396005</v>
      </c>
      <c r="I424" s="404">
        <f t="shared" si="25"/>
        <v>2376030</v>
      </c>
      <c r="J424" s="403"/>
      <c r="K424" s="404">
        <f t="shared" si="26"/>
        <v>0</v>
      </c>
      <c r="L424" s="405">
        <f t="shared" si="27"/>
        <v>0</v>
      </c>
      <c r="M424" s="403"/>
    </row>
    <row r="425" spans="1:13" ht="15.75" x14ac:dyDescent="0.25">
      <c r="A425" s="6" t="s">
        <v>722</v>
      </c>
      <c r="B425" s="7" t="s">
        <v>591</v>
      </c>
      <c r="C425" s="6" t="s">
        <v>9</v>
      </c>
      <c r="D425" s="8">
        <v>2</v>
      </c>
      <c r="E425" s="403"/>
      <c r="F425" s="403">
        <f>BBNTHT!J465</f>
        <v>0</v>
      </c>
      <c r="G425" s="403">
        <f t="shared" si="24"/>
        <v>0</v>
      </c>
      <c r="H425" s="9">
        <v>745395</v>
      </c>
      <c r="I425" s="404">
        <f t="shared" si="25"/>
        <v>1490790</v>
      </c>
      <c r="J425" s="403"/>
      <c r="K425" s="404">
        <f t="shared" si="26"/>
        <v>0</v>
      </c>
      <c r="L425" s="405">
        <f t="shared" si="27"/>
        <v>0</v>
      </c>
      <c r="M425" s="403"/>
    </row>
    <row r="426" spans="1:13" ht="15.75" x14ac:dyDescent="0.25">
      <c r="A426" s="6" t="s">
        <v>723</v>
      </c>
      <c r="B426" s="7" t="s">
        <v>611</v>
      </c>
      <c r="C426" s="6" t="s">
        <v>9</v>
      </c>
      <c r="D426" s="8">
        <v>2</v>
      </c>
      <c r="E426" s="403"/>
      <c r="F426" s="403">
        <f>BBNTHT!J466</f>
        <v>0</v>
      </c>
      <c r="G426" s="403">
        <f t="shared" si="24"/>
        <v>0</v>
      </c>
      <c r="H426" s="9">
        <v>138060</v>
      </c>
      <c r="I426" s="404">
        <f t="shared" si="25"/>
        <v>276120</v>
      </c>
      <c r="J426" s="403"/>
      <c r="K426" s="404">
        <f t="shared" si="26"/>
        <v>0</v>
      </c>
      <c r="L426" s="405">
        <f t="shared" si="27"/>
        <v>0</v>
      </c>
      <c r="M426" s="403"/>
    </row>
    <row r="427" spans="1:13" ht="15.75" x14ac:dyDescent="0.25">
      <c r="A427" s="6" t="s">
        <v>724</v>
      </c>
      <c r="B427" s="7" t="s">
        <v>593</v>
      </c>
      <c r="C427" s="6" t="s">
        <v>9</v>
      </c>
      <c r="D427" s="8">
        <v>18</v>
      </c>
      <c r="E427" s="403"/>
      <c r="F427" s="403">
        <f>BBNTHT!J467</f>
        <v>0</v>
      </c>
      <c r="G427" s="403">
        <f t="shared" si="24"/>
        <v>0</v>
      </c>
      <c r="H427" s="9">
        <v>138060</v>
      </c>
      <c r="I427" s="404">
        <f t="shared" si="25"/>
        <v>2485080</v>
      </c>
      <c r="J427" s="403"/>
      <c r="K427" s="404">
        <f t="shared" si="26"/>
        <v>0</v>
      </c>
      <c r="L427" s="405">
        <f t="shared" si="27"/>
        <v>0</v>
      </c>
      <c r="M427" s="403"/>
    </row>
    <row r="428" spans="1:13" ht="15.75" x14ac:dyDescent="0.25">
      <c r="A428" s="6" t="s">
        <v>725</v>
      </c>
      <c r="B428" s="7" t="s">
        <v>595</v>
      </c>
      <c r="C428" s="6" t="s">
        <v>9</v>
      </c>
      <c r="D428" s="8">
        <v>4</v>
      </c>
      <c r="E428" s="403"/>
      <c r="F428" s="403">
        <f>BBNTHT!J468</f>
        <v>0</v>
      </c>
      <c r="G428" s="403">
        <f t="shared" si="24"/>
        <v>0</v>
      </c>
      <c r="H428" s="9">
        <v>860118</v>
      </c>
      <c r="I428" s="404">
        <f t="shared" si="25"/>
        <v>3440472</v>
      </c>
      <c r="J428" s="403"/>
      <c r="K428" s="404">
        <f t="shared" si="26"/>
        <v>0</v>
      </c>
      <c r="L428" s="405">
        <f t="shared" si="27"/>
        <v>0</v>
      </c>
      <c r="M428" s="403"/>
    </row>
    <row r="429" spans="1:13" ht="15.75" x14ac:dyDescent="0.25">
      <c r="A429" s="6" t="s">
        <v>726</v>
      </c>
      <c r="B429" s="7" t="s">
        <v>597</v>
      </c>
      <c r="C429" s="6" t="s">
        <v>9</v>
      </c>
      <c r="D429" s="8">
        <v>12</v>
      </c>
      <c r="E429" s="403"/>
      <c r="F429" s="403">
        <f>BBNTHT!J469</f>
        <v>0</v>
      </c>
      <c r="G429" s="403">
        <f t="shared" si="24"/>
        <v>0</v>
      </c>
      <c r="H429" s="9">
        <v>633868</v>
      </c>
      <c r="I429" s="404">
        <f t="shared" si="25"/>
        <v>7606416</v>
      </c>
      <c r="J429" s="403"/>
      <c r="K429" s="404">
        <f t="shared" si="26"/>
        <v>0</v>
      </c>
      <c r="L429" s="405">
        <f t="shared" si="27"/>
        <v>0</v>
      </c>
      <c r="M429" s="403"/>
    </row>
    <row r="430" spans="1:13" ht="15.75" x14ac:dyDescent="0.25">
      <c r="A430" s="6" t="s">
        <v>727</v>
      </c>
      <c r="B430" s="7" t="s">
        <v>599</v>
      </c>
      <c r="C430" s="6" t="s">
        <v>9</v>
      </c>
      <c r="D430" s="8">
        <v>4</v>
      </c>
      <c r="E430" s="403"/>
      <c r="F430" s="403">
        <f>BBNTHT!J470</f>
        <v>0</v>
      </c>
      <c r="G430" s="403">
        <f t="shared" si="24"/>
        <v>0</v>
      </c>
      <c r="H430" s="9">
        <v>142936</v>
      </c>
      <c r="I430" s="404">
        <f t="shared" si="25"/>
        <v>571744</v>
      </c>
      <c r="J430" s="403"/>
      <c r="K430" s="404">
        <f t="shared" si="26"/>
        <v>0</v>
      </c>
      <c r="L430" s="405">
        <f t="shared" si="27"/>
        <v>0</v>
      </c>
      <c r="M430" s="403"/>
    </row>
    <row r="431" spans="1:13" ht="15.75" x14ac:dyDescent="0.25">
      <c r="A431" s="6" t="s">
        <v>728</v>
      </c>
      <c r="B431" s="7" t="s">
        <v>495</v>
      </c>
      <c r="C431" s="6" t="s">
        <v>248</v>
      </c>
      <c r="D431" s="8">
        <v>2</v>
      </c>
      <c r="E431" s="403"/>
      <c r="F431" s="403">
        <f>BBNTHT!J471</f>
        <v>0</v>
      </c>
      <c r="G431" s="403">
        <f t="shared" si="24"/>
        <v>0</v>
      </c>
      <c r="H431" s="9">
        <v>634986</v>
      </c>
      <c r="I431" s="404">
        <f t="shared" si="25"/>
        <v>1269972</v>
      </c>
      <c r="J431" s="403"/>
      <c r="K431" s="404">
        <f t="shared" si="26"/>
        <v>0</v>
      </c>
      <c r="L431" s="405">
        <f t="shared" si="27"/>
        <v>0</v>
      </c>
      <c r="M431" s="403"/>
    </row>
    <row r="432" spans="1:13" ht="31.5" x14ac:dyDescent="0.25">
      <c r="A432" s="6" t="s">
        <v>729</v>
      </c>
      <c r="B432" s="7" t="s">
        <v>672</v>
      </c>
      <c r="C432" s="6" t="s">
        <v>499</v>
      </c>
      <c r="D432" s="8">
        <v>2</v>
      </c>
      <c r="E432" s="403"/>
      <c r="F432" s="403">
        <f>BBNTHT!J472</f>
        <v>0</v>
      </c>
      <c r="G432" s="403">
        <f t="shared" si="24"/>
        <v>0</v>
      </c>
      <c r="H432" s="9">
        <v>1310890</v>
      </c>
      <c r="I432" s="404">
        <f t="shared" si="25"/>
        <v>2621780</v>
      </c>
      <c r="J432" s="403"/>
      <c r="K432" s="404">
        <f t="shared" si="26"/>
        <v>0</v>
      </c>
      <c r="L432" s="405">
        <f t="shared" si="27"/>
        <v>0</v>
      </c>
      <c r="M432" s="403"/>
    </row>
    <row r="433" spans="1:13" ht="31.5" x14ac:dyDescent="0.25">
      <c r="A433" s="2" t="s">
        <v>730</v>
      </c>
      <c r="B433" s="3" t="s">
        <v>731</v>
      </c>
      <c r="C433" s="2"/>
      <c r="D433" s="4" t="s">
        <v>3</v>
      </c>
      <c r="E433" s="403"/>
      <c r="F433" s="403">
        <f>BBNTHT!J473</f>
        <v>0</v>
      </c>
      <c r="G433" s="403">
        <f t="shared" si="24"/>
        <v>0</v>
      </c>
      <c r="H433" s="5"/>
      <c r="I433" s="404"/>
      <c r="J433" s="403"/>
      <c r="K433" s="404">
        <f t="shared" si="26"/>
        <v>0</v>
      </c>
      <c r="L433" s="405">
        <f t="shared" si="27"/>
        <v>0</v>
      </c>
      <c r="M433" s="403"/>
    </row>
    <row r="434" spans="1:13" ht="15.75" x14ac:dyDescent="0.25">
      <c r="A434" s="6" t="s">
        <v>732</v>
      </c>
      <c r="B434" s="7" t="s">
        <v>707</v>
      </c>
      <c r="C434" s="6" t="s">
        <v>9</v>
      </c>
      <c r="D434" s="8">
        <v>4</v>
      </c>
      <c r="E434" s="403"/>
      <c r="F434" s="403">
        <f>BBNTHT!J474</f>
        <v>0</v>
      </c>
      <c r="G434" s="403">
        <f t="shared" si="24"/>
        <v>0</v>
      </c>
      <c r="H434" s="9">
        <v>904751</v>
      </c>
      <c r="I434" s="404">
        <f t="shared" si="25"/>
        <v>3619004</v>
      </c>
      <c r="J434" s="403"/>
      <c r="K434" s="404">
        <f t="shared" si="26"/>
        <v>0</v>
      </c>
      <c r="L434" s="405">
        <f t="shared" si="27"/>
        <v>0</v>
      </c>
      <c r="M434" s="403"/>
    </row>
    <row r="435" spans="1:13" ht="15.75" x14ac:dyDescent="0.25">
      <c r="A435" s="6" t="s">
        <v>733</v>
      </c>
      <c r="B435" s="7" t="s">
        <v>485</v>
      </c>
      <c r="C435" s="6" t="s">
        <v>248</v>
      </c>
      <c r="D435" s="8">
        <v>12</v>
      </c>
      <c r="E435" s="403"/>
      <c r="F435" s="403">
        <f>BBNTHT!J475</f>
        <v>0</v>
      </c>
      <c r="G435" s="403">
        <f t="shared" si="24"/>
        <v>0</v>
      </c>
      <c r="H435" s="9">
        <v>83756</v>
      </c>
      <c r="I435" s="404">
        <f t="shared" si="25"/>
        <v>1005072</v>
      </c>
      <c r="J435" s="403"/>
      <c r="K435" s="404">
        <f t="shared" si="26"/>
        <v>0</v>
      </c>
      <c r="L435" s="405">
        <f t="shared" si="27"/>
        <v>0</v>
      </c>
      <c r="M435" s="403"/>
    </row>
    <row r="436" spans="1:13" ht="15.75" x14ac:dyDescent="0.25">
      <c r="A436" s="6" t="s">
        <v>734</v>
      </c>
      <c r="B436" s="7" t="s">
        <v>483</v>
      </c>
      <c r="C436" s="6" t="s">
        <v>248</v>
      </c>
      <c r="D436" s="8">
        <v>12</v>
      </c>
      <c r="E436" s="403"/>
      <c r="F436" s="403">
        <f>BBNTHT!J476</f>
        <v>0</v>
      </c>
      <c r="G436" s="403">
        <f t="shared" si="24"/>
        <v>0</v>
      </c>
      <c r="H436" s="9">
        <v>396005</v>
      </c>
      <c r="I436" s="404">
        <f t="shared" si="25"/>
        <v>4752060</v>
      </c>
      <c r="J436" s="403"/>
      <c r="K436" s="404">
        <f t="shared" si="26"/>
        <v>0</v>
      </c>
      <c r="L436" s="405">
        <f t="shared" si="27"/>
        <v>0</v>
      </c>
      <c r="M436" s="403"/>
    </row>
    <row r="437" spans="1:13" ht="15.75" x14ac:dyDescent="0.25">
      <c r="A437" s="6" t="s">
        <v>735</v>
      </c>
      <c r="B437" s="7" t="s">
        <v>591</v>
      </c>
      <c r="C437" s="6" t="s">
        <v>9</v>
      </c>
      <c r="D437" s="8">
        <v>8</v>
      </c>
      <c r="E437" s="403"/>
      <c r="F437" s="403">
        <f>BBNTHT!J477</f>
        <v>0</v>
      </c>
      <c r="G437" s="403">
        <f t="shared" si="24"/>
        <v>0</v>
      </c>
      <c r="H437" s="9">
        <v>745395</v>
      </c>
      <c r="I437" s="404">
        <f t="shared" si="25"/>
        <v>5963160</v>
      </c>
      <c r="J437" s="403"/>
      <c r="K437" s="404">
        <f t="shared" si="26"/>
        <v>0</v>
      </c>
      <c r="L437" s="405">
        <f t="shared" si="27"/>
        <v>0</v>
      </c>
      <c r="M437" s="403"/>
    </row>
    <row r="438" spans="1:13" ht="15.75" x14ac:dyDescent="0.25">
      <c r="A438" s="6" t="s">
        <v>736</v>
      </c>
      <c r="B438" s="7" t="s">
        <v>611</v>
      </c>
      <c r="C438" s="6" t="s">
        <v>9</v>
      </c>
      <c r="D438" s="8">
        <v>4</v>
      </c>
      <c r="E438" s="403"/>
      <c r="F438" s="403">
        <f>BBNTHT!J478</f>
        <v>0</v>
      </c>
      <c r="G438" s="403">
        <f t="shared" si="24"/>
        <v>0</v>
      </c>
      <c r="H438" s="9">
        <v>138060</v>
      </c>
      <c r="I438" s="404">
        <f t="shared" si="25"/>
        <v>552240</v>
      </c>
      <c r="J438" s="403"/>
      <c r="K438" s="404">
        <f t="shared" si="26"/>
        <v>0</v>
      </c>
      <c r="L438" s="405">
        <f t="shared" si="27"/>
        <v>0</v>
      </c>
      <c r="M438" s="403"/>
    </row>
    <row r="439" spans="1:13" ht="15.75" x14ac:dyDescent="0.25">
      <c r="A439" s="6" t="s">
        <v>737</v>
      </c>
      <c r="B439" s="7" t="s">
        <v>593</v>
      </c>
      <c r="C439" s="6" t="s">
        <v>9</v>
      </c>
      <c r="D439" s="8">
        <v>36</v>
      </c>
      <c r="E439" s="403"/>
      <c r="F439" s="403">
        <f>BBNTHT!J479</f>
        <v>0</v>
      </c>
      <c r="G439" s="403">
        <f t="shared" si="24"/>
        <v>0</v>
      </c>
      <c r="H439" s="9">
        <v>138060</v>
      </c>
      <c r="I439" s="404">
        <f t="shared" si="25"/>
        <v>4970160</v>
      </c>
      <c r="J439" s="403"/>
      <c r="K439" s="404">
        <f t="shared" si="26"/>
        <v>0</v>
      </c>
      <c r="L439" s="405">
        <f t="shared" si="27"/>
        <v>0</v>
      </c>
      <c r="M439" s="403"/>
    </row>
    <row r="440" spans="1:13" ht="15.75" x14ac:dyDescent="0.25">
      <c r="A440" s="6" t="s">
        <v>738</v>
      </c>
      <c r="B440" s="7" t="s">
        <v>595</v>
      </c>
      <c r="C440" s="6" t="s">
        <v>9</v>
      </c>
      <c r="D440" s="8">
        <v>8</v>
      </c>
      <c r="E440" s="403"/>
      <c r="F440" s="403">
        <f>BBNTHT!J480</f>
        <v>0</v>
      </c>
      <c r="G440" s="403">
        <f t="shared" si="24"/>
        <v>0</v>
      </c>
      <c r="H440" s="9">
        <v>860118</v>
      </c>
      <c r="I440" s="404">
        <f t="shared" si="25"/>
        <v>6880944</v>
      </c>
      <c r="J440" s="403"/>
      <c r="K440" s="404">
        <f t="shared" si="26"/>
        <v>0</v>
      </c>
      <c r="L440" s="405">
        <f t="shared" si="27"/>
        <v>0</v>
      </c>
      <c r="M440" s="403"/>
    </row>
    <row r="441" spans="1:13" ht="15.75" x14ac:dyDescent="0.25">
      <c r="A441" s="6" t="s">
        <v>739</v>
      </c>
      <c r="B441" s="7" t="s">
        <v>597</v>
      </c>
      <c r="C441" s="6" t="s">
        <v>9</v>
      </c>
      <c r="D441" s="8">
        <v>24</v>
      </c>
      <c r="E441" s="403"/>
      <c r="F441" s="403">
        <f>BBNTHT!J481</f>
        <v>0</v>
      </c>
      <c r="G441" s="403">
        <f t="shared" si="24"/>
        <v>0</v>
      </c>
      <c r="H441" s="9">
        <v>633868</v>
      </c>
      <c r="I441" s="404">
        <f t="shared" si="25"/>
        <v>15212832</v>
      </c>
      <c r="J441" s="403"/>
      <c r="K441" s="404">
        <f t="shared" si="26"/>
        <v>0</v>
      </c>
      <c r="L441" s="405">
        <f t="shared" si="27"/>
        <v>0</v>
      </c>
      <c r="M441" s="403"/>
    </row>
    <row r="442" spans="1:13" ht="15.75" x14ac:dyDescent="0.25">
      <c r="A442" s="6" t="s">
        <v>740</v>
      </c>
      <c r="B442" s="7" t="s">
        <v>599</v>
      </c>
      <c r="C442" s="6" t="s">
        <v>9</v>
      </c>
      <c r="D442" s="8">
        <v>8</v>
      </c>
      <c r="E442" s="403"/>
      <c r="F442" s="403">
        <f>BBNTHT!J482</f>
        <v>0</v>
      </c>
      <c r="G442" s="403">
        <f t="shared" si="24"/>
        <v>0</v>
      </c>
      <c r="H442" s="9">
        <v>142936</v>
      </c>
      <c r="I442" s="404">
        <f t="shared" si="25"/>
        <v>1143488</v>
      </c>
      <c r="J442" s="403"/>
      <c r="K442" s="404">
        <f t="shared" si="26"/>
        <v>0</v>
      </c>
      <c r="L442" s="405">
        <f t="shared" si="27"/>
        <v>0</v>
      </c>
      <c r="M442" s="403"/>
    </row>
    <row r="443" spans="1:13" ht="15.75" x14ac:dyDescent="0.25">
      <c r="A443" s="6" t="s">
        <v>741</v>
      </c>
      <c r="B443" s="7" t="s">
        <v>495</v>
      </c>
      <c r="C443" s="6" t="s">
        <v>248</v>
      </c>
      <c r="D443" s="8">
        <v>4</v>
      </c>
      <c r="E443" s="403"/>
      <c r="F443" s="403">
        <f>BBNTHT!J483</f>
        <v>0</v>
      </c>
      <c r="G443" s="403">
        <f t="shared" si="24"/>
        <v>0</v>
      </c>
      <c r="H443" s="9">
        <v>634986</v>
      </c>
      <c r="I443" s="404">
        <f t="shared" si="25"/>
        <v>2539944</v>
      </c>
      <c r="J443" s="403"/>
      <c r="K443" s="404">
        <f t="shared" si="26"/>
        <v>0</v>
      </c>
      <c r="L443" s="405">
        <f t="shared" si="27"/>
        <v>0</v>
      </c>
      <c r="M443" s="403"/>
    </row>
    <row r="444" spans="1:13" ht="31.5" x14ac:dyDescent="0.25">
      <c r="A444" s="6" t="s">
        <v>742</v>
      </c>
      <c r="B444" s="7" t="s">
        <v>672</v>
      </c>
      <c r="C444" s="6" t="s">
        <v>499</v>
      </c>
      <c r="D444" s="8">
        <v>4</v>
      </c>
      <c r="E444" s="403"/>
      <c r="F444" s="403">
        <f>BBNTHT!J484</f>
        <v>0</v>
      </c>
      <c r="G444" s="403">
        <f t="shared" si="24"/>
        <v>0</v>
      </c>
      <c r="H444" s="9">
        <v>1310890</v>
      </c>
      <c r="I444" s="404">
        <f t="shared" si="25"/>
        <v>5243560</v>
      </c>
      <c r="J444" s="403"/>
      <c r="K444" s="404">
        <f t="shared" si="26"/>
        <v>0</v>
      </c>
      <c r="L444" s="405">
        <f t="shared" si="27"/>
        <v>0</v>
      </c>
      <c r="M444" s="403"/>
    </row>
    <row r="445" spans="1:13" ht="31.5" x14ac:dyDescent="0.25">
      <c r="A445" s="2" t="s">
        <v>743</v>
      </c>
      <c r="B445" s="3" t="s">
        <v>744</v>
      </c>
      <c r="C445" s="2"/>
      <c r="D445" s="4" t="s">
        <v>3</v>
      </c>
      <c r="E445" s="403"/>
      <c r="F445" s="403">
        <f>BBNTHT!J485</f>
        <v>0</v>
      </c>
      <c r="G445" s="403">
        <f t="shared" si="24"/>
        <v>0</v>
      </c>
      <c r="H445" s="5"/>
      <c r="I445" s="404"/>
      <c r="J445" s="403"/>
      <c r="K445" s="404">
        <f t="shared" si="26"/>
        <v>0</v>
      </c>
      <c r="L445" s="405">
        <f t="shared" si="27"/>
        <v>0</v>
      </c>
      <c r="M445" s="403"/>
    </row>
    <row r="446" spans="1:13" ht="15.75" x14ac:dyDescent="0.25">
      <c r="A446" s="6" t="s">
        <v>745</v>
      </c>
      <c r="B446" s="7" t="s">
        <v>686</v>
      </c>
      <c r="C446" s="6" t="s">
        <v>9</v>
      </c>
      <c r="D446" s="8">
        <v>2</v>
      </c>
      <c r="E446" s="403"/>
      <c r="F446" s="403">
        <f>BBNTHT!J486</f>
        <v>0</v>
      </c>
      <c r="G446" s="403">
        <f t="shared" si="24"/>
        <v>0</v>
      </c>
      <c r="H446" s="9">
        <v>2694423</v>
      </c>
      <c r="I446" s="404">
        <f t="shared" si="25"/>
        <v>5388846</v>
      </c>
      <c r="J446" s="403"/>
      <c r="K446" s="404">
        <f t="shared" si="26"/>
        <v>0</v>
      </c>
      <c r="L446" s="405">
        <f t="shared" si="27"/>
        <v>0</v>
      </c>
      <c r="M446" s="403"/>
    </row>
    <row r="447" spans="1:13" ht="15.75" x14ac:dyDescent="0.25">
      <c r="A447" s="6" t="s">
        <v>746</v>
      </c>
      <c r="B447" s="7" t="s">
        <v>747</v>
      </c>
      <c r="C447" s="6" t="s">
        <v>248</v>
      </c>
      <c r="D447" s="8">
        <v>6</v>
      </c>
      <c r="E447" s="403"/>
      <c r="F447" s="403">
        <f>BBNTHT!J487</f>
        <v>0</v>
      </c>
      <c r="G447" s="403">
        <f t="shared" si="24"/>
        <v>0</v>
      </c>
      <c r="H447" s="9">
        <v>83756</v>
      </c>
      <c r="I447" s="404">
        <f t="shared" si="25"/>
        <v>502536</v>
      </c>
      <c r="J447" s="403"/>
      <c r="K447" s="404">
        <f t="shared" si="26"/>
        <v>0</v>
      </c>
      <c r="L447" s="405">
        <f t="shared" si="27"/>
        <v>0</v>
      </c>
      <c r="M447" s="403"/>
    </row>
    <row r="448" spans="1:13" ht="15.75" x14ac:dyDescent="0.25">
      <c r="A448" s="6" t="s">
        <v>748</v>
      </c>
      <c r="B448" s="7" t="s">
        <v>483</v>
      </c>
      <c r="C448" s="6" t="s">
        <v>248</v>
      </c>
      <c r="D448" s="8">
        <v>6</v>
      </c>
      <c r="E448" s="403"/>
      <c r="F448" s="403">
        <f>BBNTHT!J488</f>
        <v>0</v>
      </c>
      <c r="G448" s="403">
        <f t="shared" si="24"/>
        <v>0</v>
      </c>
      <c r="H448" s="9">
        <v>396005</v>
      </c>
      <c r="I448" s="404">
        <f t="shared" si="25"/>
        <v>2376030</v>
      </c>
      <c r="J448" s="403"/>
      <c r="K448" s="404">
        <f t="shared" si="26"/>
        <v>0</v>
      </c>
      <c r="L448" s="405">
        <f t="shared" si="27"/>
        <v>0</v>
      </c>
      <c r="M448" s="403"/>
    </row>
    <row r="449" spans="1:13" ht="15.75" x14ac:dyDescent="0.25">
      <c r="A449" s="6" t="s">
        <v>749</v>
      </c>
      <c r="B449" s="7" t="s">
        <v>489</v>
      </c>
      <c r="C449" s="6" t="s">
        <v>9</v>
      </c>
      <c r="D449" s="8">
        <v>2</v>
      </c>
      <c r="E449" s="403"/>
      <c r="F449" s="403">
        <f>BBNTHT!J489</f>
        <v>0</v>
      </c>
      <c r="G449" s="403">
        <f t="shared" si="24"/>
        <v>0</v>
      </c>
      <c r="H449" s="9">
        <v>50113</v>
      </c>
      <c r="I449" s="404">
        <f t="shared" si="25"/>
        <v>100226</v>
      </c>
      <c r="J449" s="403"/>
      <c r="K449" s="404">
        <f t="shared" si="26"/>
        <v>0</v>
      </c>
      <c r="L449" s="405">
        <f t="shared" si="27"/>
        <v>0</v>
      </c>
      <c r="M449" s="403"/>
    </row>
    <row r="450" spans="1:13" ht="15.75" x14ac:dyDescent="0.25">
      <c r="A450" s="6" t="s">
        <v>750</v>
      </c>
      <c r="B450" s="7" t="s">
        <v>491</v>
      </c>
      <c r="C450" s="6" t="s">
        <v>9</v>
      </c>
      <c r="D450" s="8">
        <v>2</v>
      </c>
      <c r="E450" s="403"/>
      <c r="F450" s="403">
        <f>BBNTHT!J490</f>
        <v>0</v>
      </c>
      <c r="G450" s="403">
        <f t="shared" si="24"/>
        <v>0</v>
      </c>
      <c r="H450" s="9">
        <v>397618</v>
      </c>
      <c r="I450" s="404">
        <f t="shared" si="25"/>
        <v>795236</v>
      </c>
      <c r="J450" s="403"/>
      <c r="K450" s="404">
        <f t="shared" si="26"/>
        <v>0</v>
      </c>
      <c r="L450" s="405">
        <f t="shared" si="27"/>
        <v>0</v>
      </c>
      <c r="M450" s="403"/>
    </row>
    <row r="451" spans="1:13" ht="31.5" x14ac:dyDescent="0.25">
      <c r="A451" s="6" t="s">
        <v>751</v>
      </c>
      <c r="B451" s="7" t="s">
        <v>645</v>
      </c>
      <c r="C451" s="6" t="s">
        <v>499</v>
      </c>
      <c r="D451" s="8">
        <v>2</v>
      </c>
      <c r="E451" s="403"/>
      <c r="F451" s="403">
        <f>BBNTHT!J491</f>
        <v>0</v>
      </c>
      <c r="G451" s="403">
        <f t="shared" si="24"/>
        <v>0</v>
      </c>
      <c r="H451" s="9">
        <v>1130266</v>
      </c>
      <c r="I451" s="404">
        <f t="shared" si="25"/>
        <v>2260532</v>
      </c>
      <c r="J451" s="403"/>
      <c r="K451" s="404">
        <f t="shared" si="26"/>
        <v>0</v>
      </c>
      <c r="L451" s="405">
        <f t="shared" si="27"/>
        <v>0</v>
      </c>
      <c r="M451" s="403"/>
    </row>
    <row r="452" spans="1:13" ht="31.5" x14ac:dyDescent="0.25">
      <c r="A452" s="2" t="s">
        <v>752</v>
      </c>
      <c r="B452" s="3" t="s">
        <v>753</v>
      </c>
      <c r="C452" s="2"/>
      <c r="D452" s="4" t="s">
        <v>3</v>
      </c>
      <c r="E452" s="403"/>
      <c r="F452" s="403">
        <f>BBNTHT!J492</f>
        <v>0</v>
      </c>
      <c r="G452" s="403">
        <f t="shared" si="24"/>
        <v>0</v>
      </c>
      <c r="H452" s="5"/>
      <c r="I452" s="404"/>
      <c r="J452" s="403"/>
      <c r="K452" s="404">
        <f t="shared" si="26"/>
        <v>0</v>
      </c>
      <c r="L452" s="405">
        <f t="shared" si="27"/>
        <v>0</v>
      </c>
      <c r="M452" s="403"/>
    </row>
    <row r="453" spans="1:13" ht="15.75" x14ac:dyDescent="0.25">
      <c r="A453" s="6" t="s">
        <v>754</v>
      </c>
      <c r="B453" s="7" t="s">
        <v>649</v>
      </c>
      <c r="C453" s="6" t="s">
        <v>9</v>
      </c>
      <c r="D453" s="8">
        <v>3</v>
      </c>
      <c r="E453" s="403"/>
      <c r="F453" s="403">
        <f>BBNTHT!J493</f>
        <v>0</v>
      </c>
      <c r="G453" s="403">
        <f t="shared" si="24"/>
        <v>0</v>
      </c>
      <c r="H453" s="9">
        <v>1411124</v>
      </c>
      <c r="I453" s="404">
        <f t="shared" si="25"/>
        <v>4233372</v>
      </c>
      <c r="J453" s="403"/>
      <c r="K453" s="404">
        <f t="shared" si="26"/>
        <v>0</v>
      </c>
      <c r="L453" s="405">
        <f t="shared" si="27"/>
        <v>0</v>
      </c>
      <c r="M453" s="403"/>
    </row>
    <row r="454" spans="1:13" ht="15.75" x14ac:dyDescent="0.25">
      <c r="A454" s="6" t="s">
        <v>755</v>
      </c>
      <c r="B454" s="7" t="s">
        <v>747</v>
      </c>
      <c r="C454" s="6" t="s">
        <v>248</v>
      </c>
      <c r="D454" s="8">
        <v>9</v>
      </c>
      <c r="E454" s="403"/>
      <c r="F454" s="403">
        <f>BBNTHT!J494</f>
        <v>0</v>
      </c>
      <c r="G454" s="403">
        <f t="shared" si="24"/>
        <v>0</v>
      </c>
      <c r="H454" s="9">
        <v>83756</v>
      </c>
      <c r="I454" s="404">
        <f t="shared" si="25"/>
        <v>753804</v>
      </c>
      <c r="J454" s="403"/>
      <c r="K454" s="404">
        <f t="shared" si="26"/>
        <v>0</v>
      </c>
      <c r="L454" s="405">
        <f t="shared" si="27"/>
        <v>0</v>
      </c>
      <c r="M454" s="403"/>
    </row>
    <row r="455" spans="1:13" ht="15.75" x14ac:dyDescent="0.25">
      <c r="A455" s="6" t="s">
        <v>756</v>
      </c>
      <c r="B455" s="7" t="s">
        <v>483</v>
      </c>
      <c r="C455" s="6" t="s">
        <v>248</v>
      </c>
      <c r="D455" s="8">
        <v>9</v>
      </c>
      <c r="E455" s="403"/>
      <c r="F455" s="403">
        <f>BBNTHT!J495</f>
        <v>0</v>
      </c>
      <c r="G455" s="403">
        <f t="shared" si="24"/>
        <v>0</v>
      </c>
      <c r="H455" s="9">
        <v>396005</v>
      </c>
      <c r="I455" s="404">
        <f t="shared" si="25"/>
        <v>3564045</v>
      </c>
      <c r="J455" s="403"/>
      <c r="K455" s="404">
        <f t="shared" si="26"/>
        <v>0</v>
      </c>
      <c r="L455" s="405">
        <f t="shared" si="27"/>
        <v>0</v>
      </c>
      <c r="M455" s="403"/>
    </row>
    <row r="456" spans="1:13" ht="15.75" x14ac:dyDescent="0.25">
      <c r="A456" s="6" t="s">
        <v>757</v>
      </c>
      <c r="B456" s="7" t="s">
        <v>489</v>
      </c>
      <c r="C456" s="6" t="s">
        <v>9</v>
      </c>
      <c r="D456" s="8">
        <v>3</v>
      </c>
      <c r="E456" s="403"/>
      <c r="F456" s="403">
        <f>BBNTHT!J496</f>
        <v>0</v>
      </c>
      <c r="G456" s="403">
        <f t="shared" si="24"/>
        <v>0</v>
      </c>
      <c r="H456" s="9">
        <v>50113</v>
      </c>
      <c r="I456" s="404">
        <f t="shared" si="25"/>
        <v>150339</v>
      </c>
      <c r="J456" s="403"/>
      <c r="K456" s="404">
        <f t="shared" si="26"/>
        <v>0</v>
      </c>
      <c r="L456" s="405">
        <f t="shared" si="27"/>
        <v>0</v>
      </c>
      <c r="M456" s="403"/>
    </row>
    <row r="457" spans="1:13" ht="15.75" x14ac:dyDescent="0.25">
      <c r="A457" s="6" t="s">
        <v>758</v>
      </c>
      <c r="B457" s="7" t="s">
        <v>491</v>
      </c>
      <c r="C457" s="6" t="s">
        <v>9</v>
      </c>
      <c r="D457" s="8">
        <v>3</v>
      </c>
      <c r="E457" s="403"/>
      <c r="F457" s="403">
        <f>BBNTHT!J497</f>
        <v>0</v>
      </c>
      <c r="G457" s="403">
        <f t="shared" si="24"/>
        <v>0</v>
      </c>
      <c r="H457" s="9">
        <v>397618</v>
      </c>
      <c r="I457" s="404">
        <f t="shared" si="25"/>
        <v>1192854</v>
      </c>
      <c r="J457" s="403"/>
      <c r="K457" s="404">
        <f t="shared" si="26"/>
        <v>0</v>
      </c>
      <c r="L457" s="405">
        <f t="shared" si="27"/>
        <v>0</v>
      </c>
      <c r="M457" s="403"/>
    </row>
    <row r="458" spans="1:13" ht="31.5" x14ac:dyDescent="0.25">
      <c r="A458" s="6" t="s">
        <v>759</v>
      </c>
      <c r="B458" s="7" t="s">
        <v>645</v>
      </c>
      <c r="C458" s="6" t="s">
        <v>499</v>
      </c>
      <c r="D458" s="8">
        <v>3</v>
      </c>
      <c r="E458" s="403"/>
      <c r="F458" s="403">
        <f>BBNTHT!J498</f>
        <v>0</v>
      </c>
      <c r="G458" s="403">
        <f t="shared" si="24"/>
        <v>0</v>
      </c>
      <c r="H458" s="9">
        <v>1130266</v>
      </c>
      <c r="I458" s="404">
        <f t="shared" si="25"/>
        <v>3390798</v>
      </c>
      <c r="J458" s="403"/>
      <c r="K458" s="404">
        <f t="shared" si="26"/>
        <v>0</v>
      </c>
      <c r="L458" s="405">
        <f t="shared" si="27"/>
        <v>0</v>
      </c>
      <c r="M458" s="403"/>
    </row>
    <row r="459" spans="1:13" ht="15.75" x14ac:dyDescent="0.25">
      <c r="A459" s="2" t="s">
        <v>760</v>
      </c>
      <c r="B459" s="3" t="s">
        <v>761</v>
      </c>
      <c r="C459" s="2"/>
      <c r="D459" s="4" t="s">
        <v>3</v>
      </c>
      <c r="E459" s="403"/>
      <c r="F459" s="403">
        <f>BBNTHT!J499</f>
        <v>0</v>
      </c>
      <c r="G459" s="403">
        <f t="shared" si="24"/>
        <v>0</v>
      </c>
      <c r="H459" s="5"/>
      <c r="I459" s="404"/>
      <c r="J459" s="403"/>
      <c r="K459" s="404">
        <f t="shared" si="26"/>
        <v>0</v>
      </c>
      <c r="L459" s="405">
        <f t="shared" si="27"/>
        <v>0</v>
      </c>
      <c r="M459" s="403"/>
    </row>
    <row r="460" spans="1:13" ht="15.75" x14ac:dyDescent="0.25">
      <c r="A460" s="6" t="s">
        <v>762</v>
      </c>
      <c r="B460" s="7" t="s">
        <v>686</v>
      </c>
      <c r="C460" s="6" t="s">
        <v>9</v>
      </c>
      <c r="D460" s="8">
        <v>1</v>
      </c>
      <c r="E460" s="403"/>
      <c r="F460" s="403">
        <f>BBNTHT!J500</f>
        <v>0</v>
      </c>
      <c r="G460" s="403">
        <f t="shared" si="24"/>
        <v>0</v>
      </c>
      <c r="H460" s="9">
        <v>2694423</v>
      </c>
      <c r="I460" s="404">
        <f t="shared" si="25"/>
        <v>2694423</v>
      </c>
      <c r="J460" s="403"/>
      <c r="K460" s="404">
        <f t="shared" si="26"/>
        <v>0</v>
      </c>
      <c r="L460" s="405">
        <f t="shared" si="27"/>
        <v>0</v>
      </c>
      <c r="M460" s="403"/>
    </row>
    <row r="461" spans="1:13" ht="15.75" x14ac:dyDescent="0.25">
      <c r="A461" s="6" t="s">
        <v>763</v>
      </c>
      <c r="B461" s="7" t="s">
        <v>747</v>
      </c>
      <c r="C461" s="6" t="s">
        <v>248</v>
      </c>
      <c r="D461" s="8">
        <v>3</v>
      </c>
      <c r="E461" s="403"/>
      <c r="F461" s="403">
        <f>BBNTHT!J501</f>
        <v>0</v>
      </c>
      <c r="G461" s="403">
        <f t="shared" si="24"/>
        <v>0</v>
      </c>
      <c r="H461" s="9">
        <v>83756</v>
      </c>
      <c r="I461" s="404">
        <f t="shared" si="25"/>
        <v>251268</v>
      </c>
      <c r="J461" s="403"/>
      <c r="K461" s="404">
        <f t="shared" si="26"/>
        <v>0</v>
      </c>
      <c r="L461" s="405">
        <f t="shared" si="27"/>
        <v>0</v>
      </c>
      <c r="M461" s="403"/>
    </row>
    <row r="462" spans="1:13" ht="15.75" x14ac:dyDescent="0.25">
      <c r="A462" s="6" t="s">
        <v>764</v>
      </c>
      <c r="B462" s="7" t="s">
        <v>483</v>
      </c>
      <c r="C462" s="6" t="s">
        <v>248</v>
      </c>
      <c r="D462" s="8">
        <v>3</v>
      </c>
      <c r="E462" s="403"/>
      <c r="F462" s="403">
        <f>BBNTHT!J502</f>
        <v>0</v>
      </c>
      <c r="G462" s="403">
        <f t="shared" si="24"/>
        <v>0</v>
      </c>
      <c r="H462" s="9">
        <v>396005</v>
      </c>
      <c r="I462" s="404">
        <f t="shared" si="25"/>
        <v>1188015</v>
      </c>
      <c r="J462" s="403"/>
      <c r="K462" s="404">
        <f t="shared" si="26"/>
        <v>0</v>
      </c>
      <c r="L462" s="405">
        <f t="shared" si="27"/>
        <v>0</v>
      </c>
      <c r="M462" s="403"/>
    </row>
    <row r="463" spans="1:13" ht="15.75" x14ac:dyDescent="0.25">
      <c r="A463" s="6" t="s">
        <v>765</v>
      </c>
      <c r="B463" s="7" t="s">
        <v>489</v>
      </c>
      <c r="C463" s="6" t="s">
        <v>9</v>
      </c>
      <c r="D463" s="8">
        <v>1</v>
      </c>
      <c r="E463" s="403"/>
      <c r="F463" s="403">
        <f>BBNTHT!J503</f>
        <v>0</v>
      </c>
      <c r="G463" s="403">
        <f t="shared" si="24"/>
        <v>0</v>
      </c>
      <c r="H463" s="9">
        <v>50113</v>
      </c>
      <c r="I463" s="404">
        <f t="shared" si="25"/>
        <v>50113</v>
      </c>
      <c r="J463" s="403"/>
      <c r="K463" s="404">
        <f t="shared" si="26"/>
        <v>0</v>
      </c>
      <c r="L463" s="405">
        <f t="shared" si="27"/>
        <v>0</v>
      </c>
      <c r="M463" s="403"/>
    </row>
    <row r="464" spans="1:13" ht="15.75" x14ac:dyDescent="0.25">
      <c r="A464" s="6" t="s">
        <v>766</v>
      </c>
      <c r="B464" s="7" t="s">
        <v>491</v>
      </c>
      <c r="C464" s="6" t="s">
        <v>9</v>
      </c>
      <c r="D464" s="8">
        <v>1</v>
      </c>
      <c r="E464" s="403"/>
      <c r="F464" s="403">
        <f>BBNTHT!J504</f>
        <v>0</v>
      </c>
      <c r="G464" s="403">
        <f t="shared" si="24"/>
        <v>0</v>
      </c>
      <c r="H464" s="9">
        <v>397618</v>
      </c>
      <c r="I464" s="404">
        <f t="shared" si="25"/>
        <v>397618</v>
      </c>
      <c r="J464" s="403"/>
      <c r="K464" s="404">
        <f t="shared" si="26"/>
        <v>0</v>
      </c>
      <c r="L464" s="405">
        <f t="shared" si="27"/>
        <v>0</v>
      </c>
      <c r="M464" s="403"/>
    </row>
    <row r="465" spans="1:13" ht="31.5" x14ac:dyDescent="0.25">
      <c r="A465" s="6" t="s">
        <v>767</v>
      </c>
      <c r="B465" s="7" t="s">
        <v>645</v>
      </c>
      <c r="C465" s="6" t="s">
        <v>499</v>
      </c>
      <c r="D465" s="8">
        <v>1</v>
      </c>
      <c r="E465" s="403"/>
      <c r="F465" s="403">
        <f>BBNTHT!J505</f>
        <v>0</v>
      </c>
      <c r="G465" s="403">
        <f t="shared" si="24"/>
        <v>0</v>
      </c>
      <c r="H465" s="9">
        <v>1130266</v>
      </c>
      <c r="I465" s="404">
        <f t="shared" si="25"/>
        <v>1130266</v>
      </c>
      <c r="J465" s="403"/>
      <c r="K465" s="404">
        <f t="shared" si="26"/>
        <v>0</v>
      </c>
      <c r="L465" s="405">
        <f t="shared" si="27"/>
        <v>0</v>
      </c>
      <c r="M465" s="403"/>
    </row>
    <row r="466" spans="1:13" ht="31.5" x14ac:dyDescent="0.25">
      <c r="A466" s="2" t="s">
        <v>768</v>
      </c>
      <c r="B466" s="3" t="s">
        <v>769</v>
      </c>
      <c r="C466" s="2"/>
      <c r="D466" s="4" t="s">
        <v>3</v>
      </c>
      <c r="E466" s="403"/>
      <c r="F466" s="403">
        <f>BBNTHT!J506</f>
        <v>0</v>
      </c>
      <c r="G466" s="403">
        <f t="shared" ref="G466:G529" si="28">F466+E466</f>
        <v>0</v>
      </c>
      <c r="H466" s="5"/>
      <c r="I466" s="404"/>
      <c r="J466" s="403"/>
      <c r="K466" s="404">
        <f t="shared" ref="K466:K529" si="29">ROUND(F466*H466,0)</f>
        <v>0</v>
      </c>
      <c r="L466" s="405">
        <f t="shared" ref="L466:L529" si="30">J466+K466</f>
        <v>0</v>
      </c>
      <c r="M466" s="403"/>
    </row>
    <row r="467" spans="1:13" ht="15.75" x14ac:dyDescent="0.25">
      <c r="A467" s="6" t="s">
        <v>770</v>
      </c>
      <c r="B467" s="7" t="s">
        <v>771</v>
      </c>
      <c r="C467" s="6" t="s">
        <v>9</v>
      </c>
      <c r="D467" s="8">
        <v>1</v>
      </c>
      <c r="E467" s="403"/>
      <c r="F467" s="403">
        <f>BBNTHT!J507</f>
        <v>0</v>
      </c>
      <c r="G467" s="403">
        <f t="shared" si="28"/>
        <v>0</v>
      </c>
      <c r="H467" s="9">
        <v>904751</v>
      </c>
      <c r="I467" s="404">
        <f t="shared" ref="I467:I528" si="31">ROUND(D467*H467,0)</f>
        <v>904751</v>
      </c>
      <c r="J467" s="403"/>
      <c r="K467" s="404">
        <f t="shared" si="29"/>
        <v>0</v>
      </c>
      <c r="L467" s="405">
        <f t="shared" si="30"/>
        <v>0</v>
      </c>
      <c r="M467" s="403"/>
    </row>
    <row r="468" spans="1:13" ht="15.75" x14ac:dyDescent="0.25">
      <c r="A468" s="6" t="s">
        <v>772</v>
      </c>
      <c r="B468" s="7" t="s">
        <v>747</v>
      </c>
      <c r="C468" s="6" t="s">
        <v>248</v>
      </c>
      <c r="D468" s="8">
        <v>3</v>
      </c>
      <c r="E468" s="403"/>
      <c r="F468" s="403">
        <f>BBNTHT!J508</f>
        <v>0</v>
      </c>
      <c r="G468" s="403">
        <f t="shared" si="28"/>
        <v>0</v>
      </c>
      <c r="H468" s="9">
        <v>83756</v>
      </c>
      <c r="I468" s="404">
        <f t="shared" si="31"/>
        <v>251268</v>
      </c>
      <c r="J468" s="403"/>
      <c r="K468" s="404">
        <f t="shared" si="29"/>
        <v>0</v>
      </c>
      <c r="L468" s="405">
        <f t="shared" si="30"/>
        <v>0</v>
      </c>
      <c r="M468" s="403"/>
    </row>
    <row r="469" spans="1:13" ht="15.75" x14ac:dyDescent="0.25">
      <c r="A469" s="6" t="s">
        <v>773</v>
      </c>
      <c r="B469" s="7" t="s">
        <v>483</v>
      </c>
      <c r="C469" s="6" t="s">
        <v>248</v>
      </c>
      <c r="D469" s="8">
        <v>3</v>
      </c>
      <c r="E469" s="403"/>
      <c r="F469" s="403">
        <f>BBNTHT!J509</f>
        <v>0</v>
      </c>
      <c r="G469" s="403">
        <f t="shared" si="28"/>
        <v>0</v>
      </c>
      <c r="H469" s="9">
        <v>396005</v>
      </c>
      <c r="I469" s="404">
        <f t="shared" si="31"/>
        <v>1188015</v>
      </c>
      <c r="J469" s="403"/>
      <c r="K469" s="404">
        <f t="shared" si="29"/>
        <v>0</v>
      </c>
      <c r="L469" s="405">
        <f t="shared" si="30"/>
        <v>0</v>
      </c>
      <c r="M469" s="403"/>
    </row>
    <row r="470" spans="1:13" ht="15.75" x14ac:dyDescent="0.25">
      <c r="A470" s="6" t="s">
        <v>774</v>
      </c>
      <c r="B470" s="7" t="s">
        <v>489</v>
      </c>
      <c r="C470" s="6" t="s">
        <v>9</v>
      </c>
      <c r="D470" s="8">
        <v>1</v>
      </c>
      <c r="E470" s="403"/>
      <c r="F470" s="403">
        <f>BBNTHT!J510</f>
        <v>0</v>
      </c>
      <c r="G470" s="403">
        <f t="shared" si="28"/>
        <v>0</v>
      </c>
      <c r="H470" s="9">
        <v>50113</v>
      </c>
      <c r="I470" s="404">
        <f t="shared" si="31"/>
        <v>50113</v>
      </c>
      <c r="J470" s="403"/>
      <c r="K470" s="404">
        <f t="shared" si="29"/>
        <v>0</v>
      </c>
      <c r="L470" s="405">
        <f t="shared" si="30"/>
        <v>0</v>
      </c>
      <c r="M470" s="403"/>
    </row>
    <row r="471" spans="1:13" ht="15.75" x14ac:dyDescent="0.25">
      <c r="A471" s="6" t="s">
        <v>775</v>
      </c>
      <c r="B471" s="7" t="s">
        <v>491</v>
      </c>
      <c r="C471" s="6" t="s">
        <v>9</v>
      </c>
      <c r="D471" s="8">
        <v>1</v>
      </c>
      <c r="E471" s="403"/>
      <c r="F471" s="403">
        <f>BBNTHT!J511</f>
        <v>0</v>
      </c>
      <c r="G471" s="403">
        <f t="shared" si="28"/>
        <v>0</v>
      </c>
      <c r="H471" s="9">
        <v>397618</v>
      </c>
      <c r="I471" s="404">
        <f t="shared" si="31"/>
        <v>397618</v>
      </c>
      <c r="J471" s="403"/>
      <c r="K471" s="404">
        <f t="shared" si="29"/>
        <v>0</v>
      </c>
      <c r="L471" s="405">
        <f t="shared" si="30"/>
        <v>0</v>
      </c>
      <c r="M471" s="403"/>
    </row>
    <row r="472" spans="1:13" ht="15.75" x14ac:dyDescent="0.25">
      <c r="A472" s="6" t="s">
        <v>776</v>
      </c>
      <c r="B472" s="7" t="s">
        <v>777</v>
      </c>
      <c r="C472" s="6" t="s">
        <v>9</v>
      </c>
      <c r="D472" s="8">
        <v>2</v>
      </c>
      <c r="E472" s="403"/>
      <c r="F472" s="403">
        <f>BBNTHT!J512</f>
        <v>0</v>
      </c>
      <c r="G472" s="403">
        <f t="shared" si="28"/>
        <v>0</v>
      </c>
      <c r="H472" s="9">
        <v>883804</v>
      </c>
      <c r="I472" s="404">
        <f t="shared" si="31"/>
        <v>1767608</v>
      </c>
      <c r="J472" s="403"/>
      <c r="K472" s="404">
        <f t="shared" si="29"/>
        <v>0</v>
      </c>
      <c r="L472" s="405">
        <f t="shared" si="30"/>
        <v>0</v>
      </c>
      <c r="M472" s="403"/>
    </row>
    <row r="473" spans="1:13" ht="31.5" x14ac:dyDescent="0.25">
      <c r="A473" s="6" t="s">
        <v>778</v>
      </c>
      <c r="B473" s="7" t="s">
        <v>779</v>
      </c>
      <c r="C473" s="6" t="s">
        <v>9</v>
      </c>
      <c r="D473" s="8">
        <v>2</v>
      </c>
      <c r="E473" s="403"/>
      <c r="F473" s="403">
        <f>BBNTHT!J513</f>
        <v>0</v>
      </c>
      <c r="G473" s="403">
        <f t="shared" si="28"/>
        <v>0</v>
      </c>
      <c r="H473" s="9">
        <v>547618</v>
      </c>
      <c r="I473" s="404">
        <f t="shared" si="31"/>
        <v>1095236</v>
      </c>
      <c r="J473" s="403"/>
      <c r="K473" s="404">
        <f t="shared" si="29"/>
        <v>0</v>
      </c>
      <c r="L473" s="405">
        <f t="shared" si="30"/>
        <v>0</v>
      </c>
      <c r="M473" s="403"/>
    </row>
    <row r="474" spans="1:13" ht="15.75" x14ac:dyDescent="0.25">
      <c r="A474" s="6" t="s">
        <v>780</v>
      </c>
      <c r="B474" s="7" t="s">
        <v>781</v>
      </c>
      <c r="C474" s="6" t="s">
        <v>9</v>
      </c>
      <c r="D474" s="8">
        <v>1</v>
      </c>
      <c r="E474" s="403"/>
      <c r="F474" s="403">
        <f>BBNTHT!J514</f>
        <v>0</v>
      </c>
      <c r="G474" s="403">
        <f t="shared" si="28"/>
        <v>0</v>
      </c>
      <c r="H474" s="9">
        <v>138060</v>
      </c>
      <c r="I474" s="404">
        <f t="shared" si="31"/>
        <v>138060</v>
      </c>
      <c r="J474" s="403"/>
      <c r="K474" s="404">
        <f t="shared" si="29"/>
        <v>0</v>
      </c>
      <c r="L474" s="405">
        <f t="shared" si="30"/>
        <v>0</v>
      </c>
      <c r="M474" s="403"/>
    </row>
    <row r="475" spans="1:13" ht="15.75" x14ac:dyDescent="0.25">
      <c r="A475" s="6" t="s">
        <v>782</v>
      </c>
      <c r="B475" s="7" t="s">
        <v>495</v>
      </c>
      <c r="C475" s="6" t="s">
        <v>248</v>
      </c>
      <c r="D475" s="8">
        <v>1</v>
      </c>
      <c r="E475" s="403"/>
      <c r="F475" s="403">
        <f>BBNTHT!J515</f>
        <v>0</v>
      </c>
      <c r="G475" s="403">
        <f t="shared" si="28"/>
        <v>0</v>
      </c>
      <c r="H475" s="9">
        <v>634986</v>
      </c>
      <c r="I475" s="404">
        <f t="shared" si="31"/>
        <v>634986</v>
      </c>
      <c r="J475" s="403"/>
      <c r="K475" s="404">
        <f t="shared" si="29"/>
        <v>0</v>
      </c>
      <c r="L475" s="405">
        <f t="shared" si="30"/>
        <v>0</v>
      </c>
      <c r="M475" s="403"/>
    </row>
    <row r="476" spans="1:13" ht="31.5" x14ac:dyDescent="0.25">
      <c r="A476" s="6" t="s">
        <v>783</v>
      </c>
      <c r="B476" s="7" t="s">
        <v>784</v>
      </c>
      <c r="C476" s="6" t="s">
        <v>499</v>
      </c>
      <c r="D476" s="8">
        <v>1</v>
      </c>
      <c r="E476" s="403"/>
      <c r="F476" s="403">
        <f>BBNTHT!J516</f>
        <v>0</v>
      </c>
      <c r="G476" s="403">
        <f t="shared" si="28"/>
        <v>0</v>
      </c>
      <c r="H476" s="9">
        <v>3323218</v>
      </c>
      <c r="I476" s="404">
        <f t="shared" si="31"/>
        <v>3323218</v>
      </c>
      <c r="J476" s="403"/>
      <c r="K476" s="404">
        <f t="shared" si="29"/>
        <v>0</v>
      </c>
      <c r="L476" s="405">
        <f t="shared" si="30"/>
        <v>0</v>
      </c>
      <c r="M476" s="403"/>
    </row>
    <row r="477" spans="1:13" ht="31.5" x14ac:dyDescent="0.25">
      <c r="A477" s="2" t="s">
        <v>785</v>
      </c>
      <c r="B477" s="3" t="s">
        <v>786</v>
      </c>
      <c r="C477" s="2"/>
      <c r="D477" s="4" t="s">
        <v>3</v>
      </c>
      <c r="E477" s="403"/>
      <c r="F477" s="403">
        <f>BBNTHT!J517</f>
        <v>0</v>
      </c>
      <c r="G477" s="403">
        <f t="shared" si="28"/>
        <v>0</v>
      </c>
      <c r="H477" s="5"/>
      <c r="I477" s="404"/>
      <c r="J477" s="403"/>
      <c r="K477" s="404">
        <f t="shared" si="29"/>
        <v>0</v>
      </c>
      <c r="L477" s="405">
        <f t="shared" si="30"/>
        <v>0</v>
      </c>
      <c r="M477" s="403"/>
    </row>
    <row r="478" spans="1:13" ht="15.75" x14ac:dyDescent="0.25">
      <c r="A478" s="6" t="s">
        <v>787</v>
      </c>
      <c r="B478" s="7" t="s">
        <v>509</v>
      </c>
      <c r="C478" s="6" t="s">
        <v>9</v>
      </c>
      <c r="D478" s="8">
        <v>1</v>
      </c>
      <c r="E478" s="403"/>
      <c r="F478" s="403">
        <f>BBNTHT!J518</f>
        <v>0</v>
      </c>
      <c r="G478" s="403">
        <f t="shared" si="28"/>
        <v>0</v>
      </c>
      <c r="H478" s="9">
        <v>2585790</v>
      </c>
      <c r="I478" s="404">
        <f t="shared" si="31"/>
        <v>2585790</v>
      </c>
      <c r="J478" s="403"/>
      <c r="K478" s="404">
        <f t="shared" si="29"/>
        <v>0</v>
      </c>
      <c r="L478" s="405">
        <f t="shared" si="30"/>
        <v>0</v>
      </c>
      <c r="M478" s="403"/>
    </row>
    <row r="479" spans="1:13" ht="15.75" x14ac:dyDescent="0.25">
      <c r="A479" s="6" t="s">
        <v>788</v>
      </c>
      <c r="B479" s="7" t="s">
        <v>747</v>
      </c>
      <c r="C479" s="6" t="s">
        <v>248</v>
      </c>
      <c r="D479" s="8">
        <v>6</v>
      </c>
      <c r="E479" s="403"/>
      <c r="F479" s="403">
        <f>BBNTHT!J519</f>
        <v>0</v>
      </c>
      <c r="G479" s="403">
        <f t="shared" si="28"/>
        <v>0</v>
      </c>
      <c r="H479" s="9">
        <v>83756</v>
      </c>
      <c r="I479" s="404">
        <f t="shared" si="31"/>
        <v>502536</v>
      </c>
      <c r="J479" s="403"/>
      <c r="K479" s="404">
        <f t="shared" si="29"/>
        <v>0</v>
      </c>
      <c r="L479" s="405">
        <f t="shared" si="30"/>
        <v>0</v>
      </c>
      <c r="M479" s="403"/>
    </row>
    <row r="480" spans="1:13" ht="15.75" x14ac:dyDescent="0.25">
      <c r="A480" s="6" t="s">
        <v>789</v>
      </c>
      <c r="B480" s="7" t="s">
        <v>483</v>
      </c>
      <c r="C480" s="6" t="s">
        <v>248</v>
      </c>
      <c r="D480" s="8">
        <v>3</v>
      </c>
      <c r="E480" s="403"/>
      <c r="F480" s="403">
        <f>BBNTHT!J520</f>
        <v>0</v>
      </c>
      <c r="G480" s="403">
        <f t="shared" si="28"/>
        <v>0</v>
      </c>
      <c r="H480" s="9">
        <v>396005</v>
      </c>
      <c r="I480" s="404">
        <f t="shared" si="31"/>
        <v>1188015</v>
      </c>
      <c r="J480" s="403"/>
      <c r="K480" s="404">
        <f t="shared" si="29"/>
        <v>0</v>
      </c>
      <c r="L480" s="405">
        <f t="shared" si="30"/>
        <v>0</v>
      </c>
      <c r="M480" s="403"/>
    </row>
    <row r="481" spans="1:13" ht="15.75" x14ac:dyDescent="0.25">
      <c r="A481" s="6" t="s">
        <v>790</v>
      </c>
      <c r="B481" s="7" t="s">
        <v>489</v>
      </c>
      <c r="C481" s="6" t="s">
        <v>9</v>
      </c>
      <c r="D481" s="8">
        <v>1</v>
      </c>
      <c r="E481" s="403"/>
      <c r="F481" s="403">
        <f>BBNTHT!J521</f>
        <v>0</v>
      </c>
      <c r="G481" s="403">
        <f t="shared" si="28"/>
        <v>0</v>
      </c>
      <c r="H481" s="9">
        <v>50113</v>
      </c>
      <c r="I481" s="404">
        <f t="shared" si="31"/>
        <v>50113</v>
      </c>
      <c r="J481" s="403"/>
      <c r="K481" s="404">
        <f t="shared" si="29"/>
        <v>0</v>
      </c>
      <c r="L481" s="405">
        <f t="shared" si="30"/>
        <v>0</v>
      </c>
      <c r="M481" s="403"/>
    </row>
    <row r="482" spans="1:13" ht="15.75" x14ac:dyDescent="0.25">
      <c r="A482" s="6" t="s">
        <v>791</v>
      </c>
      <c r="B482" s="7" t="s">
        <v>491</v>
      </c>
      <c r="C482" s="6" t="s">
        <v>9</v>
      </c>
      <c r="D482" s="8">
        <v>1</v>
      </c>
      <c r="E482" s="403"/>
      <c r="F482" s="403">
        <f>BBNTHT!J522</f>
        <v>0</v>
      </c>
      <c r="G482" s="403">
        <f t="shared" si="28"/>
        <v>0</v>
      </c>
      <c r="H482" s="9">
        <v>397618</v>
      </c>
      <c r="I482" s="404">
        <f t="shared" si="31"/>
        <v>397618</v>
      </c>
      <c r="J482" s="403"/>
      <c r="K482" s="404">
        <f t="shared" si="29"/>
        <v>0</v>
      </c>
      <c r="L482" s="405">
        <f t="shared" si="30"/>
        <v>0</v>
      </c>
      <c r="M482" s="403"/>
    </row>
    <row r="483" spans="1:13" ht="15.75" x14ac:dyDescent="0.25">
      <c r="A483" s="6" t="s">
        <v>792</v>
      </c>
      <c r="B483" s="7" t="s">
        <v>793</v>
      </c>
      <c r="C483" s="6" t="s">
        <v>9</v>
      </c>
      <c r="D483" s="8">
        <v>2</v>
      </c>
      <c r="E483" s="403"/>
      <c r="F483" s="403">
        <f>BBNTHT!J523</f>
        <v>0</v>
      </c>
      <c r="G483" s="403">
        <f t="shared" si="28"/>
        <v>0</v>
      </c>
      <c r="H483" s="9">
        <v>1411124</v>
      </c>
      <c r="I483" s="404">
        <f t="shared" si="31"/>
        <v>2822248</v>
      </c>
      <c r="J483" s="403"/>
      <c r="K483" s="404">
        <f t="shared" si="29"/>
        <v>0</v>
      </c>
      <c r="L483" s="405">
        <f t="shared" si="30"/>
        <v>0</v>
      </c>
      <c r="M483" s="403"/>
    </row>
    <row r="484" spans="1:13" ht="31.5" x14ac:dyDescent="0.25">
      <c r="A484" s="6" t="s">
        <v>794</v>
      </c>
      <c r="B484" s="7" t="s">
        <v>795</v>
      </c>
      <c r="C484" s="6" t="s">
        <v>9</v>
      </c>
      <c r="D484" s="8">
        <v>2</v>
      </c>
      <c r="E484" s="403"/>
      <c r="F484" s="403">
        <f>BBNTHT!J524</f>
        <v>0</v>
      </c>
      <c r="G484" s="403">
        <f t="shared" si="28"/>
        <v>0</v>
      </c>
      <c r="H484" s="9">
        <v>881112</v>
      </c>
      <c r="I484" s="404">
        <f t="shared" si="31"/>
        <v>1762224</v>
      </c>
      <c r="J484" s="403"/>
      <c r="K484" s="404">
        <f t="shared" si="29"/>
        <v>0</v>
      </c>
      <c r="L484" s="405">
        <f t="shared" si="30"/>
        <v>0</v>
      </c>
      <c r="M484" s="403"/>
    </row>
    <row r="485" spans="1:13" ht="15.75" x14ac:dyDescent="0.25">
      <c r="A485" s="6" t="s">
        <v>796</v>
      </c>
      <c r="B485" s="7" t="s">
        <v>781</v>
      </c>
      <c r="C485" s="6" t="s">
        <v>9</v>
      </c>
      <c r="D485" s="8">
        <v>1</v>
      </c>
      <c r="E485" s="403"/>
      <c r="F485" s="403">
        <f>BBNTHT!J525</f>
        <v>0</v>
      </c>
      <c r="G485" s="403">
        <f t="shared" si="28"/>
        <v>0</v>
      </c>
      <c r="H485" s="9">
        <v>138060</v>
      </c>
      <c r="I485" s="404">
        <f t="shared" si="31"/>
        <v>138060</v>
      </c>
      <c r="J485" s="403"/>
      <c r="K485" s="404">
        <f t="shared" si="29"/>
        <v>0</v>
      </c>
      <c r="L485" s="405">
        <f t="shared" si="30"/>
        <v>0</v>
      </c>
      <c r="M485" s="403"/>
    </row>
    <row r="486" spans="1:13" ht="15.75" x14ac:dyDescent="0.25">
      <c r="A486" s="6" t="s">
        <v>797</v>
      </c>
      <c r="B486" s="7" t="s">
        <v>495</v>
      </c>
      <c r="C486" s="6" t="s">
        <v>248</v>
      </c>
      <c r="D486" s="8">
        <v>1</v>
      </c>
      <c r="E486" s="403"/>
      <c r="F486" s="403">
        <f>BBNTHT!J526</f>
        <v>0</v>
      </c>
      <c r="G486" s="403">
        <f t="shared" si="28"/>
        <v>0</v>
      </c>
      <c r="H486" s="9">
        <v>634986</v>
      </c>
      <c r="I486" s="404">
        <f t="shared" si="31"/>
        <v>634986</v>
      </c>
      <c r="J486" s="403"/>
      <c r="K486" s="404">
        <f t="shared" si="29"/>
        <v>0</v>
      </c>
      <c r="L486" s="405">
        <f t="shared" si="30"/>
        <v>0</v>
      </c>
      <c r="M486" s="403"/>
    </row>
    <row r="487" spans="1:13" ht="31.5" x14ac:dyDescent="0.25">
      <c r="A487" s="6" t="s">
        <v>798</v>
      </c>
      <c r="B487" s="7" t="s">
        <v>784</v>
      </c>
      <c r="C487" s="6" t="s">
        <v>499</v>
      </c>
      <c r="D487" s="8">
        <v>1</v>
      </c>
      <c r="E487" s="403"/>
      <c r="F487" s="403">
        <f>BBNTHT!J527</f>
        <v>0</v>
      </c>
      <c r="G487" s="403">
        <f t="shared" si="28"/>
        <v>0</v>
      </c>
      <c r="H487" s="9">
        <v>3323218</v>
      </c>
      <c r="I487" s="404">
        <f t="shared" si="31"/>
        <v>3323218</v>
      </c>
      <c r="J487" s="403"/>
      <c r="K487" s="404">
        <f t="shared" si="29"/>
        <v>0</v>
      </c>
      <c r="L487" s="405">
        <f t="shared" si="30"/>
        <v>0</v>
      </c>
      <c r="M487" s="403"/>
    </row>
    <row r="488" spans="1:13" ht="15.75" x14ac:dyDescent="0.25">
      <c r="A488" s="2" t="s">
        <v>799</v>
      </c>
      <c r="B488" s="3" t="s">
        <v>800</v>
      </c>
      <c r="C488" s="2"/>
      <c r="D488" s="4" t="s">
        <v>3</v>
      </c>
      <c r="E488" s="403"/>
      <c r="F488" s="403">
        <f>BBNTHT!J528</f>
        <v>0</v>
      </c>
      <c r="G488" s="403">
        <f t="shared" si="28"/>
        <v>0</v>
      </c>
      <c r="H488" s="5"/>
      <c r="I488" s="404"/>
      <c r="J488" s="403"/>
      <c r="K488" s="404">
        <f t="shared" si="29"/>
        <v>0</v>
      </c>
      <c r="L488" s="405">
        <f t="shared" si="30"/>
        <v>0</v>
      </c>
      <c r="M488" s="403"/>
    </row>
    <row r="489" spans="1:13" ht="15.75" x14ac:dyDescent="0.25">
      <c r="A489" s="6" t="s">
        <v>801</v>
      </c>
      <c r="B489" s="7" t="s">
        <v>802</v>
      </c>
      <c r="C489" s="6" t="s">
        <v>9</v>
      </c>
      <c r="D489" s="8">
        <v>1</v>
      </c>
      <c r="E489" s="403"/>
      <c r="F489" s="403">
        <f>BBNTHT!J529</f>
        <v>0</v>
      </c>
      <c r="G489" s="403">
        <f t="shared" si="28"/>
        <v>0</v>
      </c>
      <c r="H489" s="9">
        <v>339821</v>
      </c>
      <c r="I489" s="404">
        <f t="shared" si="31"/>
        <v>339821</v>
      </c>
      <c r="J489" s="403"/>
      <c r="K489" s="404">
        <f t="shared" si="29"/>
        <v>0</v>
      </c>
      <c r="L489" s="405">
        <f t="shared" si="30"/>
        <v>0</v>
      </c>
      <c r="M489" s="403"/>
    </row>
    <row r="490" spans="1:13" ht="15.75" x14ac:dyDescent="0.25">
      <c r="A490" s="6" t="s">
        <v>803</v>
      </c>
      <c r="B490" s="7" t="s">
        <v>804</v>
      </c>
      <c r="C490" s="6" t="s">
        <v>9</v>
      </c>
      <c r="D490" s="8">
        <v>1</v>
      </c>
      <c r="E490" s="403"/>
      <c r="F490" s="403">
        <f>BBNTHT!J530</f>
        <v>0</v>
      </c>
      <c r="G490" s="403">
        <f t="shared" si="28"/>
        <v>0</v>
      </c>
      <c r="H490" s="9">
        <v>745395</v>
      </c>
      <c r="I490" s="404">
        <f t="shared" si="31"/>
        <v>745395</v>
      </c>
      <c r="J490" s="403"/>
      <c r="K490" s="404">
        <f t="shared" si="29"/>
        <v>0</v>
      </c>
      <c r="L490" s="405">
        <f t="shared" si="30"/>
        <v>0</v>
      </c>
      <c r="M490" s="403"/>
    </row>
    <row r="491" spans="1:13" ht="15.75" x14ac:dyDescent="0.25">
      <c r="A491" s="6" t="s">
        <v>805</v>
      </c>
      <c r="B491" s="7" t="s">
        <v>611</v>
      </c>
      <c r="C491" s="6" t="s">
        <v>9</v>
      </c>
      <c r="D491" s="8">
        <v>2</v>
      </c>
      <c r="E491" s="403"/>
      <c r="F491" s="403">
        <f>BBNTHT!J531</f>
        <v>0</v>
      </c>
      <c r="G491" s="403">
        <f t="shared" si="28"/>
        <v>0</v>
      </c>
      <c r="H491" s="9">
        <v>138060</v>
      </c>
      <c r="I491" s="404">
        <f t="shared" si="31"/>
        <v>276120</v>
      </c>
      <c r="J491" s="403"/>
      <c r="K491" s="404">
        <f t="shared" si="29"/>
        <v>0</v>
      </c>
      <c r="L491" s="405">
        <f t="shared" si="30"/>
        <v>0</v>
      </c>
      <c r="M491" s="403"/>
    </row>
    <row r="492" spans="1:13" ht="15.75" x14ac:dyDescent="0.25">
      <c r="A492" s="6" t="s">
        <v>806</v>
      </c>
      <c r="B492" s="7" t="s">
        <v>593</v>
      </c>
      <c r="C492" s="6" t="s">
        <v>9</v>
      </c>
      <c r="D492" s="8">
        <v>1</v>
      </c>
      <c r="E492" s="403"/>
      <c r="F492" s="403">
        <f>BBNTHT!J532</f>
        <v>0</v>
      </c>
      <c r="G492" s="403">
        <f t="shared" si="28"/>
        <v>0</v>
      </c>
      <c r="H492" s="9">
        <v>138060</v>
      </c>
      <c r="I492" s="404">
        <f t="shared" si="31"/>
        <v>138060</v>
      </c>
      <c r="J492" s="403"/>
      <c r="K492" s="404">
        <f t="shared" si="29"/>
        <v>0</v>
      </c>
      <c r="L492" s="405">
        <f t="shared" si="30"/>
        <v>0</v>
      </c>
      <c r="M492" s="403"/>
    </row>
    <row r="493" spans="1:13" ht="15.75" x14ac:dyDescent="0.25">
      <c r="A493" s="6" t="s">
        <v>807</v>
      </c>
      <c r="B493" s="7" t="s">
        <v>808</v>
      </c>
      <c r="C493" s="6" t="s">
        <v>499</v>
      </c>
      <c r="D493" s="8">
        <v>1</v>
      </c>
      <c r="E493" s="403"/>
      <c r="F493" s="403">
        <f>BBNTHT!J533</f>
        <v>0</v>
      </c>
      <c r="G493" s="403">
        <f t="shared" si="28"/>
        <v>0</v>
      </c>
      <c r="H493" s="9">
        <v>386084</v>
      </c>
      <c r="I493" s="404">
        <f t="shared" si="31"/>
        <v>386084</v>
      </c>
      <c r="J493" s="403"/>
      <c r="K493" s="404">
        <f t="shared" si="29"/>
        <v>0</v>
      </c>
      <c r="L493" s="405">
        <f t="shared" si="30"/>
        <v>0</v>
      </c>
      <c r="M493" s="403"/>
    </row>
    <row r="494" spans="1:13" ht="15.75" x14ac:dyDescent="0.25">
      <c r="A494" s="2" t="s">
        <v>809</v>
      </c>
      <c r="B494" s="3" t="s">
        <v>810</v>
      </c>
      <c r="C494" s="2"/>
      <c r="D494" s="4" t="s">
        <v>3</v>
      </c>
      <c r="E494" s="403"/>
      <c r="F494" s="403">
        <f>BBNTHT!J534</f>
        <v>0</v>
      </c>
      <c r="G494" s="403">
        <f t="shared" si="28"/>
        <v>0</v>
      </c>
      <c r="H494" s="5"/>
      <c r="I494" s="404"/>
      <c r="J494" s="403"/>
      <c r="K494" s="404">
        <f t="shared" si="29"/>
        <v>0</v>
      </c>
      <c r="L494" s="405">
        <f t="shared" si="30"/>
        <v>0</v>
      </c>
      <c r="M494" s="403"/>
    </row>
    <row r="495" spans="1:13" ht="15.75" x14ac:dyDescent="0.25">
      <c r="A495" s="6" t="s">
        <v>811</v>
      </c>
      <c r="B495" s="7" t="s">
        <v>812</v>
      </c>
      <c r="C495" s="6" t="s">
        <v>9</v>
      </c>
      <c r="D495" s="8">
        <v>1</v>
      </c>
      <c r="E495" s="403"/>
      <c r="F495" s="403">
        <f>BBNTHT!J535</f>
        <v>0</v>
      </c>
      <c r="G495" s="403">
        <f t="shared" si="28"/>
        <v>0</v>
      </c>
      <c r="H495" s="9">
        <v>339821</v>
      </c>
      <c r="I495" s="404">
        <f t="shared" si="31"/>
        <v>339821</v>
      </c>
      <c r="J495" s="403"/>
      <c r="K495" s="404">
        <f t="shared" si="29"/>
        <v>0</v>
      </c>
      <c r="L495" s="405">
        <f t="shared" si="30"/>
        <v>0</v>
      </c>
      <c r="M495" s="403"/>
    </row>
    <row r="496" spans="1:13" ht="15.75" x14ac:dyDescent="0.25">
      <c r="A496" s="6" t="s">
        <v>813</v>
      </c>
      <c r="B496" s="7" t="s">
        <v>804</v>
      </c>
      <c r="C496" s="6" t="s">
        <v>9</v>
      </c>
      <c r="D496" s="8">
        <v>1</v>
      </c>
      <c r="E496" s="403"/>
      <c r="F496" s="403">
        <f>BBNTHT!J536</f>
        <v>0</v>
      </c>
      <c r="G496" s="403">
        <f t="shared" si="28"/>
        <v>0</v>
      </c>
      <c r="H496" s="9">
        <v>745395</v>
      </c>
      <c r="I496" s="404">
        <f t="shared" si="31"/>
        <v>745395</v>
      </c>
      <c r="J496" s="403"/>
      <c r="K496" s="404">
        <f t="shared" si="29"/>
        <v>0</v>
      </c>
      <c r="L496" s="405">
        <f t="shared" si="30"/>
        <v>0</v>
      </c>
      <c r="M496" s="403"/>
    </row>
    <row r="497" spans="1:13" ht="15.75" x14ac:dyDescent="0.25">
      <c r="A497" s="6" t="s">
        <v>814</v>
      </c>
      <c r="B497" s="7" t="s">
        <v>593</v>
      </c>
      <c r="C497" s="6" t="s">
        <v>9</v>
      </c>
      <c r="D497" s="8">
        <v>2</v>
      </c>
      <c r="E497" s="403"/>
      <c r="F497" s="403">
        <f>BBNTHT!J537</f>
        <v>0</v>
      </c>
      <c r="G497" s="403">
        <f t="shared" si="28"/>
        <v>0</v>
      </c>
      <c r="H497" s="9">
        <v>138060</v>
      </c>
      <c r="I497" s="404">
        <f t="shared" si="31"/>
        <v>276120</v>
      </c>
      <c r="J497" s="403"/>
      <c r="K497" s="404">
        <f t="shared" si="29"/>
        <v>0</v>
      </c>
      <c r="L497" s="405">
        <f t="shared" si="30"/>
        <v>0</v>
      </c>
      <c r="M497" s="403"/>
    </row>
    <row r="498" spans="1:13" ht="15.75" x14ac:dyDescent="0.25">
      <c r="A498" s="6" t="s">
        <v>815</v>
      </c>
      <c r="B498" s="7" t="s">
        <v>816</v>
      </c>
      <c r="C498" s="6" t="s">
        <v>499</v>
      </c>
      <c r="D498" s="8">
        <v>1</v>
      </c>
      <c r="E498" s="403"/>
      <c r="F498" s="403">
        <f>BBNTHT!J538</f>
        <v>0</v>
      </c>
      <c r="G498" s="403">
        <f t="shared" si="28"/>
        <v>0</v>
      </c>
      <c r="H498" s="9">
        <v>198184</v>
      </c>
      <c r="I498" s="404">
        <f t="shared" si="31"/>
        <v>198184</v>
      </c>
      <c r="J498" s="403"/>
      <c r="K498" s="404">
        <f t="shared" si="29"/>
        <v>0</v>
      </c>
      <c r="L498" s="405">
        <f t="shared" si="30"/>
        <v>0</v>
      </c>
      <c r="M498" s="403"/>
    </row>
    <row r="499" spans="1:13" ht="15.75" x14ac:dyDescent="0.25">
      <c r="A499" s="2" t="s">
        <v>817</v>
      </c>
      <c r="B499" s="3" t="s">
        <v>818</v>
      </c>
      <c r="C499" s="2"/>
      <c r="D499" s="4" t="s">
        <v>3</v>
      </c>
      <c r="E499" s="403"/>
      <c r="F499" s="403">
        <f>BBNTHT!J539</f>
        <v>0</v>
      </c>
      <c r="G499" s="403">
        <f t="shared" si="28"/>
        <v>0</v>
      </c>
      <c r="H499" s="5"/>
      <c r="I499" s="404"/>
      <c r="J499" s="403"/>
      <c r="K499" s="404">
        <f t="shared" si="29"/>
        <v>0</v>
      </c>
      <c r="L499" s="405">
        <f t="shared" si="30"/>
        <v>0</v>
      </c>
      <c r="M499" s="403"/>
    </row>
    <row r="500" spans="1:13" ht="15.75" x14ac:dyDescent="0.25">
      <c r="A500" s="6" t="s">
        <v>819</v>
      </c>
      <c r="B500" s="7" t="s">
        <v>812</v>
      </c>
      <c r="C500" s="6" t="s">
        <v>9</v>
      </c>
      <c r="D500" s="8">
        <v>1</v>
      </c>
      <c r="E500" s="403"/>
      <c r="F500" s="403">
        <f>BBNTHT!J540</f>
        <v>0</v>
      </c>
      <c r="G500" s="403">
        <f t="shared" si="28"/>
        <v>0</v>
      </c>
      <c r="H500" s="9">
        <v>339821</v>
      </c>
      <c r="I500" s="404">
        <f t="shared" si="31"/>
        <v>339821</v>
      </c>
      <c r="J500" s="403"/>
      <c r="K500" s="404">
        <f t="shared" si="29"/>
        <v>0</v>
      </c>
      <c r="L500" s="405">
        <f t="shared" si="30"/>
        <v>0</v>
      </c>
      <c r="M500" s="403"/>
    </row>
    <row r="501" spans="1:13" ht="15.75" x14ac:dyDescent="0.25">
      <c r="A501" s="6" t="s">
        <v>820</v>
      </c>
      <c r="B501" s="7" t="s">
        <v>804</v>
      </c>
      <c r="C501" s="6" t="s">
        <v>9</v>
      </c>
      <c r="D501" s="8">
        <v>1</v>
      </c>
      <c r="E501" s="403"/>
      <c r="F501" s="403">
        <f>BBNTHT!J541</f>
        <v>0</v>
      </c>
      <c r="G501" s="403">
        <f t="shared" si="28"/>
        <v>0</v>
      </c>
      <c r="H501" s="9">
        <v>745395</v>
      </c>
      <c r="I501" s="404">
        <f t="shared" si="31"/>
        <v>745395</v>
      </c>
      <c r="J501" s="403"/>
      <c r="K501" s="404">
        <f t="shared" si="29"/>
        <v>0</v>
      </c>
      <c r="L501" s="405">
        <f t="shared" si="30"/>
        <v>0</v>
      </c>
      <c r="M501" s="403"/>
    </row>
    <row r="502" spans="1:13" ht="15.75" x14ac:dyDescent="0.25">
      <c r="A502" s="6" t="s">
        <v>821</v>
      </c>
      <c r="B502" s="7" t="s">
        <v>593</v>
      </c>
      <c r="C502" s="6" t="s">
        <v>9</v>
      </c>
      <c r="D502" s="8">
        <v>2</v>
      </c>
      <c r="E502" s="403"/>
      <c r="F502" s="403">
        <f>BBNTHT!J542</f>
        <v>0</v>
      </c>
      <c r="G502" s="403">
        <f t="shared" si="28"/>
        <v>0</v>
      </c>
      <c r="H502" s="9">
        <v>138060</v>
      </c>
      <c r="I502" s="404">
        <f t="shared" si="31"/>
        <v>276120</v>
      </c>
      <c r="J502" s="403"/>
      <c r="K502" s="404">
        <f t="shared" si="29"/>
        <v>0</v>
      </c>
      <c r="L502" s="405">
        <f t="shared" si="30"/>
        <v>0</v>
      </c>
      <c r="M502" s="403"/>
    </row>
    <row r="503" spans="1:13" ht="15.75" x14ac:dyDescent="0.25">
      <c r="A503" s="6" t="s">
        <v>822</v>
      </c>
      <c r="B503" s="7" t="s">
        <v>816</v>
      </c>
      <c r="C503" s="6" t="s">
        <v>499</v>
      </c>
      <c r="D503" s="8">
        <v>1</v>
      </c>
      <c r="E503" s="403"/>
      <c r="F503" s="403">
        <f>BBNTHT!J543</f>
        <v>0</v>
      </c>
      <c r="G503" s="403">
        <f t="shared" si="28"/>
        <v>0</v>
      </c>
      <c r="H503" s="9">
        <v>198184</v>
      </c>
      <c r="I503" s="404">
        <f t="shared" si="31"/>
        <v>198184</v>
      </c>
      <c r="J503" s="403"/>
      <c r="K503" s="404">
        <f t="shared" si="29"/>
        <v>0</v>
      </c>
      <c r="L503" s="405">
        <f t="shared" si="30"/>
        <v>0</v>
      </c>
      <c r="M503" s="403"/>
    </row>
    <row r="504" spans="1:13" ht="31.5" x14ac:dyDescent="0.25">
      <c r="A504" s="2" t="s">
        <v>823</v>
      </c>
      <c r="B504" s="3" t="s">
        <v>824</v>
      </c>
      <c r="C504" s="2"/>
      <c r="D504" s="4" t="s">
        <v>3</v>
      </c>
      <c r="E504" s="403"/>
      <c r="F504" s="403">
        <f>BBNTHT!J544</f>
        <v>0</v>
      </c>
      <c r="G504" s="403">
        <f t="shared" si="28"/>
        <v>0</v>
      </c>
      <c r="H504" s="5"/>
      <c r="I504" s="404"/>
      <c r="J504" s="403"/>
      <c r="K504" s="404">
        <f t="shared" si="29"/>
        <v>0</v>
      </c>
      <c r="L504" s="405">
        <f t="shared" si="30"/>
        <v>0</v>
      </c>
      <c r="M504" s="403"/>
    </row>
    <row r="505" spans="1:13" ht="15.75" x14ac:dyDescent="0.25">
      <c r="A505" s="6" t="s">
        <v>825</v>
      </c>
      <c r="B505" s="7" t="s">
        <v>812</v>
      </c>
      <c r="C505" s="6" t="s">
        <v>9</v>
      </c>
      <c r="D505" s="8">
        <v>1</v>
      </c>
      <c r="E505" s="403"/>
      <c r="F505" s="403">
        <f>BBNTHT!J545</f>
        <v>0</v>
      </c>
      <c r="G505" s="403">
        <f t="shared" si="28"/>
        <v>0</v>
      </c>
      <c r="H505" s="9">
        <v>339821</v>
      </c>
      <c r="I505" s="404">
        <f t="shared" si="31"/>
        <v>339821</v>
      </c>
      <c r="J505" s="403"/>
      <c r="K505" s="404">
        <f t="shared" si="29"/>
        <v>0</v>
      </c>
      <c r="L505" s="405">
        <f t="shared" si="30"/>
        <v>0</v>
      </c>
      <c r="M505" s="403"/>
    </row>
    <row r="506" spans="1:13" ht="15.75" x14ac:dyDescent="0.25">
      <c r="A506" s="6" t="s">
        <v>826</v>
      </c>
      <c r="B506" s="7" t="s">
        <v>804</v>
      </c>
      <c r="C506" s="6" t="s">
        <v>9</v>
      </c>
      <c r="D506" s="8">
        <v>1</v>
      </c>
      <c r="E506" s="403"/>
      <c r="F506" s="403">
        <f>BBNTHT!J546</f>
        <v>0</v>
      </c>
      <c r="G506" s="403">
        <f t="shared" si="28"/>
        <v>0</v>
      </c>
      <c r="H506" s="9">
        <v>745395</v>
      </c>
      <c r="I506" s="404">
        <f t="shared" si="31"/>
        <v>745395</v>
      </c>
      <c r="J506" s="403"/>
      <c r="K506" s="404">
        <f t="shared" si="29"/>
        <v>0</v>
      </c>
      <c r="L506" s="405">
        <f t="shared" si="30"/>
        <v>0</v>
      </c>
      <c r="M506" s="403"/>
    </row>
    <row r="507" spans="1:13" ht="15.75" x14ac:dyDescent="0.25">
      <c r="A507" s="6" t="s">
        <v>827</v>
      </c>
      <c r="B507" s="7" t="s">
        <v>593</v>
      </c>
      <c r="C507" s="6" t="s">
        <v>9</v>
      </c>
      <c r="D507" s="8">
        <v>2</v>
      </c>
      <c r="E507" s="403"/>
      <c r="F507" s="403">
        <f>BBNTHT!J547</f>
        <v>0</v>
      </c>
      <c r="G507" s="403">
        <f t="shared" si="28"/>
        <v>0</v>
      </c>
      <c r="H507" s="9">
        <v>138060</v>
      </c>
      <c r="I507" s="404">
        <f t="shared" si="31"/>
        <v>276120</v>
      </c>
      <c r="J507" s="403"/>
      <c r="K507" s="404">
        <f t="shared" si="29"/>
        <v>0</v>
      </c>
      <c r="L507" s="405">
        <f t="shared" si="30"/>
        <v>0</v>
      </c>
      <c r="M507" s="403"/>
    </row>
    <row r="508" spans="1:13" ht="15.75" x14ac:dyDescent="0.25">
      <c r="A508" s="6" t="s">
        <v>828</v>
      </c>
      <c r="B508" s="7" t="s">
        <v>816</v>
      </c>
      <c r="C508" s="6" t="s">
        <v>499</v>
      </c>
      <c r="D508" s="8">
        <v>1</v>
      </c>
      <c r="E508" s="403"/>
      <c r="F508" s="403">
        <f>BBNTHT!J548</f>
        <v>0</v>
      </c>
      <c r="G508" s="403">
        <f t="shared" si="28"/>
        <v>0</v>
      </c>
      <c r="H508" s="9">
        <v>198184</v>
      </c>
      <c r="I508" s="404">
        <f t="shared" si="31"/>
        <v>198184</v>
      </c>
      <c r="J508" s="403"/>
      <c r="K508" s="404">
        <f t="shared" si="29"/>
        <v>0</v>
      </c>
      <c r="L508" s="405">
        <f t="shared" si="30"/>
        <v>0</v>
      </c>
      <c r="M508" s="403"/>
    </row>
    <row r="509" spans="1:13" ht="15.75" x14ac:dyDescent="0.25">
      <c r="A509" s="2" t="s">
        <v>829</v>
      </c>
      <c r="B509" s="3" t="s">
        <v>830</v>
      </c>
      <c r="C509" s="2"/>
      <c r="D509" s="4" t="s">
        <v>3</v>
      </c>
      <c r="E509" s="403"/>
      <c r="F509" s="403">
        <f>BBNTHT!J549</f>
        <v>0</v>
      </c>
      <c r="G509" s="403">
        <f t="shared" si="28"/>
        <v>0</v>
      </c>
      <c r="H509" s="5"/>
      <c r="I509" s="404"/>
      <c r="J509" s="403"/>
      <c r="K509" s="404">
        <f t="shared" si="29"/>
        <v>0</v>
      </c>
      <c r="L509" s="405">
        <f t="shared" si="30"/>
        <v>0</v>
      </c>
      <c r="M509" s="403"/>
    </row>
    <row r="510" spans="1:13" ht="15.75" x14ac:dyDescent="0.25">
      <c r="A510" s="6" t="s">
        <v>831</v>
      </c>
      <c r="B510" s="7" t="s">
        <v>812</v>
      </c>
      <c r="C510" s="6" t="s">
        <v>9</v>
      </c>
      <c r="D510" s="8">
        <v>1</v>
      </c>
      <c r="E510" s="403"/>
      <c r="F510" s="403">
        <f>BBNTHT!J550</f>
        <v>0</v>
      </c>
      <c r="G510" s="403">
        <f t="shared" si="28"/>
        <v>0</v>
      </c>
      <c r="H510" s="9">
        <v>339821</v>
      </c>
      <c r="I510" s="404">
        <f t="shared" si="31"/>
        <v>339821</v>
      </c>
      <c r="J510" s="403"/>
      <c r="K510" s="404">
        <f t="shared" si="29"/>
        <v>0</v>
      </c>
      <c r="L510" s="405">
        <f t="shared" si="30"/>
        <v>0</v>
      </c>
      <c r="M510" s="403"/>
    </row>
    <row r="511" spans="1:13" ht="15.75" x14ac:dyDescent="0.25">
      <c r="A511" s="6" t="s">
        <v>832</v>
      </c>
      <c r="B511" s="7" t="s">
        <v>804</v>
      </c>
      <c r="C511" s="6" t="s">
        <v>9</v>
      </c>
      <c r="D511" s="8">
        <v>1</v>
      </c>
      <c r="E511" s="403"/>
      <c r="F511" s="403">
        <f>BBNTHT!J551</f>
        <v>0</v>
      </c>
      <c r="G511" s="403">
        <f t="shared" si="28"/>
        <v>0</v>
      </c>
      <c r="H511" s="9">
        <v>745395</v>
      </c>
      <c r="I511" s="404">
        <f t="shared" si="31"/>
        <v>745395</v>
      </c>
      <c r="J511" s="403"/>
      <c r="K511" s="404">
        <f t="shared" si="29"/>
        <v>0</v>
      </c>
      <c r="L511" s="405">
        <f t="shared" si="30"/>
        <v>0</v>
      </c>
      <c r="M511" s="403"/>
    </row>
    <row r="512" spans="1:13" ht="15.75" x14ac:dyDescent="0.25">
      <c r="A512" s="6" t="s">
        <v>833</v>
      </c>
      <c r="B512" s="7" t="s">
        <v>593</v>
      </c>
      <c r="C512" s="6" t="s">
        <v>9</v>
      </c>
      <c r="D512" s="8">
        <v>2</v>
      </c>
      <c r="E512" s="403"/>
      <c r="F512" s="403">
        <f>BBNTHT!J552</f>
        <v>0</v>
      </c>
      <c r="G512" s="403">
        <f t="shared" si="28"/>
        <v>0</v>
      </c>
      <c r="H512" s="9">
        <v>138060</v>
      </c>
      <c r="I512" s="404">
        <f t="shared" si="31"/>
        <v>276120</v>
      </c>
      <c r="J512" s="403"/>
      <c r="K512" s="404">
        <f t="shared" si="29"/>
        <v>0</v>
      </c>
      <c r="L512" s="405">
        <f t="shared" si="30"/>
        <v>0</v>
      </c>
      <c r="M512" s="403"/>
    </row>
    <row r="513" spans="1:13" ht="15.75" x14ac:dyDescent="0.25">
      <c r="A513" s="6" t="s">
        <v>834</v>
      </c>
      <c r="B513" s="7" t="s">
        <v>816</v>
      </c>
      <c r="C513" s="6" t="s">
        <v>499</v>
      </c>
      <c r="D513" s="8">
        <v>1</v>
      </c>
      <c r="E513" s="403"/>
      <c r="F513" s="403">
        <f>BBNTHT!J553</f>
        <v>0</v>
      </c>
      <c r="G513" s="403">
        <f t="shared" si="28"/>
        <v>0</v>
      </c>
      <c r="H513" s="9">
        <v>198184</v>
      </c>
      <c r="I513" s="404">
        <f t="shared" si="31"/>
        <v>198184</v>
      </c>
      <c r="J513" s="403"/>
      <c r="K513" s="404">
        <f t="shared" si="29"/>
        <v>0</v>
      </c>
      <c r="L513" s="405">
        <f t="shared" si="30"/>
        <v>0</v>
      </c>
      <c r="M513" s="403"/>
    </row>
    <row r="514" spans="1:13" ht="31.5" x14ac:dyDescent="0.25">
      <c r="A514" s="2" t="s">
        <v>835</v>
      </c>
      <c r="B514" s="3" t="s">
        <v>836</v>
      </c>
      <c r="C514" s="2"/>
      <c r="D514" s="4" t="s">
        <v>3</v>
      </c>
      <c r="E514" s="403"/>
      <c r="F514" s="403">
        <f>BBNTHT!J554</f>
        <v>0</v>
      </c>
      <c r="G514" s="403">
        <f t="shared" si="28"/>
        <v>0</v>
      </c>
      <c r="H514" s="5"/>
      <c r="I514" s="404"/>
      <c r="J514" s="403"/>
      <c r="K514" s="404">
        <f t="shared" si="29"/>
        <v>0</v>
      </c>
      <c r="L514" s="405">
        <f t="shared" si="30"/>
        <v>0</v>
      </c>
      <c r="M514" s="403"/>
    </row>
    <row r="515" spans="1:13" ht="15.75" x14ac:dyDescent="0.25">
      <c r="A515" s="6" t="s">
        <v>837</v>
      </c>
      <c r="B515" s="7" t="s">
        <v>812</v>
      </c>
      <c r="C515" s="6" t="s">
        <v>9</v>
      </c>
      <c r="D515" s="8">
        <v>1</v>
      </c>
      <c r="E515" s="403"/>
      <c r="F515" s="403">
        <f>BBNTHT!J555</f>
        <v>0</v>
      </c>
      <c r="G515" s="403">
        <f t="shared" si="28"/>
        <v>0</v>
      </c>
      <c r="H515" s="9">
        <v>339821</v>
      </c>
      <c r="I515" s="404">
        <f t="shared" si="31"/>
        <v>339821</v>
      </c>
      <c r="J515" s="403"/>
      <c r="K515" s="404">
        <f t="shared" si="29"/>
        <v>0</v>
      </c>
      <c r="L515" s="405">
        <f t="shared" si="30"/>
        <v>0</v>
      </c>
      <c r="M515" s="403"/>
    </row>
    <row r="516" spans="1:13" ht="15.75" x14ac:dyDescent="0.25">
      <c r="A516" s="6" t="s">
        <v>838</v>
      </c>
      <c r="B516" s="7" t="s">
        <v>804</v>
      </c>
      <c r="C516" s="6" t="s">
        <v>9</v>
      </c>
      <c r="D516" s="8">
        <v>1</v>
      </c>
      <c r="E516" s="403"/>
      <c r="F516" s="403">
        <f>BBNTHT!J556</f>
        <v>0</v>
      </c>
      <c r="G516" s="403">
        <f t="shared" si="28"/>
        <v>0</v>
      </c>
      <c r="H516" s="9">
        <v>745395</v>
      </c>
      <c r="I516" s="404">
        <f t="shared" si="31"/>
        <v>745395</v>
      </c>
      <c r="J516" s="403"/>
      <c r="K516" s="404">
        <f t="shared" si="29"/>
        <v>0</v>
      </c>
      <c r="L516" s="405">
        <f t="shared" si="30"/>
        <v>0</v>
      </c>
      <c r="M516" s="403"/>
    </row>
    <row r="517" spans="1:13" ht="15.75" x14ac:dyDescent="0.25">
      <c r="A517" s="6" t="s">
        <v>839</v>
      </c>
      <c r="B517" s="7" t="s">
        <v>593</v>
      </c>
      <c r="C517" s="6" t="s">
        <v>9</v>
      </c>
      <c r="D517" s="8">
        <v>2</v>
      </c>
      <c r="E517" s="403"/>
      <c r="F517" s="403">
        <f>BBNTHT!J557</f>
        <v>0</v>
      </c>
      <c r="G517" s="403">
        <f t="shared" si="28"/>
        <v>0</v>
      </c>
      <c r="H517" s="9">
        <v>138060</v>
      </c>
      <c r="I517" s="404">
        <f t="shared" si="31"/>
        <v>276120</v>
      </c>
      <c r="J517" s="403"/>
      <c r="K517" s="404">
        <f t="shared" si="29"/>
        <v>0</v>
      </c>
      <c r="L517" s="405">
        <f t="shared" si="30"/>
        <v>0</v>
      </c>
      <c r="M517" s="403"/>
    </row>
    <row r="518" spans="1:13" ht="15.75" x14ac:dyDescent="0.25">
      <c r="A518" s="6" t="s">
        <v>840</v>
      </c>
      <c r="B518" s="7" t="s">
        <v>816</v>
      </c>
      <c r="C518" s="6" t="s">
        <v>499</v>
      </c>
      <c r="D518" s="8">
        <v>1</v>
      </c>
      <c r="E518" s="403"/>
      <c r="F518" s="403">
        <f>BBNTHT!J558</f>
        <v>0</v>
      </c>
      <c r="G518" s="403">
        <f t="shared" si="28"/>
        <v>0</v>
      </c>
      <c r="H518" s="9">
        <v>198184</v>
      </c>
      <c r="I518" s="404">
        <f t="shared" si="31"/>
        <v>198184</v>
      </c>
      <c r="J518" s="403"/>
      <c r="K518" s="404">
        <f t="shared" si="29"/>
        <v>0</v>
      </c>
      <c r="L518" s="405">
        <f t="shared" si="30"/>
        <v>0</v>
      </c>
      <c r="M518" s="403"/>
    </row>
    <row r="519" spans="1:13" ht="31.5" x14ac:dyDescent="0.25">
      <c r="A519" s="2" t="s">
        <v>841</v>
      </c>
      <c r="B519" s="3" t="s">
        <v>842</v>
      </c>
      <c r="C519" s="2"/>
      <c r="D519" s="4" t="s">
        <v>3</v>
      </c>
      <c r="E519" s="403"/>
      <c r="F519" s="403">
        <f>BBNTHT!J559</f>
        <v>0</v>
      </c>
      <c r="G519" s="403">
        <f t="shared" si="28"/>
        <v>0</v>
      </c>
      <c r="H519" s="5"/>
      <c r="I519" s="404"/>
      <c r="J519" s="403"/>
      <c r="K519" s="404">
        <f t="shared" si="29"/>
        <v>0</v>
      </c>
      <c r="L519" s="405">
        <f t="shared" si="30"/>
        <v>0</v>
      </c>
      <c r="M519" s="403"/>
    </row>
    <row r="520" spans="1:13" ht="15.75" x14ac:dyDescent="0.25">
      <c r="A520" s="6" t="s">
        <v>843</v>
      </c>
      <c r="B520" s="7" t="s">
        <v>812</v>
      </c>
      <c r="C520" s="6" t="s">
        <v>9</v>
      </c>
      <c r="D520" s="8">
        <v>1</v>
      </c>
      <c r="E520" s="403"/>
      <c r="F520" s="403">
        <f>BBNTHT!J560</f>
        <v>0</v>
      </c>
      <c r="G520" s="403">
        <f t="shared" si="28"/>
        <v>0</v>
      </c>
      <c r="H520" s="9">
        <v>339821</v>
      </c>
      <c r="I520" s="404">
        <f t="shared" si="31"/>
        <v>339821</v>
      </c>
      <c r="J520" s="403"/>
      <c r="K520" s="404">
        <f t="shared" si="29"/>
        <v>0</v>
      </c>
      <c r="L520" s="405">
        <f t="shared" si="30"/>
        <v>0</v>
      </c>
      <c r="M520" s="403"/>
    </row>
    <row r="521" spans="1:13" ht="15.75" x14ac:dyDescent="0.25">
      <c r="A521" s="6" t="s">
        <v>844</v>
      </c>
      <c r="B521" s="7" t="s">
        <v>804</v>
      </c>
      <c r="C521" s="6" t="s">
        <v>9</v>
      </c>
      <c r="D521" s="8">
        <v>1</v>
      </c>
      <c r="E521" s="403"/>
      <c r="F521" s="403">
        <f>BBNTHT!J561</f>
        <v>0</v>
      </c>
      <c r="G521" s="403">
        <f t="shared" si="28"/>
        <v>0</v>
      </c>
      <c r="H521" s="9">
        <v>745395</v>
      </c>
      <c r="I521" s="404">
        <f t="shared" si="31"/>
        <v>745395</v>
      </c>
      <c r="J521" s="403"/>
      <c r="K521" s="404">
        <f t="shared" si="29"/>
        <v>0</v>
      </c>
      <c r="L521" s="405">
        <f t="shared" si="30"/>
        <v>0</v>
      </c>
      <c r="M521" s="403"/>
    </row>
    <row r="522" spans="1:13" ht="15.75" x14ac:dyDescent="0.25">
      <c r="A522" s="6" t="s">
        <v>845</v>
      </c>
      <c r="B522" s="7" t="s">
        <v>593</v>
      </c>
      <c r="C522" s="6" t="s">
        <v>9</v>
      </c>
      <c r="D522" s="8">
        <v>2</v>
      </c>
      <c r="E522" s="403"/>
      <c r="F522" s="403">
        <f>BBNTHT!J562</f>
        <v>0</v>
      </c>
      <c r="G522" s="403">
        <f t="shared" si="28"/>
        <v>0</v>
      </c>
      <c r="H522" s="9">
        <v>138060</v>
      </c>
      <c r="I522" s="404">
        <f t="shared" si="31"/>
        <v>276120</v>
      </c>
      <c r="J522" s="403"/>
      <c r="K522" s="404">
        <f t="shared" si="29"/>
        <v>0</v>
      </c>
      <c r="L522" s="405">
        <f t="shared" si="30"/>
        <v>0</v>
      </c>
      <c r="M522" s="403"/>
    </row>
    <row r="523" spans="1:13" ht="15.75" x14ac:dyDescent="0.25">
      <c r="A523" s="6" t="s">
        <v>846</v>
      </c>
      <c r="B523" s="7" t="s">
        <v>816</v>
      </c>
      <c r="C523" s="6" t="s">
        <v>499</v>
      </c>
      <c r="D523" s="8">
        <v>1</v>
      </c>
      <c r="E523" s="403"/>
      <c r="F523" s="403">
        <f>BBNTHT!J563</f>
        <v>0</v>
      </c>
      <c r="G523" s="403">
        <f t="shared" si="28"/>
        <v>0</v>
      </c>
      <c r="H523" s="9">
        <v>198184</v>
      </c>
      <c r="I523" s="404">
        <f t="shared" si="31"/>
        <v>198184</v>
      </c>
      <c r="J523" s="403"/>
      <c r="K523" s="404">
        <f t="shared" si="29"/>
        <v>0</v>
      </c>
      <c r="L523" s="405">
        <f t="shared" si="30"/>
        <v>0</v>
      </c>
      <c r="M523" s="403"/>
    </row>
    <row r="524" spans="1:13" ht="31.5" x14ac:dyDescent="0.25">
      <c r="A524" s="2" t="s">
        <v>847</v>
      </c>
      <c r="B524" s="3" t="s">
        <v>848</v>
      </c>
      <c r="C524" s="2"/>
      <c r="D524" s="4" t="s">
        <v>3</v>
      </c>
      <c r="E524" s="403"/>
      <c r="F524" s="403">
        <f>BBNTHT!J564</f>
        <v>0</v>
      </c>
      <c r="G524" s="403">
        <f t="shared" si="28"/>
        <v>0</v>
      </c>
      <c r="H524" s="5"/>
      <c r="I524" s="404"/>
      <c r="J524" s="403"/>
      <c r="K524" s="404">
        <f t="shared" si="29"/>
        <v>0</v>
      </c>
      <c r="L524" s="405">
        <f t="shared" si="30"/>
        <v>0</v>
      </c>
      <c r="M524" s="403"/>
    </row>
    <row r="525" spans="1:13" ht="15.75" x14ac:dyDescent="0.25">
      <c r="A525" s="6" t="s">
        <v>849</v>
      </c>
      <c r="B525" s="7" t="s">
        <v>812</v>
      </c>
      <c r="C525" s="6" t="s">
        <v>9</v>
      </c>
      <c r="D525" s="8">
        <v>1</v>
      </c>
      <c r="E525" s="403"/>
      <c r="F525" s="403">
        <f>BBNTHT!J565</f>
        <v>0</v>
      </c>
      <c r="G525" s="403">
        <f t="shared" si="28"/>
        <v>0</v>
      </c>
      <c r="H525" s="9">
        <v>339821</v>
      </c>
      <c r="I525" s="404">
        <f t="shared" si="31"/>
        <v>339821</v>
      </c>
      <c r="J525" s="403"/>
      <c r="K525" s="404">
        <f t="shared" si="29"/>
        <v>0</v>
      </c>
      <c r="L525" s="405">
        <f t="shared" si="30"/>
        <v>0</v>
      </c>
      <c r="M525" s="403"/>
    </row>
    <row r="526" spans="1:13" ht="15.75" x14ac:dyDescent="0.25">
      <c r="A526" s="6" t="s">
        <v>850</v>
      </c>
      <c r="B526" s="7" t="s">
        <v>804</v>
      </c>
      <c r="C526" s="6" t="s">
        <v>9</v>
      </c>
      <c r="D526" s="8">
        <v>1</v>
      </c>
      <c r="E526" s="403"/>
      <c r="F526" s="403">
        <f>BBNTHT!J566</f>
        <v>0</v>
      </c>
      <c r="G526" s="403">
        <f t="shared" si="28"/>
        <v>0</v>
      </c>
      <c r="H526" s="9">
        <v>745395</v>
      </c>
      <c r="I526" s="404">
        <f t="shared" si="31"/>
        <v>745395</v>
      </c>
      <c r="J526" s="403"/>
      <c r="K526" s="404">
        <f t="shared" si="29"/>
        <v>0</v>
      </c>
      <c r="L526" s="405">
        <f t="shared" si="30"/>
        <v>0</v>
      </c>
      <c r="M526" s="403"/>
    </row>
    <row r="527" spans="1:13" ht="15.75" x14ac:dyDescent="0.25">
      <c r="A527" s="6" t="s">
        <v>851</v>
      </c>
      <c r="B527" s="7" t="s">
        <v>593</v>
      </c>
      <c r="C527" s="6" t="s">
        <v>9</v>
      </c>
      <c r="D527" s="8">
        <v>2</v>
      </c>
      <c r="E527" s="403"/>
      <c r="F527" s="403">
        <f>BBNTHT!J567</f>
        <v>0</v>
      </c>
      <c r="G527" s="403">
        <f t="shared" si="28"/>
        <v>0</v>
      </c>
      <c r="H527" s="9">
        <v>138060</v>
      </c>
      <c r="I527" s="404">
        <f t="shared" si="31"/>
        <v>276120</v>
      </c>
      <c r="J527" s="403"/>
      <c r="K527" s="404">
        <f t="shared" si="29"/>
        <v>0</v>
      </c>
      <c r="L527" s="405">
        <f t="shared" si="30"/>
        <v>0</v>
      </c>
      <c r="M527" s="403"/>
    </row>
    <row r="528" spans="1:13" ht="15.75" x14ac:dyDescent="0.25">
      <c r="A528" s="6" t="s">
        <v>852</v>
      </c>
      <c r="B528" s="7" t="s">
        <v>816</v>
      </c>
      <c r="C528" s="6" t="s">
        <v>499</v>
      </c>
      <c r="D528" s="8">
        <v>1</v>
      </c>
      <c r="E528" s="403"/>
      <c r="F528" s="403">
        <f>BBNTHT!J568</f>
        <v>0</v>
      </c>
      <c r="G528" s="403">
        <f t="shared" si="28"/>
        <v>0</v>
      </c>
      <c r="H528" s="9">
        <v>198184</v>
      </c>
      <c r="I528" s="404">
        <f t="shared" si="31"/>
        <v>198184</v>
      </c>
      <c r="J528" s="403"/>
      <c r="K528" s="404">
        <f t="shared" si="29"/>
        <v>0</v>
      </c>
      <c r="L528" s="405">
        <f t="shared" si="30"/>
        <v>0</v>
      </c>
      <c r="M528" s="403"/>
    </row>
    <row r="529" spans="1:13" ht="15.75" x14ac:dyDescent="0.25">
      <c r="A529" s="2" t="s">
        <v>853</v>
      </c>
      <c r="B529" s="3" t="s">
        <v>854</v>
      </c>
      <c r="C529" s="2"/>
      <c r="D529" s="4" t="s">
        <v>3</v>
      </c>
      <c r="E529" s="403"/>
      <c r="F529" s="403">
        <f>BBNTHT!J569</f>
        <v>0</v>
      </c>
      <c r="G529" s="403">
        <f t="shared" si="28"/>
        <v>0</v>
      </c>
      <c r="H529" s="5"/>
      <c r="I529" s="404"/>
      <c r="J529" s="403"/>
      <c r="K529" s="404">
        <f t="shared" si="29"/>
        <v>0</v>
      </c>
      <c r="L529" s="405">
        <f t="shared" si="30"/>
        <v>0</v>
      </c>
      <c r="M529" s="403"/>
    </row>
    <row r="530" spans="1:13" ht="15.75" x14ac:dyDescent="0.25">
      <c r="A530" s="6" t="s">
        <v>855</v>
      </c>
      <c r="B530" s="7" t="s">
        <v>812</v>
      </c>
      <c r="C530" s="6" t="s">
        <v>9</v>
      </c>
      <c r="D530" s="8">
        <v>1</v>
      </c>
      <c r="E530" s="403"/>
      <c r="F530" s="403">
        <f>BBNTHT!J570</f>
        <v>0</v>
      </c>
      <c r="G530" s="403">
        <f t="shared" ref="G530:G593" si="32">F530+E530</f>
        <v>0</v>
      </c>
      <c r="H530" s="9">
        <v>339821</v>
      </c>
      <c r="I530" s="404">
        <f t="shared" ref="I530:I593" si="33">ROUND(D530*H530,0)</f>
        <v>339821</v>
      </c>
      <c r="J530" s="403"/>
      <c r="K530" s="404">
        <f t="shared" ref="K530:K593" si="34">ROUND(F530*H530,0)</f>
        <v>0</v>
      </c>
      <c r="L530" s="405">
        <f t="shared" ref="L530:L593" si="35">J530+K530</f>
        <v>0</v>
      </c>
      <c r="M530" s="403"/>
    </row>
    <row r="531" spans="1:13" ht="15.75" x14ac:dyDescent="0.25">
      <c r="A531" s="6" t="s">
        <v>856</v>
      </c>
      <c r="B531" s="7" t="s">
        <v>804</v>
      </c>
      <c r="C531" s="6" t="s">
        <v>9</v>
      </c>
      <c r="D531" s="8">
        <v>1</v>
      </c>
      <c r="E531" s="403"/>
      <c r="F531" s="403">
        <f>BBNTHT!J571</f>
        <v>0</v>
      </c>
      <c r="G531" s="403">
        <f t="shared" si="32"/>
        <v>0</v>
      </c>
      <c r="H531" s="9">
        <v>745395</v>
      </c>
      <c r="I531" s="404">
        <f t="shared" si="33"/>
        <v>745395</v>
      </c>
      <c r="J531" s="403"/>
      <c r="K531" s="404">
        <f t="shared" si="34"/>
        <v>0</v>
      </c>
      <c r="L531" s="405">
        <f t="shared" si="35"/>
        <v>0</v>
      </c>
      <c r="M531" s="403"/>
    </row>
    <row r="532" spans="1:13" ht="15.75" x14ac:dyDescent="0.25">
      <c r="A532" s="6" t="s">
        <v>857</v>
      </c>
      <c r="B532" s="7" t="s">
        <v>593</v>
      </c>
      <c r="C532" s="6" t="s">
        <v>9</v>
      </c>
      <c r="D532" s="8">
        <v>2</v>
      </c>
      <c r="E532" s="403"/>
      <c r="F532" s="403">
        <f>BBNTHT!J572</f>
        <v>0</v>
      </c>
      <c r="G532" s="403">
        <f t="shared" si="32"/>
        <v>0</v>
      </c>
      <c r="H532" s="9">
        <v>138060</v>
      </c>
      <c r="I532" s="404">
        <f t="shared" si="33"/>
        <v>276120</v>
      </c>
      <c r="J532" s="403"/>
      <c r="K532" s="404">
        <f t="shared" si="34"/>
        <v>0</v>
      </c>
      <c r="L532" s="405">
        <f t="shared" si="35"/>
        <v>0</v>
      </c>
      <c r="M532" s="403"/>
    </row>
    <row r="533" spans="1:13" ht="15.75" x14ac:dyDescent="0.25">
      <c r="A533" s="6" t="s">
        <v>858</v>
      </c>
      <c r="B533" s="7" t="s">
        <v>816</v>
      </c>
      <c r="C533" s="6" t="s">
        <v>499</v>
      </c>
      <c r="D533" s="8">
        <v>1</v>
      </c>
      <c r="E533" s="403"/>
      <c r="F533" s="403">
        <f>BBNTHT!J573</f>
        <v>0</v>
      </c>
      <c r="G533" s="403">
        <f t="shared" si="32"/>
        <v>0</v>
      </c>
      <c r="H533" s="9">
        <v>198184</v>
      </c>
      <c r="I533" s="404">
        <f t="shared" si="33"/>
        <v>198184</v>
      </c>
      <c r="J533" s="403"/>
      <c r="K533" s="404">
        <f t="shared" si="34"/>
        <v>0</v>
      </c>
      <c r="L533" s="405">
        <f t="shared" si="35"/>
        <v>0</v>
      </c>
      <c r="M533" s="403"/>
    </row>
    <row r="534" spans="1:13" ht="15.75" x14ac:dyDescent="0.25">
      <c r="A534" s="2" t="s">
        <v>859</v>
      </c>
      <c r="B534" s="3" t="s">
        <v>860</v>
      </c>
      <c r="C534" s="2"/>
      <c r="D534" s="4" t="s">
        <v>3</v>
      </c>
      <c r="E534" s="403"/>
      <c r="F534" s="403">
        <f>BBNTHT!J574</f>
        <v>0</v>
      </c>
      <c r="G534" s="403">
        <f t="shared" si="32"/>
        <v>0</v>
      </c>
      <c r="H534" s="5"/>
      <c r="I534" s="404"/>
      <c r="J534" s="403"/>
      <c r="K534" s="404">
        <f t="shared" si="34"/>
        <v>0</v>
      </c>
      <c r="L534" s="405">
        <f t="shared" si="35"/>
        <v>0</v>
      </c>
      <c r="M534" s="403"/>
    </row>
    <row r="535" spans="1:13" ht="15.75" x14ac:dyDescent="0.25">
      <c r="A535" s="6" t="s">
        <v>861</v>
      </c>
      <c r="B535" s="7" t="s">
        <v>812</v>
      </c>
      <c r="C535" s="6" t="s">
        <v>9</v>
      </c>
      <c r="D535" s="8">
        <v>1</v>
      </c>
      <c r="E535" s="403"/>
      <c r="F535" s="403">
        <f>BBNTHT!J575</f>
        <v>0</v>
      </c>
      <c r="G535" s="403">
        <f t="shared" si="32"/>
        <v>0</v>
      </c>
      <c r="H535" s="9">
        <v>339821</v>
      </c>
      <c r="I535" s="404">
        <f t="shared" si="33"/>
        <v>339821</v>
      </c>
      <c r="J535" s="403"/>
      <c r="K535" s="404">
        <f t="shared" si="34"/>
        <v>0</v>
      </c>
      <c r="L535" s="405">
        <f t="shared" si="35"/>
        <v>0</v>
      </c>
      <c r="M535" s="403"/>
    </row>
    <row r="536" spans="1:13" ht="15.75" x14ac:dyDescent="0.25">
      <c r="A536" s="6" t="s">
        <v>862</v>
      </c>
      <c r="B536" s="7" t="s">
        <v>804</v>
      </c>
      <c r="C536" s="6" t="s">
        <v>9</v>
      </c>
      <c r="D536" s="8">
        <v>1</v>
      </c>
      <c r="E536" s="403"/>
      <c r="F536" s="403">
        <f>BBNTHT!J576</f>
        <v>0</v>
      </c>
      <c r="G536" s="403">
        <f t="shared" si="32"/>
        <v>0</v>
      </c>
      <c r="H536" s="9">
        <v>745395</v>
      </c>
      <c r="I536" s="404">
        <f t="shared" si="33"/>
        <v>745395</v>
      </c>
      <c r="J536" s="403"/>
      <c r="K536" s="404">
        <f t="shared" si="34"/>
        <v>0</v>
      </c>
      <c r="L536" s="405">
        <f t="shared" si="35"/>
        <v>0</v>
      </c>
      <c r="M536" s="403"/>
    </row>
    <row r="537" spans="1:13" ht="15.75" x14ac:dyDescent="0.25">
      <c r="A537" s="6" t="s">
        <v>863</v>
      </c>
      <c r="B537" s="7" t="s">
        <v>593</v>
      </c>
      <c r="C537" s="6" t="s">
        <v>9</v>
      </c>
      <c r="D537" s="8">
        <v>2</v>
      </c>
      <c r="E537" s="403"/>
      <c r="F537" s="403">
        <f>BBNTHT!J577</f>
        <v>0</v>
      </c>
      <c r="G537" s="403">
        <f t="shared" si="32"/>
        <v>0</v>
      </c>
      <c r="H537" s="9">
        <v>138060</v>
      </c>
      <c r="I537" s="404">
        <f t="shared" si="33"/>
        <v>276120</v>
      </c>
      <c r="J537" s="403"/>
      <c r="K537" s="404">
        <f t="shared" si="34"/>
        <v>0</v>
      </c>
      <c r="L537" s="405">
        <f t="shared" si="35"/>
        <v>0</v>
      </c>
      <c r="M537" s="403"/>
    </row>
    <row r="538" spans="1:13" ht="15.75" x14ac:dyDescent="0.25">
      <c r="A538" s="6" t="s">
        <v>864</v>
      </c>
      <c r="B538" s="7" t="s">
        <v>816</v>
      </c>
      <c r="C538" s="6" t="s">
        <v>499</v>
      </c>
      <c r="D538" s="8">
        <v>1</v>
      </c>
      <c r="E538" s="403"/>
      <c r="F538" s="403">
        <f>BBNTHT!J578</f>
        <v>0</v>
      </c>
      <c r="G538" s="403">
        <f t="shared" si="32"/>
        <v>0</v>
      </c>
      <c r="H538" s="9">
        <v>198184</v>
      </c>
      <c r="I538" s="404">
        <f t="shared" si="33"/>
        <v>198184</v>
      </c>
      <c r="J538" s="403"/>
      <c r="K538" s="404">
        <f t="shared" si="34"/>
        <v>0</v>
      </c>
      <c r="L538" s="405">
        <f t="shared" si="35"/>
        <v>0</v>
      </c>
      <c r="M538" s="403"/>
    </row>
    <row r="539" spans="1:13" ht="31.5" x14ac:dyDescent="0.25">
      <c r="A539" s="2" t="s">
        <v>865</v>
      </c>
      <c r="B539" s="3" t="s">
        <v>866</v>
      </c>
      <c r="C539" s="2"/>
      <c r="D539" s="4" t="s">
        <v>3</v>
      </c>
      <c r="E539" s="403"/>
      <c r="F539" s="403">
        <f>BBNTHT!J579</f>
        <v>0</v>
      </c>
      <c r="G539" s="403">
        <f t="shared" si="32"/>
        <v>0</v>
      </c>
      <c r="H539" s="5"/>
      <c r="I539" s="404"/>
      <c r="J539" s="403"/>
      <c r="K539" s="404">
        <f t="shared" si="34"/>
        <v>0</v>
      </c>
      <c r="L539" s="405">
        <f t="shared" si="35"/>
        <v>0</v>
      </c>
      <c r="M539" s="403"/>
    </row>
    <row r="540" spans="1:13" ht="15.75" x14ac:dyDescent="0.25">
      <c r="A540" s="6" t="s">
        <v>867</v>
      </c>
      <c r="B540" s="7" t="s">
        <v>812</v>
      </c>
      <c r="C540" s="6" t="s">
        <v>9</v>
      </c>
      <c r="D540" s="8">
        <v>2</v>
      </c>
      <c r="E540" s="403"/>
      <c r="F540" s="403">
        <f>BBNTHT!J580</f>
        <v>0</v>
      </c>
      <c r="G540" s="403">
        <f t="shared" si="32"/>
        <v>0</v>
      </c>
      <c r="H540" s="9">
        <v>339821</v>
      </c>
      <c r="I540" s="404">
        <f t="shared" si="33"/>
        <v>679642</v>
      </c>
      <c r="J540" s="403"/>
      <c r="K540" s="404">
        <f t="shared" si="34"/>
        <v>0</v>
      </c>
      <c r="L540" s="405">
        <f t="shared" si="35"/>
        <v>0</v>
      </c>
      <c r="M540" s="403"/>
    </row>
    <row r="541" spans="1:13" ht="15.75" x14ac:dyDescent="0.25">
      <c r="A541" s="6" t="s">
        <v>868</v>
      </c>
      <c r="B541" s="7" t="s">
        <v>804</v>
      </c>
      <c r="C541" s="6" t="s">
        <v>9</v>
      </c>
      <c r="D541" s="8">
        <v>2</v>
      </c>
      <c r="E541" s="403"/>
      <c r="F541" s="403">
        <f>BBNTHT!J581</f>
        <v>0</v>
      </c>
      <c r="G541" s="403">
        <f t="shared" si="32"/>
        <v>0</v>
      </c>
      <c r="H541" s="9">
        <v>745395</v>
      </c>
      <c r="I541" s="404">
        <f t="shared" si="33"/>
        <v>1490790</v>
      </c>
      <c r="J541" s="403"/>
      <c r="K541" s="404">
        <f t="shared" si="34"/>
        <v>0</v>
      </c>
      <c r="L541" s="405">
        <f t="shared" si="35"/>
        <v>0</v>
      </c>
      <c r="M541" s="403"/>
    </row>
    <row r="542" spans="1:13" ht="15.75" x14ac:dyDescent="0.25">
      <c r="A542" s="6" t="s">
        <v>869</v>
      </c>
      <c r="B542" s="7" t="s">
        <v>593</v>
      </c>
      <c r="C542" s="6" t="s">
        <v>9</v>
      </c>
      <c r="D542" s="8">
        <v>4</v>
      </c>
      <c r="E542" s="403"/>
      <c r="F542" s="403">
        <f>BBNTHT!J582</f>
        <v>0</v>
      </c>
      <c r="G542" s="403">
        <f t="shared" si="32"/>
        <v>0</v>
      </c>
      <c r="H542" s="9">
        <v>138060</v>
      </c>
      <c r="I542" s="404">
        <f t="shared" si="33"/>
        <v>552240</v>
      </c>
      <c r="J542" s="403"/>
      <c r="K542" s="404">
        <f t="shared" si="34"/>
        <v>0</v>
      </c>
      <c r="L542" s="405">
        <f t="shared" si="35"/>
        <v>0</v>
      </c>
      <c r="M542" s="403"/>
    </row>
    <row r="543" spans="1:13" ht="15.75" x14ac:dyDescent="0.25">
      <c r="A543" s="6" t="s">
        <v>870</v>
      </c>
      <c r="B543" s="7" t="s">
        <v>816</v>
      </c>
      <c r="C543" s="6" t="s">
        <v>499</v>
      </c>
      <c r="D543" s="8">
        <v>2</v>
      </c>
      <c r="E543" s="403"/>
      <c r="F543" s="403">
        <f>BBNTHT!J583</f>
        <v>0</v>
      </c>
      <c r="G543" s="403">
        <f t="shared" si="32"/>
        <v>0</v>
      </c>
      <c r="H543" s="9">
        <v>198184</v>
      </c>
      <c r="I543" s="404">
        <f t="shared" si="33"/>
        <v>396368</v>
      </c>
      <c r="J543" s="403"/>
      <c r="K543" s="404">
        <f t="shared" si="34"/>
        <v>0</v>
      </c>
      <c r="L543" s="405">
        <f t="shared" si="35"/>
        <v>0</v>
      </c>
      <c r="M543" s="403"/>
    </row>
    <row r="544" spans="1:13" ht="15.75" x14ac:dyDescent="0.25">
      <c r="A544" s="2" t="s">
        <v>871</v>
      </c>
      <c r="B544" s="3" t="s">
        <v>872</v>
      </c>
      <c r="C544" s="2"/>
      <c r="D544" s="4" t="s">
        <v>3</v>
      </c>
      <c r="E544" s="403"/>
      <c r="F544" s="403">
        <f>BBNTHT!J584</f>
        <v>0</v>
      </c>
      <c r="G544" s="403">
        <f t="shared" si="32"/>
        <v>0</v>
      </c>
      <c r="H544" s="5"/>
      <c r="I544" s="404"/>
      <c r="J544" s="403"/>
      <c r="K544" s="404">
        <f t="shared" si="34"/>
        <v>0</v>
      </c>
      <c r="L544" s="405">
        <f t="shared" si="35"/>
        <v>0</v>
      </c>
      <c r="M544" s="403"/>
    </row>
    <row r="545" spans="1:13" ht="15.75" x14ac:dyDescent="0.25">
      <c r="A545" s="6" t="s">
        <v>873</v>
      </c>
      <c r="B545" s="7" t="s">
        <v>874</v>
      </c>
      <c r="C545" s="6" t="s">
        <v>9</v>
      </c>
      <c r="D545" s="8">
        <v>1</v>
      </c>
      <c r="E545" s="403"/>
      <c r="F545" s="403">
        <f>BBNTHT!J585</f>
        <v>0</v>
      </c>
      <c r="G545" s="403">
        <f t="shared" si="32"/>
        <v>0</v>
      </c>
      <c r="H545" s="9">
        <v>1411124</v>
      </c>
      <c r="I545" s="404">
        <f t="shared" si="33"/>
        <v>1411124</v>
      </c>
      <c r="J545" s="403"/>
      <c r="K545" s="404">
        <f t="shared" si="34"/>
        <v>0</v>
      </c>
      <c r="L545" s="405">
        <f t="shared" si="35"/>
        <v>0</v>
      </c>
      <c r="M545" s="403"/>
    </row>
    <row r="546" spans="1:13" ht="15.75" x14ac:dyDescent="0.25">
      <c r="A546" s="6" t="s">
        <v>875</v>
      </c>
      <c r="B546" s="7" t="s">
        <v>483</v>
      </c>
      <c r="C546" s="6" t="s">
        <v>248</v>
      </c>
      <c r="D546" s="8">
        <v>3</v>
      </c>
      <c r="E546" s="403"/>
      <c r="F546" s="403">
        <f>BBNTHT!J586</f>
        <v>0</v>
      </c>
      <c r="G546" s="403">
        <f t="shared" si="32"/>
        <v>0</v>
      </c>
      <c r="H546" s="9">
        <v>396005</v>
      </c>
      <c r="I546" s="404">
        <f t="shared" si="33"/>
        <v>1188015</v>
      </c>
      <c r="J546" s="403"/>
      <c r="K546" s="404">
        <f t="shared" si="34"/>
        <v>0</v>
      </c>
      <c r="L546" s="405">
        <f t="shared" si="35"/>
        <v>0</v>
      </c>
      <c r="M546" s="403"/>
    </row>
    <row r="547" spans="1:13" ht="15.75" x14ac:dyDescent="0.25">
      <c r="A547" s="6" t="s">
        <v>876</v>
      </c>
      <c r="B547" s="7" t="s">
        <v>877</v>
      </c>
      <c r="C547" s="6" t="s">
        <v>248</v>
      </c>
      <c r="D547" s="8">
        <v>3</v>
      </c>
      <c r="E547" s="403"/>
      <c r="F547" s="403">
        <f>BBNTHT!J587</f>
        <v>0</v>
      </c>
      <c r="G547" s="403">
        <f t="shared" si="32"/>
        <v>0</v>
      </c>
      <c r="H547" s="9">
        <v>83756</v>
      </c>
      <c r="I547" s="404">
        <f t="shared" si="33"/>
        <v>251268</v>
      </c>
      <c r="J547" s="403"/>
      <c r="K547" s="404">
        <f t="shared" si="34"/>
        <v>0</v>
      </c>
      <c r="L547" s="405">
        <f t="shared" si="35"/>
        <v>0</v>
      </c>
      <c r="M547" s="403"/>
    </row>
    <row r="548" spans="1:13" ht="15.75" x14ac:dyDescent="0.25">
      <c r="A548" s="6" t="s">
        <v>878</v>
      </c>
      <c r="B548" s="7" t="s">
        <v>804</v>
      </c>
      <c r="C548" s="6" t="s">
        <v>9</v>
      </c>
      <c r="D548" s="8">
        <v>3</v>
      </c>
      <c r="E548" s="403"/>
      <c r="F548" s="403">
        <f>BBNTHT!J588</f>
        <v>0</v>
      </c>
      <c r="G548" s="403">
        <f t="shared" si="32"/>
        <v>0</v>
      </c>
      <c r="H548" s="9">
        <v>745395</v>
      </c>
      <c r="I548" s="404">
        <f t="shared" si="33"/>
        <v>2236185</v>
      </c>
      <c r="J548" s="403"/>
      <c r="K548" s="404">
        <f t="shared" si="34"/>
        <v>0</v>
      </c>
      <c r="L548" s="405">
        <f t="shared" si="35"/>
        <v>0</v>
      </c>
      <c r="M548" s="403"/>
    </row>
    <row r="549" spans="1:13" ht="15.75" x14ac:dyDescent="0.25">
      <c r="A549" s="6" t="s">
        <v>879</v>
      </c>
      <c r="B549" s="7" t="s">
        <v>628</v>
      </c>
      <c r="C549" s="6" t="s">
        <v>9</v>
      </c>
      <c r="D549" s="8">
        <v>3</v>
      </c>
      <c r="E549" s="403"/>
      <c r="F549" s="403">
        <f>BBNTHT!J589</f>
        <v>0</v>
      </c>
      <c r="G549" s="403">
        <f t="shared" si="32"/>
        <v>0</v>
      </c>
      <c r="H549" s="9">
        <v>138060</v>
      </c>
      <c r="I549" s="404">
        <f t="shared" si="33"/>
        <v>414180</v>
      </c>
      <c r="J549" s="403"/>
      <c r="K549" s="404">
        <f t="shared" si="34"/>
        <v>0</v>
      </c>
      <c r="L549" s="405">
        <f t="shared" si="35"/>
        <v>0</v>
      </c>
      <c r="M549" s="403"/>
    </row>
    <row r="550" spans="1:13" ht="15.75" x14ac:dyDescent="0.25">
      <c r="A550" s="6" t="s">
        <v>880</v>
      </c>
      <c r="B550" s="7" t="s">
        <v>593</v>
      </c>
      <c r="C550" s="6" t="s">
        <v>9</v>
      </c>
      <c r="D550" s="8">
        <v>8</v>
      </c>
      <c r="E550" s="403"/>
      <c r="F550" s="403">
        <f>BBNTHT!J590</f>
        <v>0</v>
      </c>
      <c r="G550" s="403">
        <f t="shared" si="32"/>
        <v>0</v>
      </c>
      <c r="H550" s="9">
        <v>138060</v>
      </c>
      <c r="I550" s="404">
        <f t="shared" si="33"/>
        <v>1104480</v>
      </c>
      <c r="J550" s="403"/>
      <c r="K550" s="404">
        <f t="shared" si="34"/>
        <v>0</v>
      </c>
      <c r="L550" s="405">
        <f t="shared" si="35"/>
        <v>0</v>
      </c>
      <c r="M550" s="403"/>
    </row>
    <row r="551" spans="1:13" ht="15.75" x14ac:dyDescent="0.25">
      <c r="A551" s="6" t="s">
        <v>881</v>
      </c>
      <c r="B551" s="7" t="s">
        <v>495</v>
      </c>
      <c r="C551" s="6" t="s">
        <v>248</v>
      </c>
      <c r="D551" s="8">
        <v>1</v>
      </c>
      <c r="E551" s="403"/>
      <c r="F551" s="403">
        <f>BBNTHT!J591</f>
        <v>0</v>
      </c>
      <c r="G551" s="403">
        <f t="shared" si="32"/>
        <v>0</v>
      </c>
      <c r="H551" s="9">
        <v>634986</v>
      </c>
      <c r="I551" s="404">
        <f t="shared" si="33"/>
        <v>634986</v>
      </c>
      <c r="J551" s="403"/>
      <c r="K551" s="404">
        <f t="shared" si="34"/>
        <v>0</v>
      </c>
      <c r="L551" s="405">
        <f t="shared" si="35"/>
        <v>0</v>
      </c>
      <c r="M551" s="403"/>
    </row>
    <row r="552" spans="1:13" ht="31.5" x14ac:dyDescent="0.25">
      <c r="A552" s="6" t="s">
        <v>882</v>
      </c>
      <c r="B552" s="7" t="s">
        <v>672</v>
      </c>
      <c r="C552" s="6" t="s">
        <v>499</v>
      </c>
      <c r="D552" s="8">
        <v>1</v>
      </c>
      <c r="E552" s="403"/>
      <c r="F552" s="403">
        <f>BBNTHT!J592</f>
        <v>0</v>
      </c>
      <c r="G552" s="403">
        <f t="shared" si="32"/>
        <v>0</v>
      </c>
      <c r="H552" s="9">
        <v>1310890</v>
      </c>
      <c r="I552" s="404">
        <f t="shared" si="33"/>
        <v>1310890</v>
      </c>
      <c r="J552" s="403"/>
      <c r="K552" s="404">
        <f t="shared" si="34"/>
        <v>0</v>
      </c>
      <c r="L552" s="405">
        <f t="shared" si="35"/>
        <v>0</v>
      </c>
      <c r="M552" s="403"/>
    </row>
    <row r="553" spans="1:13" ht="15.75" x14ac:dyDescent="0.25">
      <c r="A553" s="2" t="s">
        <v>883</v>
      </c>
      <c r="B553" s="3" t="s">
        <v>884</v>
      </c>
      <c r="C553" s="2"/>
      <c r="D553" s="4" t="s">
        <v>3</v>
      </c>
      <c r="E553" s="403"/>
      <c r="F553" s="403">
        <f>BBNTHT!J593</f>
        <v>0</v>
      </c>
      <c r="G553" s="403">
        <f t="shared" si="32"/>
        <v>0</v>
      </c>
      <c r="H553" s="5"/>
      <c r="I553" s="404"/>
      <c r="J553" s="403"/>
      <c r="K553" s="404">
        <f t="shared" si="34"/>
        <v>0</v>
      </c>
      <c r="L553" s="405">
        <f t="shared" si="35"/>
        <v>0</v>
      </c>
      <c r="M553" s="403"/>
    </row>
    <row r="554" spans="1:13" ht="15.75" x14ac:dyDescent="0.25">
      <c r="A554" s="6" t="s">
        <v>885</v>
      </c>
      <c r="B554" s="7" t="s">
        <v>626</v>
      </c>
      <c r="C554" s="6" t="s">
        <v>9</v>
      </c>
      <c r="D554" s="8">
        <v>1</v>
      </c>
      <c r="E554" s="403"/>
      <c r="F554" s="403">
        <f>BBNTHT!J594</f>
        <v>0</v>
      </c>
      <c r="G554" s="403">
        <f t="shared" si="32"/>
        <v>0</v>
      </c>
      <c r="H554" s="9">
        <v>607994</v>
      </c>
      <c r="I554" s="404">
        <f t="shared" si="33"/>
        <v>607994</v>
      </c>
      <c r="J554" s="403"/>
      <c r="K554" s="404">
        <f t="shared" si="34"/>
        <v>0</v>
      </c>
      <c r="L554" s="405">
        <f t="shared" si="35"/>
        <v>0</v>
      </c>
      <c r="M554" s="403"/>
    </row>
    <row r="555" spans="1:13" ht="15.75" x14ac:dyDescent="0.25">
      <c r="A555" s="6" t="s">
        <v>886</v>
      </c>
      <c r="B555" s="7" t="s">
        <v>804</v>
      </c>
      <c r="C555" s="6" t="s">
        <v>9</v>
      </c>
      <c r="D555" s="8">
        <v>2</v>
      </c>
      <c r="E555" s="403"/>
      <c r="F555" s="403">
        <f>BBNTHT!J595</f>
        <v>0</v>
      </c>
      <c r="G555" s="403">
        <f t="shared" si="32"/>
        <v>0</v>
      </c>
      <c r="H555" s="9">
        <v>745395</v>
      </c>
      <c r="I555" s="404">
        <f t="shared" si="33"/>
        <v>1490790</v>
      </c>
      <c r="J555" s="403"/>
      <c r="K555" s="404">
        <f t="shared" si="34"/>
        <v>0</v>
      </c>
      <c r="L555" s="405">
        <f t="shared" si="35"/>
        <v>0</v>
      </c>
      <c r="M555" s="403"/>
    </row>
    <row r="556" spans="1:13" ht="15.75" x14ac:dyDescent="0.25">
      <c r="A556" s="6" t="s">
        <v>887</v>
      </c>
      <c r="B556" s="7" t="s">
        <v>628</v>
      </c>
      <c r="C556" s="6" t="s">
        <v>9</v>
      </c>
      <c r="D556" s="8">
        <v>2</v>
      </c>
      <c r="E556" s="403"/>
      <c r="F556" s="403">
        <f>BBNTHT!J596</f>
        <v>0</v>
      </c>
      <c r="G556" s="403">
        <f t="shared" si="32"/>
        <v>0</v>
      </c>
      <c r="H556" s="9">
        <v>138060</v>
      </c>
      <c r="I556" s="404">
        <f t="shared" si="33"/>
        <v>276120</v>
      </c>
      <c r="J556" s="403"/>
      <c r="K556" s="404">
        <f t="shared" si="34"/>
        <v>0</v>
      </c>
      <c r="L556" s="405">
        <f t="shared" si="35"/>
        <v>0</v>
      </c>
      <c r="M556" s="403"/>
    </row>
    <row r="557" spans="1:13" ht="15.75" x14ac:dyDescent="0.25">
      <c r="A557" s="6" t="s">
        <v>888</v>
      </c>
      <c r="B557" s="7" t="s">
        <v>593</v>
      </c>
      <c r="C557" s="6" t="s">
        <v>9</v>
      </c>
      <c r="D557" s="8">
        <v>2</v>
      </c>
      <c r="E557" s="403"/>
      <c r="F557" s="403">
        <f>BBNTHT!J597</f>
        <v>0</v>
      </c>
      <c r="G557" s="403">
        <f t="shared" si="32"/>
        <v>0</v>
      </c>
      <c r="H557" s="9">
        <v>138060</v>
      </c>
      <c r="I557" s="404">
        <f t="shared" si="33"/>
        <v>276120</v>
      </c>
      <c r="J557" s="403"/>
      <c r="K557" s="404">
        <f t="shared" si="34"/>
        <v>0</v>
      </c>
      <c r="L557" s="405">
        <f t="shared" si="35"/>
        <v>0</v>
      </c>
      <c r="M557" s="403"/>
    </row>
    <row r="558" spans="1:13" ht="15.75" x14ac:dyDescent="0.25">
      <c r="A558" s="6" t="s">
        <v>889</v>
      </c>
      <c r="B558" s="7" t="s">
        <v>890</v>
      </c>
      <c r="C558" s="6" t="s">
        <v>499</v>
      </c>
      <c r="D558" s="8">
        <v>1</v>
      </c>
      <c r="E558" s="403"/>
      <c r="F558" s="403">
        <f>BBNTHT!J598</f>
        <v>0</v>
      </c>
      <c r="G558" s="403">
        <f t="shared" si="32"/>
        <v>0</v>
      </c>
      <c r="H558" s="9">
        <v>725512</v>
      </c>
      <c r="I558" s="404">
        <f t="shared" si="33"/>
        <v>725512</v>
      </c>
      <c r="J558" s="403"/>
      <c r="K558" s="404">
        <f t="shared" si="34"/>
        <v>0</v>
      </c>
      <c r="L558" s="405">
        <f t="shared" si="35"/>
        <v>0</v>
      </c>
      <c r="M558" s="403"/>
    </row>
    <row r="559" spans="1:13" ht="15.75" x14ac:dyDescent="0.25">
      <c r="A559" s="2" t="s">
        <v>891</v>
      </c>
      <c r="B559" s="3" t="s">
        <v>892</v>
      </c>
      <c r="C559" s="2"/>
      <c r="D559" s="4" t="s">
        <v>3</v>
      </c>
      <c r="E559" s="403"/>
      <c r="F559" s="403">
        <f>BBNTHT!J599</f>
        <v>0</v>
      </c>
      <c r="G559" s="403">
        <f t="shared" si="32"/>
        <v>0</v>
      </c>
      <c r="H559" s="5"/>
      <c r="I559" s="404"/>
      <c r="J559" s="403"/>
      <c r="K559" s="404">
        <f t="shared" si="34"/>
        <v>0</v>
      </c>
      <c r="L559" s="405">
        <f t="shared" si="35"/>
        <v>0</v>
      </c>
      <c r="M559" s="403"/>
    </row>
    <row r="560" spans="1:13" ht="15.75" x14ac:dyDescent="0.25">
      <c r="A560" s="6" t="s">
        <v>893</v>
      </c>
      <c r="B560" s="7" t="s">
        <v>626</v>
      </c>
      <c r="C560" s="6" t="s">
        <v>9</v>
      </c>
      <c r="D560" s="8">
        <v>1</v>
      </c>
      <c r="E560" s="403"/>
      <c r="F560" s="403">
        <f>BBNTHT!J600</f>
        <v>0</v>
      </c>
      <c r="G560" s="403">
        <f t="shared" si="32"/>
        <v>0</v>
      </c>
      <c r="H560" s="9">
        <v>607994</v>
      </c>
      <c r="I560" s="404">
        <f t="shared" si="33"/>
        <v>607994</v>
      </c>
      <c r="J560" s="403"/>
      <c r="K560" s="404">
        <f t="shared" si="34"/>
        <v>0</v>
      </c>
      <c r="L560" s="405">
        <f t="shared" si="35"/>
        <v>0</v>
      </c>
      <c r="M560" s="403"/>
    </row>
    <row r="561" spans="1:13" ht="15.75" x14ac:dyDescent="0.25">
      <c r="A561" s="6" t="s">
        <v>894</v>
      </c>
      <c r="B561" s="7" t="s">
        <v>804</v>
      </c>
      <c r="C561" s="6" t="s">
        <v>9</v>
      </c>
      <c r="D561" s="8">
        <v>2</v>
      </c>
      <c r="E561" s="403"/>
      <c r="F561" s="403">
        <f>BBNTHT!J601</f>
        <v>0</v>
      </c>
      <c r="G561" s="403">
        <f t="shared" si="32"/>
        <v>0</v>
      </c>
      <c r="H561" s="9">
        <v>745395</v>
      </c>
      <c r="I561" s="404">
        <f t="shared" si="33"/>
        <v>1490790</v>
      </c>
      <c r="J561" s="403"/>
      <c r="K561" s="404">
        <f t="shared" si="34"/>
        <v>0</v>
      </c>
      <c r="L561" s="405">
        <f t="shared" si="35"/>
        <v>0</v>
      </c>
      <c r="M561" s="403"/>
    </row>
    <row r="562" spans="1:13" ht="15.75" x14ac:dyDescent="0.25">
      <c r="A562" s="6" t="s">
        <v>895</v>
      </c>
      <c r="B562" s="7" t="s">
        <v>628</v>
      </c>
      <c r="C562" s="6" t="s">
        <v>9</v>
      </c>
      <c r="D562" s="8">
        <v>1</v>
      </c>
      <c r="E562" s="403"/>
      <c r="F562" s="403">
        <f>BBNTHT!J602</f>
        <v>0</v>
      </c>
      <c r="G562" s="403">
        <f t="shared" si="32"/>
        <v>0</v>
      </c>
      <c r="H562" s="9">
        <v>138060</v>
      </c>
      <c r="I562" s="404">
        <f t="shared" si="33"/>
        <v>138060</v>
      </c>
      <c r="J562" s="403"/>
      <c r="K562" s="404">
        <f t="shared" si="34"/>
        <v>0</v>
      </c>
      <c r="L562" s="405">
        <f t="shared" si="35"/>
        <v>0</v>
      </c>
      <c r="M562" s="403"/>
    </row>
    <row r="563" spans="1:13" ht="15.75" x14ac:dyDescent="0.25">
      <c r="A563" s="6" t="s">
        <v>896</v>
      </c>
      <c r="B563" s="7" t="s">
        <v>593</v>
      </c>
      <c r="C563" s="6" t="s">
        <v>9</v>
      </c>
      <c r="D563" s="8">
        <v>2</v>
      </c>
      <c r="E563" s="403"/>
      <c r="F563" s="403">
        <f>BBNTHT!J603</f>
        <v>0</v>
      </c>
      <c r="G563" s="403">
        <f t="shared" si="32"/>
        <v>0</v>
      </c>
      <c r="H563" s="9">
        <v>138060</v>
      </c>
      <c r="I563" s="404">
        <f t="shared" si="33"/>
        <v>276120</v>
      </c>
      <c r="J563" s="403"/>
      <c r="K563" s="404">
        <f t="shared" si="34"/>
        <v>0</v>
      </c>
      <c r="L563" s="405">
        <f t="shared" si="35"/>
        <v>0</v>
      </c>
      <c r="M563" s="403"/>
    </row>
    <row r="564" spans="1:13" ht="15.75" x14ac:dyDescent="0.25">
      <c r="A564" s="6" t="s">
        <v>897</v>
      </c>
      <c r="B564" s="7" t="s">
        <v>890</v>
      </c>
      <c r="C564" s="6" t="s">
        <v>499</v>
      </c>
      <c r="D564" s="8">
        <v>1</v>
      </c>
      <c r="E564" s="403"/>
      <c r="F564" s="403">
        <f>BBNTHT!J604</f>
        <v>0</v>
      </c>
      <c r="G564" s="403">
        <f t="shared" si="32"/>
        <v>0</v>
      </c>
      <c r="H564" s="9">
        <v>725512</v>
      </c>
      <c r="I564" s="404">
        <f t="shared" si="33"/>
        <v>725512</v>
      </c>
      <c r="J564" s="403"/>
      <c r="K564" s="404">
        <f t="shared" si="34"/>
        <v>0</v>
      </c>
      <c r="L564" s="405">
        <f t="shared" si="35"/>
        <v>0</v>
      </c>
      <c r="M564" s="403"/>
    </row>
    <row r="565" spans="1:13" ht="15.75" x14ac:dyDescent="0.25">
      <c r="A565" s="2" t="s">
        <v>898</v>
      </c>
      <c r="B565" s="3" t="s">
        <v>899</v>
      </c>
      <c r="C565" s="2"/>
      <c r="D565" s="4" t="s">
        <v>3</v>
      </c>
      <c r="E565" s="403"/>
      <c r="F565" s="403">
        <f>BBNTHT!J605</f>
        <v>0</v>
      </c>
      <c r="G565" s="403">
        <f t="shared" si="32"/>
        <v>0</v>
      </c>
      <c r="H565" s="5"/>
      <c r="I565" s="404"/>
      <c r="J565" s="403"/>
      <c r="K565" s="404">
        <f t="shared" si="34"/>
        <v>0</v>
      </c>
      <c r="L565" s="405">
        <f t="shared" si="35"/>
        <v>0</v>
      </c>
      <c r="M565" s="403"/>
    </row>
    <row r="566" spans="1:13" ht="15.75" x14ac:dyDescent="0.25">
      <c r="A566" s="6" t="s">
        <v>900</v>
      </c>
      <c r="B566" s="7" t="s">
        <v>901</v>
      </c>
      <c r="C566" s="6" t="s">
        <v>9</v>
      </c>
      <c r="D566" s="8">
        <v>1</v>
      </c>
      <c r="E566" s="403"/>
      <c r="F566" s="403">
        <f>BBNTHT!J606</f>
        <v>0</v>
      </c>
      <c r="G566" s="403">
        <f t="shared" si="32"/>
        <v>0</v>
      </c>
      <c r="H566" s="9">
        <v>339821</v>
      </c>
      <c r="I566" s="404">
        <f t="shared" si="33"/>
        <v>339821</v>
      </c>
      <c r="J566" s="403"/>
      <c r="K566" s="404">
        <f t="shared" si="34"/>
        <v>0</v>
      </c>
      <c r="L566" s="405">
        <f t="shared" si="35"/>
        <v>0</v>
      </c>
      <c r="M566" s="403"/>
    </row>
    <row r="567" spans="1:13" ht="15.75" x14ac:dyDescent="0.25">
      <c r="A567" s="6" t="s">
        <v>902</v>
      </c>
      <c r="B567" s="7" t="s">
        <v>804</v>
      </c>
      <c r="C567" s="6" t="s">
        <v>9</v>
      </c>
      <c r="D567" s="8">
        <v>2</v>
      </c>
      <c r="E567" s="403"/>
      <c r="F567" s="403">
        <f>BBNTHT!J607</f>
        <v>0</v>
      </c>
      <c r="G567" s="403">
        <f t="shared" si="32"/>
        <v>0</v>
      </c>
      <c r="H567" s="9">
        <v>745395</v>
      </c>
      <c r="I567" s="404">
        <f t="shared" si="33"/>
        <v>1490790</v>
      </c>
      <c r="J567" s="403"/>
      <c r="K567" s="404">
        <f t="shared" si="34"/>
        <v>0</v>
      </c>
      <c r="L567" s="405">
        <f t="shared" si="35"/>
        <v>0</v>
      </c>
      <c r="M567" s="403"/>
    </row>
    <row r="568" spans="1:13" ht="15.75" x14ac:dyDescent="0.25">
      <c r="A568" s="6" t="s">
        <v>903</v>
      </c>
      <c r="B568" s="7" t="s">
        <v>593</v>
      </c>
      <c r="C568" s="6" t="s">
        <v>9</v>
      </c>
      <c r="D568" s="8">
        <v>4</v>
      </c>
      <c r="E568" s="403"/>
      <c r="F568" s="403">
        <f>BBNTHT!J608</f>
        <v>0</v>
      </c>
      <c r="G568" s="403">
        <f t="shared" si="32"/>
        <v>0</v>
      </c>
      <c r="H568" s="9">
        <v>138060</v>
      </c>
      <c r="I568" s="404">
        <f t="shared" si="33"/>
        <v>552240</v>
      </c>
      <c r="J568" s="403"/>
      <c r="K568" s="404">
        <f t="shared" si="34"/>
        <v>0</v>
      </c>
      <c r="L568" s="405">
        <f t="shared" si="35"/>
        <v>0</v>
      </c>
      <c r="M568" s="403"/>
    </row>
    <row r="569" spans="1:13" ht="15.75" x14ac:dyDescent="0.25">
      <c r="A569" s="6" t="s">
        <v>904</v>
      </c>
      <c r="B569" s="7" t="s">
        <v>808</v>
      </c>
      <c r="C569" s="6" t="s">
        <v>499</v>
      </c>
      <c r="D569" s="8">
        <v>1</v>
      </c>
      <c r="E569" s="403"/>
      <c r="F569" s="403">
        <f>BBNTHT!J609</f>
        <v>0</v>
      </c>
      <c r="G569" s="403">
        <f t="shared" si="32"/>
        <v>0</v>
      </c>
      <c r="H569" s="9">
        <v>386084</v>
      </c>
      <c r="I569" s="404">
        <f t="shared" si="33"/>
        <v>386084</v>
      </c>
      <c r="J569" s="403"/>
      <c r="K569" s="404">
        <f t="shared" si="34"/>
        <v>0</v>
      </c>
      <c r="L569" s="405">
        <f t="shared" si="35"/>
        <v>0</v>
      </c>
      <c r="M569" s="403"/>
    </row>
    <row r="570" spans="1:13" ht="15.75" x14ac:dyDescent="0.25">
      <c r="A570" s="2" t="s">
        <v>905</v>
      </c>
      <c r="B570" s="3" t="s">
        <v>906</v>
      </c>
      <c r="C570" s="2"/>
      <c r="D570" s="4" t="s">
        <v>3</v>
      </c>
      <c r="E570" s="403"/>
      <c r="F570" s="403">
        <f>BBNTHT!J610</f>
        <v>0</v>
      </c>
      <c r="G570" s="403">
        <f t="shared" si="32"/>
        <v>0</v>
      </c>
      <c r="H570" s="5"/>
      <c r="I570" s="404"/>
      <c r="J570" s="403"/>
      <c r="K570" s="404">
        <f t="shared" si="34"/>
        <v>0</v>
      </c>
      <c r="L570" s="405">
        <f t="shared" si="35"/>
        <v>0</v>
      </c>
      <c r="M570" s="403"/>
    </row>
    <row r="571" spans="1:13" ht="15.75" x14ac:dyDescent="0.25">
      <c r="A571" s="6" t="s">
        <v>907</v>
      </c>
      <c r="B571" s="7" t="s">
        <v>901</v>
      </c>
      <c r="C571" s="6" t="s">
        <v>9</v>
      </c>
      <c r="D571" s="8">
        <v>1</v>
      </c>
      <c r="E571" s="403"/>
      <c r="F571" s="403">
        <f>BBNTHT!J611</f>
        <v>0</v>
      </c>
      <c r="G571" s="403">
        <f t="shared" si="32"/>
        <v>0</v>
      </c>
      <c r="H571" s="9">
        <v>339821</v>
      </c>
      <c r="I571" s="404">
        <f t="shared" si="33"/>
        <v>339821</v>
      </c>
      <c r="J571" s="403"/>
      <c r="K571" s="404">
        <f t="shared" si="34"/>
        <v>0</v>
      </c>
      <c r="L571" s="405">
        <f t="shared" si="35"/>
        <v>0</v>
      </c>
      <c r="M571" s="403"/>
    </row>
    <row r="572" spans="1:13" ht="15.75" x14ac:dyDescent="0.25">
      <c r="A572" s="6" t="s">
        <v>908</v>
      </c>
      <c r="B572" s="7" t="s">
        <v>804</v>
      </c>
      <c r="C572" s="6" t="s">
        <v>9</v>
      </c>
      <c r="D572" s="8">
        <v>2</v>
      </c>
      <c r="E572" s="403"/>
      <c r="F572" s="403">
        <f>BBNTHT!J612</f>
        <v>0</v>
      </c>
      <c r="G572" s="403">
        <f t="shared" si="32"/>
        <v>0</v>
      </c>
      <c r="H572" s="9">
        <v>745395</v>
      </c>
      <c r="I572" s="404">
        <f t="shared" si="33"/>
        <v>1490790</v>
      </c>
      <c r="J572" s="403"/>
      <c r="K572" s="404">
        <f t="shared" si="34"/>
        <v>0</v>
      </c>
      <c r="L572" s="405">
        <f t="shared" si="35"/>
        <v>0</v>
      </c>
      <c r="M572" s="403"/>
    </row>
    <row r="573" spans="1:13" ht="15.75" x14ac:dyDescent="0.25">
      <c r="A573" s="6" t="s">
        <v>909</v>
      </c>
      <c r="B573" s="7" t="s">
        <v>593</v>
      </c>
      <c r="C573" s="6" t="s">
        <v>9</v>
      </c>
      <c r="D573" s="8">
        <v>3</v>
      </c>
      <c r="E573" s="403"/>
      <c r="F573" s="403">
        <f>BBNTHT!J613</f>
        <v>0</v>
      </c>
      <c r="G573" s="403">
        <f t="shared" si="32"/>
        <v>0</v>
      </c>
      <c r="H573" s="9">
        <v>138060</v>
      </c>
      <c r="I573" s="404">
        <f t="shared" si="33"/>
        <v>414180</v>
      </c>
      <c r="J573" s="403"/>
      <c r="K573" s="404">
        <f t="shared" si="34"/>
        <v>0</v>
      </c>
      <c r="L573" s="405">
        <f t="shared" si="35"/>
        <v>0</v>
      </c>
      <c r="M573" s="403"/>
    </row>
    <row r="574" spans="1:13" ht="15.75" x14ac:dyDescent="0.25">
      <c r="A574" s="6" t="s">
        <v>910</v>
      </c>
      <c r="B574" s="7" t="s">
        <v>808</v>
      </c>
      <c r="C574" s="6" t="s">
        <v>499</v>
      </c>
      <c r="D574" s="8">
        <v>1</v>
      </c>
      <c r="E574" s="403"/>
      <c r="F574" s="403">
        <f>BBNTHT!J614</f>
        <v>0</v>
      </c>
      <c r="G574" s="403">
        <f t="shared" si="32"/>
        <v>0</v>
      </c>
      <c r="H574" s="9">
        <v>386084</v>
      </c>
      <c r="I574" s="404">
        <f t="shared" si="33"/>
        <v>386084</v>
      </c>
      <c r="J574" s="403"/>
      <c r="K574" s="404">
        <f t="shared" si="34"/>
        <v>0</v>
      </c>
      <c r="L574" s="405">
        <f t="shared" si="35"/>
        <v>0</v>
      </c>
      <c r="M574" s="403"/>
    </row>
    <row r="575" spans="1:13" ht="31.5" x14ac:dyDescent="0.25">
      <c r="A575" s="2" t="s">
        <v>911</v>
      </c>
      <c r="B575" s="3" t="s">
        <v>912</v>
      </c>
      <c r="C575" s="2"/>
      <c r="D575" s="4" t="s">
        <v>3</v>
      </c>
      <c r="E575" s="403"/>
      <c r="F575" s="403">
        <f>BBNTHT!J615</f>
        <v>0</v>
      </c>
      <c r="G575" s="403">
        <f t="shared" si="32"/>
        <v>0</v>
      </c>
      <c r="H575" s="5"/>
      <c r="I575" s="404"/>
      <c r="J575" s="403"/>
      <c r="K575" s="404">
        <f t="shared" si="34"/>
        <v>0</v>
      </c>
      <c r="L575" s="405">
        <f t="shared" si="35"/>
        <v>0</v>
      </c>
      <c r="M575" s="403"/>
    </row>
    <row r="576" spans="1:13" ht="15.75" x14ac:dyDescent="0.25">
      <c r="A576" s="6" t="s">
        <v>913</v>
      </c>
      <c r="B576" s="7" t="s">
        <v>812</v>
      </c>
      <c r="C576" s="6" t="s">
        <v>9</v>
      </c>
      <c r="D576" s="8">
        <v>1</v>
      </c>
      <c r="E576" s="403"/>
      <c r="F576" s="403">
        <f>BBNTHT!J616</f>
        <v>0</v>
      </c>
      <c r="G576" s="403">
        <f t="shared" si="32"/>
        <v>0</v>
      </c>
      <c r="H576" s="9">
        <v>339821</v>
      </c>
      <c r="I576" s="404">
        <f t="shared" si="33"/>
        <v>339821</v>
      </c>
      <c r="J576" s="403"/>
      <c r="K576" s="404">
        <f t="shared" si="34"/>
        <v>0</v>
      </c>
      <c r="L576" s="405">
        <f t="shared" si="35"/>
        <v>0</v>
      </c>
      <c r="M576" s="403"/>
    </row>
    <row r="577" spans="1:13" ht="15.75" x14ac:dyDescent="0.25">
      <c r="A577" s="6" t="s">
        <v>914</v>
      </c>
      <c r="B577" s="7" t="s">
        <v>804</v>
      </c>
      <c r="C577" s="6" t="s">
        <v>9</v>
      </c>
      <c r="D577" s="8">
        <v>1</v>
      </c>
      <c r="E577" s="403"/>
      <c r="F577" s="403">
        <f>BBNTHT!J617</f>
        <v>0</v>
      </c>
      <c r="G577" s="403">
        <f t="shared" si="32"/>
        <v>0</v>
      </c>
      <c r="H577" s="9">
        <v>745395</v>
      </c>
      <c r="I577" s="404">
        <f t="shared" si="33"/>
        <v>745395</v>
      </c>
      <c r="J577" s="403"/>
      <c r="K577" s="404">
        <f t="shared" si="34"/>
        <v>0</v>
      </c>
      <c r="L577" s="405">
        <f t="shared" si="35"/>
        <v>0</v>
      </c>
      <c r="M577" s="403"/>
    </row>
    <row r="578" spans="1:13" ht="15.75" x14ac:dyDescent="0.25">
      <c r="A578" s="6" t="s">
        <v>915</v>
      </c>
      <c r="B578" s="7" t="s">
        <v>593</v>
      </c>
      <c r="C578" s="6" t="s">
        <v>9</v>
      </c>
      <c r="D578" s="8">
        <v>2</v>
      </c>
      <c r="E578" s="403"/>
      <c r="F578" s="403">
        <f>BBNTHT!J618</f>
        <v>0</v>
      </c>
      <c r="G578" s="403">
        <f t="shared" si="32"/>
        <v>0</v>
      </c>
      <c r="H578" s="9">
        <v>138060</v>
      </c>
      <c r="I578" s="404">
        <f t="shared" si="33"/>
        <v>276120</v>
      </c>
      <c r="J578" s="403"/>
      <c r="K578" s="404">
        <f t="shared" si="34"/>
        <v>0</v>
      </c>
      <c r="L578" s="405">
        <f t="shared" si="35"/>
        <v>0</v>
      </c>
      <c r="M578" s="403"/>
    </row>
    <row r="579" spans="1:13" ht="15.75" x14ac:dyDescent="0.25">
      <c r="A579" s="6" t="s">
        <v>916</v>
      </c>
      <c r="B579" s="7" t="s">
        <v>816</v>
      </c>
      <c r="C579" s="6" t="s">
        <v>499</v>
      </c>
      <c r="D579" s="8">
        <v>1</v>
      </c>
      <c r="E579" s="403"/>
      <c r="F579" s="403">
        <f>BBNTHT!J619</f>
        <v>0</v>
      </c>
      <c r="G579" s="403">
        <f t="shared" si="32"/>
        <v>0</v>
      </c>
      <c r="H579" s="9">
        <v>198184</v>
      </c>
      <c r="I579" s="404">
        <f t="shared" si="33"/>
        <v>198184</v>
      </c>
      <c r="J579" s="403"/>
      <c r="K579" s="404">
        <f t="shared" si="34"/>
        <v>0</v>
      </c>
      <c r="L579" s="405">
        <f t="shared" si="35"/>
        <v>0</v>
      </c>
      <c r="M579" s="403"/>
    </row>
    <row r="580" spans="1:13" ht="15.75" x14ac:dyDescent="0.25">
      <c r="A580" s="2" t="s">
        <v>917</v>
      </c>
      <c r="B580" s="3" t="s">
        <v>918</v>
      </c>
      <c r="C580" s="2"/>
      <c r="D580" s="4" t="s">
        <v>3</v>
      </c>
      <c r="E580" s="403"/>
      <c r="F580" s="403">
        <f>BBNTHT!J620</f>
        <v>0</v>
      </c>
      <c r="G580" s="403">
        <f t="shared" si="32"/>
        <v>0</v>
      </c>
      <c r="H580" s="5"/>
      <c r="I580" s="404"/>
      <c r="J580" s="403"/>
      <c r="K580" s="404">
        <f t="shared" si="34"/>
        <v>0</v>
      </c>
      <c r="L580" s="405">
        <f t="shared" si="35"/>
        <v>0</v>
      </c>
      <c r="M580" s="403"/>
    </row>
    <row r="581" spans="1:13" ht="15.75" x14ac:dyDescent="0.25">
      <c r="A581" s="6" t="s">
        <v>919</v>
      </c>
      <c r="B581" s="7" t="s">
        <v>812</v>
      </c>
      <c r="C581" s="6" t="s">
        <v>9</v>
      </c>
      <c r="D581" s="8">
        <v>1</v>
      </c>
      <c r="E581" s="403"/>
      <c r="F581" s="403">
        <f>BBNTHT!J621</f>
        <v>0</v>
      </c>
      <c r="G581" s="403">
        <f t="shared" si="32"/>
        <v>0</v>
      </c>
      <c r="H581" s="9">
        <v>339821</v>
      </c>
      <c r="I581" s="404">
        <f t="shared" si="33"/>
        <v>339821</v>
      </c>
      <c r="J581" s="403"/>
      <c r="K581" s="404">
        <f t="shared" si="34"/>
        <v>0</v>
      </c>
      <c r="L581" s="405">
        <f t="shared" si="35"/>
        <v>0</v>
      </c>
      <c r="M581" s="403"/>
    </row>
    <row r="582" spans="1:13" ht="15.75" x14ac:dyDescent="0.25">
      <c r="A582" s="6" t="s">
        <v>920</v>
      </c>
      <c r="B582" s="7" t="s">
        <v>804</v>
      </c>
      <c r="C582" s="6" t="s">
        <v>9</v>
      </c>
      <c r="D582" s="8">
        <v>1</v>
      </c>
      <c r="E582" s="403"/>
      <c r="F582" s="403">
        <f>BBNTHT!J622</f>
        <v>0</v>
      </c>
      <c r="G582" s="403">
        <f t="shared" si="32"/>
        <v>0</v>
      </c>
      <c r="H582" s="9">
        <v>745395</v>
      </c>
      <c r="I582" s="404">
        <f t="shared" si="33"/>
        <v>745395</v>
      </c>
      <c r="J582" s="403"/>
      <c r="K582" s="404">
        <f t="shared" si="34"/>
        <v>0</v>
      </c>
      <c r="L582" s="405">
        <f t="shared" si="35"/>
        <v>0</v>
      </c>
      <c r="M582" s="403"/>
    </row>
    <row r="583" spans="1:13" ht="15.75" x14ac:dyDescent="0.25">
      <c r="A583" s="6" t="s">
        <v>921</v>
      </c>
      <c r="B583" s="7" t="s">
        <v>593</v>
      </c>
      <c r="C583" s="6" t="s">
        <v>9</v>
      </c>
      <c r="D583" s="8">
        <v>2</v>
      </c>
      <c r="E583" s="403"/>
      <c r="F583" s="403">
        <f>BBNTHT!J623</f>
        <v>0</v>
      </c>
      <c r="G583" s="403">
        <f t="shared" si="32"/>
        <v>0</v>
      </c>
      <c r="H583" s="9">
        <v>138060</v>
      </c>
      <c r="I583" s="404">
        <f t="shared" si="33"/>
        <v>276120</v>
      </c>
      <c r="J583" s="403"/>
      <c r="K583" s="404">
        <f t="shared" si="34"/>
        <v>0</v>
      </c>
      <c r="L583" s="405">
        <f t="shared" si="35"/>
        <v>0</v>
      </c>
      <c r="M583" s="403"/>
    </row>
    <row r="584" spans="1:13" ht="15.75" x14ac:dyDescent="0.25">
      <c r="A584" s="6" t="s">
        <v>922</v>
      </c>
      <c r="B584" s="7" t="s">
        <v>816</v>
      </c>
      <c r="C584" s="6" t="s">
        <v>499</v>
      </c>
      <c r="D584" s="8">
        <v>1</v>
      </c>
      <c r="E584" s="403"/>
      <c r="F584" s="403">
        <f>BBNTHT!J624</f>
        <v>0</v>
      </c>
      <c r="G584" s="403">
        <f t="shared" si="32"/>
        <v>0</v>
      </c>
      <c r="H584" s="9">
        <v>198184</v>
      </c>
      <c r="I584" s="404">
        <f t="shared" si="33"/>
        <v>198184</v>
      </c>
      <c r="J584" s="403"/>
      <c r="K584" s="404">
        <f t="shared" si="34"/>
        <v>0</v>
      </c>
      <c r="L584" s="405">
        <f t="shared" si="35"/>
        <v>0</v>
      </c>
      <c r="M584" s="403"/>
    </row>
    <row r="585" spans="1:13" ht="31.5" x14ac:dyDescent="0.25">
      <c r="A585" s="2" t="s">
        <v>923</v>
      </c>
      <c r="B585" s="3" t="s">
        <v>924</v>
      </c>
      <c r="C585" s="2"/>
      <c r="D585" s="4" t="s">
        <v>3</v>
      </c>
      <c r="E585" s="403"/>
      <c r="F585" s="403">
        <f>BBNTHT!J625</f>
        <v>0</v>
      </c>
      <c r="G585" s="403">
        <f t="shared" si="32"/>
        <v>0</v>
      </c>
      <c r="H585" s="5"/>
      <c r="I585" s="404"/>
      <c r="J585" s="403"/>
      <c r="K585" s="404">
        <f t="shared" si="34"/>
        <v>0</v>
      </c>
      <c r="L585" s="405">
        <f t="shared" si="35"/>
        <v>0</v>
      </c>
      <c r="M585" s="403"/>
    </row>
    <row r="586" spans="1:13" ht="15.75" x14ac:dyDescent="0.25">
      <c r="A586" s="6" t="s">
        <v>925</v>
      </c>
      <c r="B586" s="7" t="s">
        <v>812</v>
      </c>
      <c r="C586" s="6" t="s">
        <v>9</v>
      </c>
      <c r="D586" s="8">
        <v>1</v>
      </c>
      <c r="E586" s="403"/>
      <c r="F586" s="403">
        <f>BBNTHT!J626</f>
        <v>0</v>
      </c>
      <c r="G586" s="403">
        <f t="shared" si="32"/>
        <v>0</v>
      </c>
      <c r="H586" s="9">
        <v>339821</v>
      </c>
      <c r="I586" s="404">
        <f t="shared" si="33"/>
        <v>339821</v>
      </c>
      <c r="J586" s="403"/>
      <c r="K586" s="404">
        <f t="shared" si="34"/>
        <v>0</v>
      </c>
      <c r="L586" s="405">
        <f t="shared" si="35"/>
        <v>0</v>
      </c>
      <c r="M586" s="403"/>
    </row>
    <row r="587" spans="1:13" ht="15.75" x14ac:dyDescent="0.25">
      <c r="A587" s="6" t="s">
        <v>926</v>
      </c>
      <c r="B587" s="7" t="s">
        <v>804</v>
      </c>
      <c r="C587" s="6" t="s">
        <v>9</v>
      </c>
      <c r="D587" s="8">
        <v>1</v>
      </c>
      <c r="E587" s="403"/>
      <c r="F587" s="403">
        <f>BBNTHT!J627</f>
        <v>0</v>
      </c>
      <c r="G587" s="403">
        <f t="shared" si="32"/>
        <v>0</v>
      </c>
      <c r="H587" s="9">
        <v>745395</v>
      </c>
      <c r="I587" s="404">
        <f t="shared" si="33"/>
        <v>745395</v>
      </c>
      <c r="J587" s="403"/>
      <c r="K587" s="404">
        <f t="shared" si="34"/>
        <v>0</v>
      </c>
      <c r="L587" s="405">
        <f t="shared" si="35"/>
        <v>0</v>
      </c>
      <c r="M587" s="403"/>
    </row>
    <row r="588" spans="1:13" ht="15.75" x14ac:dyDescent="0.25">
      <c r="A588" s="6" t="s">
        <v>927</v>
      </c>
      <c r="B588" s="7" t="s">
        <v>593</v>
      </c>
      <c r="C588" s="6" t="s">
        <v>9</v>
      </c>
      <c r="D588" s="8">
        <v>2</v>
      </c>
      <c r="E588" s="403"/>
      <c r="F588" s="403">
        <f>BBNTHT!J628</f>
        <v>0</v>
      </c>
      <c r="G588" s="403">
        <f t="shared" si="32"/>
        <v>0</v>
      </c>
      <c r="H588" s="9">
        <v>138060</v>
      </c>
      <c r="I588" s="404">
        <f t="shared" si="33"/>
        <v>276120</v>
      </c>
      <c r="J588" s="403"/>
      <c r="K588" s="404">
        <f t="shared" si="34"/>
        <v>0</v>
      </c>
      <c r="L588" s="405">
        <f t="shared" si="35"/>
        <v>0</v>
      </c>
      <c r="M588" s="403"/>
    </row>
    <row r="589" spans="1:13" ht="15.75" x14ac:dyDescent="0.25">
      <c r="A589" s="6" t="s">
        <v>928</v>
      </c>
      <c r="B589" s="7" t="s">
        <v>816</v>
      </c>
      <c r="C589" s="6" t="s">
        <v>499</v>
      </c>
      <c r="D589" s="8">
        <v>1</v>
      </c>
      <c r="E589" s="403"/>
      <c r="F589" s="403">
        <f>BBNTHT!J629</f>
        <v>0</v>
      </c>
      <c r="G589" s="403">
        <f t="shared" si="32"/>
        <v>0</v>
      </c>
      <c r="H589" s="9">
        <v>198184</v>
      </c>
      <c r="I589" s="404">
        <f t="shared" si="33"/>
        <v>198184</v>
      </c>
      <c r="J589" s="403"/>
      <c r="K589" s="404">
        <f t="shared" si="34"/>
        <v>0</v>
      </c>
      <c r="L589" s="405">
        <f t="shared" si="35"/>
        <v>0</v>
      </c>
      <c r="M589" s="403"/>
    </row>
    <row r="590" spans="1:13" ht="31.5" x14ac:dyDescent="0.25">
      <c r="A590" s="2" t="s">
        <v>929</v>
      </c>
      <c r="B590" s="3" t="s">
        <v>930</v>
      </c>
      <c r="C590" s="2"/>
      <c r="D590" s="4" t="s">
        <v>3</v>
      </c>
      <c r="E590" s="403"/>
      <c r="F590" s="403">
        <f>BBNTHT!J630</f>
        <v>0</v>
      </c>
      <c r="G590" s="403">
        <f t="shared" si="32"/>
        <v>0</v>
      </c>
      <c r="H590" s="5"/>
      <c r="I590" s="404"/>
      <c r="J590" s="403"/>
      <c r="K590" s="404">
        <f t="shared" si="34"/>
        <v>0</v>
      </c>
      <c r="L590" s="405">
        <f t="shared" si="35"/>
        <v>0</v>
      </c>
      <c r="M590" s="403"/>
    </row>
    <row r="591" spans="1:13" ht="15.75" x14ac:dyDescent="0.25">
      <c r="A591" s="6" t="s">
        <v>931</v>
      </c>
      <c r="B591" s="7" t="s">
        <v>812</v>
      </c>
      <c r="C591" s="6" t="s">
        <v>9</v>
      </c>
      <c r="D591" s="8">
        <v>1</v>
      </c>
      <c r="E591" s="403"/>
      <c r="F591" s="403">
        <f>BBNTHT!J631</f>
        <v>0</v>
      </c>
      <c r="G591" s="403">
        <f t="shared" si="32"/>
        <v>0</v>
      </c>
      <c r="H591" s="9">
        <v>339821</v>
      </c>
      <c r="I591" s="404">
        <f t="shared" si="33"/>
        <v>339821</v>
      </c>
      <c r="J591" s="403"/>
      <c r="K591" s="404">
        <f t="shared" si="34"/>
        <v>0</v>
      </c>
      <c r="L591" s="405">
        <f t="shared" si="35"/>
        <v>0</v>
      </c>
      <c r="M591" s="403"/>
    </row>
    <row r="592" spans="1:13" ht="15.75" x14ac:dyDescent="0.25">
      <c r="A592" s="6" t="s">
        <v>932</v>
      </c>
      <c r="B592" s="7" t="s">
        <v>804</v>
      </c>
      <c r="C592" s="6" t="s">
        <v>9</v>
      </c>
      <c r="D592" s="8">
        <v>1</v>
      </c>
      <c r="E592" s="403"/>
      <c r="F592" s="403">
        <f>BBNTHT!J632</f>
        <v>0</v>
      </c>
      <c r="G592" s="403">
        <f t="shared" si="32"/>
        <v>0</v>
      </c>
      <c r="H592" s="9">
        <v>745395</v>
      </c>
      <c r="I592" s="404">
        <f t="shared" si="33"/>
        <v>745395</v>
      </c>
      <c r="J592" s="403"/>
      <c r="K592" s="404">
        <f t="shared" si="34"/>
        <v>0</v>
      </c>
      <c r="L592" s="405">
        <f t="shared" si="35"/>
        <v>0</v>
      </c>
      <c r="M592" s="403"/>
    </row>
    <row r="593" spans="1:13" ht="15.75" x14ac:dyDescent="0.25">
      <c r="A593" s="6" t="s">
        <v>933</v>
      </c>
      <c r="B593" s="7" t="s">
        <v>593</v>
      </c>
      <c r="C593" s="6" t="s">
        <v>9</v>
      </c>
      <c r="D593" s="8">
        <v>2</v>
      </c>
      <c r="E593" s="403"/>
      <c r="F593" s="403">
        <f>BBNTHT!J633</f>
        <v>0</v>
      </c>
      <c r="G593" s="403">
        <f t="shared" si="32"/>
        <v>0</v>
      </c>
      <c r="H593" s="9">
        <v>138060</v>
      </c>
      <c r="I593" s="404">
        <f t="shared" si="33"/>
        <v>276120</v>
      </c>
      <c r="J593" s="403"/>
      <c r="K593" s="404">
        <f t="shared" si="34"/>
        <v>0</v>
      </c>
      <c r="L593" s="405">
        <f t="shared" si="35"/>
        <v>0</v>
      </c>
      <c r="M593" s="403"/>
    </row>
    <row r="594" spans="1:13" ht="15.75" x14ac:dyDescent="0.25">
      <c r="A594" s="6" t="s">
        <v>934</v>
      </c>
      <c r="B594" s="7" t="s">
        <v>816</v>
      </c>
      <c r="C594" s="6" t="s">
        <v>499</v>
      </c>
      <c r="D594" s="8">
        <v>1</v>
      </c>
      <c r="E594" s="403"/>
      <c r="F594" s="403">
        <f>BBNTHT!J634</f>
        <v>0</v>
      </c>
      <c r="G594" s="403">
        <f t="shared" ref="G594:G657" si="36">F594+E594</f>
        <v>0</v>
      </c>
      <c r="H594" s="9">
        <v>198184</v>
      </c>
      <c r="I594" s="404">
        <f t="shared" ref="I594:I657" si="37">ROUND(D594*H594,0)</f>
        <v>198184</v>
      </c>
      <c r="J594" s="403"/>
      <c r="K594" s="404">
        <f t="shared" ref="K594:K657" si="38">ROUND(F594*H594,0)</f>
        <v>0</v>
      </c>
      <c r="L594" s="405">
        <f t="shared" ref="L594:L657" si="39">J594+K594</f>
        <v>0</v>
      </c>
      <c r="M594" s="403"/>
    </row>
    <row r="595" spans="1:13" ht="15.75" x14ac:dyDescent="0.25">
      <c r="A595" s="2" t="s">
        <v>935</v>
      </c>
      <c r="B595" s="3" t="s">
        <v>936</v>
      </c>
      <c r="C595" s="2"/>
      <c r="D595" s="4" t="s">
        <v>3</v>
      </c>
      <c r="E595" s="403"/>
      <c r="F595" s="403">
        <f>BBNTHT!J635</f>
        <v>0</v>
      </c>
      <c r="G595" s="403">
        <f t="shared" si="36"/>
        <v>0</v>
      </c>
      <c r="H595" s="5"/>
      <c r="I595" s="404"/>
      <c r="J595" s="403"/>
      <c r="K595" s="404">
        <f t="shared" si="38"/>
        <v>0</v>
      </c>
      <c r="L595" s="405">
        <f t="shared" si="39"/>
        <v>0</v>
      </c>
      <c r="M595" s="403"/>
    </row>
    <row r="596" spans="1:13" ht="15.75" x14ac:dyDescent="0.25">
      <c r="A596" s="6" t="s">
        <v>937</v>
      </c>
      <c r="B596" s="7" t="s">
        <v>812</v>
      </c>
      <c r="C596" s="6" t="s">
        <v>9</v>
      </c>
      <c r="D596" s="8">
        <v>1</v>
      </c>
      <c r="E596" s="403"/>
      <c r="F596" s="403">
        <f>BBNTHT!J636</f>
        <v>0</v>
      </c>
      <c r="G596" s="403">
        <f t="shared" si="36"/>
        <v>0</v>
      </c>
      <c r="H596" s="9">
        <v>339821</v>
      </c>
      <c r="I596" s="404">
        <f t="shared" si="37"/>
        <v>339821</v>
      </c>
      <c r="J596" s="403"/>
      <c r="K596" s="404">
        <f t="shared" si="38"/>
        <v>0</v>
      </c>
      <c r="L596" s="405">
        <f t="shared" si="39"/>
        <v>0</v>
      </c>
      <c r="M596" s="403"/>
    </row>
    <row r="597" spans="1:13" ht="15.75" x14ac:dyDescent="0.25">
      <c r="A597" s="6" t="s">
        <v>938</v>
      </c>
      <c r="B597" s="7" t="s">
        <v>804</v>
      </c>
      <c r="C597" s="6" t="s">
        <v>9</v>
      </c>
      <c r="D597" s="8">
        <v>1</v>
      </c>
      <c r="E597" s="403"/>
      <c r="F597" s="403">
        <f>BBNTHT!J637</f>
        <v>0</v>
      </c>
      <c r="G597" s="403">
        <f t="shared" si="36"/>
        <v>0</v>
      </c>
      <c r="H597" s="9">
        <v>745395</v>
      </c>
      <c r="I597" s="404">
        <f t="shared" si="37"/>
        <v>745395</v>
      </c>
      <c r="J597" s="403"/>
      <c r="K597" s="404">
        <f t="shared" si="38"/>
        <v>0</v>
      </c>
      <c r="L597" s="405">
        <f t="shared" si="39"/>
        <v>0</v>
      </c>
      <c r="M597" s="403"/>
    </row>
    <row r="598" spans="1:13" ht="15.75" x14ac:dyDescent="0.25">
      <c r="A598" s="6" t="s">
        <v>939</v>
      </c>
      <c r="B598" s="7" t="s">
        <v>593</v>
      </c>
      <c r="C598" s="6" t="s">
        <v>9</v>
      </c>
      <c r="D598" s="8">
        <v>2</v>
      </c>
      <c r="E598" s="403"/>
      <c r="F598" s="403">
        <f>BBNTHT!J638</f>
        <v>0</v>
      </c>
      <c r="G598" s="403">
        <f t="shared" si="36"/>
        <v>0</v>
      </c>
      <c r="H598" s="9">
        <v>138060</v>
      </c>
      <c r="I598" s="404">
        <f t="shared" si="37"/>
        <v>276120</v>
      </c>
      <c r="J598" s="403"/>
      <c r="K598" s="404">
        <f t="shared" si="38"/>
        <v>0</v>
      </c>
      <c r="L598" s="405">
        <f t="shared" si="39"/>
        <v>0</v>
      </c>
      <c r="M598" s="403"/>
    </row>
    <row r="599" spans="1:13" ht="15.75" x14ac:dyDescent="0.25">
      <c r="A599" s="6" t="s">
        <v>940</v>
      </c>
      <c r="B599" s="7" t="s">
        <v>816</v>
      </c>
      <c r="C599" s="6" t="s">
        <v>499</v>
      </c>
      <c r="D599" s="8">
        <v>1</v>
      </c>
      <c r="E599" s="403"/>
      <c r="F599" s="403">
        <f>BBNTHT!J639</f>
        <v>0</v>
      </c>
      <c r="G599" s="403">
        <f t="shared" si="36"/>
        <v>0</v>
      </c>
      <c r="H599" s="9">
        <v>198184</v>
      </c>
      <c r="I599" s="404">
        <f t="shared" si="37"/>
        <v>198184</v>
      </c>
      <c r="J599" s="403"/>
      <c r="K599" s="404">
        <f t="shared" si="38"/>
        <v>0</v>
      </c>
      <c r="L599" s="405">
        <f t="shared" si="39"/>
        <v>0</v>
      </c>
      <c r="M599" s="403"/>
    </row>
    <row r="600" spans="1:13" ht="15.75" x14ac:dyDescent="0.25">
      <c r="A600" s="2" t="s">
        <v>941</v>
      </c>
      <c r="B600" s="3" t="s">
        <v>942</v>
      </c>
      <c r="C600" s="2"/>
      <c r="D600" s="4" t="s">
        <v>3</v>
      </c>
      <c r="E600" s="403"/>
      <c r="F600" s="403">
        <f>BBNTHT!J640</f>
        <v>0</v>
      </c>
      <c r="G600" s="403">
        <f t="shared" si="36"/>
        <v>0</v>
      </c>
      <c r="H600" s="5"/>
      <c r="I600" s="404"/>
      <c r="J600" s="403"/>
      <c r="K600" s="404">
        <f t="shared" si="38"/>
        <v>0</v>
      </c>
      <c r="L600" s="405">
        <f t="shared" si="39"/>
        <v>0</v>
      </c>
      <c r="M600" s="403"/>
    </row>
    <row r="601" spans="1:13" ht="15.75" x14ac:dyDescent="0.25">
      <c r="A601" s="6" t="s">
        <v>943</v>
      </c>
      <c r="B601" s="7" t="s">
        <v>812</v>
      </c>
      <c r="C601" s="6" t="s">
        <v>9</v>
      </c>
      <c r="D601" s="8">
        <v>1</v>
      </c>
      <c r="E601" s="403"/>
      <c r="F601" s="403">
        <f>BBNTHT!J641</f>
        <v>0</v>
      </c>
      <c r="G601" s="403">
        <f t="shared" si="36"/>
        <v>0</v>
      </c>
      <c r="H601" s="9">
        <v>339821</v>
      </c>
      <c r="I601" s="404">
        <f t="shared" si="37"/>
        <v>339821</v>
      </c>
      <c r="J601" s="403"/>
      <c r="K601" s="404">
        <f t="shared" si="38"/>
        <v>0</v>
      </c>
      <c r="L601" s="405">
        <f t="shared" si="39"/>
        <v>0</v>
      </c>
      <c r="M601" s="403"/>
    </row>
    <row r="602" spans="1:13" ht="15.75" x14ac:dyDescent="0.25">
      <c r="A602" s="6" t="s">
        <v>944</v>
      </c>
      <c r="B602" s="7" t="s">
        <v>804</v>
      </c>
      <c r="C602" s="6" t="s">
        <v>9</v>
      </c>
      <c r="D602" s="8">
        <v>1</v>
      </c>
      <c r="E602" s="403"/>
      <c r="F602" s="403">
        <f>BBNTHT!J642</f>
        <v>0</v>
      </c>
      <c r="G602" s="403">
        <f t="shared" si="36"/>
        <v>0</v>
      </c>
      <c r="H602" s="9">
        <v>745395</v>
      </c>
      <c r="I602" s="404">
        <f t="shared" si="37"/>
        <v>745395</v>
      </c>
      <c r="J602" s="403"/>
      <c r="K602" s="404">
        <f t="shared" si="38"/>
        <v>0</v>
      </c>
      <c r="L602" s="405">
        <f t="shared" si="39"/>
        <v>0</v>
      </c>
      <c r="M602" s="403"/>
    </row>
    <row r="603" spans="1:13" ht="15.75" x14ac:dyDescent="0.25">
      <c r="A603" s="6" t="s">
        <v>945</v>
      </c>
      <c r="B603" s="7" t="s">
        <v>593</v>
      </c>
      <c r="C603" s="6" t="s">
        <v>9</v>
      </c>
      <c r="D603" s="8">
        <v>2</v>
      </c>
      <c r="E603" s="403"/>
      <c r="F603" s="403">
        <f>BBNTHT!J643</f>
        <v>0</v>
      </c>
      <c r="G603" s="403">
        <f t="shared" si="36"/>
        <v>0</v>
      </c>
      <c r="H603" s="9">
        <v>138060</v>
      </c>
      <c r="I603" s="404">
        <f t="shared" si="37"/>
        <v>276120</v>
      </c>
      <c r="J603" s="403"/>
      <c r="K603" s="404">
        <f t="shared" si="38"/>
        <v>0</v>
      </c>
      <c r="L603" s="405">
        <f t="shared" si="39"/>
        <v>0</v>
      </c>
      <c r="M603" s="403"/>
    </row>
    <row r="604" spans="1:13" ht="15.75" x14ac:dyDescent="0.25">
      <c r="A604" s="6" t="s">
        <v>946</v>
      </c>
      <c r="B604" s="7" t="s">
        <v>816</v>
      </c>
      <c r="C604" s="6" t="s">
        <v>499</v>
      </c>
      <c r="D604" s="8">
        <v>1</v>
      </c>
      <c r="E604" s="403"/>
      <c r="F604" s="403">
        <f>BBNTHT!J644</f>
        <v>0</v>
      </c>
      <c r="G604" s="403">
        <f t="shared" si="36"/>
        <v>0</v>
      </c>
      <c r="H604" s="9">
        <v>198184</v>
      </c>
      <c r="I604" s="404">
        <f t="shared" si="37"/>
        <v>198184</v>
      </c>
      <c r="J604" s="403"/>
      <c r="K604" s="404">
        <f t="shared" si="38"/>
        <v>0</v>
      </c>
      <c r="L604" s="405">
        <f t="shared" si="39"/>
        <v>0</v>
      </c>
      <c r="M604" s="403"/>
    </row>
    <row r="605" spans="1:13" ht="15.75" x14ac:dyDescent="0.25">
      <c r="A605" s="2" t="s">
        <v>947</v>
      </c>
      <c r="B605" s="3" t="s">
        <v>948</v>
      </c>
      <c r="C605" s="2"/>
      <c r="D605" s="4" t="s">
        <v>3</v>
      </c>
      <c r="E605" s="403"/>
      <c r="F605" s="403">
        <f>BBNTHT!J645</f>
        <v>0</v>
      </c>
      <c r="G605" s="403">
        <f t="shared" si="36"/>
        <v>0</v>
      </c>
      <c r="H605" s="5"/>
      <c r="I605" s="404"/>
      <c r="J605" s="403"/>
      <c r="K605" s="404">
        <f t="shared" si="38"/>
        <v>0</v>
      </c>
      <c r="L605" s="405">
        <f t="shared" si="39"/>
        <v>0</v>
      </c>
      <c r="M605" s="403"/>
    </row>
    <row r="606" spans="1:13" ht="15.75" x14ac:dyDescent="0.25">
      <c r="A606" s="6" t="s">
        <v>949</v>
      </c>
      <c r="B606" s="7" t="s">
        <v>802</v>
      </c>
      <c r="C606" s="6" t="s">
        <v>9</v>
      </c>
      <c r="D606" s="8">
        <v>1</v>
      </c>
      <c r="E606" s="403"/>
      <c r="F606" s="403">
        <f>BBNTHT!J646</f>
        <v>0</v>
      </c>
      <c r="G606" s="403">
        <f t="shared" si="36"/>
        <v>0</v>
      </c>
      <c r="H606" s="9">
        <v>339821</v>
      </c>
      <c r="I606" s="404">
        <f t="shared" si="37"/>
        <v>339821</v>
      </c>
      <c r="J606" s="403"/>
      <c r="K606" s="404">
        <f t="shared" si="38"/>
        <v>0</v>
      </c>
      <c r="L606" s="405">
        <f t="shared" si="39"/>
        <v>0</v>
      </c>
      <c r="M606" s="403"/>
    </row>
    <row r="607" spans="1:13" ht="15.75" x14ac:dyDescent="0.25">
      <c r="A607" s="6" t="s">
        <v>950</v>
      </c>
      <c r="B607" s="7" t="s">
        <v>804</v>
      </c>
      <c r="C607" s="6" t="s">
        <v>9</v>
      </c>
      <c r="D607" s="8">
        <v>1</v>
      </c>
      <c r="E607" s="403"/>
      <c r="F607" s="403">
        <f>BBNTHT!J647</f>
        <v>0</v>
      </c>
      <c r="G607" s="403">
        <f t="shared" si="36"/>
        <v>0</v>
      </c>
      <c r="H607" s="9">
        <v>745395</v>
      </c>
      <c r="I607" s="404">
        <f t="shared" si="37"/>
        <v>745395</v>
      </c>
      <c r="J607" s="403"/>
      <c r="K607" s="404">
        <f t="shared" si="38"/>
        <v>0</v>
      </c>
      <c r="L607" s="405">
        <f t="shared" si="39"/>
        <v>0</v>
      </c>
      <c r="M607" s="403"/>
    </row>
    <row r="608" spans="1:13" ht="15.75" x14ac:dyDescent="0.25">
      <c r="A608" s="6" t="s">
        <v>951</v>
      </c>
      <c r="B608" s="7" t="s">
        <v>593</v>
      </c>
      <c r="C608" s="6" t="s">
        <v>9</v>
      </c>
      <c r="D608" s="8">
        <v>3</v>
      </c>
      <c r="E608" s="403"/>
      <c r="F608" s="403">
        <f>BBNTHT!J648</f>
        <v>0</v>
      </c>
      <c r="G608" s="403">
        <f t="shared" si="36"/>
        <v>0</v>
      </c>
      <c r="H608" s="9">
        <v>138060</v>
      </c>
      <c r="I608" s="404">
        <f t="shared" si="37"/>
        <v>414180</v>
      </c>
      <c r="J608" s="403"/>
      <c r="K608" s="404">
        <f t="shared" si="38"/>
        <v>0</v>
      </c>
      <c r="L608" s="405">
        <f t="shared" si="39"/>
        <v>0</v>
      </c>
      <c r="M608" s="403"/>
    </row>
    <row r="609" spans="1:13" ht="15.75" x14ac:dyDescent="0.25">
      <c r="A609" s="6" t="s">
        <v>952</v>
      </c>
      <c r="B609" s="7" t="s">
        <v>953</v>
      </c>
      <c r="C609" s="6" t="s">
        <v>499</v>
      </c>
      <c r="D609" s="8">
        <v>1</v>
      </c>
      <c r="E609" s="403"/>
      <c r="F609" s="403">
        <f>BBNTHT!J649</f>
        <v>0</v>
      </c>
      <c r="G609" s="403">
        <f t="shared" si="36"/>
        <v>0</v>
      </c>
      <c r="H609" s="9">
        <v>272132</v>
      </c>
      <c r="I609" s="404">
        <f t="shared" si="37"/>
        <v>272132</v>
      </c>
      <c r="J609" s="403"/>
      <c r="K609" s="404">
        <f t="shared" si="38"/>
        <v>0</v>
      </c>
      <c r="L609" s="405">
        <f t="shared" si="39"/>
        <v>0</v>
      </c>
      <c r="M609" s="403"/>
    </row>
    <row r="610" spans="1:13" ht="15.75" x14ac:dyDescent="0.25">
      <c r="A610" s="2" t="s">
        <v>954</v>
      </c>
      <c r="B610" s="3" t="s">
        <v>955</v>
      </c>
      <c r="C610" s="2"/>
      <c r="D610" s="4" t="s">
        <v>3</v>
      </c>
      <c r="E610" s="403"/>
      <c r="F610" s="403">
        <f>BBNTHT!J650</f>
        <v>0</v>
      </c>
      <c r="G610" s="403">
        <f t="shared" si="36"/>
        <v>0</v>
      </c>
      <c r="H610" s="5"/>
      <c r="I610" s="404"/>
      <c r="J610" s="403"/>
      <c r="K610" s="404">
        <f t="shared" si="38"/>
        <v>0</v>
      </c>
      <c r="L610" s="405">
        <f t="shared" si="39"/>
        <v>0</v>
      </c>
      <c r="M610" s="403"/>
    </row>
    <row r="611" spans="1:13" ht="15.75" x14ac:dyDescent="0.25">
      <c r="A611" s="6" t="s">
        <v>956</v>
      </c>
      <c r="B611" s="7" t="s">
        <v>812</v>
      </c>
      <c r="C611" s="6" t="s">
        <v>9</v>
      </c>
      <c r="D611" s="8">
        <v>1</v>
      </c>
      <c r="E611" s="403"/>
      <c r="F611" s="403">
        <f>BBNTHT!J651</f>
        <v>0</v>
      </c>
      <c r="G611" s="403">
        <f t="shared" si="36"/>
        <v>0</v>
      </c>
      <c r="H611" s="9">
        <v>339821</v>
      </c>
      <c r="I611" s="404">
        <f t="shared" si="37"/>
        <v>339821</v>
      </c>
      <c r="J611" s="403"/>
      <c r="K611" s="404">
        <f t="shared" si="38"/>
        <v>0</v>
      </c>
      <c r="L611" s="405">
        <f t="shared" si="39"/>
        <v>0</v>
      </c>
      <c r="M611" s="403"/>
    </row>
    <row r="612" spans="1:13" ht="15.75" x14ac:dyDescent="0.25">
      <c r="A612" s="6" t="s">
        <v>957</v>
      </c>
      <c r="B612" s="7" t="s">
        <v>804</v>
      </c>
      <c r="C612" s="6" t="s">
        <v>9</v>
      </c>
      <c r="D612" s="8">
        <v>1</v>
      </c>
      <c r="E612" s="403"/>
      <c r="F612" s="403">
        <f>BBNTHT!J652</f>
        <v>0</v>
      </c>
      <c r="G612" s="403">
        <f t="shared" si="36"/>
        <v>0</v>
      </c>
      <c r="H612" s="9">
        <v>745395</v>
      </c>
      <c r="I612" s="404">
        <f t="shared" si="37"/>
        <v>745395</v>
      </c>
      <c r="J612" s="403"/>
      <c r="K612" s="404">
        <f t="shared" si="38"/>
        <v>0</v>
      </c>
      <c r="L612" s="405">
        <f t="shared" si="39"/>
        <v>0</v>
      </c>
      <c r="M612" s="403"/>
    </row>
    <row r="613" spans="1:13" ht="15.75" x14ac:dyDescent="0.25">
      <c r="A613" s="6" t="s">
        <v>958</v>
      </c>
      <c r="B613" s="7" t="s">
        <v>593</v>
      </c>
      <c r="C613" s="6" t="s">
        <v>9</v>
      </c>
      <c r="D613" s="8">
        <v>2</v>
      </c>
      <c r="E613" s="403"/>
      <c r="F613" s="403">
        <f>BBNTHT!J653</f>
        <v>0</v>
      </c>
      <c r="G613" s="403">
        <f t="shared" si="36"/>
        <v>0</v>
      </c>
      <c r="H613" s="9">
        <v>138060</v>
      </c>
      <c r="I613" s="404">
        <f t="shared" si="37"/>
        <v>276120</v>
      </c>
      <c r="J613" s="403"/>
      <c r="K613" s="404">
        <f t="shared" si="38"/>
        <v>0</v>
      </c>
      <c r="L613" s="405">
        <f t="shared" si="39"/>
        <v>0</v>
      </c>
      <c r="M613" s="403"/>
    </row>
    <row r="614" spans="1:13" ht="15.75" x14ac:dyDescent="0.25">
      <c r="A614" s="6" t="s">
        <v>959</v>
      </c>
      <c r="B614" s="7" t="s">
        <v>816</v>
      </c>
      <c r="C614" s="6" t="s">
        <v>499</v>
      </c>
      <c r="D614" s="8">
        <v>1</v>
      </c>
      <c r="E614" s="403"/>
      <c r="F614" s="403">
        <f>BBNTHT!J654</f>
        <v>0</v>
      </c>
      <c r="G614" s="403">
        <f t="shared" si="36"/>
        <v>0</v>
      </c>
      <c r="H614" s="9">
        <v>198184</v>
      </c>
      <c r="I614" s="404">
        <f t="shared" si="37"/>
        <v>198184</v>
      </c>
      <c r="J614" s="403"/>
      <c r="K614" s="404">
        <f t="shared" si="38"/>
        <v>0</v>
      </c>
      <c r="L614" s="405">
        <f t="shared" si="39"/>
        <v>0</v>
      </c>
      <c r="M614" s="403"/>
    </row>
    <row r="615" spans="1:13" ht="15.75" x14ac:dyDescent="0.25">
      <c r="A615" s="2" t="s">
        <v>960</v>
      </c>
      <c r="B615" s="3" t="s">
        <v>961</v>
      </c>
      <c r="C615" s="2"/>
      <c r="D615" s="4" t="s">
        <v>3</v>
      </c>
      <c r="E615" s="403"/>
      <c r="F615" s="403">
        <f>BBNTHT!J655</f>
        <v>0</v>
      </c>
      <c r="G615" s="403">
        <f t="shared" si="36"/>
        <v>0</v>
      </c>
      <c r="H615" s="5"/>
      <c r="I615" s="404"/>
      <c r="J615" s="403"/>
      <c r="K615" s="404">
        <f t="shared" si="38"/>
        <v>0</v>
      </c>
      <c r="L615" s="405">
        <f t="shared" si="39"/>
        <v>0</v>
      </c>
      <c r="M615" s="403"/>
    </row>
    <row r="616" spans="1:13" ht="15.75" x14ac:dyDescent="0.25">
      <c r="A616" s="6" t="s">
        <v>962</v>
      </c>
      <c r="B616" s="7" t="s">
        <v>812</v>
      </c>
      <c r="C616" s="6" t="s">
        <v>9</v>
      </c>
      <c r="D616" s="8">
        <v>1</v>
      </c>
      <c r="E616" s="403"/>
      <c r="F616" s="403">
        <f>BBNTHT!J656</f>
        <v>0</v>
      </c>
      <c r="G616" s="403">
        <f t="shared" si="36"/>
        <v>0</v>
      </c>
      <c r="H616" s="9">
        <v>339821</v>
      </c>
      <c r="I616" s="404">
        <f t="shared" si="37"/>
        <v>339821</v>
      </c>
      <c r="J616" s="403"/>
      <c r="K616" s="404">
        <f t="shared" si="38"/>
        <v>0</v>
      </c>
      <c r="L616" s="405">
        <f t="shared" si="39"/>
        <v>0</v>
      </c>
      <c r="M616" s="403"/>
    </row>
    <row r="617" spans="1:13" ht="15.75" x14ac:dyDescent="0.25">
      <c r="A617" s="6" t="s">
        <v>963</v>
      </c>
      <c r="B617" s="7" t="s">
        <v>804</v>
      </c>
      <c r="C617" s="6" t="s">
        <v>9</v>
      </c>
      <c r="D617" s="8">
        <v>1</v>
      </c>
      <c r="E617" s="403"/>
      <c r="F617" s="403">
        <f>BBNTHT!J657</f>
        <v>0</v>
      </c>
      <c r="G617" s="403">
        <f t="shared" si="36"/>
        <v>0</v>
      </c>
      <c r="H617" s="9">
        <v>745395</v>
      </c>
      <c r="I617" s="404">
        <f t="shared" si="37"/>
        <v>745395</v>
      </c>
      <c r="J617" s="403"/>
      <c r="K617" s="404">
        <f t="shared" si="38"/>
        <v>0</v>
      </c>
      <c r="L617" s="405">
        <f t="shared" si="39"/>
        <v>0</v>
      </c>
      <c r="M617" s="403"/>
    </row>
    <row r="618" spans="1:13" ht="15.75" x14ac:dyDescent="0.25">
      <c r="A618" s="6" t="s">
        <v>964</v>
      </c>
      <c r="B618" s="7" t="s">
        <v>593</v>
      </c>
      <c r="C618" s="6" t="s">
        <v>9</v>
      </c>
      <c r="D618" s="8">
        <v>2</v>
      </c>
      <c r="E618" s="403"/>
      <c r="F618" s="403">
        <f>BBNTHT!J658</f>
        <v>0</v>
      </c>
      <c r="G618" s="403">
        <f t="shared" si="36"/>
        <v>0</v>
      </c>
      <c r="H618" s="9">
        <v>138060</v>
      </c>
      <c r="I618" s="404">
        <f t="shared" si="37"/>
        <v>276120</v>
      </c>
      <c r="J618" s="403"/>
      <c r="K618" s="404">
        <f t="shared" si="38"/>
        <v>0</v>
      </c>
      <c r="L618" s="405">
        <f t="shared" si="39"/>
        <v>0</v>
      </c>
      <c r="M618" s="403"/>
    </row>
    <row r="619" spans="1:13" ht="15.75" x14ac:dyDescent="0.25">
      <c r="A619" s="6" t="s">
        <v>965</v>
      </c>
      <c r="B619" s="7" t="s">
        <v>816</v>
      </c>
      <c r="C619" s="6" t="s">
        <v>499</v>
      </c>
      <c r="D619" s="8">
        <v>1</v>
      </c>
      <c r="E619" s="403"/>
      <c r="F619" s="403">
        <f>BBNTHT!J659</f>
        <v>0</v>
      </c>
      <c r="G619" s="403">
        <f t="shared" si="36"/>
        <v>0</v>
      </c>
      <c r="H619" s="9">
        <v>198184</v>
      </c>
      <c r="I619" s="404">
        <f t="shared" si="37"/>
        <v>198184</v>
      </c>
      <c r="J619" s="403"/>
      <c r="K619" s="404">
        <f t="shared" si="38"/>
        <v>0</v>
      </c>
      <c r="L619" s="405">
        <f t="shared" si="39"/>
        <v>0</v>
      </c>
      <c r="M619" s="403"/>
    </row>
    <row r="620" spans="1:13" ht="15.75" x14ac:dyDescent="0.25">
      <c r="A620" s="2" t="s">
        <v>966</v>
      </c>
      <c r="B620" s="3" t="s">
        <v>967</v>
      </c>
      <c r="C620" s="2"/>
      <c r="D620" s="4" t="s">
        <v>3</v>
      </c>
      <c r="E620" s="403"/>
      <c r="F620" s="403">
        <f>BBNTHT!J660</f>
        <v>0</v>
      </c>
      <c r="G620" s="403">
        <f t="shared" si="36"/>
        <v>0</v>
      </c>
      <c r="H620" s="5"/>
      <c r="I620" s="404"/>
      <c r="J620" s="403"/>
      <c r="K620" s="404">
        <f t="shared" si="38"/>
        <v>0</v>
      </c>
      <c r="L620" s="405">
        <f t="shared" si="39"/>
        <v>0</v>
      </c>
      <c r="M620" s="403"/>
    </row>
    <row r="621" spans="1:13" ht="15.75" x14ac:dyDescent="0.25">
      <c r="A621" s="6" t="s">
        <v>968</v>
      </c>
      <c r="B621" s="7" t="s">
        <v>969</v>
      </c>
      <c r="C621" s="6" t="s">
        <v>9</v>
      </c>
      <c r="D621" s="8">
        <v>1</v>
      </c>
      <c r="E621" s="403"/>
      <c r="F621" s="403">
        <f>BBNTHT!J661</f>
        <v>0</v>
      </c>
      <c r="G621" s="403">
        <f t="shared" si="36"/>
        <v>0</v>
      </c>
      <c r="H621" s="9">
        <v>904751</v>
      </c>
      <c r="I621" s="404">
        <f t="shared" si="37"/>
        <v>904751</v>
      </c>
      <c r="J621" s="403"/>
      <c r="K621" s="404">
        <f t="shared" si="38"/>
        <v>0</v>
      </c>
      <c r="L621" s="405">
        <f t="shared" si="39"/>
        <v>0</v>
      </c>
      <c r="M621" s="403"/>
    </row>
    <row r="622" spans="1:13" ht="15.75" x14ac:dyDescent="0.25">
      <c r="A622" s="6" t="s">
        <v>970</v>
      </c>
      <c r="B622" s="7" t="s">
        <v>585</v>
      </c>
      <c r="C622" s="6" t="s">
        <v>9</v>
      </c>
      <c r="D622" s="8">
        <v>1</v>
      </c>
      <c r="E622" s="403"/>
      <c r="F622" s="403">
        <f>BBNTHT!J662</f>
        <v>0</v>
      </c>
      <c r="G622" s="403">
        <f t="shared" si="36"/>
        <v>0</v>
      </c>
      <c r="H622" s="9">
        <v>581227</v>
      </c>
      <c r="I622" s="404">
        <f t="shared" si="37"/>
        <v>581227</v>
      </c>
      <c r="J622" s="403"/>
      <c r="K622" s="404">
        <f t="shared" si="38"/>
        <v>0</v>
      </c>
      <c r="L622" s="405">
        <f t="shared" si="39"/>
        <v>0</v>
      </c>
      <c r="M622" s="403"/>
    </row>
    <row r="623" spans="1:13" ht="15.75" x14ac:dyDescent="0.25">
      <c r="A623" s="6" t="s">
        <v>971</v>
      </c>
      <c r="B623" s="7" t="s">
        <v>972</v>
      </c>
      <c r="C623" s="6" t="s">
        <v>9</v>
      </c>
      <c r="D623" s="8">
        <v>1</v>
      </c>
      <c r="E623" s="403"/>
      <c r="F623" s="403">
        <f>BBNTHT!J663</f>
        <v>0</v>
      </c>
      <c r="G623" s="403">
        <f t="shared" si="36"/>
        <v>0</v>
      </c>
      <c r="H623" s="9">
        <v>581227</v>
      </c>
      <c r="I623" s="404">
        <f t="shared" si="37"/>
        <v>581227</v>
      </c>
      <c r="J623" s="403"/>
      <c r="K623" s="404">
        <f t="shared" si="38"/>
        <v>0</v>
      </c>
      <c r="L623" s="405">
        <f t="shared" si="39"/>
        <v>0</v>
      </c>
      <c r="M623" s="403"/>
    </row>
    <row r="624" spans="1:13" ht="15.75" x14ac:dyDescent="0.25">
      <c r="A624" s="6" t="s">
        <v>973</v>
      </c>
      <c r="B624" s="7" t="s">
        <v>593</v>
      </c>
      <c r="C624" s="6" t="s">
        <v>9</v>
      </c>
      <c r="D624" s="8">
        <v>15</v>
      </c>
      <c r="E624" s="403"/>
      <c r="F624" s="403">
        <f>BBNTHT!J664</f>
        <v>0</v>
      </c>
      <c r="G624" s="403">
        <f t="shared" si="36"/>
        <v>0</v>
      </c>
      <c r="H624" s="9">
        <v>138060</v>
      </c>
      <c r="I624" s="404">
        <f t="shared" si="37"/>
        <v>2070900</v>
      </c>
      <c r="J624" s="403"/>
      <c r="K624" s="404">
        <f t="shared" si="38"/>
        <v>0</v>
      </c>
      <c r="L624" s="405">
        <f t="shared" si="39"/>
        <v>0</v>
      </c>
      <c r="M624" s="403"/>
    </row>
    <row r="625" spans="1:13" ht="31.5" x14ac:dyDescent="0.25">
      <c r="A625" s="6" t="s">
        <v>974</v>
      </c>
      <c r="B625" s="7" t="s">
        <v>672</v>
      </c>
      <c r="C625" s="6" t="s">
        <v>499</v>
      </c>
      <c r="D625" s="8">
        <v>1</v>
      </c>
      <c r="E625" s="403"/>
      <c r="F625" s="403">
        <f>BBNTHT!J665</f>
        <v>0</v>
      </c>
      <c r="G625" s="403">
        <f t="shared" si="36"/>
        <v>0</v>
      </c>
      <c r="H625" s="9">
        <v>1310890</v>
      </c>
      <c r="I625" s="404">
        <f t="shared" si="37"/>
        <v>1310890</v>
      </c>
      <c r="J625" s="403"/>
      <c r="K625" s="404">
        <f t="shared" si="38"/>
        <v>0</v>
      </c>
      <c r="L625" s="405">
        <f t="shared" si="39"/>
        <v>0</v>
      </c>
      <c r="M625" s="403"/>
    </row>
    <row r="626" spans="1:13" ht="15.75" x14ac:dyDescent="0.25">
      <c r="A626" s="2" t="s">
        <v>975</v>
      </c>
      <c r="B626" s="3" t="s">
        <v>976</v>
      </c>
      <c r="C626" s="2"/>
      <c r="D626" s="4" t="s">
        <v>3</v>
      </c>
      <c r="E626" s="403"/>
      <c r="F626" s="403">
        <f>BBNTHT!J666</f>
        <v>0</v>
      </c>
      <c r="G626" s="403">
        <f t="shared" si="36"/>
        <v>0</v>
      </c>
      <c r="H626" s="5"/>
      <c r="I626" s="404"/>
      <c r="J626" s="403"/>
      <c r="K626" s="404">
        <f t="shared" si="38"/>
        <v>0</v>
      </c>
      <c r="L626" s="405">
        <f t="shared" si="39"/>
        <v>0</v>
      </c>
      <c r="M626" s="403"/>
    </row>
    <row r="627" spans="1:13" ht="15.75" x14ac:dyDescent="0.25">
      <c r="A627" s="6" t="s">
        <v>977</v>
      </c>
      <c r="B627" s="7" t="s">
        <v>676</v>
      </c>
      <c r="C627" s="6" t="s">
        <v>9</v>
      </c>
      <c r="D627" s="8">
        <v>1</v>
      </c>
      <c r="E627" s="403"/>
      <c r="F627" s="403">
        <f>BBNTHT!J667</f>
        <v>0</v>
      </c>
      <c r="G627" s="403">
        <f t="shared" si="36"/>
        <v>0</v>
      </c>
      <c r="H627" s="9">
        <v>3503347</v>
      </c>
      <c r="I627" s="404">
        <f t="shared" si="37"/>
        <v>3503347</v>
      </c>
      <c r="J627" s="403"/>
      <c r="K627" s="404">
        <f t="shared" si="38"/>
        <v>0</v>
      </c>
      <c r="L627" s="405">
        <f t="shared" si="39"/>
        <v>0</v>
      </c>
      <c r="M627" s="403"/>
    </row>
    <row r="628" spans="1:13" ht="15.75" x14ac:dyDescent="0.25">
      <c r="A628" s="6" t="s">
        <v>978</v>
      </c>
      <c r="B628" s="7" t="s">
        <v>979</v>
      </c>
      <c r="C628" s="6" t="s">
        <v>9</v>
      </c>
      <c r="D628" s="8">
        <v>1</v>
      </c>
      <c r="E628" s="403"/>
      <c r="F628" s="403">
        <f>BBNTHT!J668</f>
        <v>0</v>
      </c>
      <c r="G628" s="403">
        <f t="shared" si="36"/>
        <v>0</v>
      </c>
      <c r="H628" s="9">
        <v>862356</v>
      </c>
      <c r="I628" s="404">
        <f t="shared" si="37"/>
        <v>862356</v>
      </c>
      <c r="J628" s="403"/>
      <c r="K628" s="404">
        <f t="shared" si="38"/>
        <v>0</v>
      </c>
      <c r="L628" s="405">
        <f t="shared" si="39"/>
        <v>0</v>
      </c>
      <c r="M628" s="403"/>
    </row>
    <row r="629" spans="1:13" ht="15.75" x14ac:dyDescent="0.25">
      <c r="A629" s="6" t="s">
        <v>980</v>
      </c>
      <c r="B629" s="7" t="s">
        <v>981</v>
      </c>
      <c r="C629" s="6" t="s">
        <v>9</v>
      </c>
      <c r="D629" s="8">
        <v>1</v>
      </c>
      <c r="E629" s="403"/>
      <c r="F629" s="403">
        <f>BBNTHT!J669</f>
        <v>0</v>
      </c>
      <c r="G629" s="403">
        <f t="shared" si="36"/>
        <v>0</v>
      </c>
      <c r="H629" s="9">
        <v>607994</v>
      </c>
      <c r="I629" s="404">
        <f t="shared" si="37"/>
        <v>607994</v>
      </c>
      <c r="J629" s="403"/>
      <c r="K629" s="404">
        <f t="shared" si="38"/>
        <v>0</v>
      </c>
      <c r="L629" s="405">
        <f t="shared" si="39"/>
        <v>0</v>
      </c>
      <c r="M629" s="403"/>
    </row>
    <row r="630" spans="1:13" ht="15.75" x14ac:dyDescent="0.25">
      <c r="A630" s="6" t="s">
        <v>982</v>
      </c>
      <c r="B630" s="7" t="s">
        <v>585</v>
      </c>
      <c r="C630" s="6" t="s">
        <v>9</v>
      </c>
      <c r="D630" s="8">
        <v>2</v>
      </c>
      <c r="E630" s="403"/>
      <c r="F630" s="403">
        <f>BBNTHT!J670</f>
        <v>0</v>
      </c>
      <c r="G630" s="403">
        <f t="shared" si="36"/>
        <v>0</v>
      </c>
      <c r="H630" s="9">
        <v>581227</v>
      </c>
      <c r="I630" s="404">
        <f t="shared" si="37"/>
        <v>1162454</v>
      </c>
      <c r="J630" s="403"/>
      <c r="K630" s="404">
        <f t="shared" si="38"/>
        <v>0</v>
      </c>
      <c r="L630" s="405">
        <f t="shared" si="39"/>
        <v>0</v>
      </c>
      <c r="M630" s="403"/>
    </row>
    <row r="631" spans="1:13" ht="15.75" x14ac:dyDescent="0.25">
      <c r="A631" s="6" t="s">
        <v>983</v>
      </c>
      <c r="B631" s="7" t="s">
        <v>972</v>
      </c>
      <c r="C631" s="6" t="s">
        <v>9</v>
      </c>
      <c r="D631" s="8">
        <v>2</v>
      </c>
      <c r="E631" s="403"/>
      <c r="F631" s="403">
        <f>BBNTHT!J671</f>
        <v>0</v>
      </c>
      <c r="G631" s="403">
        <f t="shared" si="36"/>
        <v>0</v>
      </c>
      <c r="H631" s="9">
        <v>581227</v>
      </c>
      <c r="I631" s="404">
        <f t="shared" si="37"/>
        <v>1162454</v>
      </c>
      <c r="J631" s="403"/>
      <c r="K631" s="404">
        <f t="shared" si="38"/>
        <v>0</v>
      </c>
      <c r="L631" s="405">
        <f t="shared" si="39"/>
        <v>0</v>
      </c>
      <c r="M631" s="403"/>
    </row>
    <row r="632" spans="1:13" ht="15.75" x14ac:dyDescent="0.25">
      <c r="A632" s="6" t="s">
        <v>984</v>
      </c>
      <c r="B632" s="7" t="s">
        <v>593</v>
      </c>
      <c r="C632" s="6" t="s">
        <v>9</v>
      </c>
      <c r="D632" s="8">
        <v>17</v>
      </c>
      <c r="E632" s="403"/>
      <c r="F632" s="403">
        <f>BBNTHT!J672</f>
        <v>0</v>
      </c>
      <c r="G632" s="403">
        <f t="shared" si="36"/>
        <v>0</v>
      </c>
      <c r="H632" s="9">
        <v>138060</v>
      </c>
      <c r="I632" s="404">
        <f t="shared" si="37"/>
        <v>2347020</v>
      </c>
      <c r="J632" s="403"/>
      <c r="K632" s="404">
        <f t="shared" si="38"/>
        <v>0</v>
      </c>
      <c r="L632" s="405">
        <f t="shared" si="39"/>
        <v>0</v>
      </c>
      <c r="M632" s="403"/>
    </row>
    <row r="633" spans="1:13" ht="31.5" x14ac:dyDescent="0.25">
      <c r="A633" s="6" t="s">
        <v>985</v>
      </c>
      <c r="B633" s="7" t="s">
        <v>602</v>
      </c>
      <c r="C633" s="6" t="s">
        <v>499</v>
      </c>
      <c r="D633" s="8">
        <v>1</v>
      </c>
      <c r="E633" s="403"/>
      <c r="F633" s="403">
        <f>BBNTHT!J673</f>
        <v>0</v>
      </c>
      <c r="G633" s="403">
        <f t="shared" si="36"/>
        <v>0</v>
      </c>
      <c r="H633" s="9">
        <v>2627389</v>
      </c>
      <c r="I633" s="404">
        <f t="shared" si="37"/>
        <v>2627389</v>
      </c>
      <c r="J633" s="403"/>
      <c r="K633" s="404">
        <f t="shared" si="38"/>
        <v>0</v>
      </c>
      <c r="L633" s="405">
        <f t="shared" si="39"/>
        <v>0</v>
      </c>
      <c r="M633" s="403"/>
    </row>
    <row r="634" spans="1:13" ht="15.75" x14ac:dyDescent="0.25">
      <c r="A634" s="2" t="s">
        <v>986</v>
      </c>
      <c r="B634" s="3" t="s">
        <v>987</v>
      </c>
      <c r="C634" s="2"/>
      <c r="D634" s="4" t="s">
        <v>3</v>
      </c>
      <c r="E634" s="403"/>
      <c r="F634" s="403">
        <f>BBNTHT!J674</f>
        <v>0</v>
      </c>
      <c r="G634" s="403">
        <f t="shared" si="36"/>
        <v>0</v>
      </c>
      <c r="H634" s="5"/>
      <c r="I634" s="404"/>
      <c r="J634" s="403"/>
      <c r="K634" s="404">
        <f t="shared" si="38"/>
        <v>0</v>
      </c>
      <c r="L634" s="405">
        <f t="shared" si="39"/>
        <v>0</v>
      </c>
      <c r="M634" s="403"/>
    </row>
    <row r="635" spans="1:13" ht="15.75" x14ac:dyDescent="0.25">
      <c r="A635" s="6" t="s">
        <v>988</v>
      </c>
      <c r="B635" s="7" t="s">
        <v>676</v>
      </c>
      <c r="C635" s="6" t="s">
        <v>9</v>
      </c>
      <c r="D635" s="8">
        <v>1</v>
      </c>
      <c r="E635" s="403"/>
      <c r="F635" s="403">
        <f>BBNTHT!J675</f>
        <v>0</v>
      </c>
      <c r="G635" s="403">
        <f t="shared" si="36"/>
        <v>0</v>
      </c>
      <c r="H635" s="9">
        <v>3503347</v>
      </c>
      <c r="I635" s="404">
        <f t="shared" si="37"/>
        <v>3503347</v>
      </c>
      <c r="J635" s="403"/>
      <c r="K635" s="404">
        <f t="shared" si="38"/>
        <v>0</v>
      </c>
      <c r="L635" s="405">
        <f t="shared" si="39"/>
        <v>0</v>
      </c>
      <c r="M635" s="403"/>
    </row>
    <row r="636" spans="1:13" ht="15.75" x14ac:dyDescent="0.25">
      <c r="A636" s="6" t="s">
        <v>989</v>
      </c>
      <c r="B636" s="7" t="s">
        <v>979</v>
      </c>
      <c r="C636" s="6" t="s">
        <v>9</v>
      </c>
      <c r="D636" s="8">
        <v>3</v>
      </c>
      <c r="E636" s="403"/>
      <c r="F636" s="403">
        <f>BBNTHT!J676</f>
        <v>0</v>
      </c>
      <c r="G636" s="403">
        <f t="shared" si="36"/>
        <v>0</v>
      </c>
      <c r="H636" s="9">
        <v>862356</v>
      </c>
      <c r="I636" s="404">
        <f t="shared" si="37"/>
        <v>2587068</v>
      </c>
      <c r="J636" s="403"/>
      <c r="K636" s="404">
        <f t="shared" si="38"/>
        <v>0</v>
      </c>
      <c r="L636" s="405">
        <f t="shared" si="39"/>
        <v>0</v>
      </c>
      <c r="M636" s="403"/>
    </row>
    <row r="637" spans="1:13" ht="15.75" x14ac:dyDescent="0.25">
      <c r="A637" s="6" t="s">
        <v>990</v>
      </c>
      <c r="B637" s="7" t="s">
        <v>981</v>
      </c>
      <c r="C637" s="6" t="s">
        <v>9</v>
      </c>
      <c r="D637" s="8">
        <v>2</v>
      </c>
      <c r="E637" s="403"/>
      <c r="F637" s="403">
        <f>BBNTHT!J677</f>
        <v>0</v>
      </c>
      <c r="G637" s="403">
        <f t="shared" si="36"/>
        <v>0</v>
      </c>
      <c r="H637" s="9">
        <v>607994</v>
      </c>
      <c r="I637" s="404">
        <f t="shared" si="37"/>
        <v>1215988</v>
      </c>
      <c r="J637" s="403"/>
      <c r="K637" s="404">
        <f t="shared" si="38"/>
        <v>0</v>
      </c>
      <c r="L637" s="405">
        <f t="shared" si="39"/>
        <v>0</v>
      </c>
      <c r="M637" s="403"/>
    </row>
    <row r="638" spans="1:13" ht="15.75" x14ac:dyDescent="0.25">
      <c r="A638" s="6" t="s">
        <v>991</v>
      </c>
      <c r="B638" s="7" t="s">
        <v>585</v>
      </c>
      <c r="C638" s="6" t="s">
        <v>9</v>
      </c>
      <c r="D638" s="8">
        <v>2</v>
      </c>
      <c r="E638" s="403"/>
      <c r="F638" s="403">
        <f>BBNTHT!J678</f>
        <v>0</v>
      </c>
      <c r="G638" s="403">
        <f t="shared" si="36"/>
        <v>0</v>
      </c>
      <c r="H638" s="9">
        <v>581227</v>
      </c>
      <c r="I638" s="404">
        <f t="shared" si="37"/>
        <v>1162454</v>
      </c>
      <c r="J638" s="403"/>
      <c r="K638" s="404">
        <f t="shared" si="38"/>
        <v>0</v>
      </c>
      <c r="L638" s="405">
        <f t="shared" si="39"/>
        <v>0</v>
      </c>
      <c r="M638" s="403"/>
    </row>
    <row r="639" spans="1:13" ht="15.75" x14ac:dyDescent="0.25">
      <c r="A639" s="6" t="s">
        <v>992</v>
      </c>
      <c r="B639" s="7" t="s">
        <v>972</v>
      </c>
      <c r="C639" s="6" t="s">
        <v>9</v>
      </c>
      <c r="D639" s="8">
        <v>2</v>
      </c>
      <c r="E639" s="403"/>
      <c r="F639" s="403">
        <f>BBNTHT!J679</f>
        <v>0</v>
      </c>
      <c r="G639" s="403">
        <f t="shared" si="36"/>
        <v>0</v>
      </c>
      <c r="H639" s="9">
        <v>581227</v>
      </c>
      <c r="I639" s="404">
        <f t="shared" si="37"/>
        <v>1162454</v>
      </c>
      <c r="J639" s="403"/>
      <c r="K639" s="404">
        <f t="shared" si="38"/>
        <v>0</v>
      </c>
      <c r="L639" s="405">
        <f t="shared" si="39"/>
        <v>0</v>
      </c>
      <c r="M639" s="403"/>
    </row>
    <row r="640" spans="1:13" ht="15.75" x14ac:dyDescent="0.25">
      <c r="A640" s="6" t="s">
        <v>993</v>
      </c>
      <c r="B640" s="7" t="s">
        <v>593</v>
      </c>
      <c r="C640" s="6" t="s">
        <v>9</v>
      </c>
      <c r="D640" s="8">
        <v>17</v>
      </c>
      <c r="E640" s="403"/>
      <c r="F640" s="403">
        <f>BBNTHT!J680</f>
        <v>0</v>
      </c>
      <c r="G640" s="403">
        <f t="shared" si="36"/>
        <v>0</v>
      </c>
      <c r="H640" s="9">
        <v>138060</v>
      </c>
      <c r="I640" s="404">
        <f t="shared" si="37"/>
        <v>2347020</v>
      </c>
      <c r="J640" s="403"/>
      <c r="K640" s="404">
        <f t="shared" si="38"/>
        <v>0</v>
      </c>
      <c r="L640" s="405">
        <f t="shared" si="39"/>
        <v>0</v>
      </c>
      <c r="M640" s="403"/>
    </row>
    <row r="641" spans="1:13" ht="31.5" x14ac:dyDescent="0.25">
      <c r="A641" s="6" t="s">
        <v>994</v>
      </c>
      <c r="B641" s="7" t="s">
        <v>602</v>
      </c>
      <c r="C641" s="6" t="s">
        <v>499</v>
      </c>
      <c r="D641" s="8">
        <v>1</v>
      </c>
      <c r="E641" s="403"/>
      <c r="F641" s="403">
        <f>BBNTHT!J681</f>
        <v>0</v>
      </c>
      <c r="G641" s="403">
        <f t="shared" si="36"/>
        <v>0</v>
      </c>
      <c r="H641" s="9">
        <v>2627389</v>
      </c>
      <c r="I641" s="404">
        <f t="shared" si="37"/>
        <v>2627389</v>
      </c>
      <c r="J641" s="403"/>
      <c r="K641" s="404">
        <f t="shared" si="38"/>
        <v>0</v>
      </c>
      <c r="L641" s="405">
        <f t="shared" si="39"/>
        <v>0</v>
      </c>
      <c r="M641" s="403"/>
    </row>
    <row r="642" spans="1:13" ht="31.5" x14ac:dyDescent="0.25">
      <c r="A642" s="2" t="s">
        <v>995</v>
      </c>
      <c r="B642" s="3" t="s">
        <v>996</v>
      </c>
      <c r="C642" s="2"/>
      <c r="D642" s="4" t="s">
        <v>3</v>
      </c>
      <c r="E642" s="403"/>
      <c r="F642" s="403">
        <f>BBNTHT!J682</f>
        <v>0</v>
      </c>
      <c r="G642" s="403">
        <f t="shared" si="36"/>
        <v>0</v>
      </c>
      <c r="H642" s="5"/>
      <c r="I642" s="404"/>
      <c r="J642" s="403"/>
      <c r="K642" s="404">
        <f t="shared" si="38"/>
        <v>0</v>
      </c>
      <c r="L642" s="405">
        <f t="shared" si="39"/>
        <v>0</v>
      </c>
      <c r="M642" s="403"/>
    </row>
    <row r="643" spans="1:13" ht="15.75" x14ac:dyDescent="0.25">
      <c r="A643" s="6" t="s">
        <v>997</v>
      </c>
      <c r="B643" s="7" t="s">
        <v>969</v>
      </c>
      <c r="C643" s="6" t="s">
        <v>9</v>
      </c>
      <c r="D643" s="8">
        <v>1</v>
      </c>
      <c r="E643" s="403"/>
      <c r="F643" s="403">
        <f>BBNTHT!J683</f>
        <v>0</v>
      </c>
      <c r="G643" s="403">
        <f t="shared" si="36"/>
        <v>0</v>
      </c>
      <c r="H643" s="9">
        <v>904751</v>
      </c>
      <c r="I643" s="404">
        <f t="shared" si="37"/>
        <v>904751</v>
      </c>
      <c r="J643" s="403"/>
      <c r="K643" s="404">
        <f t="shared" si="38"/>
        <v>0</v>
      </c>
      <c r="L643" s="405">
        <f t="shared" si="39"/>
        <v>0</v>
      </c>
      <c r="M643" s="403"/>
    </row>
    <row r="644" spans="1:13" ht="15.75" x14ac:dyDescent="0.25">
      <c r="A644" s="6" t="s">
        <v>998</v>
      </c>
      <c r="B644" s="7" t="s">
        <v>972</v>
      </c>
      <c r="C644" s="6" t="s">
        <v>9</v>
      </c>
      <c r="D644" s="8">
        <v>2</v>
      </c>
      <c r="E644" s="403"/>
      <c r="F644" s="403">
        <f>BBNTHT!J684</f>
        <v>0</v>
      </c>
      <c r="G644" s="403">
        <f t="shared" si="36"/>
        <v>0</v>
      </c>
      <c r="H644" s="9">
        <v>581227</v>
      </c>
      <c r="I644" s="404">
        <f t="shared" si="37"/>
        <v>1162454</v>
      </c>
      <c r="J644" s="403"/>
      <c r="K644" s="404">
        <f t="shared" si="38"/>
        <v>0</v>
      </c>
      <c r="L644" s="405">
        <f t="shared" si="39"/>
        <v>0</v>
      </c>
      <c r="M644" s="403"/>
    </row>
    <row r="645" spans="1:13" ht="15.75" x14ac:dyDescent="0.25">
      <c r="A645" s="6" t="s">
        <v>999</v>
      </c>
      <c r="B645" s="7" t="s">
        <v>593</v>
      </c>
      <c r="C645" s="6" t="s">
        <v>9</v>
      </c>
      <c r="D645" s="8">
        <v>9</v>
      </c>
      <c r="E645" s="403"/>
      <c r="F645" s="403">
        <f>BBNTHT!J685</f>
        <v>0</v>
      </c>
      <c r="G645" s="403">
        <f t="shared" si="36"/>
        <v>0</v>
      </c>
      <c r="H645" s="9">
        <v>138060</v>
      </c>
      <c r="I645" s="404">
        <f t="shared" si="37"/>
        <v>1242540</v>
      </c>
      <c r="J645" s="403"/>
      <c r="K645" s="404">
        <f t="shared" si="38"/>
        <v>0</v>
      </c>
      <c r="L645" s="405">
        <f t="shared" si="39"/>
        <v>0</v>
      </c>
      <c r="M645" s="403"/>
    </row>
    <row r="646" spans="1:13" ht="31.5" x14ac:dyDescent="0.25">
      <c r="A646" s="6" t="s">
        <v>1000</v>
      </c>
      <c r="B646" s="7" t="s">
        <v>672</v>
      </c>
      <c r="C646" s="6" t="s">
        <v>499</v>
      </c>
      <c r="D646" s="8">
        <v>1</v>
      </c>
      <c r="E646" s="403"/>
      <c r="F646" s="403">
        <f>BBNTHT!J686</f>
        <v>0</v>
      </c>
      <c r="G646" s="403">
        <f t="shared" si="36"/>
        <v>0</v>
      </c>
      <c r="H646" s="9">
        <v>1310890</v>
      </c>
      <c r="I646" s="404">
        <f t="shared" si="37"/>
        <v>1310890</v>
      </c>
      <c r="J646" s="403"/>
      <c r="K646" s="404">
        <f t="shared" si="38"/>
        <v>0</v>
      </c>
      <c r="L646" s="405">
        <f t="shared" si="39"/>
        <v>0</v>
      </c>
      <c r="M646" s="403"/>
    </row>
    <row r="647" spans="1:13" ht="15.75" x14ac:dyDescent="0.25">
      <c r="A647" s="2" t="s">
        <v>1001</v>
      </c>
      <c r="B647" s="3" t="s">
        <v>1002</v>
      </c>
      <c r="C647" s="2"/>
      <c r="D647" s="4" t="s">
        <v>3</v>
      </c>
      <c r="E647" s="403"/>
      <c r="F647" s="403">
        <f>BBNTHT!J687</f>
        <v>0</v>
      </c>
      <c r="G647" s="403">
        <f t="shared" si="36"/>
        <v>0</v>
      </c>
      <c r="H647" s="5"/>
      <c r="I647" s="404"/>
      <c r="J647" s="403"/>
      <c r="K647" s="404">
        <f t="shared" si="38"/>
        <v>0</v>
      </c>
      <c r="L647" s="405">
        <f t="shared" si="39"/>
        <v>0</v>
      </c>
      <c r="M647" s="403"/>
    </row>
    <row r="648" spans="1:13" ht="15.75" x14ac:dyDescent="0.25">
      <c r="A648" s="6" t="s">
        <v>1003</v>
      </c>
      <c r="B648" s="7" t="s">
        <v>969</v>
      </c>
      <c r="C648" s="6" t="s">
        <v>9</v>
      </c>
      <c r="D648" s="8">
        <v>1</v>
      </c>
      <c r="E648" s="403"/>
      <c r="F648" s="403">
        <f>BBNTHT!J688</f>
        <v>0</v>
      </c>
      <c r="G648" s="403">
        <f t="shared" si="36"/>
        <v>0</v>
      </c>
      <c r="H648" s="9">
        <v>904751</v>
      </c>
      <c r="I648" s="404">
        <f t="shared" si="37"/>
        <v>904751</v>
      </c>
      <c r="J648" s="403"/>
      <c r="K648" s="404">
        <f t="shared" si="38"/>
        <v>0</v>
      </c>
      <c r="L648" s="405">
        <f t="shared" si="39"/>
        <v>0</v>
      </c>
      <c r="M648" s="403"/>
    </row>
    <row r="649" spans="1:13" ht="15.75" x14ac:dyDescent="0.25">
      <c r="A649" s="6" t="s">
        <v>1004</v>
      </c>
      <c r="B649" s="7" t="s">
        <v>972</v>
      </c>
      <c r="C649" s="6" t="s">
        <v>9</v>
      </c>
      <c r="D649" s="8">
        <v>2</v>
      </c>
      <c r="E649" s="403"/>
      <c r="F649" s="403">
        <f>BBNTHT!J689</f>
        <v>0</v>
      </c>
      <c r="G649" s="403">
        <f t="shared" si="36"/>
        <v>0</v>
      </c>
      <c r="H649" s="9">
        <v>581227</v>
      </c>
      <c r="I649" s="404">
        <f t="shared" si="37"/>
        <v>1162454</v>
      </c>
      <c r="J649" s="403"/>
      <c r="K649" s="404">
        <f t="shared" si="38"/>
        <v>0</v>
      </c>
      <c r="L649" s="405">
        <f t="shared" si="39"/>
        <v>0</v>
      </c>
      <c r="M649" s="403"/>
    </row>
    <row r="650" spans="1:13" ht="15.75" x14ac:dyDescent="0.25">
      <c r="A650" s="6" t="s">
        <v>1005</v>
      </c>
      <c r="B650" s="7" t="s">
        <v>593</v>
      </c>
      <c r="C650" s="6" t="s">
        <v>9</v>
      </c>
      <c r="D650" s="8">
        <v>10</v>
      </c>
      <c r="E650" s="403"/>
      <c r="F650" s="403">
        <f>BBNTHT!J690</f>
        <v>0</v>
      </c>
      <c r="G650" s="403">
        <f t="shared" si="36"/>
        <v>0</v>
      </c>
      <c r="H650" s="9">
        <v>138060</v>
      </c>
      <c r="I650" s="404">
        <f t="shared" si="37"/>
        <v>1380600</v>
      </c>
      <c r="J650" s="403"/>
      <c r="K650" s="404">
        <f t="shared" si="38"/>
        <v>0</v>
      </c>
      <c r="L650" s="405">
        <f t="shared" si="39"/>
        <v>0</v>
      </c>
      <c r="M650" s="403"/>
    </row>
    <row r="651" spans="1:13" ht="31.5" x14ac:dyDescent="0.25">
      <c r="A651" s="6" t="s">
        <v>1006</v>
      </c>
      <c r="B651" s="7" t="s">
        <v>672</v>
      </c>
      <c r="C651" s="6" t="s">
        <v>499</v>
      </c>
      <c r="D651" s="8">
        <v>1</v>
      </c>
      <c r="E651" s="403"/>
      <c r="F651" s="403">
        <f>BBNTHT!J691</f>
        <v>0</v>
      </c>
      <c r="G651" s="403">
        <f t="shared" si="36"/>
        <v>0</v>
      </c>
      <c r="H651" s="9">
        <v>1310890</v>
      </c>
      <c r="I651" s="404">
        <f t="shared" si="37"/>
        <v>1310890</v>
      </c>
      <c r="J651" s="403"/>
      <c r="K651" s="404">
        <f t="shared" si="38"/>
        <v>0</v>
      </c>
      <c r="L651" s="405">
        <f t="shared" si="39"/>
        <v>0</v>
      </c>
      <c r="M651" s="403"/>
    </row>
    <row r="652" spans="1:13" ht="15.75" x14ac:dyDescent="0.25">
      <c r="A652" s="2" t="s">
        <v>1007</v>
      </c>
      <c r="B652" s="3" t="s">
        <v>1008</v>
      </c>
      <c r="C652" s="2"/>
      <c r="D652" s="4" t="s">
        <v>3</v>
      </c>
      <c r="E652" s="403"/>
      <c r="F652" s="403">
        <f>BBNTHT!J692</f>
        <v>0</v>
      </c>
      <c r="G652" s="403">
        <f t="shared" si="36"/>
        <v>0</v>
      </c>
      <c r="H652" s="5"/>
      <c r="I652" s="404"/>
      <c r="J652" s="403"/>
      <c r="K652" s="404">
        <f t="shared" si="38"/>
        <v>0</v>
      </c>
      <c r="L652" s="405">
        <f t="shared" si="39"/>
        <v>0</v>
      </c>
      <c r="M652" s="403"/>
    </row>
    <row r="653" spans="1:13" ht="15.75" x14ac:dyDescent="0.25">
      <c r="A653" s="6" t="s">
        <v>1009</v>
      </c>
      <c r="B653" s="7" t="s">
        <v>676</v>
      </c>
      <c r="C653" s="6" t="s">
        <v>9</v>
      </c>
      <c r="D653" s="8">
        <v>1</v>
      </c>
      <c r="E653" s="403"/>
      <c r="F653" s="403">
        <f>BBNTHT!J693</f>
        <v>0</v>
      </c>
      <c r="G653" s="403">
        <f t="shared" si="36"/>
        <v>0</v>
      </c>
      <c r="H653" s="9">
        <v>3503347</v>
      </c>
      <c r="I653" s="404">
        <f t="shared" si="37"/>
        <v>3503347</v>
      </c>
      <c r="J653" s="403"/>
      <c r="K653" s="404">
        <f t="shared" si="38"/>
        <v>0</v>
      </c>
      <c r="L653" s="405">
        <f t="shared" si="39"/>
        <v>0</v>
      </c>
      <c r="M653" s="403"/>
    </row>
    <row r="654" spans="1:13" ht="15.75" x14ac:dyDescent="0.25">
      <c r="A654" s="6" t="s">
        <v>1010</v>
      </c>
      <c r="B654" s="7" t="s">
        <v>483</v>
      </c>
      <c r="C654" s="6" t="s">
        <v>248</v>
      </c>
      <c r="D654" s="8">
        <v>3</v>
      </c>
      <c r="E654" s="403"/>
      <c r="F654" s="403">
        <f>BBNTHT!J694</f>
        <v>0</v>
      </c>
      <c r="G654" s="403">
        <f t="shared" si="36"/>
        <v>0</v>
      </c>
      <c r="H654" s="9">
        <v>396005</v>
      </c>
      <c r="I654" s="404">
        <f t="shared" si="37"/>
        <v>1188015</v>
      </c>
      <c r="J654" s="403"/>
      <c r="K654" s="404">
        <f t="shared" si="38"/>
        <v>0</v>
      </c>
      <c r="L654" s="405">
        <f t="shared" si="39"/>
        <v>0</v>
      </c>
      <c r="M654" s="403"/>
    </row>
    <row r="655" spans="1:13" ht="15.75" x14ac:dyDescent="0.25">
      <c r="A655" s="6" t="s">
        <v>1011</v>
      </c>
      <c r="B655" s="7" t="s">
        <v>877</v>
      </c>
      <c r="C655" s="6" t="s">
        <v>248</v>
      </c>
      <c r="D655" s="8">
        <v>3</v>
      </c>
      <c r="E655" s="403"/>
      <c r="F655" s="403">
        <f>BBNTHT!J695</f>
        <v>0</v>
      </c>
      <c r="G655" s="403">
        <f t="shared" si="36"/>
        <v>0</v>
      </c>
      <c r="H655" s="9">
        <v>83756</v>
      </c>
      <c r="I655" s="404">
        <f t="shared" si="37"/>
        <v>251268</v>
      </c>
      <c r="J655" s="403"/>
      <c r="K655" s="404">
        <f t="shared" si="38"/>
        <v>0</v>
      </c>
      <c r="L655" s="405">
        <f t="shared" si="39"/>
        <v>0</v>
      </c>
      <c r="M655" s="403"/>
    </row>
    <row r="656" spans="1:13" ht="15.75" x14ac:dyDescent="0.25">
      <c r="A656" s="6" t="s">
        <v>1012</v>
      </c>
      <c r="B656" s="7" t="s">
        <v>622</v>
      </c>
      <c r="C656" s="6" t="s">
        <v>9</v>
      </c>
      <c r="D656" s="8">
        <v>1</v>
      </c>
      <c r="E656" s="403"/>
      <c r="F656" s="403">
        <f>BBNTHT!J696</f>
        <v>0</v>
      </c>
      <c r="G656" s="403">
        <f t="shared" si="36"/>
        <v>0</v>
      </c>
      <c r="H656" s="9">
        <v>3503347</v>
      </c>
      <c r="I656" s="404">
        <f t="shared" si="37"/>
        <v>3503347</v>
      </c>
      <c r="J656" s="403"/>
      <c r="K656" s="404">
        <f t="shared" si="38"/>
        <v>0</v>
      </c>
      <c r="L656" s="405">
        <f t="shared" si="39"/>
        <v>0</v>
      </c>
      <c r="M656" s="403"/>
    </row>
    <row r="657" spans="1:13" ht="15.75" x14ac:dyDescent="0.25">
      <c r="A657" s="6" t="s">
        <v>1013</v>
      </c>
      <c r="B657" s="7" t="s">
        <v>804</v>
      </c>
      <c r="C657" s="6" t="s">
        <v>9</v>
      </c>
      <c r="D657" s="8">
        <v>3</v>
      </c>
      <c r="E657" s="403"/>
      <c r="F657" s="403">
        <f>BBNTHT!J697</f>
        <v>0</v>
      </c>
      <c r="G657" s="403">
        <f t="shared" si="36"/>
        <v>0</v>
      </c>
      <c r="H657" s="9">
        <v>745395</v>
      </c>
      <c r="I657" s="404">
        <f t="shared" si="37"/>
        <v>2236185</v>
      </c>
      <c r="J657" s="403"/>
      <c r="K657" s="404">
        <f t="shared" si="38"/>
        <v>0</v>
      </c>
      <c r="L657" s="405">
        <f t="shared" si="39"/>
        <v>0</v>
      </c>
      <c r="M657" s="403"/>
    </row>
    <row r="658" spans="1:13" ht="15.75" x14ac:dyDescent="0.25">
      <c r="A658" s="6" t="s">
        <v>1014</v>
      </c>
      <c r="B658" s="7" t="s">
        <v>628</v>
      </c>
      <c r="C658" s="6" t="s">
        <v>9</v>
      </c>
      <c r="D658" s="8">
        <v>1</v>
      </c>
      <c r="E658" s="403"/>
      <c r="F658" s="403">
        <f>BBNTHT!J698</f>
        <v>0</v>
      </c>
      <c r="G658" s="403">
        <f t="shared" ref="G658:G721" si="40">F658+E658</f>
        <v>0</v>
      </c>
      <c r="H658" s="9">
        <v>148367</v>
      </c>
      <c r="I658" s="404">
        <f t="shared" ref="I658:I721" si="41">ROUND(D658*H658,0)</f>
        <v>148367</v>
      </c>
      <c r="J658" s="403"/>
      <c r="K658" s="404">
        <f t="shared" ref="K658:K721" si="42">ROUND(F658*H658,0)</f>
        <v>0</v>
      </c>
      <c r="L658" s="405">
        <f t="shared" ref="L658:L721" si="43">J658+K658</f>
        <v>0</v>
      </c>
      <c r="M658" s="403"/>
    </row>
    <row r="659" spans="1:13" ht="15.75" x14ac:dyDescent="0.25">
      <c r="A659" s="6" t="s">
        <v>1015</v>
      </c>
      <c r="B659" s="7" t="s">
        <v>593</v>
      </c>
      <c r="C659" s="6" t="s">
        <v>9</v>
      </c>
      <c r="D659" s="8">
        <v>8</v>
      </c>
      <c r="E659" s="403"/>
      <c r="F659" s="403">
        <f>BBNTHT!J699</f>
        <v>0</v>
      </c>
      <c r="G659" s="403">
        <f t="shared" si="40"/>
        <v>0</v>
      </c>
      <c r="H659" s="9">
        <v>138060</v>
      </c>
      <c r="I659" s="404">
        <f t="shared" si="41"/>
        <v>1104480</v>
      </c>
      <c r="J659" s="403"/>
      <c r="K659" s="404">
        <f t="shared" si="42"/>
        <v>0</v>
      </c>
      <c r="L659" s="405">
        <f t="shared" si="43"/>
        <v>0</v>
      </c>
      <c r="M659" s="403"/>
    </row>
    <row r="660" spans="1:13" ht="15.75" x14ac:dyDescent="0.25">
      <c r="A660" s="6" t="s">
        <v>1016</v>
      </c>
      <c r="B660" s="7" t="s">
        <v>495</v>
      </c>
      <c r="C660" s="6" t="s">
        <v>248</v>
      </c>
      <c r="D660" s="8">
        <v>1</v>
      </c>
      <c r="E660" s="403"/>
      <c r="F660" s="403">
        <f>BBNTHT!J700</f>
        <v>0</v>
      </c>
      <c r="G660" s="403">
        <f t="shared" si="40"/>
        <v>0</v>
      </c>
      <c r="H660" s="9">
        <v>634986</v>
      </c>
      <c r="I660" s="404">
        <f t="shared" si="41"/>
        <v>634986</v>
      </c>
      <c r="J660" s="403"/>
      <c r="K660" s="404">
        <f t="shared" si="42"/>
        <v>0</v>
      </c>
      <c r="L660" s="405">
        <f t="shared" si="43"/>
        <v>0</v>
      </c>
      <c r="M660" s="403"/>
    </row>
    <row r="661" spans="1:13" ht="31.5" x14ac:dyDescent="0.25">
      <c r="A661" s="6" t="s">
        <v>1017</v>
      </c>
      <c r="B661" s="7" t="s">
        <v>645</v>
      </c>
      <c r="C661" s="6" t="s">
        <v>499</v>
      </c>
      <c r="D661" s="8">
        <v>1</v>
      </c>
      <c r="E661" s="403"/>
      <c r="F661" s="403">
        <f>BBNTHT!J701</f>
        <v>0</v>
      </c>
      <c r="G661" s="403">
        <f t="shared" si="40"/>
        <v>0</v>
      </c>
      <c r="H661" s="9">
        <v>1130266</v>
      </c>
      <c r="I661" s="404">
        <f t="shared" si="41"/>
        <v>1130266</v>
      </c>
      <c r="J661" s="403"/>
      <c r="K661" s="404">
        <f t="shared" si="42"/>
        <v>0</v>
      </c>
      <c r="L661" s="405">
        <f t="shared" si="43"/>
        <v>0</v>
      </c>
      <c r="M661" s="403"/>
    </row>
    <row r="662" spans="1:13" ht="15.75" x14ac:dyDescent="0.25">
      <c r="A662" s="2" t="s">
        <v>1018</v>
      </c>
      <c r="B662" s="3" t="s">
        <v>1019</v>
      </c>
      <c r="C662" s="2"/>
      <c r="D662" s="4" t="s">
        <v>3</v>
      </c>
      <c r="E662" s="403"/>
      <c r="F662" s="403">
        <f>BBNTHT!J702</f>
        <v>0</v>
      </c>
      <c r="G662" s="403">
        <f t="shared" si="40"/>
        <v>0</v>
      </c>
      <c r="H662" s="5"/>
      <c r="I662" s="404"/>
      <c r="J662" s="403"/>
      <c r="K662" s="404">
        <f t="shared" si="42"/>
        <v>0</v>
      </c>
      <c r="L662" s="405">
        <f t="shared" si="43"/>
        <v>0</v>
      </c>
      <c r="M662" s="403"/>
    </row>
    <row r="663" spans="1:13" ht="15.75" x14ac:dyDescent="0.25">
      <c r="A663" s="6" t="s">
        <v>1020</v>
      </c>
      <c r="B663" s="7" t="s">
        <v>1021</v>
      </c>
      <c r="C663" s="6" t="s">
        <v>9</v>
      </c>
      <c r="D663" s="8">
        <v>1</v>
      </c>
      <c r="E663" s="403"/>
      <c r="F663" s="403">
        <f>BBNTHT!J703</f>
        <v>0</v>
      </c>
      <c r="G663" s="403">
        <f t="shared" si="40"/>
        <v>0</v>
      </c>
      <c r="H663" s="9">
        <v>60738822</v>
      </c>
      <c r="I663" s="404">
        <f t="shared" si="41"/>
        <v>60738822</v>
      </c>
      <c r="J663" s="403"/>
      <c r="K663" s="404">
        <f t="shared" si="42"/>
        <v>0</v>
      </c>
      <c r="L663" s="405">
        <f t="shared" si="43"/>
        <v>0</v>
      </c>
      <c r="M663" s="403"/>
    </row>
    <row r="664" spans="1:13" ht="15.75" x14ac:dyDescent="0.25">
      <c r="A664" s="6" t="s">
        <v>1022</v>
      </c>
      <c r="B664" s="7" t="s">
        <v>483</v>
      </c>
      <c r="C664" s="6" t="s">
        <v>248</v>
      </c>
      <c r="D664" s="8">
        <v>3</v>
      </c>
      <c r="E664" s="403"/>
      <c r="F664" s="403">
        <f>BBNTHT!J704</f>
        <v>0</v>
      </c>
      <c r="G664" s="403">
        <f t="shared" si="40"/>
        <v>0</v>
      </c>
      <c r="H664" s="9">
        <v>396005</v>
      </c>
      <c r="I664" s="404">
        <f t="shared" si="41"/>
        <v>1188015</v>
      </c>
      <c r="J664" s="403"/>
      <c r="K664" s="404">
        <f t="shared" si="42"/>
        <v>0</v>
      </c>
      <c r="L664" s="405">
        <f t="shared" si="43"/>
        <v>0</v>
      </c>
      <c r="M664" s="403"/>
    </row>
    <row r="665" spans="1:13" ht="15.75" x14ac:dyDescent="0.25">
      <c r="A665" s="6" t="s">
        <v>1023</v>
      </c>
      <c r="B665" s="7" t="s">
        <v>877</v>
      </c>
      <c r="C665" s="6" t="s">
        <v>248</v>
      </c>
      <c r="D665" s="8">
        <v>3</v>
      </c>
      <c r="E665" s="403"/>
      <c r="F665" s="403">
        <f>BBNTHT!J705</f>
        <v>0</v>
      </c>
      <c r="G665" s="403">
        <f t="shared" si="40"/>
        <v>0</v>
      </c>
      <c r="H665" s="9">
        <v>83756</v>
      </c>
      <c r="I665" s="404">
        <f t="shared" si="41"/>
        <v>251268</v>
      </c>
      <c r="J665" s="403"/>
      <c r="K665" s="404">
        <f t="shared" si="42"/>
        <v>0</v>
      </c>
      <c r="L665" s="405">
        <f t="shared" si="43"/>
        <v>0</v>
      </c>
      <c r="M665" s="403"/>
    </row>
    <row r="666" spans="1:13" ht="15.75" x14ac:dyDescent="0.25">
      <c r="A666" s="6" t="s">
        <v>1024</v>
      </c>
      <c r="B666" s="7" t="s">
        <v>1025</v>
      </c>
      <c r="C666" s="6" t="s">
        <v>9</v>
      </c>
      <c r="D666" s="8">
        <v>2</v>
      </c>
      <c r="E666" s="403"/>
      <c r="F666" s="403">
        <f>BBNTHT!J706</f>
        <v>0</v>
      </c>
      <c r="G666" s="403">
        <f t="shared" si="40"/>
        <v>0</v>
      </c>
      <c r="H666" s="9">
        <v>14574262</v>
      </c>
      <c r="I666" s="404">
        <f t="shared" si="41"/>
        <v>29148524</v>
      </c>
      <c r="J666" s="403"/>
      <c r="K666" s="404">
        <f t="shared" si="42"/>
        <v>0</v>
      </c>
      <c r="L666" s="405">
        <f t="shared" si="43"/>
        <v>0</v>
      </c>
      <c r="M666" s="403"/>
    </row>
    <row r="667" spans="1:13" ht="15.75" x14ac:dyDescent="0.25">
      <c r="A667" s="6" t="s">
        <v>1026</v>
      </c>
      <c r="B667" s="7" t="s">
        <v>618</v>
      </c>
      <c r="C667" s="6" t="s">
        <v>9</v>
      </c>
      <c r="D667" s="8">
        <v>1</v>
      </c>
      <c r="E667" s="403"/>
      <c r="F667" s="403">
        <f>BBNTHT!J707</f>
        <v>0</v>
      </c>
      <c r="G667" s="403">
        <f t="shared" si="40"/>
        <v>0</v>
      </c>
      <c r="H667" s="9">
        <v>4882557</v>
      </c>
      <c r="I667" s="404">
        <f t="shared" si="41"/>
        <v>4882557</v>
      </c>
      <c r="J667" s="403"/>
      <c r="K667" s="404">
        <f t="shared" si="42"/>
        <v>0</v>
      </c>
      <c r="L667" s="405">
        <f t="shared" si="43"/>
        <v>0</v>
      </c>
      <c r="M667" s="403"/>
    </row>
    <row r="668" spans="1:13" ht="15.75" x14ac:dyDescent="0.25">
      <c r="A668" s="6" t="s">
        <v>1027</v>
      </c>
      <c r="B668" s="7" t="s">
        <v>581</v>
      </c>
      <c r="C668" s="6" t="s">
        <v>9</v>
      </c>
      <c r="D668" s="8">
        <v>1</v>
      </c>
      <c r="E668" s="403"/>
      <c r="F668" s="403">
        <f>BBNTHT!J708</f>
        <v>0</v>
      </c>
      <c r="G668" s="403">
        <f t="shared" si="40"/>
        <v>0</v>
      </c>
      <c r="H668" s="9">
        <v>1411124</v>
      </c>
      <c r="I668" s="404">
        <f t="shared" si="41"/>
        <v>1411124</v>
      </c>
      <c r="J668" s="403"/>
      <c r="K668" s="404">
        <f t="shared" si="42"/>
        <v>0</v>
      </c>
      <c r="L668" s="405">
        <f t="shared" si="43"/>
        <v>0</v>
      </c>
      <c r="M668" s="403"/>
    </row>
    <row r="669" spans="1:13" ht="15.75" x14ac:dyDescent="0.25">
      <c r="A669" s="6" t="s">
        <v>1028</v>
      </c>
      <c r="B669" s="7" t="s">
        <v>1029</v>
      </c>
      <c r="C669" s="6" t="s">
        <v>248</v>
      </c>
      <c r="D669" s="8">
        <v>2</v>
      </c>
      <c r="E669" s="403"/>
      <c r="F669" s="403">
        <f>BBNTHT!J709</f>
        <v>0</v>
      </c>
      <c r="G669" s="403">
        <f t="shared" si="40"/>
        <v>0</v>
      </c>
      <c r="H669" s="9">
        <v>274162752</v>
      </c>
      <c r="I669" s="404">
        <f t="shared" si="41"/>
        <v>548325504</v>
      </c>
      <c r="J669" s="403"/>
      <c r="K669" s="404">
        <f t="shared" si="42"/>
        <v>0</v>
      </c>
      <c r="L669" s="405">
        <f t="shared" si="43"/>
        <v>0</v>
      </c>
      <c r="M669" s="403"/>
    </row>
    <row r="670" spans="1:13" ht="15.75" x14ac:dyDescent="0.25">
      <c r="A670" s="6" t="s">
        <v>1030</v>
      </c>
      <c r="B670" s="7" t="s">
        <v>495</v>
      </c>
      <c r="C670" s="6" t="s">
        <v>248</v>
      </c>
      <c r="D670" s="8">
        <v>1</v>
      </c>
      <c r="E670" s="403"/>
      <c r="F670" s="403">
        <f>BBNTHT!J710</f>
        <v>0</v>
      </c>
      <c r="G670" s="403">
        <f t="shared" si="40"/>
        <v>0</v>
      </c>
      <c r="H670" s="9">
        <v>634986</v>
      </c>
      <c r="I670" s="404">
        <f t="shared" si="41"/>
        <v>634986</v>
      </c>
      <c r="J670" s="403"/>
      <c r="K670" s="404">
        <f t="shared" si="42"/>
        <v>0</v>
      </c>
      <c r="L670" s="405">
        <f t="shared" si="43"/>
        <v>0</v>
      </c>
      <c r="M670" s="403"/>
    </row>
    <row r="671" spans="1:13" ht="31.5" x14ac:dyDescent="0.25">
      <c r="A671" s="6" t="s">
        <v>1031</v>
      </c>
      <c r="B671" s="7" t="s">
        <v>498</v>
      </c>
      <c r="C671" s="6" t="s">
        <v>248</v>
      </c>
      <c r="D671" s="8">
        <v>1</v>
      </c>
      <c r="E671" s="403"/>
      <c r="F671" s="403">
        <f>BBNTHT!J711</f>
        <v>0</v>
      </c>
      <c r="G671" s="403">
        <f t="shared" si="40"/>
        <v>0</v>
      </c>
      <c r="H671" s="9">
        <v>5935608</v>
      </c>
      <c r="I671" s="404">
        <f t="shared" si="41"/>
        <v>5935608</v>
      </c>
      <c r="J671" s="403"/>
      <c r="K671" s="404">
        <f t="shared" si="42"/>
        <v>0</v>
      </c>
      <c r="L671" s="405">
        <f t="shared" si="43"/>
        <v>0</v>
      </c>
      <c r="M671" s="403"/>
    </row>
    <row r="672" spans="1:13" ht="15.75" x14ac:dyDescent="0.25">
      <c r="A672" s="2" t="s">
        <v>1032</v>
      </c>
      <c r="B672" s="3" t="s">
        <v>1033</v>
      </c>
      <c r="C672" s="2"/>
      <c r="D672" s="4" t="s">
        <v>3</v>
      </c>
      <c r="E672" s="403"/>
      <c r="F672" s="403">
        <f>BBNTHT!J712</f>
        <v>0</v>
      </c>
      <c r="G672" s="403">
        <f t="shared" si="40"/>
        <v>0</v>
      </c>
      <c r="H672" s="5"/>
      <c r="I672" s="404"/>
      <c r="J672" s="403"/>
      <c r="K672" s="404">
        <f t="shared" si="42"/>
        <v>0</v>
      </c>
      <c r="L672" s="405">
        <f t="shared" si="43"/>
        <v>0</v>
      </c>
      <c r="M672" s="403"/>
    </row>
    <row r="673" spans="1:13" ht="15.75" x14ac:dyDescent="0.25">
      <c r="A673" s="6" t="s">
        <v>1034</v>
      </c>
      <c r="B673" s="7" t="s">
        <v>618</v>
      </c>
      <c r="C673" s="6" t="s">
        <v>9</v>
      </c>
      <c r="D673" s="8">
        <v>1</v>
      </c>
      <c r="E673" s="403"/>
      <c r="F673" s="403">
        <f>BBNTHT!J713</f>
        <v>0</v>
      </c>
      <c r="G673" s="403">
        <f t="shared" si="40"/>
        <v>0</v>
      </c>
      <c r="H673" s="9">
        <v>4882557</v>
      </c>
      <c r="I673" s="404">
        <f t="shared" si="41"/>
        <v>4882557</v>
      </c>
      <c r="J673" s="403"/>
      <c r="K673" s="404">
        <f t="shared" si="42"/>
        <v>0</v>
      </c>
      <c r="L673" s="405">
        <f t="shared" si="43"/>
        <v>0</v>
      </c>
      <c r="M673" s="403"/>
    </row>
    <row r="674" spans="1:13" ht="15.75" x14ac:dyDescent="0.25">
      <c r="A674" s="6" t="s">
        <v>1035</v>
      </c>
      <c r="B674" s="7" t="s">
        <v>747</v>
      </c>
      <c r="C674" s="6" t="s">
        <v>248</v>
      </c>
      <c r="D674" s="8">
        <v>6</v>
      </c>
      <c r="E674" s="403"/>
      <c r="F674" s="403">
        <f>BBNTHT!J714</f>
        <v>0</v>
      </c>
      <c r="G674" s="403">
        <f t="shared" si="40"/>
        <v>0</v>
      </c>
      <c r="H674" s="9">
        <v>83756</v>
      </c>
      <c r="I674" s="404">
        <f t="shared" si="41"/>
        <v>502536</v>
      </c>
      <c r="J674" s="403"/>
      <c r="K674" s="404">
        <f t="shared" si="42"/>
        <v>0</v>
      </c>
      <c r="L674" s="405">
        <f t="shared" si="43"/>
        <v>0</v>
      </c>
      <c r="M674" s="403"/>
    </row>
    <row r="675" spans="1:13" ht="15.75" x14ac:dyDescent="0.25">
      <c r="A675" s="6" t="s">
        <v>1036</v>
      </c>
      <c r="B675" s="7" t="s">
        <v>483</v>
      </c>
      <c r="C675" s="6" t="s">
        <v>248</v>
      </c>
      <c r="D675" s="8">
        <v>3</v>
      </c>
      <c r="E675" s="403"/>
      <c r="F675" s="403">
        <f>BBNTHT!J715</f>
        <v>0</v>
      </c>
      <c r="G675" s="403">
        <f t="shared" si="40"/>
        <v>0</v>
      </c>
      <c r="H675" s="9">
        <v>396005</v>
      </c>
      <c r="I675" s="404">
        <f t="shared" si="41"/>
        <v>1188015</v>
      </c>
      <c r="J675" s="403"/>
      <c r="K675" s="404">
        <f t="shared" si="42"/>
        <v>0</v>
      </c>
      <c r="L675" s="405">
        <f t="shared" si="43"/>
        <v>0</v>
      </c>
      <c r="M675" s="403"/>
    </row>
    <row r="676" spans="1:13" ht="15.75" x14ac:dyDescent="0.25">
      <c r="A676" s="6" t="s">
        <v>1037</v>
      </c>
      <c r="B676" s="7" t="s">
        <v>1038</v>
      </c>
      <c r="C676" s="6" t="s">
        <v>9</v>
      </c>
      <c r="D676" s="8">
        <v>3</v>
      </c>
      <c r="E676" s="403"/>
      <c r="F676" s="403">
        <f>BBNTHT!J716</f>
        <v>0</v>
      </c>
      <c r="G676" s="403">
        <f t="shared" si="40"/>
        <v>0</v>
      </c>
      <c r="H676" s="9">
        <v>2694423</v>
      </c>
      <c r="I676" s="404">
        <f t="shared" si="41"/>
        <v>8083269</v>
      </c>
      <c r="J676" s="403"/>
      <c r="K676" s="404">
        <f t="shared" si="42"/>
        <v>0</v>
      </c>
      <c r="L676" s="405">
        <f t="shared" si="43"/>
        <v>0</v>
      </c>
      <c r="M676" s="403"/>
    </row>
    <row r="677" spans="1:13" ht="15.75" x14ac:dyDescent="0.25">
      <c r="A677" s="6" t="s">
        <v>1039</v>
      </c>
      <c r="B677" s="7" t="s">
        <v>593</v>
      </c>
      <c r="C677" s="6" t="s">
        <v>9</v>
      </c>
      <c r="D677" s="8">
        <v>1</v>
      </c>
      <c r="E677" s="403"/>
      <c r="F677" s="403">
        <f>BBNTHT!J717</f>
        <v>0</v>
      </c>
      <c r="G677" s="403">
        <f t="shared" si="40"/>
        <v>0</v>
      </c>
      <c r="H677" s="9">
        <v>138060</v>
      </c>
      <c r="I677" s="404">
        <f t="shared" si="41"/>
        <v>138060</v>
      </c>
      <c r="J677" s="403"/>
      <c r="K677" s="404">
        <f t="shared" si="42"/>
        <v>0</v>
      </c>
      <c r="L677" s="405">
        <f t="shared" si="43"/>
        <v>0</v>
      </c>
      <c r="M677" s="403"/>
    </row>
    <row r="678" spans="1:13" ht="15.75" x14ac:dyDescent="0.25">
      <c r="A678" s="6" t="s">
        <v>1040</v>
      </c>
      <c r="B678" s="7" t="s">
        <v>1041</v>
      </c>
      <c r="C678" s="6" t="s">
        <v>248</v>
      </c>
      <c r="D678" s="8">
        <v>3</v>
      </c>
      <c r="E678" s="403"/>
      <c r="F678" s="403">
        <f>BBNTHT!J718</f>
        <v>0</v>
      </c>
      <c r="G678" s="403">
        <f t="shared" si="40"/>
        <v>0</v>
      </c>
      <c r="H678" s="9">
        <v>26916243</v>
      </c>
      <c r="I678" s="404">
        <f t="shared" si="41"/>
        <v>80748729</v>
      </c>
      <c r="J678" s="403"/>
      <c r="K678" s="404">
        <f t="shared" si="42"/>
        <v>0</v>
      </c>
      <c r="L678" s="405">
        <f t="shared" si="43"/>
        <v>0</v>
      </c>
      <c r="M678" s="403"/>
    </row>
    <row r="679" spans="1:13" ht="15.75" x14ac:dyDescent="0.25">
      <c r="A679" s="6" t="s">
        <v>1042</v>
      </c>
      <c r="B679" s="7" t="s">
        <v>495</v>
      </c>
      <c r="C679" s="6" t="s">
        <v>248</v>
      </c>
      <c r="D679" s="8">
        <v>1</v>
      </c>
      <c r="E679" s="403"/>
      <c r="F679" s="403">
        <f>BBNTHT!J719</f>
        <v>0</v>
      </c>
      <c r="G679" s="403">
        <f t="shared" si="40"/>
        <v>0</v>
      </c>
      <c r="H679" s="9">
        <v>634986</v>
      </c>
      <c r="I679" s="404">
        <f t="shared" si="41"/>
        <v>634986</v>
      </c>
      <c r="J679" s="403"/>
      <c r="K679" s="404">
        <f t="shared" si="42"/>
        <v>0</v>
      </c>
      <c r="L679" s="405">
        <f t="shared" si="43"/>
        <v>0</v>
      </c>
      <c r="M679" s="403"/>
    </row>
    <row r="680" spans="1:13" ht="31.5" x14ac:dyDescent="0.25">
      <c r="A680" s="6" t="s">
        <v>1043</v>
      </c>
      <c r="B680" s="7" t="s">
        <v>1044</v>
      </c>
      <c r="C680" s="6" t="s">
        <v>248</v>
      </c>
      <c r="D680" s="8">
        <v>1</v>
      </c>
      <c r="E680" s="403"/>
      <c r="F680" s="403">
        <f>BBNTHT!J720</f>
        <v>0</v>
      </c>
      <c r="G680" s="403">
        <f t="shared" si="40"/>
        <v>0</v>
      </c>
      <c r="H680" s="9">
        <v>3783873</v>
      </c>
      <c r="I680" s="404">
        <f t="shared" si="41"/>
        <v>3783873</v>
      </c>
      <c r="J680" s="403"/>
      <c r="K680" s="404">
        <f t="shared" si="42"/>
        <v>0</v>
      </c>
      <c r="L680" s="405">
        <f t="shared" si="43"/>
        <v>0</v>
      </c>
      <c r="M680" s="403"/>
    </row>
    <row r="681" spans="1:13" ht="15.75" x14ac:dyDescent="0.25">
      <c r="A681" s="2" t="s">
        <v>1045</v>
      </c>
      <c r="B681" s="3" t="s">
        <v>1046</v>
      </c>
      <c r="C681" s="2"/>
      <c r="D681" s="4" t="s">
        <v>3</v>
      </c>
      <c r="E681" s="403"/>
      <c r="F681" s="403">
        <f>BBNTHT!J721</f>
        <v>0</v>
      </c>
      <c r="G681" s="403">
        <f t="shared" si="40"/>
        <v>0</v>
      </c>
      <c r="H681" s="5"/>
      <c r="I681" s="404"/>
      <c r="J681" s="403"/>
      <c r="K681" s="404">
        <f t="shared" si="42"/>
        <v>0</v>
      </c>
      <c r="L681" s="405">
        <f t="shared" si="43"/>
        <v>0</v>
      </c>
      <c r="M681" s="403"/>
    </row>
    <row r="682" spans="1:13" ht="15.75" x14ac:dyDescent="0.25">
      <c r="A682" s="6" t="s">
        <v>1047</v>
      </c>
      <c r="B682" s="7" t="s">
        <v>1048</v>
      </c>
      <c r="C682" s="6" t="s">
        <v>9</v>
      </c>
      <c r="D682" s="8">
        <v>9</v>
      </c>
      <c r="E682" s="403"/>
      <c r="F682" s="403">
        <f>BBNTHT!J722</f>
        <v>0</v>
      </c>
      <c r="G682" s="403">
        <f t="shared" si="40"/>
        <v>0</v>
      </c>
      <c r="H682" s="9">
        <v>339821</v>
      </c>
      <c r="I682" s="404">
        <f t="shared" si="41"/>
        <v>3058389</v>
      </c>
      <c r="J682" s="403"/>
      <c r="K682" s="404">
        <f t="shared" si="42"/>
        <v>0</v>
      </c>
      <c r="L682" s="405">
        <f t="shared" si="43"/>
        <v>0</v>
      </c>
      <c r="M682" s="403"/>
    </row>
    <row r="683" spans="1:13" ht="15.75" x14ac:dyDescent="0.25">
      <c r="A683" s="6" t="s">
        <v>1049</v>
      </c>
      <c r="B683" s="7" t="s">
        <v>1050</v>
      </c>
      <c r="C683" s="6" t="s">
        <v>9</v>
      </c>
      <c r="D683" s="8">
        <v>9</v>
      </c>
      <c r="E683" s="403"/>
      <c r="F683" s="403">
        <f>BBNTHT!J723</f>
        <v>0</v>
      </c>
      <c r="G683" s="403">
        <f t="shared" si="40"/>
        <v>0</v>
      </c>
      <c r="H683" s="9">
        <v>148367</v>
      </c>
      <c r="I683" s="404">
        <f t="shared" si="41"/>
        <v>1335303</v>
      </c>
      <c r="J683" s="403"/>
      <c r="K683" s="404">
        <f t="shared" si="42"/>
        <v>0</v>
      </c>
      <c r="L683" s="405">
        <f t="shared" si="43"/>
        <v>0</v>
      </c>
      <c r="M683" s="403"/>
    </row>
    <row r="684" spans="1:13" ht="15.75" x14ac:dyDescent="0.25">
      <c r="A684" s="6" t="s">
        <v>1051</v>
      </c>
      <c r="B684" s="7" t="s">
        <v>1052</v>
      </c>
      <c r="C684" s="6" t="s">
        <v>9</v>
      </c>
      <c r="D684" s="8">
        <v>9</v>
      </c>
      <c r="E684" s="403"/>
      <c r="F684" s="403">
        <f>BBNTHT!J724</f>
        <v>0</v>
      </c>
      <c r="G684" s="403">
        <f t="shared" si="40"/>
        <v>0</v>
      </c>
      <c r="H684" s="9">
        <v>767216</v>
      </c>
      <c r="I684" s="404">
        <f t="shared" si="41"/>
        <v>6904944</v>
      </c>
      <c r="J684" s="403"/>
      <c r="K684" s="404">
        <f t="shared" si="42"/>
        <v>0</v>
      </c>
      <c r="L684" s="405">
        <f t="shared" si="43"/>
        <v>0</v>
      </c>
      <c r="M684" s="403"/>
    </row>
    <row r="685" spans="1:13" ht="15.75" x14ac:dyDescent="0.25">
      <c r="A685" s="6" t="s">
        <v>1053</v>
      </c>
      <c r="B685" s="7" t="s">
        <v>804</v>
      </c>
      <c r="C685" s="6" t="s">
        <v>9</v>
      </c>
      <c r="D685" s="8">
        <v>18</v>
      </c>
      <c r="E685" s="403"/>
      <c r="F685" s="403">
        <f>BBNTHT!J725</f>
        <v>0</v>
      </c>
      <c r="G685" s="403">
        <f t="shared" si="40"/>
        <v>0</v>
      </c>
      <c r="H685" s="9">
        <v>745395</v>
      </c>
      <c r="I685" s="404">
        <f t="shared" si="41"/>
        <v>13417110</v>
      </c>
      <c r="J685" s="403"/>
      <c r="K685" s="404">
        <f t="shared" si="42"/>
        <v>0</v>
      </c>
      <c r="L685" s="405">
        <f t="shared" si="43"/>
        <v>0</v>
      </c>
      <c r="M685" s="403"/>
    </row>
    <row r="686" spans="1:13" ht="15.75" x14ac:dyDescent="0.25">
      <c r="A686" s="6" t="s">
        <v>1054</v>
      </c>
      <c r="B686" s="7" t="s">
        <v>611</v>
      </c>
      <c r="C686" s="6" t="s">
        <v>9</v>
      </c>
      <c r="D686" s="8">
        <v>27</v>
      </c>
      <c r="E686" s="403"/>
      <c r="F686" s="403">
        <f>BBNTHT!J726</f>
        <v>0</v>
      </c>
      <c r="G686" s="403">
        <f t="shared" si="40"/>
        <v>0</v>
      </c>
      <c r="H686" s="9">
        <v>138060</v>
      </c>
      <c r="I686" s="404">
        <f t="shared" si="41"/>
        <v>3727620</v>
      </c>
      <c r="J686" s="403"/>
      <c r="K686" s="404">
        <f t="shared" si="42"/>
        <v>0</v>
      </c>
      <c r="L686" s="405">
        <f t="shared" si="43"/>
        <v>0</v>
      </c>
      <c r="M686" s="403"/>
    </row>
    <row r="687" spans="1:13" ht="15.75" x14ac:dyDescent="0.25">
      <c r="A687" s="6" t="s">
        <v>1055</v>
      </c>
      <c r="B687" s="7" t="s">
        <v>593</v>
      </c>
      <c r="C687" s="6" t="s">
        <v>9</v>
      </c>
      <c r="D687" s="8">
        <v>9</v>
      </c>
      <c r="E687" s="403"/>
      <c r="F687" s="403">
        <f>BBNTHT!J727</f>
        <v>0</v>
      </c>
      <c r="G687" s="403">
        <f t="shared" si="40"/>
        <v>0</v>
      </c>
      <c r="H687" s="9">
        <v>138060</v>
      </c>
      <c r="I687" s="404">
        <f t="shared" si="41"/>
        <v>1242540</v>
      </c>
      <c r="J687" s="403"/>
      <c r="K687" s="404">
        <f t="shared" si="42"/>
        <v>0</v>
      </c>
      <c r="L687" s="405">
        <f t="shared" si="43"/>
        <v>0</v>
      </c>
      <c r="M687" s="403"/>
    </row>
    <row r="688" spans="1:13" ht="15.75" x14ac:dyDescent="0.25">
      <c r="A688" s="6" t="s">
        <v>1056</v>
      </c>
      <c r="B688" s="7" t="s">
        <v>495</v>
      </c>
      <c r="C688" s="6" t="s">
        <v>248</v>
      </c>
      <c r="D688" s="8">
        <v>9</v>
      </c>
      <c r="E688" s="403"/>
      <c r="F688" s="403">
        <f>BBNTHT!J728</f>
        <v>0</v>
      </c>
      <c r="G688" s="403">
        <f t="shared" si="40"/>
        <v>0</v>
      </c>
      <c r="H688" s="9">
        <v>634986</v>
      </c>
      <c r="I688" s="404">
        <f t="shared" si="41"/>
        <v>5714874</v>
      </c>
      <c r="J688" s="403"/>
      <c r="K688" s="404">
        <f t="shared" si="42"/>
        <v>0</v>
      </c>
      <c r="L688" s="405">
        <f t="shared" si="43"/>
        <v>0</v>
      </c>
      <c r="M688" s="403"/>
    </row>
    <row r="689" spans="1:13" ht="15.75" x14ac:dyDescent="0.25">
      <c r="A689" s="6" t="s">
        <v>1057</v>
      </c>
      <c r="B689" s="7" t="s">
        <v>1058</v>
      </c>
      <c r="C689" s="6" t="s">
        <v>499</v>
      </c>
      <c r="D689" s="8">
        <v>9</v>
      </c>
      <c r="E689" s="403"/>
      <c r="F689" s="403">
        <f>BBNTHT!J729</f>
        <v>0</v>
      </c>
      <c r="G689" s="403">
        <f t="shared" si="40"/>
        <v>0</v>
      </c>
      <c r="H689" s="9">
        <v>731659</v>
      </c>
      <c r="I689" s="404">
        <f t="shared" si="41"/>
        <v>6584931</v>
      </c>
      <c r="J689" s="403"/>
      <c r="K689" s="404">
        <f t="shared" si="42"/>
        <v>0</v>
      </c>
      <c r="L689" s="405">
        <f t="shared" si="43"/>
        <v>0</v>
      </c>
      <c r="M689" s="403"/>
    </row>
    <row r="690" spans="1:13" ht="15.75" x14ac:dyDescent="0.25">
      <c r="A690" s="2" t="s">
        <v>1059</v>
      </c>
      <c r="B690" s="3" t="s">
        <v>1060</v>
      </c>
      <c r="C690" s="2"/>
      <c r="D690" s="4" t="s">
        <v>3</v>
      </c>
      <c r="E690" s="403"/>
      <c r="F690" s="403">
        <f>BBNTHT!J730</f>
        <v>0</v>
      </c>
      <c r="G690" s="403">
        <f t="shared" si="40"/>
        <v>0</v>
      </c>
      <c r="H690" s="5"/>
      <c r="I690" s="404"/>
      <c r="J690" s="403"/>
      <c r="K690" s="404">
        <f t="shared" si="42"/>
        <v>0</v>
      </c>
      <c r="L690" s="405">
        <f t="shared" si="43"/>
        <v>0</v>
      </c>
      <c r="M690" s="403"/>
    </row>
    <row r="691" spans="1:13" ht="15.75" x14ac:dyDescent="0.25">
      <c r="A691" s="6" t="s">
        <v>1061</v>
      </c>
      <c r="B691" s="7" t="s">
        <v>901</v>
      </c>
      <c r="C691" s="6" t="s">
        <v>9</v>
      </c>
      <c r="D691" s="8">
        <v>231</v>
      </c>
      <c r="E691" s="403"/>
      <c r="F691" s="403">
        <f>BBNTHT!J731</f>
        <v>0</v>
      </c>
      <c r="G691" s="403">
        <f t="shared" si="40"/>
        <v>0</v>
      </c>
      <c r="H691" s="9">
        <v>339821</v>
      </c>
      <c r="I691" s="404">
        <f t="shared" si="41"/>
        <v>78498651</v>
      </c>
      <c r="J691" s="403"/>
      <c r="K691" s="404">
        <f t="shared" si="42"/>
        <v>0</v>
      </c>
      <c r="L691" s="405">
        <f t="shared" si="43"/>
        <v>0</v>
      </c>
      <c r="M691" s="403"/>
    </row>
    <row r="692" spans="1:13" ht="15.75" x14ac:dyDescent="0.25">
      <c r="A692" s="6" t="s">
        <v>1062</v>
      </c>
      <c r="B692" s="7" t="s">
        <v>1050</v>
      </c>
      <c r="C692" s="6" t="s">
        <v>9</v>
      </c>
      <c r="D692" s="8">
        <v>231</v>
      </c>
      <c r="E692" s="403"/>
      <c r="F692" s="403">
        <f>BBNTHT!J732</f>
        <v>0</v>
      </c>
      <c r="G692" s="403">
        <f t="shared" si="40"/>
        <v>0</v>
      </c>
      <c r="H692" s="9">
        <v>148367</v>
      </c>
      <c r="I692" s="404">
        <f t="shared" si="41"/>
        <v>34272777</v>
      </c>
      <c r="J692" s="403"/>
      <c r="K692" s="404">
        <f t="shared" si="42"/>
        <v>0</v>
      </c>
      <c r="L692" s="405">
        <f t="shared" si="43"/>
        <v>0</v>
      </c>
      <c r="M692" s="403"/>
    </row>
    <row r="693" spans="1:13" ht="15.75" x14ac:dyDescent="0.25">
      <c r="A693" s="6" t="s">
        <v>1063</v>
      </c>
      <c r="B693" s="7" t="s">
        <v>1052</v>
      </c>
      <c r="C693" s="6" t="s">
        <v>9</v>
      </c>
      <c r="D693" s="8">
        <v>231</v>
      </c>
      <c r="E693" s="403"/>
      <c r="F693" s="403">
        <f>BBNTHT!J733</f>
        <v>0</v>
      </c>
      <c r="G693" s="403">
        <f t="shared" si="40"/>
        <v>0</v>
      </c>
      <c r="H693" s="9">
        <v>767216</v>
      </c>
      <c r="I693" s="404">
        <f t="shared" si="41"/>
        <v>177226896</v>
      </c>
      <c r="J693" s="403"/>
      <c r="K693" s="404">
        <f t="shared" si="42"/>
        <v>0</v>
      </c>
      <c r="L693" s="405">
        <f t="shared" si="43"/>
        <v>0</v>
      </c>
      <c r="M693" s="403"/>
    </row>
    <row r="694" spans="1:13" ht="15.75" x14ac:dyDescent="0.25">
      <c r="A694" s="6" t="s">
        <v>1064</v>
      </c>
      <c r="B694" s="7" t="s">
        <v>804</v>
      </c>
      <c r="C694" s="6" t="s">
        <v>9</v>
      </c>
      <c r="D694" s="8">
        <v>462</v>
      </c>
      <c r="E694" s="403"/>
      <c r="F694" s="403">
        <f>BBNTHT!J734</f>
        <v>0</v>
      </c>
      <c r="G694" s="403">
        <f t="shared" si="40"/>
        <v>0</v>
      </c>
      <c r="H694" s="9">
        <v>745395</v>
      </c>
      <c r="I694" s="404">
        <f t="shared" si="41"/>
        <v>344372490</v>
      </c>
      <c r="J694" s="403"/>
      <c r="K694" s="404">
        <f t="shared" si="42"/>
        <v>0</v>
      </c>
      <c r="L694" s="405">
        <f t="shared" si="43"/>
        <v>0</v>
      </c>
      <c r="M694" s="403"/>
    </row>
    <row r="695" spans="1:13" ht="15.75" x14ac:dyDescent="0.25">
      <c r="A695" s="6" t="s">
        <v>1065</v>
      </c>
      <c r="B695" s="7" t="s">
        <v>611</v>
      </c>
      <c r="C695" s="6" t="s">
        <v>9</v>
      </c>
      <c r="D695" s="8">
        <v>462</v>
      </c>
      <c r="E695" s="403"/>
      <c r="F695" s="403">
        <f>BBNTHT!J735</f>
        <v>0</v>
      </c>
      <c r="G695" s="403">
        <f t="shared" si="40"/>
        <v>0</v>
      </c>
      <c r="H695" s="9">
        <v>138060</v>
      </c>
      <c r="I695" s="404">
        <f t="shared" si="41"/>
        <v>63783720</v>
      </c>
      <c r="J695" s="403"/>
      <c r="K695" s="404">
        <f t="shared" si="42"/>
        <v>0</v>
      </c>
      <c r="L695" s="405">
        <f t="shared" si="43"/>
        <v>0</v>
      </c>
      <c r="M695" s="403"/>
    </row>
    <row r="696" spans="1:13" ht="15.75" x14ac:dyDescent="0.25">
      <c r="A696" s="6" t="s">
        <v>1066</v>
      </c>
      <c r="B696" s="7" t="s">
        <v>593</v>
      </c>
      <c r="C696" s="6" t="s">
        <v>9</v>
      </c>
      <c r="D696" s="8">
        <v>231</v>
      </c>
      <c r="E696" s="403"/>
      <c r="F696" s="403">
        <f>BBNTHT!J736</f>
        <v>0</v>
      </c>
      <c r="G696" s="403">
        <f t="shared" si="40"/>
        <v>0</v>
      </c>
      <c r="H696" s="9">
        <v>138060</v>
      </c>
      <c r="I696" s="404">
        <f t="shared" si="41"/>
        <v>31891860</v>
      </c>
      <c r="J696" s="403"/>
      <c r="K696" s="404">
        <f t="shared" si="42"/>
        <v>0</v>
      </c>
      <c r="L696" s="405">
        <f t="shared" si="43"/>
        <v>0</v>
      </c>
      <c r="M696" s="403"/>
    </row>
    <row r="697" spans="1:13" ht="15.75" x14ac:dyDescent="0.25">
      <c r="A697" s="6" t="s">
        <v>1067</v>
      </c>
      <c r="B697" s="7" t="s">
        <v>495</v>
      </c>
      <c r="C697" s="6" t="s">
        <v>248</v>
      </c>
      <c r="D697" s="8">
        <v>231</v>
      </c>
      <c r="E697" s="403"/>
      <c r="F697" s="403">
        <f>BBNTHT!J737</f>
        <v>0</v>
      </c>
      <c r="G697" s="403">
        <f t="shared" si="40"/>
        <v>0</v>
      </c>
      <c r="H697" s="9">
        <v>634986</v>
      </c>
      <c r="I697" s="404">
        <f t="shared" si="41"/>
        <v>146681766</v>
      </c>
      <c r="J697" s="403"/>
      <c r="K697" s="404">
        <f t="shared" si="42"/>
        <v>0</v>
      </c>
      <c r="L697" s="405">
        <f t="shared" si="43"/>
        <v>0</v>
      </c>
      <c r="M697" s="403"/>
    </row>
    <row r="698" spans="1:13" ht="15.75" x14ac:dyDescent="0.25">
      <c r="A698" s="6" t="s">
        <v>1068</v>
      </c>
      <c r="B698" s="7" t="s">
        <v>1069</v>
      </c>
      <c r="C698" s="6" t="s">
        <v>499</v>
      </c>
      <c r="D698" s="8">
        <v>231</v>
      </c>
      <c r="E698" s="403"/>
      <c r="F698" s="403">
        <f>BBNTHT!J738</f>
        <v>0</v>
      </c>
      <c r="G698" s="403">
        <f t="shared" si="40"/>
        <v>0</v>
      </c>
      <c r="H698" s="9">
        <v>731659</v>
      </c>
      <c r="I698" s="404">
        <f t="shared" si="41"/>
        <v>169013229</v>
      </c>
      <c r="J698" s="403"/>
      <c r="K698" s="404">
        <f t="shared" si="42"/>
        <v>0</v>
      </c>
      <c r="L698" s="405">
        <f t="shared" si="43"/>
        <v>0</v>
      </c>
      <c r="M698" s="403"/>
    </row>
    <row r="699" spans="1:13" ht="15.75" x14ac:dyDescent="0.25">
      <c r="A699" s="2" t="s">
        <v>1070</v>
      </c>
      <c r="B699" s="3" t="s">
        <v>1071</v>
      </c>
      <c r="C699" s="2"/>
      <c r="D699" s="4" t="s">
        <v>3</v>
      </c>
      <c r="E699" s="403"/>
      <c r="F699" s="403">
        <f>BBNTHT!J739</f>
        <v>0</v>
      </c>
      <c r="G699" s="403">
        <f t="shared" si="40"/>
        <v>0</v>
      </c>
      <c r="H699" s="5"/>
      <c r="I699" s="404"/>
      <c r="J699" s="403"/>
      <c r="K699" s="404">
        <f t="shared" si="42"/>
        <v>0</v>
      </c>
      <c r="L699" s="405">
        <f t="shared" si="43"/>
        <v>0</v>
      </c>
      <c r="M699" s="403"/>
    </row>
    <row r="700" spans="1:13" ht="31.5" x14ac:dyDescent="0.25">
      <c r="A700" s="6" t="s">
        <v>1072</v>
      </c>
      <c r="B700" s="7" t="s">
        <v>1073</v>
      </c>
      <c r="C700" s="6" t="s">
        <v>248</v>
      </c>
      <c r="D700" s="8">
        <v>148</v>
      </c>
      <c r="E700" s="403"/>
      <c r="F700" s="403">
        <f>BBNTHT!J740</f>
        <v>0</v>
      </c>
      <c r="G700" s="403">
        <f t="shared" si="40"/>
        <v>0</v>
      </c>
      <c r="H700" s="9">
        <v>353121</v>
      </c>
      <c r="I700" s="404">
        <f t="shared" si="41"/>
        <v>52261908</v>
      </c>
      <c r="J700" s="403"/>
      <c r="K700" s="404">
        <f t="shared" si="42"/>
        <v>0</v>
      </c>
      <c r="L700" s="405">
        <f t="shared" si="43"/>
        <v>0</v>
      </c>
      <c r="M700" s="403"/>
    </row>
    <row r="701" spans="1:13" ht="31.5" x14ac:dyDescent="0.25">
      <c r="A701" s="6" t="s">
        <v>1074</v>
      </c>
      <c r="B701" s="7" t="s">
        <v>1075</v>
      </c>
      <c r="C701" s="6" t="s">
        <v>248</v>
      </c>
      <c r="D701" s="8">
        <v>16</v>
      </c>
      <c r="E701" s="403"/>
      <c r="F701" s="403">
        <f>BBNTHT!J741</f>
        <v>0</v>
      </c>
      <c r="G701" s="403">
        <f t="shared" si="40"/>
        <v>0</v>
      </c>
      <c r="H701" s="9">
        <v>440863</v>
      </c>
      <c r="I701" s="404">
        <f t="shared" si="41"/>
        <v>7053808</v>
      </c>
      <c r="J701" s="403"/>
      <c r="K701" s="404">
        <f t="shared" si="42"/>
        <v>0</v>
      </c>
      <c r="L701" s="405">
        <f t="shared" si="43"/>
        <v>0</v>
      </c>
      <c r="M701" s="403"/>
    </row>
    <row r="702" spans="1:13" ht="31.5" x14ac:dyDescent="0.25">
      <c r="A702" s="6" t="s">
        <v>1076</v>
      </c>
      <c r="B702" s="7" t="s">
        <v>1077</v>
      </c>
      <c r="C702" s="6" t="s">
        <v>248</v>
      </c>
      <c r="D702" s="8">
        <v>21</v>
      </c>
      <c r="E702" s="403"/>
      <c r="F702" s="403">
        <f>BBNTHT!J742</f>
        <v>0</v>
      </c>
      <c r="G702" s="403">
        <f t="shared" si="40"/>
        <v>0</v>
      </c>
      <c r="H702" s="9">
        <v>180089</v>
      </c>
      <c r="I702" s="404">
        <f t="shared" si="41"/>
        <v>3781869</v>
      </c>
      <c r="J702" s="403"/>
      <c r="K702" s="404">
        <f t="shared" si="42"/>
        <v>0</v>
      </c>
      <c r="L702" s="405">
        <f t="shared" si="43"/>
        <v>0</v>
      </c>
      <c r="M702" s="403"/>
    </row>
    <row r="703" spans="1:13" ht="15.75" x14ac:dyDescent="0.25">
      <c r="A703" s="6" t="s">
        <v>1078</v>
      </c>
      <c r="B703" s="7" t="s">
        <v>1079</v>
      </c>
      <c r="C703" s="6" t="s">
        <v>248</v>
      </c>
      <c r="D703" s="8">
        <v>4</v>
      </c>
      <c r="E703" s="403"/>
      <c r="F703" s="403">
        <f>BBNTHT!J743</f>
        <v>0</v>
      </c>
      <c r="G703" s="403">
        <f t="shared" si="40"/>
        <v>0</v>
      </c>
      <c r="H703" s="9">
        <v>531569</v>
      </c>
      <c r="I703" s="404">
        <f t="shared" si="41"/>
        <v>2126276</v>
      </c>
      <c r="J703" s="403"/>
      <c r="K703" s="404">
        <f t="shared" si="42"/>
        <v>0</v>
      </c>
      <c r="L703" s="405">
        <f t="shared" si="43"/>
        <v>0</v>
      </c>
      <c r="M703" s="403"/>
    </row>
    <row r="704" spans="1:13" ht="15.75" x14ac:dyDescent="0.25">
      <c r="A704" s="6" t="s">
        <v>1080</v>
      </c>
      <c r="B704" s="7" t="s">
        <v>1081</v>
      </c>
      <c r="C704" s="6" t="s">
        <v>248</v>
      </c>
      <c r="D704" s="8">
        <v>19</v>
      </c>
      <c r="E704" s="403"/>
      <c r="F704" s="403">
        <f>BBNTHT!J744</f>
        <v>0</v>
      </c>
      <c r="G704" s="403">
        <f t="shared" si="40"/>
        <v>0</v>
      </c>
      <c r="H704" s="9">
        <v>343682</v>
      </c>
      <c r="I704" s="404">
        <f t="shared" si="41"/>
        <v>6529958</v>
      </c>
      <c r="J704" s="403"/>
      <c r="K704" s="404">
        <f t="shared" si="42"/>
        <v>0</v>
      </c>
      <c r="L704" s="405">
        <f t="shared" si="43"/>
        <v>0</v>
      </c>
      <c r="M704" s="403"/>
    </row>
    <row r="705" spans="1:13" ht="31.5" x14ac:dyDescent="0.25">
      <c r="A705" s="6" t="s">
        <v>1082</v>
      </c>
      <c r="B705" s="7" t="s">
        <v>1083</v>
      </c>
      <c r="C705" s="6" t="s">
        <v>248</v>
      </c>
      <c r="D705" s="8">
        <v>119</v>
      </c>
      <c r="E705" s="403"/>
      <c r="F705" s="403">
        <f>BBNTHT!J745</f>
        <v>0</v>
      </c>
      <c r="G705" s="403">
        <f t="shared" si="40"/>
        <v>0</v>
      </c>
      <c r="H705" s="9">
        <v>544650</v>
      </c>
      <c r="I705" s="404">
        <f t="shared" si="41"/>
        <v>64813350</v>
      </c>
      <c r="J705" s="403"/>
      <c r="K705" s="404">
        <f t="shared" si="42"/>
        <v>0</v>
      </c>
      <c r="L705" s="405">
        <f t="shared" si="43"/>
        <v>0</v>
      </c>
      <c r="M705" s="403"/>
    </row>
    <row r="706" spans="1:13" ht="47.25" x14ac:dyDescent="0.25">
      <c r="A706" s="6" t="s">
        <v>1084</v>
      </c>
      <c r="B706" s="7" t="s">
        <v>1085</v>
      </c>
      <c r="C706" s="6" t="s">
        <v>248</v>
      </c>
      <c r="D706" s="8">
        <v>56</v>
      </c>
      <c r="E706" s="403"/>
      <c r="F706" s="403">
        <f>BBNTHT!J746</f>
        <v>0</v>
      </c>
      <c r="G706" s="403">
        <f t="shared" si="40"/>
        <v>0</v>
      </c>
      <c r="H706" s="9">
        <v>1171041</v>
      </c>
      <c r="I706" s="404">
        <f t="shared" si="41"/>
        <v>65578296</v>
      </c>
      <c r="J706" s="403"/>
      <c r="K706" s="404">
        <f t="shared" si="42"/>
        <v>0</v>
      </c>
      <c r="L706" s="405">
        <f t="shared" si="43"/>
        <v>0</v>
      </c>
      <c r="M706" s="403"/>
    </row>
    <row r="707" spans="1:13" ht="31.5" x14ac:dyDescent="0.25">
      <c r="A707" s="6" t="s">
        <v>1086</v>
      </c>
      <c r="B707" s="7" t="s">
        <v>1087</v>
      </c>
      <c r="C707" s="6" t="s">
        <v>248</v>
      </c>
      <c r="D707" s="8">
        <v>249</v>
      </c>
      <c r="E707" s="403"/>
      <c r="F707" s="403">
        <f>BBNTHT!J747</f>
        <v>0</v>
      </c>
      <c r="G707" s="403">
        <f t="shared" si="40"/>
        <v>0</v>
      </c>
      <c r="H707" s="9">
        <v>575567</v>
      </c>
      <c r="I707" s="404">
        <f t="shared" si="41"/>
        <v>143316183</v>
      </c>
      <c r="J707" s="403"/>
      <c r="K707" s="404">
        <f t="shared" si="42"/>
        <v>0</v>
      </c>
      <c r="L707" s="405">
        <f t="shared" si="43"/>
        <v>0</v>
      </c>
      <c r="M707" s="403"/>
    </row>
    <row r="708" spans="1:13" ht="15.75" x14ac:dyDescent="0.25">
      <c r="A708" s="6" t="s">
        <v>1088</v>
      </c>
      <c r="B708" s="7" t="s">
        <v>1089</v>
      </c>
      <c r="C708" s="6" t="s">
        <v>6</v>
      </c>
      <c r="D708" s="8">
        <v>70</v>
      </c>
      <c r="E708" s="403"/>
      <c r="F708" s="403">
        <f>BBNTHT!J748</f>
        <v>0</v>
      </c>
      <c r="G708" s="403">
        <f t="shared" si="40"/>
        <v>0</v>
      </c>
      <c r="H708" s="9">
        <v>84280</v>
      </c>
      <c r="I708" s="404">
        <f t="shared" si="41"/>
        <v>5899600</v>
      </c>
      <c r="J708" s="403"/>
      <c r="K708" s="404">
        <f t="shared" si="42"/>
        <v>0</v>
      </c>
      <c r="L708" s="405">
        <f t="shared" si="43"/>
        <v>0</v>
      </c>
      <c r="M708" s="403"/>
    </row>
    <row r="709" spans="1:13" ht="15.75" x14ac:dyDescent="0.25">
      <c r="A709" s="6" t="s">
        <v>1090</v>
      </c>
      <c r="B709" s="7" t="s">
        <v>1091</v>
      </c>
      <c r="C709" s="6" t="s">
        <v>6</v>
      </c>
      <c r="D709" s="8">
        <v>2400</v>
      </c>
      <c r="E709" s="403"/>
      <c r="F709" s="403">
        <f>BBNTHT!J749</f>
        <v>0</v>
      </c>
      <c r="G709" s="403">
        <f t="shared" si="40"/>
        <v>0</v>
      </c>
      <c r="H709" s="9">
        <v>50799</v>
      </c>
      <c r="I709" s="404">
        <f t="shared" si="41"/>
        <v>121917600</v>
      </c>
      <c r="J709" s="403"/>
      <c r="K709" s="404">
        <f t="shared" si="42"/>
        <v>0</v>
      </c>
      <c r="L709" s="405">
        <f t="shared" si="43"/>
        <v>0</v>
      </c>
      <c r="M709" s="403"/>
    </row>
    <row r="710" spans="1:13" ht="15.75" x14ac:dyDescent="0.25">
      <c r="A710" s="6" t="s">
        <v>1092</v>
      </c>
      <c r="B710" s="7" t="s">
        <v>1093</v>
      </c>
      <c r="C710" s="6" t="s">
        <v>248</v>
      </c>
      <c r="D710" s="8">
        <v>265</v>
      </c>
      <c r="E710" s="403"/>
      <c r="F710" s="403">
        <f>BBNTHT!J750</f>
        <v>0</v>
      </c>
      <c r="G710" s="403">
        <f t="shared" si="40"/>
        <v>0</v>
      </c>
      <c r="H710" s="9">
        <v>164120</v>
      </c>
      <c r="I710" s="404">
        <f t="shared" si="41"/>
        <v>43491800</v>
      </c>
      <c r="J710" s="403"/>
      <c r="K710" s="404">
        <f t="shared" si="42"/>
        <v>0</v>
      </c>
      <c r="L710" s="405">
        <f t="shared" si="43"/>
        <v>0</v>
      </c>
      <c r="M710" s="403"/>
    </row>
    <row r="711" spans="1:13" ht="15.75" x14ac:dyDescent="0.25">
      <c r="A711" s="6" t="s">
        <v>1094</v>
      </c>
      <c r="B711" s="7" t="s">
        <v>1095</v>
      </c>
      <c r="C711" s="6" t="s">
        <v>248</v>
      </c>
      <c r="D711" s="8">
        <v>30</v>
      </c>
      <c r="E711" s="403"/>
      <c r="F711" s="403">
        <f>BBNTHT!J751</f>
        <v>0</v>
      </c>
      <c r="G711" s="403">
        <f t="shared" si="40"/>
        <v>0</v>
      </c>
      <c r="H711" s="9">
        <v>6573718</v>
      </c>
      <c r="I711" s="404">
        <f t="shared" si="41"/>
        <v>197211540</v>
      </c>
      <c r="J711" s="403"/>
      <c r="K711" s="404">
        <f t="shared" si="42"/>
        <v>0</v>
      </c>
      <c r="L711" s="405">
        <f t="shared" si="43"/>
        <v>0</v>
      </c>
      <c r="M711" s="403"/>
    </row>
    <row r="712" spans="1:13" ht="15.75" x14ac:dyDescent="0.25">
      <c r="A712" s="6" t="s">
        <v>1096</v>
      </c>
      <c r="B712" s="7" t="s">
        <v>1097</v>
      </c>
      <c r="C712" s="6" t="s">
        <v>248</v>
      </c>
      <c r="D712" s="8">
        <v>9</v>
      </c>
      <c r="E712" s="403"/>
      <c r="F712" s="403">
        <f>BBNTHT!J752</f>
        <v>0</v>
      </c>
      <c r="G712" s="403">
        <f t="shared" si="40"/>
        <v>0</v>
      </c>
      <c r="H712" s="9">
        <v>16905422</v>
      </c>
      <c r="I712" s="404">
        <f t="shared" si="41"/>
        <v>152148798</v>
      </c>
      <c r="J712" s="403"/>
      <c r="K712" s="404">
        <f t="shared" si="42"/>
        <v>0</v>
      </c>
      <c r="L712" s="405">
        <f t="shared" si="43"/>
        <v>0</v>
      </c>
      <c r="M712" s="403"/>
    </row>
    <row r="713" spans="1:13" ht="31.5" x14ac:dyDescent="0.25">
      <c r="A713" s="6" t="s">
        <v>1098</v>
      </c>
      <c r="B713" s="7" t="s">
        <v>1099</v>
      </c>
      <c r="C713" s="6" t="s">
        <v>248</v>
      </c>
      <c r="D713" s="8">
        <v>1983</v>
      </c>
      <c r="E713" s="403"/>
      <c r="F713" s="403">
        <f>BBNTHT!J753</f>
        <v>0</v>
      </c>
      <c r="G713" s="403">
        <f t="shared" si="40"/>
        <v>0</v>
      </c>
      <c r="H713" s="9">
        <v>190281</v>
      </c>
      <c r="I713" s="404">
        <f t="shared" si="41"/>
        <v>377327223</v>
      </c>
      <c r="J713" s="403"/>
      <c r="K713" s="404">
        <f t="shared" si="42"/>
        <v>0</v>
      </c>
      <c r="L713" s="405">
        <f t="shared" si="43"/>
        <v>0</v>
      </c>
      <c r="M713" s="403"/>
    </row>
    <row r="714" spans="1:13" ht="31.5" x14ac:dyDescent="0.25">
      <c r="A714" s="6" t="s">
        <v>1100</v>
      </c>
      <c r="B714" s="7" t="s">
        <v>1101</v>
      </c>
      <c r="C714" s="6" t="s">
        <v>248</v>
      </c>
      <c r="D714" s="8">
        <v>489</v>
      </c>
      <c r="E714" s="403"/>
      <c r="F714" s="403">
        <f>BBNTHT!J754</f>
        <v>0</v>
      </c>
      <c r="G714" s="403">
        <f t="shared" si="40"/>
        <v>0</v>
      </c>
      <c r="H714" s="9">
        <v>190281</v>
      </c>
      <c r="I714" s="404">
        <f t="shared" si="41"/>
        <v>93047409</v>
      </c>
      <c r="J714" s="403"/>
      <c r="K714" s="404">
        <f t="shared" si="42"/>
        <v>0</v>
      </c>
      <c r="L714" s="405">
        <f t="shared" si="43"/>
        <v>0</v>
      </c>
      <c r="M714" s="403"/>
    </row>
    <row r="715" spans="1:13" ht="31.5" x14ac:dyDescent="0.25">
      <c r="A715" s="6" t="s">
        <v>1102</v>
      </c>
      <c r="B715" s="7" t="s">
        <v>1103</v>
      </c>
      <c r="C715" s="6" t="s">
        <v>248</v>
      </c>
      <c r="D715" s="8">
        <v>65</v>
      </c>
      <c r="E715" s="403"/>
      <c r="F715" s="403">
        <f>BBNTHT!J755</f>
        <v>0</v>
      </c>
      <c r="G715" s="403">
        <f t="shared" si="40"/>
        <v>0</v>
      </c>
      <c r="H715" s="9">
        <v>220010</v>
      </c>
      <c r="I715" s="404">
        <f t="shared" si="41"/>
        <v>14300650</v>
      </c>
      <c r="J715" s="403"/>
      <c r="K715" s="404">
        <f t="shared" si="42"/>
        <v>0</v>
      </c>
      <c r="L715" s="405">
        <f t="shared" si="43"/>
        <v>0</v>
      </c>
      <c r="M715" s="403"/>
    </row>
    <row r="716" spans="1:13" ht="31.5" x14ac:dyDescent="0.25">
      <c r="A716" s="6" t="s">
        <v>1104</v>
      </c>
      <c r="B716" s="7" t="s">
        <v>1105</v>
      </c>
      <c r="C716" s="6" t="s">
        <v>248</v>
      </c>
      <c r="D716" s="8">
        <v>97</v>
      </c>
      <c r="E716" s="403"/>
      <c r="F716" s="403">
        <f>BBNTHT!J756</f>
        <v>0</v>
      </c>
      <c r="G716" s="403">
        <f t="shared" si="40"/>
        <v>0</v>
      </c>
      <c r="H716" s="9">
        <v>220010</v>
      </c>
      <c r="I716" s="404">
        <f t="shared" si="41"/>
        <v>21340970</v>
      </c>
      <c r="J716" s="403"/>
      <c r="K716" s="404">
        <f t="shared" si="42"/>
        <v>0</v>
      </c>
      <c r="L716" s="405">
        <f t="shared" si="43"/>
        <v>0</v>
      </c>
      <c r="M716" s="403"/>
    </row>
    <row r="717" spans="1:13" ht="31.5" x14ac:dyDescent="0.25">
      <c r="A717" s="6" t="s">
        <v>1106</v>
      </c>
      <c r="B717" s="7" t="s">
        <v>1107</v>
      </c>
      <c r="C717" s="6" t="s">
        <v>248</v>
      </c>
      <c r="D717" s="8">
        <v>1444</v>
      </c>
      <c r="E717" s="403"/>
      <c r="F717" s="403">
        <f>BBNTHT!J757</f>
        <v>0</v>
      </c>
      <c r="G717" s="403">
        <f t="shared" si="40"/>
        <v>0</v>
      </c>
      <c r="H717" s="9">
        <v>230712</v>
      </c>
      <c r="I717" s="404">
        <f t="shared" si="41"/>
        <v>333148128</v>
      </c>
      <c r="J717" s="403"/>
      <c r="K717" s="404">
        <f t="shared" si="42"/>
        <v>0</v>
      </c>
      <c r="L717" s="405">
        <f t="shared" si="43"/>
        <v>0</v>
      </c>
      <c r="M717" s="403"/>
    </row>
    <row r="718" spans="1:13" ht="31.5" x14ac:dyDescent="0.25">
      <c r="A718" s="6" t="s">
        <v>1108</v>
      </c>
      <c r="B718" s="7" t="s">
        <v>1109</v>
      </c>
      <c r="C718" s="6" t="s">
        <v>248</v>
      </c>
      <c r="D718" s="8">
        <v>179</v>
      </c>
      <c r="E718" s="403"/>
      <c r="F718" s="403">
        <f>BBNTHT!J758</f>
        <v>0</v>
      </c>
      <c r="G718" s="403">
        <f t="shared" si="40"/>
        <v>0</v>
      </c>
      <c r="H718" s="9">
        <v>442382</v>
      </c>
      <c r="I718" s="404">
        <f t="shared" si="41"/>
        <v>79186378</v>
      </c>
      <c r="J718" s="403"/>
      <c r="K718" s="404">
        <f t="shared" si="42"/>
        <v>0</v>
      </c>
      <c r="L718" s="405">
        <f t="shared" si="43"/>
        <v>0</v>
      </c>
      <c r="M718" s="403"/>
    </row>
    <row r="719" spans="1:13" ht="31.5" x14ac:dyDescent="0.25">
      <c r="A719" s="6" t="s">
        <v>1110</v>
      </c>
      <c r="B719" s="7" t="s">
        <v>1111</v>
      </c>
      <c r="C719" s="6" t="s">
        <v>248</v>
      </c>
      <c r="D719" s="8">
        <v>73</v>
      </c>
      <c r="E719" s="403"/>
      <c r="F719" s="403">
        <f>BBNTHT!J759</f>
        <v>0</v>
      </c>
      <c r="G719" s="403">
        <f t="shared" si="40"/>
        <v>0</v>
      </c>
      <c r="H719" s="9">
        <v>638593</v>
      </c>
      <c r="I719" s="404">
        <f t="shared" si="41"/>
        <v>46617289</v>
      </c>
      <c r="J719" s="403"/>
      <c r="K719" s="404">
        <f t="shared" si="42"/>
        <v>0</v>
      </c>
      <c r="L719" s="405">
        <f t="shared" si="43"/>
        <v>0</v>
      </c>
      <c r="M719" s="403"/>
    </row>
    <row r="720" spans="1:13" ht="31.5" x14ac:dyDescent="0.25">
      <c r="A720" s="6" t="s">
        <v>1112</v>
      </c>
      <c r="B720" s="7" t="s">
        <v>1113</v>
      </c>
      <c r="C720" s="6" t="s">
        <v>248</v>
      </c>
      <c r="D720" s="8">
        <v>15</v>
      </c>
      <c r="E720" s="403"/>
      <c r="F720" s="403">
        <f>BBNTHT!J760</f>
        <v>0</v>
      </c>
      <c r="G720" s="403">
        <f t="shared" si="40"/>
        <v>0</v>
      </c>
      <c r="H720" s="9">
        <v>576756</v>
      </c>
      <c r="I720" s="404">
        <f t="shared" si="41"/>
        <v>8651340</v>
      </c>
      <c r="J720" s="403"/>
      <c r="K720" s="404">
        <f t="shared" si="42"/>
        <v>0</v>
      </c>
      <c r="L720" s="405">
        <f t="shared" si="43"/>
        <v>0</v>
      </c>
      <c r="M720" s="403"/>
    </row>
    <row r="721" spans="1:13" ht="15.75" x14ac:dyDescent="0.25">
      <c r="A721" s="6" t="s">
        <v>1114</v>
      </c>
      <c r="B721" s="7" t="s">
        <v>1115</v>
      </c>
      <c r="C721" s="6" t="s">
        <v>9</v>
      </c>
      <c r="D721" s="8">
        <v>590</v>
      </c>
      <c r="E721" s="403"/>
      <c r="F721" s="403">
        <f>BBNTHT!J761</f>
        <v>0</v>
      </c>
      <c r="G721" s="403">
        <f t="shared" si="40"/>
        <v>0</v>
      </c>
      <c r="H721" s="9">
        <v>146418</v>
      </c>
      <c r="I721" s="404">
        <f t="shared" si="41"/>
        <v>86386620</v>
      </c>
      <c r="J721" s="403"/>
      <c r="K721" s="404">
        <f t="shared" si="42"/>
        <v>0</v>
      </c>
      <c r="L721" s="405">
        <f t="shared" si="43"/>
        <v>0</v>
      </c>
      <c r="M721" s="403"/>
    </row>
    <row r="722" spans="1:13" ht="15.75" x14ac:dyDescent="0.25">
      <c r="A722" s="6" t="s">
        <v>1116</v>
      </c>
      <c r="B722" s="7" t="s">
        <v>1117</v>
      </c>
      <c r="C722" s="6" t="s">
        <v>9</v>
      </c>
      <c r="D722" s="8">
        <v>47</v>
      </c>
      <c r="E722" s="403"/>
      <c r="F722" s="403">
        <f>BBNTHT!J762</f>
        <v>0</v>
      </c>
      <c r="G722" s="403">
        <f t="shared" ref="G722:G785" si="44">F722+E722</f>
        <v>0</v>
      </c>
      <c r="H722" s="9">
        <v>218493</v>
      </c>
      <c r="I722" s="404">
        <f t="shared" ref="I722:I784" si="45">ROUND(D722*H722,0)</f>
        <v>10269171</v>
      </c>
      <c r="J722" s="403"/>
      <c r="K722" s="404">
        <f t="shared" ref="K722:K785" si="46">ROUND(F722*H722,0)</f>
        <v>0</v>
      </c>
      <c r="L722" s="405">
        <f t="shared" ref="L722:L785" si="47">J722+K722</f>
        <v>0</v>
      </c>
      <c r="M722" s="403"/>
    </row>
    <row r="723" spans="1:13" ht="15.75" x14ac:dyDescent="0.25">
      <c r="A723" s="6" t="s">
        <v>1118</v>
      </c>
      <c r="B723" s="7" t="s">
        <v>1119</v>
      </c>
      <c r="C723" s="6" t="s">
        <v>9</v>
      </c>
      <c r="D723" s="8">
        <v>283</v>
      </c>
      <c r="E723" s="403"/>
      <c r="F723" s="403">
        <f>BBNTHT!J763</f>
        <v>0</v>
      </c>
      <c r="G723" s="403">
        <f t="shared" si="44"/>
        <v>0</v>
      </c>
      <c r="H723" s="9">
        <v>290570</v>
      </c>
      <c r="I723" s="404">
        <f t="shared" si="45"/>
        <v>82231310</v>
      </c>
      <c r="J723" s="403"/>
      <c r="K723" s="404">
        <f t="shared" si="46"/>
        <v>0</v>
      </c>
      <c r="L723" s="405">
        <f t="shared" si="47"/>
        <v>0</v>
      </c>
      <c r="M723" s="403"/>
    </row>
    <row r="724" spans="1:13" ht="15.75" x14ac:dyDescent="0.25">
      <c r="A724" s="6" t="s">
        <v>1120</v>
      </c>
      <c r="B724" s="7" t="s">
        <v>1121</v>
      </c>
      <c r="C724" s="6" t="s">
        <v>9</v>
      </c>
      <c r="D724" s="8">
        <v>502</v>
      </c>
      <c r="E724" s="403"/>
      <c r="F724" s="403">
        <f>BBNTHT!J764</f>
        <v>0</v>
      </c>
      <c r="G724" s="403">
        <f t="shared" si="44"/>
        <v>0</v>
      </c>
      <c r="H724" s="9">
        <v>174265</v>
      </c>
      <c r="I724" s="404">
        <f t="shared" si="45"/>
        <v>87481030</v>
      </c>
      <c r="J724" s="403"/>
      <c r="K724" s="404">
        <f t="shared" si="46"/>
        <v>0</v>
      </c>
      <c r="L724" s="405">
        <f t="shared" si="47"/>
        <v>0</v>
      </c>
      <c r="M724" s="403"/>
    </row>
    <row r="725" spans="1:13" ht="15.75" x14ac:dyDescent="0.25">
      <c r="A725" s="6" t="s">
        <v>1122</v>
      </c>
      <c r="B725" s="7" t="s">
        <v>1123</v>
      </c>
      <c r="C725" s="6" t="s">
        <v>9</v>
      </c>
      <c r="D725" s="8">
        <v>3</v>
      </c>
      <c r="E725" s="403"/>
      <c r="F725" s="403">
        <f>BBNTHT!J765</f>
        <v>0</v>
      </c>
      <c r="G725" s="403">
        <f t="shared" si="44"/>
        <v>0</v>
      </c>
      <c r="H725" s="9">
        <v>257944</v>
      </c>
      <c r="I725" s="404">
        <f t="shared" si="45"/>
        <v>773832</v>
      </c>
      <c r="J725" s="403"/>
      <c r="K725" s="404">
        <f t="shared" si="46"/>
        <v>0</v>
      </c>
      <c r="L725" s="405">
        <f t="shared" si="47"/>
        <v>0</v>
      </c>
      <c r="M725" s="403"/>
    </row>
    <row r="726" spans="1:13" ht="15.75" x14ac:dyDescent="0.25">
      <c r="A726" s="6" t="s">
        <v>1124</v>
      </c>
      <c r="B726" s="7" t="s">
        <v>1125</v>
      </c>
      <c r="C726" s="6" t="s">
        <v>9</v>
      </c>
      <c r="D726" s="8">
        <v>1</v>
      </c>
      <c r="E726" s="403"/>
      <c r="F726" s="403">
        <f>BBNTHT!J766</f>
        <v>0</v>
      </c>
      <c r="G726" s="403">
        <f t="shared" si="44"/>
        <v>0</v>
      </c>
      <c r="H726" s="9">
        <v>306814</v>
      </c>
      <c r="I726" s="404">
        <f t="shared" si="45"/>
        <v>306814</v>
      </c>
      <c r="J726" s="403"/>
      <c r="K726" s="404">
        <f t="shared" si="46"/>
        <v>0</v>
      </c>
      <c r="L726" s="405">
        <f t="shared" si="47"/>
        <v>0</v>
      </c>
      <c r="M726" s="403"/>
    </row>
    <row r="727" spans="1:13" ht="15.75" x14ac:dyDescent="0.25">
      <c r="A727" s="6" t="s">
        <v>1126</v>
      </c>
      <c r="B727" s="7" t="s">
        <v>1127</v>
      </c>
      <c r="C727" s="6" t="s">
        <v>9</v>
      </c>
      <c r="D727" s="8">
        <v>240</v>
      </c>
      <c r="E727" s="403"/>
      <c r="F727" s="403">
        <f>BBNTHT!J767</f>
        <v>0</v>
      </c>
      <c r="G727" s="403">
        <f t="shared" si="44"/>
        <v>0</v>
      </c>
      <c r="H727" s="9">
        <v>50113</v>
      </c>
      <c r="I727" s="404">
        <f t="shared" si="45"/>
        <v>12027120</v>
      </c>
      <c r="J727" s="403"/>
      <c r="K727" s="404">
        <f t="shared" si="46"/>
        <v>0</v>
      </c>
      <c r="L727" s="405">
        <f t="shared" si="47"/>
        <v>0</v>
      </c>
      <c r="M727" s="403"/>
    </row>
    <row r="728" spans="1:13" ht="15.75" x14ac:dyDescent="0.25">
      <c r="A728" s="6" t="s">
        <v>1128</v>
      </c>
      <c r="B728" s="7" t="s">
        <v>1129</v>
      </c>
      <c r="C728" s="6" t="s">
        <v>9</v>
      </c>
      <c r="D728" s="8">
        <v>1450</v>
      </c>
      <c r="E728" s="403"/>
      <c r="F728" s="403">
        <f>BBNTHT!J768</f>
        <v>0</v>
      </c>
      <c r="G728" s="403">
        <f t="shared" si="44"/>
        <v>0</v>
      </c>
      <c r="H728" s="9">
        <v>63153</v>
      </c>
      <c r="I728" s="404">
        <f t="shared" si="45"/>
        <v>91571850</v>
      </c>
      <c r="J728" s="403"/>
      <c r="K728" s="404">
        <f t="shared" si="46"/>
        <v>0</v>
      </c>
      <c r="L728" s="405">
        <f t="shared" si="47"/>
        <v>0</v>
      </c>
      <c r="M728" s="403"/>
    </row>
    <row r="729" spans="1:13" ht="15.75" x14ac:dyDescent="0.25">
      <c r="A729" s="6" t="s">
        <v>1130</v>
      </c>
      <c r="B729" s="7" t="s">
        <v>1131</v>
      </c>
      <c r="C729" s="6" t="s">
        <v>9</v>
      </c>
      <c r="D729" s="8">
        <v>269</v>
      </c>
      <c r="E729" s="403"/>
      <c r="F729" s="403">
        <f>BBNTHT!J769</f>
        <v>0</v>
      </c>
      <c r="G729" s="403">
        <f t="shared" si="44"/>
        <v>0</v>
      </c>
      <c r="H729" s="9">
        <v>110448</v>
      </c>
      <c r="I729" s="404">
        <f t="shared" si="45"/>
        <v>29710512</v>
      </c>
      <c r="J729" s="403"/>
      <c r="K729" s="404">
        <f t="shared" si="46"/>
        <v>0</v>
      </c>
      <c r="L729" s="405">
        <f t="shared" si="47"/>
        <v>0</v>
      </c>
      <c r="M729" s="403"/>
    </row>
    <row r="730" spans="1:13" ht="15.75" x14ac:dyDescent="0.25">
      <c r="A730" s="6" t="s">
        <v>1132</v>
      </c>
      <c r="B730" s="7" t="s">
        <v>1133</v>
      </c>
      <c r="C730" s="6" t="s">
        <v>9</v>
      </c>
      <c r="D730" s="8">
        <v>9</v>
      </c>
      <c r="E730" s="403"/>
      <c r="F730" s="403">
        <f>BBNTHT!J770</f>
        <v>0</v>
      </c>
      <c r="G730" s="403">
        <f t="shared" si="44"/>
        <v>0</v>
      </c>
      <c r="H730" s="9">
        <v>53594</v>
      </c>
      <c r="I730" s="404">
        <f t="shared" si="45"/>
        <v>482346</v>
      </c>
      <c r="J730" s="403"/>
      <c r="K730" s="404">
        <f t="shared" si="46"/>
        <v>0</v>
      </c>
      <c r="L730" s="405">
        <f t="shared" si="47"/>
        <v>0</v>
      </c>
      <c r="M730" s="403"/>
    </row>
    <row r="731" spans="1:13" ht="15.75" x14ac:dyDescent="0.25">
      <c r="A731" s="6" t="s">
        <v>1134</v>
      </c>
      <c r="B731" s="7" t="s">
        <v>1135</v>
      </c>
      <c r="C731" s="6" t="s">
        <v>6</v>
      </c>
      <c r="D731" s="8">
        <v>45</v>
      </c>
      <c r="E731" s="403"/>
      <c r="F731" s="403">
        <f>BBNTHT!J771</f>
        <v>31.499999999999996</v>
      </c>
      <c r="G731" s="403">
        <f t="shared" si="44"/>
        <v>31.499999999999996</v>
      </c>
      <c r="H731" s="9">
        <v>983606</v>
      </c>
      <c r="I731" s="404">
        <f t="shared" si="45"/>
        <v>44262270</v>
      </c>
      <c r="J731" s="403"/>
      <c r="K731" s="404">
        <f t="shared" si="46"/>
        <v>30983589</v>
      </c>
      <c r="L731" s="405">
        <f t="shared" si="47"/>
        <v>30983589</v>
      </c>
      <c r="M731" s="403"/>
    </row>
    <row r="732" spans="1:13" ht="15.75" x14ac:dyDescent="0.25">
      <c r="A732" s="6" t="s">
        <v>1136</v>
      </c>
      <c r="B732" s="7" t="s">
        <v>1137</v>
      </c>
      <c r="C732" s="6" t="s">
        <v>6</v>
      </c>
      <c r="D732" s="8">
        <v>50</v>
      </c>
      <c r="E732" s="403"/>
      <c r="F732" s="403">
        <f>BBNTHT!J772</f>
        <v>35</v>
      </c>
      <c r="G732" s="403">
        <f t="shared" si="44"/>
        <v>35</v>
      </c>
      <c r="H732" s="9">
        <v>242594</v>
      </c>
      <c r="I732" s="404">
        <f t="shared" si="45"/>
        <v>12129700</v>
      </c>
      <c r="J732" s="403"/>
      <c r="K732" s="404">
        <f t="shared" si="46"/>
        <v>8490790</v>
      </c>
      <c r="L732" s="405">
        <f t="shared" si="47"/>
        <v>8490790</v>
      </c>
      <c r="M732" s="403"/>
    </row>
    <row r="733" spans="1:13" ht="15.75" x14ac:dyDescent="0.25">
      <c r="A733" s="6" t="s">
        <v>1138</v>
      </c>
      <c r="B733" s="7" t="s">
        <v>1139</v>
      </c>
      <c r="C733" s="6" t="s">
        <v>6</v>
      </c>
      <c r="D733" s="8">
        <v>65</v>
      </c>
      <c r="E733" s="403"/>
      <c r="F733" s="403">
        <f>BBNTHT!J773</f>
        <v>45.5</v>
      </c>
      <c r="G733" s="403">
        <f t="shared" si="44"/>
        <v>45.5</v>
      </c>
      <c r="H733" s="9">
        <v>159652</v>
      </c>
      <c r="I733" s="404">
        <f t="shared" si="45"/>
        <v>10377380</v>
      </c>
      <c r="J733" s="403"/>
      <c r="K733" s="404">
        <f t="shared" si="46"/>
        <v>7264166</v>
      </c>
      <c r="L733" s="405">
        <f t="shared" si="47"/>
        <v>7264166</v>
      </c>
      <c r="M733" s="403"/>
    </row>
    <row r="734" spans="1:13" ht="15.75" x14ac:dyDescent="0.25">
      <c r="A734" s="6" t="s">
        <v>1140</v>
      </c>
      <c r="B734" s="7" t="s">
        <v>1141</v>
      </c>
      <c r="C734" s="6" t="s">
        <v>6</v>
      </c>
      <c r="D734" s="8">
        <v>300</v>
      </c>
      <c r="E734" s="403"/>
      <c r="F734" s="403">
        <f>BBNTHT!J774</f>
        <v>210</v>
      </c>
      <c r="G734" s="403">
        <f t="shared" si="44"/>
        <v>210</v>
      </c>
      <c r="H734" s="9">
        <v>79826</v>
      </c>
      <c r="I734" s="404">
        <f t="shared" si="45"/>
        <v>23947800</v>
      </c>
      <c r="J734" s="403"/>
      <c r="K734" s="404">
        <f t="shared" si="46"/>
        <v>16763460</v>
      </c>
      <c r="L734" s="405">
        <f t="shared" si="47"/>
        <v>16763460</v>
      </c>
      <c r="M734" s="403"/>
    </row>
    <row r="735" spans="1:13" ht="15.75" x14ac:dyDescent="0.25">
      <c r="A735" s="6" t="s">
        <v>1142</v>
      </c>
      <c r="B735" s="7" t="s">
        <v>1143</v>
      </c>
      <c r="C735" s="6" t="s">
        <v>6</v>
      </c>
      <c r="D735" s="8">
        <v>250</v>
      </c>
      <c r="E735" s="403"/>
      <c r="F735" s="403">
        <f>BBNTHT!J775</f>
        <v>175</v>
      </c>
      <c r="G735" s="403">
        <f t="shared" si="44"/>
        <v>175</v>
      </c>
      <c r="H735" s="9">
        <v>135731</v>
      </c>
      <c r="I735" s="404">
        <f t="shared" si="45"/>
        <v>33932750</v>
      </c>
      <c r="J735" s="403"/>
      <c r="K735" s="404">
        <f t="shared" si="46"/>
        <v>23752925</v>
      </c>
      <c r="L735" s="405">
        <f t="shared" si="47"/>
        <v>23752925</v>
      </c>
      <c r="M735" s="403"/>
    </row>
    <row r="736" spans="1:13" ht="15.75" x14ac:dyDescent="0.25">
      <c r="A736" s="6" t="s">
        <v>1144</v>
      </c>
      <c r="B736" s="7" t="s">
        <v>1145</v>
      </c>
      <c r="C736" s="6" t="s">
        <v>6</v>
      </c>
      <c r="D736" s="8">
        <v>5200</v>
      </c>
      <c r="E736" s="403"/>
      <c r="F736" s="403">
        <f>BBNTHT!J776</f>
        <v>3639.9999999999995</v>
      </c>
      <c r="G736" s="403">
        <f t="shared" si="44"/>
        <v>3639.9999999999995</v>
      </c>
      <c r="H736" s="9">
        <v>92040</v>
      </c>
      <c r="I736" s="404">
        <f t="shared" si="45"/>
        <v>478608000</v>
      </c>
      <c r="J736" s="403"/>
      <c r="K736" s="404">
        <f t="shared" si="46"/>
        <v>335025600</v>
      </c>
      <c r="L736" s="405">
        <f t="shared" si="47"/>
        <v>335025600</v>
      </c>
      <c r="M736" s="403"/>
    </row>
    <row r="737" spans="1:13" ht="15.75" x14ac:dyDescent="0.25">
      <c r="A737" s="6" t="s">
        <v>1146</v>
      </c>
      <c r="B737" s="7" t="s">
        <v>1147</v>
      </c>
      <c r="C737" s="6" t="s">
        <v>6</v>
      </c>
      <c r="D737" s="8">
        <v>500</v>
      </c>
      <c r="E737" s="403"/>
      <c r="F737" s="403">
        <f>BBNTHT!J777</f>
        <v>350</v>
      </c>
      <c r="G737" s="403">
        <f t="shared" si="44"/>
        <v>350</v>
      </c>
      <c r="H737" s="9">
        <v>68797</v>
      </c>
      <c r="I737" s="404">
        <f t="shared" si="45"/>
        <v>34398500</v>
      </c>
      <c r="J737" s="403"/>
      <c r="K737" s="404">
        <f t="shared" si="46"/>
        <v>24078950</v>
      </c>
      <c r="L737" s="405">
        <f t="shared" si="47"/>
        <v>24078950</v>
      </c>
      <c r="M737" s="403"/>
    </row>
    <row r="738" spans="1:13" ht="15.75" x14ac:dyDescent="0.25">
      <c r="A738" s="6" t="s">
        <v>1148</v>
      </c>
      <c r="B738" s="7" t="s">
        <v>1149</v>
      </c>
      <c r="C738" s="6" t="s">
        <v>6</v>
      </c>
      <c r="D738" s="8">
        <v>34170</v>
      </c>
      <c r="E738" s="403"/>
      <c r="F738" s="403">
        <f>BBNTHT!J778</f>
        <v>23919</v>
      </c>
      <c r="G738" s="403">
        <f t="shared" si="44"/>
        <v>23919</v>
      </c>
      <c r="H738" s="9">
        <v>20826</v>
      </c>
      <c r="I738" s="404">
        <f t="shared" si="45"/>
        <v>711624420</v>
      </c>
      <c r="J738" s="403"/>
      <c r="K738" s="404">
        <f t="shared" si="46"/>
        <v>498137094</v>
      </c>
      <c r="L738" s="405">
        <f t="shared" si="47"/>
        <v>498137094</v>
      </c>
      <c r="M738" s="403"/>
    </row>
    <row r="739" spans="1:13" ht="15.75" x14ac:dyDescent="0.25">
      <c r="A739" s="6" t="s">
        <v>1150</v>
      </c>
      <c r="B739" s="7" t="s">
        <v>1151</v>
      </c>
      <c r="C739" s="6" t="s">
        <v>6</v>
      </c>
      <c r="D739" s="8">
        <v>76100</v>
      </c>
      <c r="E739" s="403"/>
      <c r="F739" s="403">
        <f>BBNTHT!J779</f>
        <v>53270</v>
      </c>
      <c r="G739" s="403">
        <f t="shared" si="44"/>
        <v>53270</v>
      </c>
      <c r="H739" s="9">
        <v>15620</v>
      </c>
      <c r="I739" s="404">
        <f t="shared" si="45"/>
        <v>1188682000</v>
      </c>
      <c r="J739" s="403"/>
      <c r="K739" s="404">
        <f t="shared" si="46"/>
        <v>832077400</v>
      </c>
      <c r="L739" s="405">
        <f t="shared" si="47"/>
        <v>832077400</v>
      </c>
      <c r="M739" s="403"/>
    </row>
    <row r="740" spans="1:13" ht="15.75" x14ac:dyDescent="0.25">
      <c r="A740" s="6" t="s">
        <v>1152</v>
      </c>
      <c r="B740" s="7" t="s">
        <v>1153</v>
      </c>
      <c r="C740" s="6" t="s">
        <v>6</v>
      </c>
      <c r="D740" s="8">
        <v>45</v>
      </c>
      <c r="E740" s="403"/>
      <c r="F740" s="403">
        <f>BBNTHT!J780</f>
        <v>31.499999999999996</v>
      </c>
      <c r="G740" s="403">
        <f t="shared" si="44"/>
        <v>31.499999999999996</v>
      </c>
      <c r="H740" s="9">
        <v>129228</v>
      </c>
      <c r="I740" s="404">
        <f t="shared" si="45"/>
        <v>5815260</v>
      </c>
      <c r="J740" s="403"/>
      <c r="K740" s="404">
        <f t="shared" si="46"/>
        <v>4070682</v>
      </c>
      <c r="L740" s="405">
        <f t="shared" si="47"/>
        <v>4070682</v>
      </c>
      <c r="M740" s="403"/>
    </row>
    <row r="741" spans="1:13" ht="15.75" x14ac:dyDescent="0.25">
      <c r="A741" s="6" t="s">
        <v>1154</v>
      </c>
      <c r="B741" s="7" t="s">
        <v>1155</v>
      </c>
      <c r="C741" s="6" t="s">
        <v>6</v>
      </c>
      <c r="D741" s="8">
        <v>50</v>
      </c>
      <c r="E741" s="403"/>
      <c r="F741" s="403">
        <f>BBNTHT!J781</f>
        <v>35</v>
      </c>
      <c r="G741" s="403">
        <f t="shared" si="44"/>
        <v>35</v>
      </c>
      <c r="H741" s="9">
        <v>58711</v>
      </c>
      <c r="I741" s="404">
        <f t="shared" si="45"/>
        <v>2935550</v>
      </c>
      <c r="J741" s="403"/>
      <c r="K741" s="404">
        <f t="shared" si="46"/>
        <v>2054885</v>
      </c>
      <c r="L741" s="405">
        <f t="shared" si="47"/>
        <v>2054885</v>
      </c>
      <c r="M741" s="403"/>
    </row>
    <row r="742" spans="1:13" ht="15.75" x14ac:dyDescent="0.25">
      <c r="A742" s="6" t="s">
        <v>1156</v>
      </c>
      <c r="B742" s="7" t="s">
        <v>1157</v>
      </c>
      <c r="C742" s="6" t="s">
        <v>6</v>
      </c>
      <c r="D742" s="8">
        <v>5200</v>
      </c>
      <c r="E742" s="403"/>
      <c r="F742" s="403">
        <f>BBNTHT!J782</f>
        <v>3639.9999999999995</v>
      </c>
      <c r="G742" s="403">
        <f t="shared" si="44"/>
        <v>3639.9999999999995</v>
      </c>
      <c r="H742" s="9">
        <v>38170</v>
      </c>
      <c r="I742" s="404">
        <f t="shared" si="45"/>
        <v>198484000</v>
      </c>
      <c r="J742" s="403"/>
      <c r="K742" s="404">
        <f t="shared" si="46"/>
        <v>138938800</v>
      </c>
      <c r="L742" s="405">
        <f t="shared" si="47"/>
        <v>138938800</v>
      </c>
      <c r="M742" s="403"/>
    </row>
    <row r="743" spans="1:13" ht="15.75" x14ac:dyDescent="0.25">
      <c r="A743" s="6" t="s">
        <v>1158</v>
      </c>
      <c r="B743" s="7" t="s">
        <v>1159</v>
      </c>
      <c r="C743" s="6" t="s">
        <v>6</v>
      </c>
      <c r="D743" s="8">
        <v>250</v>
      </c>
      <c r="E743" s="403"/>
      <c r="F743" s="403">
        <f>BBNTHT!J783</f>
        <v>175</v>
      </c>
      <c r="G743" s="403">
        <f t="shared" si="44"/>
        <v>175</v>
      </c>
      <c r="H743" s="9">
        <v>28657</v>
      </c>
      <c r="I743" s="404">
        <f t="shared" si="45"/>
        <v>7164250</v>
      </c>
      <c r="J743" s="403"/>
      <c r="K743" s="404">
        <f t="shared" si="46"/>
        <v>5014975</v>
      </c>
      <c r="L743" s="405">
        <f t="shared" si="47"/>
        <v>5014975</v>
      </c>
      <c r="M743" s="403"/>
    </row>
    <row r="744" spans="1:13" ht="15.75" x14ac:dyDescent="0.25">
      <c r="A744" s="6" t="s">
        <v>1160</v>
      </c>
      <c r="B744" s="7" t="s">
        <v>1161</v>
      </c>
      <c r="C744" s="6" t="s">
        <v>6</v>
      </c>
      <c r="D744" s="8">
        <v>17235</v>
      </c>
      <c r="E744" s="403"/>
      <c r="F744" s="403">
        <f>BBNTHT!J784</f>
        <v>12064.5</v>
      </c>
      <c r="G744" s="403">
        <f t="shared" si="44"/>
        <v>12064.5</v>
      </c>
      <c r="H744" s="9">
        <v>20826</v>
      </c>
      <c r="I744" s="404">
        <f t="shared" si="45"/>
        <v>358936110</v>
      </c>
      <c r="J744" s="403"/>
      <c r="K744" s="404">
        <f t="shared" si="46"/>
        <v>251255277</v>
      </c>
      <c r="L744" s="405">
        <f t="shared" si="47"/>
        <v>251255277</v>
      </c>
      <c r="M744" s="403"/>
    </row>
    <row r="745" spans="1:13" ht="15.75" x14ac:dyDescent="0.25">
      <c r="A745" s="6" t="s">
        <v>1162</v>
      </c>
      <c r="B745" s="7" t="s">
        <v>1163</v>
      </c>
      <c r="C745" s="6" t="s">
        <v>6</v>
      </c>
      <c r="D745" s="8">
        <v>16660.5</v>
      </c>
      <c r="E745" s="403"/>
      <c r="F745" s="403">
        <f>BBNTHT!J785</f>
        <v>11662.349999999999</v>
      </c>
      <c r="G745" s="403">
        <f t="shared" si="44"/>
        <v>11662.349999999999</v>
      </c>
      <c r="H745" s="9">
        <v>58480</v>
      </c>
      <c r="I745" s="404">
        <f t="shared" si="45"/>
        <v>974306040</v>
      </c>
      <c r="J745" s="403"/>
      <c r="K745" s="404">
        <f t="shared" si="46"/>
        <v>682014228</v>
      </c>
      <c r="L745" s="405">
        <f t="shared" si="47"/>
        <v>682014228</v>
      </c>
      <c r="M745" s="403"/>
    </row>
    <row r="746" spans="1:13" ht="15.75" x14ac:dyDescent="0.25">
      <c r="A746" s="6" t="s">
        <v>1164</v>
      </c>
      <c r="B746" s="7" t="s">
        <v>1165</v>
      </c>
      <c r="C746" s="6" t="s">
        <v>6</v>
      </c>
      <c r="D746" s="8">
        <v>11107</v>
      </c>
      <c r="E746" s="403"/>
      <c r="F746" s="403">
        <f>BBNTHT!J786</f>
        <v>7774.9</v>
      </c>
      <c r="G746" s="403">
        <f t="shared" si="44"/>
        <v>7774.9</v>
      </c>
      <c r="H746" s="9">
        <v>21770</v>
      </c>
      <c r="I746" s="404">
        <f t="shared" si="45"/>
        <v>241799390</v>
      </c>
      <c r="J746" s="403"/>
      <c r="K746" s="404">
        <f t="shared" si="46"/>
        <v>169259573</v>
      </c>
      <c r="L746" s="405">
        <f t="shared" si="47"/>
        <v>169259573</v>
      </c>
      <c r="M746" s="403"/>
    </row>
    <row r="747" spans="1:13" ht="15.75" x14ac:dyDescent="0.25">
      <c r="A747" s="6" t="s">
        <v>1166</v>
      </c>
      <c r="B747" s="7" t="s">
        <v>1167</v>
      </c>
      <c r="C747" s="6" t="s">
        <v>6</v>
      </c>
      <c r="D747" s="8">
        <v>707.5</v>
      </c>
      <c r="E747" s="403"/>
      <c r="F747" s="403">
        <f>BBNTHT!J787</f>
        <v>495.24999999999994</v>
      </c>
      <c r="G747" s="403">
        <f t="shared" si="44"/>
        <v>495.24999999999994</v>
      </c>
      <c r="H747" s="9">
        <v>78397</v>
      </c>
      <c r="I747" s="404">
        <f t="shared" si="45"/>
        <v>55465878</v>
      </c>
      <c r="J747" s="403"/>
      <c r="K747" s="404">
        <f t="shared" si="46"/>
        <v>38826114</v>
      </c>
      <c r="L747" s="405">
        <f t="shared" si="47"/>
        <v>38826114</v>
      </c>
      <c r="M747" s="403"/>
    </row>
    <row r="748" spans="1:13" ht="15.75" x14ac:dyDescent="0.25">
      <c r="A748" s="6" t="s">
        <v>1168</v>
      </c>
      <c r="B748" s="7" t="s">
        <v>1169</v>
      </c>
      <c r="C748" s="6" t="s">
        <v>6</v>
      </c>
      <c r="D748" s="8">
        <v>780</v>
      </c>
      <c r="E748" s="403"/>
      <c r="F748" s="403">
        <f>BBNTHT!J788</f>
        <v>0</v>
      </c>
      <c r="G748" s="403">
        <f t="shared" si="44"/>
        <v>0</v>
      </c>
      <c r="H748" s="9">
        <v>385351</v>
      </c>
      <c r="I748" s="404">
        <f t="shared" si="45"/>
        <v>300573780</v>
      </c>
      <c r="J748" s="403"/>
      <c r="K748" s="404">
        <f t="shared" si="46"/>
        <v>0</v>
      </c>
      <c r="L748" s="405">
        <f t="shared" si="47"/>
        <v>0</v>
      </c>
      <c r="M748" s="403"/>
    </row>
    <row r="749" spans="1:13" ht="15.75" x14ac:dyDescent="0.25">
      <c r="A749" s="6" t="s">
        <v>1170</v>
      </c>
      <c r="B749" s="7" t="s">
        <v>1171</v>
      </c>
      <c r="C749" s="6" t="s">
        <v>6</v>
      </c>
      <c r="D749" s="8">
        <v>25</v>
      </c>
      <c r="E749" s="403"/>
      <c r="F749" s="403">
        <f>BBNTHT!J789</f>
        <v>0</v>
      </c>
      <c r="G749" s="403">
        <f t="shared" si="44"/>
        <v>0</v>
      </c>
      <c r="H749" s="9">
        <v>629632</v>
      </c>
      <c r="I749" s="404">
        <f t="shared" si="45"/>
        <v>15740800</v>
      </c>
      <c r="J749" s="403"/>
      <c r="K749" s="404">
        <f t="shared" si="46"/>
        <v>0</v>
      </c>
      <c r="L749" s="405">
        <f t="shared" si="47"/>
        <v>0</v>
      </c>
      <c r="M749" s="403"/>
    </row>
    <row r="750" spans="1:13" ht="15.75" x14ac:dyDescent="0.25">
      <c r="A750" s="6" t="s">
        <v>1172</v>
      </c>
      <c r="B750" s="7" t="s">
        <v>1173</v>
      </c>
      <c r="C750" s="6" t="s">
        <v>6</v>
      </c>
      <c r="D750" s="8">
        <v>20</v>
      </c>
      <c r="E750" s="403"/>
      <c r="F750" s="403">
        <f>BBNTHT!J790</f>
        <v>0</v>
      </c>
      <c r="G750" s="403">
        <f t="shared" si="44"/>
        <v>0</v>
      </c>
      <c r="H750" s="9">
        <v>974700</v>
      </c>
      <c r="I750" s="404">
        <f t="shared" si="45"/>
        <v>19494000</v>
      </c>
      <c r="J750" s="403"/>
      <c r="K750" s="404">
        <f t="shared" si="46"/>
        <v>0</v>
      </c>
      <c r="L750" s="405">
        <f t="shared" si="47"/>
        <v>0</v>
      </c>
      <c r="M750" s="403"/>
    </row>
    <row r="751" spans="1:13" ht="15.75" x14ac:dyDescent="0.25">
      <c r="A751" s="6" t="s">
        <v>1174</v>
      </c>
      <c r="B751" s="7" t="s">
        <v>1175</v>
      </c>
      <c r="C751" s="6" t="s">
        <v>6</v>
      </c>
      <c r="D751" s="8">
        <v>20</v>
      </c>
      <c r="E751" s="403"/>
      <c r="F751" s="403">
        <f>BBNTHT!J791</f>
        <v>0</v>
      </c>
      <c r="G751" s="403">
        <f t="shared" si="44"/>
        <v>0</v>
      </c>
      <c r="H751" s="9">
        <v>1434971</v>
      </c>
      <c r="I751" s="404">
        <f t="shared" si="45"/>
        <v>28699420</v>
      </c>
      <c r="J751" s="403"/>
      <c r="K751" s="404">
        <f t="shared" si="46"/>
        <v>0</v>
      </c>
      <c r="L751" s="405">
        <f t="shared" si="47"/>
        <v>0</v>
      </c>
      <c r="M751" s="403"/>
    </row>
    <row r="752" spans="1:13" ht="31.5" x14ac:dyDescent="0.25">
      <c r="A752" s="2" t="s">
        <v>1176</v>
      </c>
      <c r="B752" s="3" t="s">
        <v>1177</v>
      </c>
      <c r="C752" s="2"/>
      <c r="D752" s="4" t="s">
        <v>3</v>
      </c>
      <c r="E752" s="403"/>
      <c r="F752" s="403">
        <f>BBNTHT!J792</f>
        <v>0</v>
      </c>
      <c r="G752" s="403">
        <f t="shared" si="44"/>
        <v>0</v>
      </c>
      <c r="H752" s="5"/>
      <c r="I752" s="404"/>
      <c r="J752" s="403"/>
      <c r="K752" s="404">
        <f t="shared" si="46"/>
        <v>0</v>
      </c>
      <c r="L752" s="405">
        <f t="shared" si="47"/>
        <v>0</v>
      </c>
      <c r="M752" s="403"/>
    </row>
    <row r="753" spans="1:13" ht="15.75" x14ac:dyDescent="0.25">
      <c r="A753" s="6" t="s">
        <v>1178</v>
      </c>
      <c r="B753" s="7" t="s">
        <v>1179</v>
      </c>
      <c r="C753" s="6" t="s">
        <v>6</v>
      </c>
      <c r="D753" s="8">
        <v>2880</v>
      </c>
      <c r="E753" s="403"/>
      <c r="F753" s="403">
        <f>BBNTHT!J793</f>
        <v>2015.9999999999998</v>
      </c>
      <c r="G753" s="403">
        <f t="shared" si="44"/>
        <v>2015.9999999999998</v>
      </c>
      <c r="H753" s="9">
        <v>1193182</v>
      </c>
      <c r="I753" s="404">
        <f t="shared" si="45"/>
        <v>3436364160</v>
      </c>
      <c r="J753" s="403"/>
      <c r="K753" s="404">
        <f t="shared" si="46"/>
        <v>2405454912</v>
      </c>
      <c r="L753" s="405">
        <f t="shared" si="47"/>
        <v>2405454912</v>
      </c>
      <c r="M753" s="403"/>
    </row>
    <row r="754" spans="1:13" ht="15.75" x14ac:dyDescent="0.25">
      <c r="A754" s="6" t="s">
        <v>1180</v>
      </c>
      <c r="B754" s="7" t="s">
        <v>1181</v>
      </c>
      <c r="C754" s="6" t="s">
        <v>6</v>
      </c>
      <c r="D754" s="8">
        <v>15</v>
      </c>
      <c r="E754" s="403"/>
      <c r="F754" s="403">
        <f>BBNTHT!J794</f>
        <v>10.5</v>
      </c>
      <c r="G754" s="403">
        <f t="shared" si="44"/>
        <v>10.5</v>
      </c>
      <c r="H754" s="9">
        <v>1155292</v>
      </c>
      <c r="I754" s="404">
        <f t="shared" si="45"/>
        <v>17329380</v>
      </c>
      <c r="J754" s="403"/>
      <c r="K754" s="404">
        <f t="shared" si="46"/>
        <v>12130566</v>
      </c>
      <c r="L754" s="405">
        <f t="shared" si="47"/>
        <v>12130566</v>
      </c>
      <c r="M754" s="403"/>
    </row>
    <row r="755" spans="1:13" ht="31.5" x14ac:dyDescent="0.25">
      <c r="A755" s="2" t="s">
        <v>1182</v>
      </c>
      <c r="B755" s="3" t="s">
        <v>1183</v>
      </c>
      <c r="C755" s="2"/>
      <c r="D755" s="4" t="s">
        <v>3</v>
      </c>
      <c r="E755" s="403"/>
      <c r="F755" s="403">
        <f>BBNTHT!J795</f>
        <v>0</v>
      </c>
      <c r="G755" s="403">
        <f t="shared" si="44"/>
        <v>0</v>
      </c>
      <c r="H755" s="5"/>
      <c r="I755" s="404"/>
      <c r="J755" s="403"/>
      <c r="K755" s="404">
        <f t="shared" si="46"/>
        <v>0</v>
      </c>
      <c r="L755" s="405">
        <f t="shared" si="47"/>
        <v>0</v>
      </c>
      <c r="M755" s="403"/>
    </row>
    <row r="756" spans="1:13" ht="15.75" x14ac:dyDescent="0.25">
      <c r="A756" s="6" t="s">
        <v>1184</v>
      </c>
      <c r="B756" s="7" t="s">
        <v>1137</v>
      </c>
      <c r="C756" s="6" t="s">
        <v>6</v>
      </c>
      <c r="D756" s="8">
        <v>65</v>
      </c>
      <c r="E756" s="403"/>
      <c r="F756" s="403">
        <f>BBNTHT!J796</f>
        <v>45.5</v>
      </c>
      <c r="G756" s="403">
        <f t="shared" si="44"/>
        <v>45.5</v>
      </c>
      <c r="H756" s="9">
        <v>242594</v>
      </c>
      <c r="I756" s="404">
        <f t="shared" si="45"/>
        <v>15768610</v>
      </c>
      <c r="J756" s="403"/>
      <c r="K756" s="404">
        <f t="shared" si="46"/>
        <v>11038027</v>
      </c>
      <c r="L756" s="405">
        <f t="shared" si="47"/>
        <v>11038027</v>
      </c>
      <c r="M756" s="403"/>
    </row>
    <row r="757" spans="1:13" ht="15.75" x14ac:dyDescent="0.25">
      <c r="A757" s="6" t="s">
        <v>1185</v>
      </c>
      <c r="B757" s="7" t="s">
        <v>1186</v>
      </c>
      <c r="C757" s="6" t="s">
        <v>6</v>
      </c>
      <c r="D757" s="8">
        <v>10</v>
      </c>
      <c r="E757" s="403"/>
      <c r="F757" s="403">
        <f>BBNTHT!J797</f>
        <v>7</v>
      </c>
      <c r="G757" s="403">
        <f t="shared" si="44"/>
        <v>7</v>
      </c>
      <c r="H757" s="9">
        <v>58711</v>
      </c>
      <c r="I757" s="404">
        <f t="shared" si="45"/>
        <v>587110</v>
      </c>
      <c r="J757" s="403"/>
      <c r="K757" s="404">
        <f t="shared" si="46"/>
        <v>410977</v>
      </c>
      <c r="L757" s="405">
        <f t="shared" si="47"/>
        <v>410977</v>
      </c>
      <c r="M757" s="403"/>
    </row>
    <row r="758" spans="1:13" ht="31.5" x14ac:dyDescent="0.25">
      <c r="A758" s="2" t="s">
        <v>1187</v>
      </c>
      <c r="B758" s="3" t="s">
        <v>1188</v>
      </c>
      <c r="C758" s="2"/>
      <c r="D758" s="4" t="s">
        <v>3</v>
      </c>
      <c r="E758" s="403"/>
      <c r="F758" s="403">
        <f>BBNTHT!J798</f>
        <v>0</v>
      </c>
      <c r="G758" s="403">
        <f t="shared" si="44"/>
        <v>0</v>
      </c>
      <c r="H758" s="5"/>
      <c r="I758" s="404"/>
      <c r="J758" s="403"/>
      <c r="K758" s="404">
        <f t="shared" si="46"/>
        <v>0</v>
      </c>
      <c r="L758" s="405">
        <f t="shared" si="47"/>
        <v>0</v>
      </c>
      <c r="M758" s="403"/>
    </row>
    <row r="759" spans="1:13" ht="15.75" x14ac:dyDescent="0.25">
      <c r="A759" s="6" t="s">
        <v>1189</v>
      </c>
      <c r="B759" s="7" t="s">
        <v>1190</v>
      </c>
      <c r="C759" s="6" t="s">
        <v>6</v>
      </c>
      <c r="D759" s="8">
        <v>260</v>
      </c>
      <c r="E759" s="403"/>
      <c r="F759" s="403">
        <f>BBNTHT!J799</f>
        <v>182</v>
      </c>
      <c r="G759" s="403">
        <f t="shared" si="44"/>
        <v>182</v>
      </c>
      <c r="H759" s="9">
        <v>912182</v>
      </c>
      <c r="I759" s="404">
        <f t="shared" si="45"/>
        <v>237167320</v>
      </c>
      <c r="J759" s="403"/>
      <c r="K759" s="404">
        <f t="shared" si="46"/>
        <v>166017124</v>
      </c>
      <c r="L759" s="405">
        <f t="shared" si="47"/>
        <v>166017124</v>
      </c>
      <c r="M759" s="403"/>
    </row>
    <row r="760" spans="1:13" ht="15.75" x14ac:dyDescent="0.25">
      <c r="A760" s="6" t="s">
        <v>1191</v>
      </c>
      <c r="B760" s="7" t="s">
        <v>1192</v>
      </c>
      <c r="C760" s="6" t="s">
        <v>6</v>
      </c>
      <c r="D760" s="8">
        <v>10</v>
      </c>
      <c r="E760" s="403"/>
      <c r="F760" s="403">
        <f>BBNTHT!J800</f>
        <v>7</v>
      </c>
      <c r="G760" s="403">
        <f t="shared" si="44"/>
        <v>7</v>
      </c>
      <c r="H760" s="9">
        <v>881717</v>
      </c>
      <c r="I760" s="404">
        <f t="shared" si="45"/>
        <v>8817170</v>
      </c>
      <c r="J760" s="403"/>
      <c r="K760" s="404">
        <f t="shared" si="46"/>
        <v>6172019</v>
      </c>
      <c r="L760" s="405">
        <f t="shared" si="47"/>
        <v>6172019</v>
      </c>
      <c r="M760" s="403"/>
    </row>
    <row r="761" spans="1:13" ht="31.5" x14ac:dyDescent="0.25">
      <c r="A761" s="2" t="s">
        <v>1193</v>
      </c>
      <c r="B761" s="3" t="s">
        <v>1194</v>
      </c>
      <c r="C761" s="2"/>
      <c r="D761" s="4" t="s">
        <v>3</v>
      </c>
      <c r="E761" s="403"/>
      <c r="F761" s="403">
        <f>BBNTHT!J801</f>
        <v>0</v>
      </c>
      <c r="G761" s="403">
        <f t="shared" si="44"/>
        <v>0</v>
      </c>
      <c r="H761" s="5"/>
      <c r="I761" s="404"/>
      <c r="J761" s="403"/>
      <c r="K761" s="404">
        <f t="shared" si="46"/>
        <v>0</v>
      </c>
      <c r="L761" s="405">
        <f t="shared" si="47"/>
        <v>0</v>
      </c>
      <c r="M761" s="403"/>
    </row>
    <row r="762" spans="1:13" ht="15.75" x14ac:dyDescent="0.25">
      <c r="A762" s="6" t="s">
        <v>1195</v>
      </c>
      <c r="B762" s="7" t="s">
        <v>1196</v>
      </c>
      <c r="C762" s="6" t="s">
        <v>6</v>
      </c>
      <c r="D762" s="8">
        <v>30</v>
      </c>
      <c r="E762" s="403"/>
      <c r="F762" s="403">
        <f>BBNTHT!J802</f>
        <v>21</v>
      </c>
      <c r="G762" s="403">
        <f t="shared" si="44"/>
        <v>21</v>
      </c>
      <c r="H762" s="9">
        <v>117746</v>
      </c>
      <c r="I762" s="404">
        <f t="shared" si="45"/>
        <v>3532380</v>
      </c>
      <c r="J762" s="403"/>
      <c r="K762" s="404">
        <f t="shared" si="46"/>
        <v>2472666</v>
      </c>
      <c r="L762" s="405">
        <f t="shared" si="47"/>
        <v>2472666</v>
      </c>
      <c r="M762" s="403"/>
    </row>
    <row r="763" spans="1:13" ht="15.75" x14ac:dyDescent="0.25">
      <c r="A763" s="6" t="s">
        <v>1197</v>
      </c>
      <c r="B763" s="7" t="s">
        <v>1198</v>
      </c>
      <c r="C763" s="6" t="s">
        <v>6</v>
      </c>
      <c r="D763" s="8">
        <v>10</v>
      </c>
      <c r="E763" s="403"/>
      <c r="F763" s="403">
        <f>BBNTHT!J803</f>
        <v>7</v>
      </c>
      <c r="G763" s="403">
        <f t="shared" si="44"/>
        <v>7</v>
      </c>
      <c r="H763" s="9">
        <v>28657</v>
      </c>
      <c r="I763" s="404">
        <f t="shared" si="45"/>
        <v>286570</v>
      </c>
      <c r="J763" s="403"/>
      <c r="K763" s="404">
        <f t="shared" si="46"/>
        <v>200599</v>
      </c>
      <c r="L763" s="405">
        <f t="shared" si="47"/>
        <v>200599</v>
      </c>
      <c r="M763" s="403"/>
    </row>
    <row r="764" spans="1:13" ht="31.5" x14ac:dyDescent="0.25">
      <c r="A764" s="2" t="s">
        <v>1199</v>
      </c>
      <c r="B764" s="3" t="s">
        <v>1200</v>
      </c>
      <c r="C764" s="2"/>
      <c r="D764" s="4" t="s">
        <v>3</v>
      </c>
      <c r="E764" s="403"/>
      <c r="F764" s="403">
        <f>BBNTHT!J804</f>
        <v>0</v>
      </c>
      <c r="G764" s="403">
        <f t="shared" si="44"/>
        <v>0</v>
      </c>
      <c r="H764" s="5"/>
      <c r="I764" s="404"/>
      <c r="J764" s="403"/>
      <c r="K764" s="404">
        <f t="shared" si="46"/>
        <v>0</v>
      </c>
      <c r="L764" s="405">
        <f t="shared" si="47"/>
        <v>0</v>
      </c>
      <c r="M764" s="403"/>
    </row>
    <row r="765" spans="1:13" ht="15.75" x14ac:dyDescent="0.25">
      <c r="A765" s="6" t="s">
        <v>1201</v>
      </c>
      <c r="B765" s="7" t="s">
        <v>1135</v>
      </c>
      <c r="C765" s="6" t="s">
        <v>6</v>
      </c>
      <c r="D765" s="8">
        <v>35</v>
      </c>
      <c r="E765" s="403"/>
      <c r="F765" s="403">
        <f>BBNTHT!J805</f>
        <v>24.5</v>
      </c>
      <c r="G765" s="403">
        <f t="shared" si="44"/>
        <v>24.5</v>
      </c>
      <c r="H765" s="9">
        <v>749815</v>
      </c>
      <c r="I765" s="404">
        <f t="shared" si="45"/>
        <v>26243525</v>
      </c>
      <c r="J765" s="403"/>
      <c r="K765" s="404">
        <f t="shared" si="46"/>
        <v>18370468</v>
      </c>
      <c r="L765" s="405">
        <f t="shared" si="47"/>
        <v>18370468</v>
      </c>
      <c r="M765" s="403"/>
    </row>
    <row r="766" spans="1:13" ht="15.75" x14ac:dyDescent="0.25">
      <c r="A766" s="6" t="s">
        <v>1202</v>
      </c>
      <c r="B766" s="7" t="s">
        <v>1203</v>
      </c>
      <c r="C766" s="6" t="s">
        <v>6</v>
      </c>
      <c r="D766" s="8">
        <v>10</v>
      </c>
      <c r="E766" s="403"/>
      <c r="F766" s="403">
        <f>BBNTHT!J806</f>
        <v>7</v>
      </c>
      <c r="G766" s="403">
        <f t="shared" si="44"/>
        <v>7</v>
      </c>
      <c r="H766" s="9">
        <v>86423</v>
      </c>
      <c r="I766" s="404">
        <f t="shared" si="45"/>
        <v>864230</v>
      </c>
      <c r="J766" s="403"/>
      <c r="K766" s="404">
        <f t="shared" si="46"/>
        <v>604961</v>
      </c>
      <c r="L766" s="405">
        <f t="shared" si="47"/>
        <v>604961</v>
      </c>
      <c r="M766" s="403"/>
    </row>
    <row r="767" spans="1:13" ht="31.5" x14ac:dyDescent="0.25">
      <c r="A767" s="2" t="s">
        <v>1204</v>
      </c>
      <c r="B767" s="3" t="s">
        <v>1205</v>
      </c>
      <c r="C767" s="2"/>
      <c r="D767" s="4" t="s">
        <v>3</v>
      </c>
      <c r="E767" s="403"/>
      <c r="F767" s="403">
        <f>BBNTHT!J807</f>
        <v>0</v>
      </c>
      <c r="G767" s="403">
        <f t="shared" si="44"/>
        <v>0</v>
      </c>
      <c r="H767" s="5"/>
      <c r="I767" s="404"/>
      <c r="J767" s="403"/>
      <c r="K767" s="404">
        <f t="shared" si="46"/>
        <v>0</v>
      </c>
      <c r="L767" s="405">
        <f t="shared" si="47"/>
        <v>0</v>
      </c>
      <c r="M767" s="403"/>
    </row>
    <row r="768" spans="1:13" ht="15.75" x14ac:dyDescent="0.25">
      <c r="A768" s="6" t="s">
        <v>1206</v>
      </c>
      <c r="B768" s="7" t="s">
        <v>1135</v>
      </c>
      <c r="C768" s="6" t="s">
        <v>6</v>
      </c>
      <c r="D768" s="8">
        <v>40</v>
      </c>
      <c r="E768" s="403"/>
      <c r="F768" s="403">
        <f>BBNTHT!J808</f>
        <v>28</v>
      </c>
      <c r="G768" s="403">
        <f t="shared" si="44"/>
        <v>28</v>
      </c>
      <c r="H768" s="9">
        <v>983606</v>
      </c>
      <c r="I768" s="404">
        <f t="shared" si="45"/>
        <v>39344240</v>
      </c>
      <c r="J768" s="403"/>
      <c r="K768" s="404">
        <f t="shared" si="46"/>
        <v>27540968</v>
      </c>
      <c r="L768" s="405">
        <f t="shared" si="47"/>
        <v>27540968</v>
      </c>
      <c r="M768" s="403"/>
    </row>
    <row r="769" spans="1:13" ht="15.75" x14ac:dyDescent="0.25">
      <c r="A769" s="6" t="s">
        <v>1207</v>
      </c>
      <c r="B769" s="7" t="s">
        <v>1203</v>
      </c>
      <c r="C769" s="6" t="s">
        <v>6</v>
      </c>
      <c r="D769" s="8">
        <v>10</v>
      </c>
      <c r="E769" s="403"/>
      <c r="F769" s="403">
        <f>BBNTHT!J809</f>
        <v>7</v>
      </c>
      <c r="G769" s="403">
        <f t="shared" si="44"/>
        <v>7</v>
      </c>
      <c r="H769" s="9">
        <v>129228</v>
      </c>
      <c r="I769" s="404">
        <f t="shared" si="45"/>
        <v>1292280</v>
      </c>
      <c r="J769" s="403"/>
      <c r="K769" s="404">
        <f t="shared" si="46"/>
        <v>904596</v>
      </c>
      <c r="L769" s="405">
        <f t="shared" si="47"/>
        <v>904596</v>
      </c>
      <c r="M769" s="403"/>
    </row>
    <row r="770" spans="1:13" ht="31.5" x14ac:dyDescent="0.25">
      <c r="A770" s="2" t="s">
        <v>1208</v>
      </c>
      <c r="B770" s="3" t="s">
        <v>1209</v>
      </c>
      <c r="C770" s="2"/>
      <c r="D770" s="4" t="s">
        <v>3</v>
      </c>
      <c r="E770" s="403"/>
      <c r="F770" s="403">
        <f>BBNTHT!J810</f>
        <v>0</v>
      </c>
      <c r="G770" s="403">
        <f t="shared" si="44"/>
        <v>0</v>
      </c>
      <c r="H770" s="5"/>
      <c r="I770" s="404"/>
      <c r="J770" s="403"/>
      <c r="K770" s="404">
        <f t="shared" si="46"/>
        <v>0</v>
      </c>
      <c r="L770" s="405">
        <f t="shared" si="47"/>
        <v>0</v>
      </c>
      <c r="M770" s="403"/>
    </row>
    <row r="771" spans="1:13" ht="15.75" x14ac:dyDescent="0.25">
      <c r="A771" s="6" t="s">
        <v>1210</v>
      </c>
      <c r="B771" s="7" t="s">
        <v>1139</v>
      </c>
      <c r="C771" s="6" t="s">
        <v>6</v>
      </c>
      <c r="D771" s="8">
        <v>45</v>
      </c>
      <c r="E771" s="403"/>
      <c r="F771" s="403">
        <f>BBNTHT!J811</f>
        <v>31.499999999999996</v>
      </c>
      <c r="G771" s="403">
        <f t="shared" si="44"/>
        <v>31.499999999999996</v>
      </c>
      <c r="H771" s="9">
        <v>159652</v>
      </c>
      <c r="I771" s="404">
        <f t="shared" si="45"/>
        <v>7184340</v>
      </c>
      <c r="J771" s="403"/>
      <c r="K771" s="404">
        <f t="shared" si="46"/>
        <v>5029038</v>
      </c>
      <c r="L771" s="405">
        <f t="shared" si="47"/>
        <v>5029038</v>
      </c>
      <c r="M771" s="403"/>
    </row>
    <row r="772" spans="1:13" ht="15.75" x14ac:dyDescent="0.25">
      <c r="A772" s="6" t="s">
        <v>1211</v>
      </c>
      <c r="B772" s="7" t="s">
        <v>1212</v>
      </c>
      <c r="C772" s="6" t="s">
        <v>6</v>
      </c>
      <c r="D772" s="8">
        <v>10</v>
      </c>
      <c r="E772" s="403"/>
      <c r="F772" s="403">
        <f>BBNTHT!J812</f>
        <v>7</v>
      </c>
      <c r="G772" s="403">
        <f t="shared" si="44"/>
        <v>7</v>
      </c>
      <c r="H772" s="9">
        <v>38170</v>
      </c>
      <c r="I772" s="404">
        <f t="shared" si="45"/>
        <v>381700</v>
      </c>
      <c r="J772" s="403"/>
      <c r="K772" s="404">
        <f t="shared" si="46"/>
        <v>267190</v>
      </c>
      <c r="L772" s="405">
        <f t="shared" si="47"/>
        <v>267190</v>
      </c>
      <c r="M772" s="403"/>
    </row>
    <row r="773" spans="1:13" ht="31.5" x14ac:dyDescent="0.25">
      <c r="A773" s="2" t="s">
        <v>1213</v>
      </c>
      <c r="B773" s="3" t="s">
        <v>1214</v>
      </c>
      <c r="C773" s="2"/>
      <c r="D773" s="4" t="s">
        <v>3</v>
      </c>
      <c r="E773" s="403"/>
      <c r="F773" s="403">
        <f>BBNTHT!J813</f>
        <v>0</v>
      </c>
      <c r="G773" s="403">
        <f t="shared" si="44"/>
        <v>0</v>
      </c>
      <c r="H773" s="5"/>
      <c r="I773" s="404"/>
      <c r="J773" s="403"/>
      <c r="K773" s="404">
        <f t="shared" si="46"/>
        <v>0</v>
      </c>
      <c r="L773" s="405">
        <f t="shared" si="47"/>
        <v>0</v>
      </c>
      <c r="M773" s="403"/>
    </row>
    <row r="774" spans="1:13" ht="15.75" x14ac:dyDescent="0.25">
      <c r="A774" s="6" t="s">
        <v>1215</v>
      </c>
      <c r="B774" s="7" t="s">
        <v>1139</v>
      </c>
      <c r="C774" s="6" t="s">
        <v>6</v>
      </c>
      <c r="D774" s="8">
        <v>45</v>
      </c>
      <c r="E774" s="403"/>
      <c r="F774" s="403">
        <f>BBNTHT!J814</f>
        <v>31.499999999999996</v>
      </c>
      <c r="G774" s="403">
        <f t="shared" si="44"/>
        <v>31.499999999999996</v>
      </c>
      <c r="H774" s="9">
        <v>159652</v>
      </c>
      <c r="I774" s="404">
        <f t="shared" si="45"/>
        <v>7184340</v>
      </c>
      <c r="J774" s="403"/>
      <c r="K774" s="404">
        <f t="shared" si="46"/>
        <v>5029038</v>
      </c>
      <c r="L774" s="405">
        <f t="shared" si="47"/>
        <v>5029038</v>
      </c>
      <c r="M774" s="403"/>
    </row>
    <row r="775" spans="1:13" ht="15.75" x14ac:dyDescent="0.25">
      <c r="A775" s="6" t="s">
        <v>1216</v>
      </c>
      <c r="B775" s="7" t="s">
        <v>1212</v>
      </c>
      <c r="C775" s="6" t="s">
        <v>6</v>
      </c>
      <c r="D775" s="8">
        <v>10</v>
      </c>
      <c r="E775" s="403"/>
      <c r="F775" s="403">
        <f>BBNTHT!J815</f>
        <v>7</v>
      </c>
      <c r="G775" s="403">
        <f t="shared" si="44"/>
        <v>7</v>
      </c>
      <c r="H775" s="9">
        <v>38170</v>
      </c>
      <c r="I775" s="404">
        <f t="shared" si="45"/>
        <v>381700</v>
      </c>
      <c r="J775" s="403"/>
      <c r="K775" s="404">
        <f t="shared" si="46"/>
        <v>267190</v>
      </c>
      <c r="L775" s="405">
        <f t="shared" si="47"/>
        <v>267190</v>
      </c>
      <c r="M775" s="403"/>
    </row>
    <row r="776" spans="1:13" ht="31.5" x14ac:dyDescent="0.25">
      <c r="A776" s="2" t="s">
        <v>1217</v>
      </c>
      <c r="B776" s="3" t="s">
        <v>1218</v>
      </c>
      <c r="C776" s="2"/>
      <c r="D776" s="4" t="s">
        <v>3</v>
      </c>
      <c r="E776" s="403"/>
      <c r="F776" s="403">
        <f>BBNTHT!J816</f>
        <v>0</v>
      </c>
      <c r="G776" s="403">
        <f t="shared" si="44"/>
        <v>0</v>
      </c>
      <c r="H776" s="5"/>
      <c r="I776" s="404"/>
      <c r="J776" s="403"/>
      <c r="K776" s="404">
        <f t="shared" si="46"/>
        <v>0</v>
      </c>
      <c r="L776" s="405">
        <f t="shared" si="47"/>
        <v>0</v>
      </c>
      <c r="M776" s="403"/>
    </row>
    <row r="777" spans="1:13" ht="15.75" x14ac:dyDescent="0.25">
      <c r="A777" s="6" t="s">
        <v>1219</v>
      </c>
      <c r="B777" s="7" t="s">
        <v>1220</v>
      </c>
      <c r="C777" s="6" t="s">
        <v>6</v>
      </c>
      <c r="D777" s="8">
        <v>460</v>
      </c>
      <c r="E777" s="403"/>
      <c r="F777" s="403">
        <f>BBNTHT!J817</f>
        <v>322</v>
      </c>
      <c r="G777" s="403">
        <f t="shared" si="44"/>
        <v>322</v>
      </c>
      <c r="H777" s="9">
        <v>944286</v>
      </c>
      <c r="I777" s="404">
        <f t="shared" si="45"/>
        <v>434371560</v>
      </c>
      <c r="J777" s="403"/>
      <c r="K777" s="404">
        <f t="shared" si="46"/>
        <v>304060092</v>
      </c>
      <c r="L777" s="405">
        <f t="shared" si="47"/>
        <v>304060092</v>
      </c>
      <c r="M777" s="403"/>
    </row>
    <row r="778" spans="1:13" ht="15.75" x14ac:dyDescent="0.25">
      <c r="A778" s="6" t="s">
        <v>1221</v>
      </c>
      <c r="B778" s="7" t="s">
        <v>1222</v>
      </c>
      <c r="C778" s="6" t="s">
        <v>6</v>
      </c>
      <c r="D778" s="8">
        <v>10</v>
      </c>
      <c r="E778" s="403"/>
      <c r="F778" s="403">
        <f>BBNTHT!J818</f>
        <v>7</v>
      </c>
      <c r="G778" s="403">
        <f t="shared" si="44"/>
        <v>7</v>
      </c>
      <c r="H778" s="9">
        <v>595038</v>
      </c>
      <c r="I778" s="404">
        <f t="shared" si="45"/>
        <v>5950380</v>
      </c>
      <c r="J778" s="403"/>
      <c r="K778" s="404">
        <f t="shared" si="46"/>
        <v>4165266</v>
      </c>
      <c r="L778" s="405">
        <f t="shared" si="47"/>
        <v>4165266</v>
      </c>
      <c r="M778" s="403"/>
    </row>
    <row r="779" spans="1:13" ht="31.5" x14ac:dyDescent="0.25">
      <c r="A779" s="2" t="s">
        <v>1223</v>
      </c>
      <c r="B779" s="3" t="s">
        <v>1224</v>
      </c>
      <c r="C779" s="2"/>
      <c r="D779" s="4" t="s">
        <v>3</v>
      </c>
      <c r="E779" s="403"/>
      <c r="F779" s="403">
        <f>BBNTHT!J819</f>
        <v>0</v>
      </c>
      <c r="G779" s="403">
        <f t="shared" si="44"/>
        <v>0</v>
      </c>
      <c r="H779" s="5"/>
      <c r="I779" s="404"/>
      <c r="J779" s="403"/>
      <c r="K779" s="404">
        <f t="shared" si="46"/>
        <v>0</v>
      </c>
      <c r="L779" s="405">
        <f t="shared" si="47"/>
        <v>0</v>
      </c>
      <c r="M779" s="403"/>
    </row>
    <row r="780" spans="1:13" ht="15.75" x14ac:dyDescent="0.25">
      <c r="A780" s="6" t="s">
        <v>1225</v>
      </c>
      <c r="B780" s="7" t="s">
        <v>1220</v>
      </c>
      <c r="C780" s="6" t="s">
        <v>6</v>
      </c>
      <c r="D780" s="8">
        <v>180</v>
      </c>
      <c r="E780" s="403"/>
      <c r="F780" s="403">
        <f>BBNTHT!J820</f>
        <v>125.99999999999999</v>
      </c>
      <c r="G780" s="403">
        <f t="shared" si="44"/>
        <v>125.99999999999999</v>
      </c>
      <c r="H780" s="9">
        <v>944286</v>
      </c>
      <c r="I780" s="404">
        <f t="shared" si="45"/>
        <v>169971480</v>
      </c>
      <c r="J780" s="403"/>
      <c r="K780" s="404">
        <f t="shared" si="46"/>
        <v>118980036</v>
      </c>
      <c r="L780" s="405">
        <f t="shared" si="47"/>
        <v>118980036</v>
      </c>
      <c r="M780" s="403"/>
    </row>
    <row r="781" spans="1:13" ht="15.75" x14ac:dyDescent="0.25">
      <c r="A781" s="6" t="s">
        <v>1226</v>
      </c>
      <c r="B781" s="7" t="s">
        <v>1222</v>
      </c>
      <c r="C781" s="6" t="s">
        <v>6</v>
      </c>
      <c r="D781" s="8">
        <v>10</v>
      </c>
      <c r="E781" s="403"/>
      <c r="F781" s="403">
        <f>BBNTHT!J821</f>
        <v>7</v>
      </c>
      <c r="G781" s="403">
        <f t="shared" si="44"/>
        <v>7</v>
      </c>
      <c r="H781" s="9">
        <v>595038</v>
      </c>
      <c r="I781" s="404">
        <f t="shared" si="45"/>
        <v>5950380</v>
      </c>
      <c r="J781" s="403"/>
      <c r="K781" s="404">
        <f t="shared" si="46"/>
        <v>4165266</v>
      </c>
      <c r="L781" s="405">
        <f t="shared" si="47"/>
        <v>4165266</v>
      </c>
      <c r="M781" s="403"/>
    </row>
    <row r="782" spans="1:13" ht="31.5" x14ac:dyDescent="0.25">
      <c r="A782" s="2" t="s">
        <v>1227</v>
      </c>
      <c r="B782" s="3" t="s">
        <v>1228</v>
      </c>
      <c r="C782" s="2"/>
      <c r="D782" s="4" t="s">
        <v>3</v>
      </c>
      <c r="E782" s="403"/>
      <c r="F782" s="403">
        <f>BBNTHT!J822</f>
        <v>0</v>
      </c>
      <c r="G782" s="403">
        <f t="shared" si="44"/>
        <v>0</v>
      </c>
      <c r="H782" s="5"/>
      <c r="I782" s="404"/>
      <c r="J782" s="403"/>
      <c r="K782" s="404">
        <f t="shared" si="46"/>
        <v>0</v>
      </c>
      <c r="L782" s="405">
        <f t="shared" si="47"/>
        <v>0</v>
      </c>
      <c r="M782" s="403"/>
    </row>
    <row r="783" spans="1:13" ht="15.75" x14ac:dyDescent="0.25">
      <c r="A783" s="6" t="s">
        <v>1229</v>
      </c>
      <c r="B783" s="7" t="s">
        <v>1230</v>
      </c>
      <c r="C783" s="6" t="s">
        <v>6</v>
      </c>
      <c r="D783" s="8">
        <v>30</v>
      </c>
      <c r="E783" s="403"/>
      <c r="F783" s="403">
        <f>BBNTHT!J823</f>
        <v>21</v>
      </c>
      <c r="G783" s="403">
        <f t="shared" si="44"/>
        <v>21</v>
      </c>
      <c r="H783" s="9">
        <v>1497414</v>
      </c>
      <c r="I783" s="404">
        <f t="shared" si="45"/>
        <v>44922420</v>
      </c>
      <c r="J783" s="403"/>
      <c r="K783" s="404">
        <f t="shared" si="46"/>
        <v>31445694</v>
      </c>
      <c r="L783" s="405">
        <f t="shared" si="47"/>
        <v>31445694</v>
      </c>
      <c r="M783" s="403"/>
    </row>
    <row r="784" spans="1:13" ht="15.75" x14ac:dyDescent="0.25">
      <c r="A784" s="6" t="s">
        <v>1231</v>
      </c>
      <c r="B784" s="7" t="s">
        <v>1232</v>
      </c>
      <c r="C784" s="6" t="s">
        <v>6</v>
      </c>
      <c r="D784" s="8">
        <v>10</v>
      </c>
      <c r="E784" s="403"/>
      <c r="F784" s="403">
        <f>BBNTHT!J824</f>
        <v>7</v>
      </c>
      <c r="G784" s="403">
        <f t="shared" si="44"/>
        <v>7</v>
      </c>
      <c r="H784" s="9">
        <v>176401</v>
      </c>
      <c r="I784" s="404">
        <f t="shared" si="45"/>
        <v>1764010</v>
      </c>
      <c r="J784" s="403"/>
      <c r="K784" s="404">
        <f t="shared" si="46"/>
        <v>1234807</v>
      </c>
      <c r="L784" s="405">
        <f t="shared" si="47"/>
        <v>1234807</v>
      </c>
      <c r="M784" s="403"/>
    </row>
    <row r="785" spans="1:13" ht="15.75" x14ac:dyDescent="0.25">
      <c r="A785" s="2" t="s">
        <v>1233</v>
      </c>
      <c r="B785" s="3" t="s">
        <v>1234</v>
      </c>
      <c r="C785" s="2"/>
      <c r="D785" s="4" t="s">
        <v>3</v>
      </c>
      <c r="E785" s="403"/>
      <c r="F785" s="403">
        <f>BBNTHT!J825</f>
        <v>0</v>
      </c>
      <c r="G785" s="403">
        <f t="shared" si="44"/>
        <v>0</v>
      </c>
      <c r="H785" s="5"/>
      <c r="I785" s="404"/>
      <c r="J785" s="403"/>
      <c r="K785" s="404">
        <f t="shared" si="46"/>
        <v>0</v>
      </c>
      <c r="L785" s="405">
        <f t="shared" si="47"/>
        <v>0</v>
      </c>
      <c r="M785" s="403"/>
    </row>
    <row r="786" spans="1:13" ht="15.75" x14ac:dyDescent="0.25">
      <c r="A786" s="6" t="s">
        <v>1235</v>
      </c>
      <c r="B786" s="7" t="s">
        <v>1236</v>
      </c>
      <c r="C786" s="6" t="s">
        <v>6</v>
      </c>
      <c r="D786" s="8">
        <v>115</v>
      </c>
      <c r="E786" s="403"/>
      <c r="F786" s="403">
        <f>BBNTHT!J826</f>
        <v>80.5</v>
      </c>
      <c r="G786" s="403">
        <f t="shared" ref="G786:G849" si="48">F786+E786</f>
        <v>80.5</v>
      </c>
      <c r="H786" s="9">
        <v>610023</v>
      </c>
      <c r="I786" s="404">
        <f t="shared" ref="I786:I849" si="49">ROUND(D786*H786,0)</f>
        <v>70152645</v>
      </c>
      <c r="J786" s="403"/>
      <c r="K786" s="404">
        <f t="shared" ref="K786:K849" si="50">ROUND(F786*H786,0)</f>
        <v>49106852</v>
      </c>
      <c r="L786" s="405">
        <f t="shared" ref="L786:L849" si="51">J786+K786</f>
        <v>49106852</v>
      </c>
      <c r="M786" s="403"/>
    </row>
    <row r="787" spans="1:13" ht="15.75" x14ac:dyDescent="0.25">
      <c r="A787" s="6" t="s">
        <v>1237</v>
      </c>
      <c r="B787" s="7" t="s">
        <v>1238</v>
      </c>
      <c r="C787" s="6" t="s">
        <v>6</v>
      </c>
      <c r="D787" s="8">
        <v>10</v>
      </c>
      <c r="E787" s="403"/>
      <c r="F787" s="403">
        <f>BBNTHT!J827</f>
        <v>7</v>
      </c>
      <c r="G787" s="403">
        <f t="shared" si="48"/>
        <v>7</v>
      </c>
      <c r="H787" s="9">
        <v>86423</v>
      </c>
      <c r="I787" s="404">
        <f t="shared" si="49"/>
        <v>864230</v>
      </c>
      <c r="J787" s="403"/>
      <c r="K787" s="404">
        <f t="shared" si="50"/>
        <v>604961</v>
      </c>
      <c r="L787" s="405">
        <f t="shared" si="51"/>
        <v>604961</v>
      </c>
      <c r="M787" s="403"/>
    </row>
    <row r="788" spans="1:13" ht="31.5" x14ac:dyDescent="0.25">
      <c r="A788" s="2" t="s">
        <v>1239</v>
      </c>
      <c r="B788" s="3" t="s">
        <v>1240</v>
      </c>
      <c r="C788" s="2"/>
      <c r="D788" s="4" t="s">
        <v>3</v>
      </c>
      <c r="E788" s="403"/>
      <c r="F788" s="403">
        <f>BBNTHT!J828</f>
        <v>0</v>
      </c>
      <c r="G788" s="403">
        <f t="shared" si="48"/>
        <v>0</v>
      </c>
      <c r="H788" s="5"/>
      <c r="I788" s="404"/>
      <c r="J788" s="403"/>
      <c r="K788" s="404">
        <f t="shared" si="50"/>
        <v>0</v>
      </c>
      <c r="L788" s="405">
        <f t="shared" si="51"/>
        <v>0</v>
      </c>
      <c r="M788" s="403"/>
    </row>
    <row r="789" spans="1:13" ht="15.75" x14ac:dyDescent="0.25">
      <c r="A789" s="6" t="s">
        <v>1241</v>
      </c>
      <c r="B789" s="7" t="s">
        <v>1242</v>
      </c>
      <c r="C789" s="6" t="s">
        <v>6</v>
      </c>
      <c r="D789" s="8">
        <v>50</v>
      </c>
      <c r="E789" s="403"/>
      <c r="F789" s="403">
        <f>BBNTHT!J829</f>
        <v>35</v>
      </c>
      <c r="G789" s="403">
        <f t="shared" si="48"/>
        <v>35</v>
      </c>
      <c r="H789" s="9">
        <v>208853</v>
      </c>
      <c r="I789" s="404">
        <f t="shared" si="49"/>
        <v>10442650</v>
      </c>
      <c r="J789" s="403"/>
      <c r="K789" s="404">
        <f t="shared" si="50"/>
        <v>7309855</v>
      </c>
      <c r="L789" s="405">
        <f t="shared" si="51"/>
        <v>7309855</v>
      </c>
      <c r="M789" s="403"/>
    </row>
    <row r="790" spans="1:13" ht="15.75" x14ac:dyDescent="0.25">
      <c r="A790" s="6" t="s">
        <v>1243</v>
      </c>
      <c r="B790" s="7" t="s">
        <v>1212</v>
      </c>
      <c r="C790" s="6" t="s">
        <v>6</v>
      </c>
      <c r="D790" s="8">
        <v>10</v>
      </c>
      <c r="E790" s="403"/>
      <c r="F790" s="403">
        <f>BBNTHT!J830</f>
        <v>7</v>
      </c>
      <c r="G790" s="403">
        <f t="shared" si="48"/>
        <v>7</v>
      </c>
      <c r="H790" s="9">
        <v>38170</v>
      </c>
      <c r="I790" s="404">
        <f t="shared" si="49"/>
        <v>381700</v>
      </c>
      <c r="J790" s="403"/>
      <c r="K790" s="404">
        <f t="shared" si="50"/>
        <v>267190</v>
      </c>
      <c r="L790" s="405">
        <f t="shared" si="51"/>
        <v>267190</v>
      </c>
      <c r="M790" s="403"/>
    </row>
    <row r="791" spans="1:13" ht="31.5" x14ac:dyDescent="0.25">
      <c r="A791" s="2" t="s">
        <v>1244</v>
      </c>
      <c r="B791" s="3" t="s">
        <v>1245</v>
      </c>
      <c r="C791" s="2"/>
      <c r="D791" s="4" t="s">
        <v>3</v>
      </c>
      <c r="E791" s="403"/>
      <c r="F791" s="403">
        <f>BBNTHT!J831</f>
        <v>0</v>
      </c>
      <c r="G791" s="403">
        <f t="shared" si="48"/>
        <v>0</v>
      </c>
      <c r="H791" s="5"/>
      <c r="I791" s="404"/>
      <c r="J791" s="403"/>
      <c r="K791" s="404">
        <f t="shared" si="50"/>
        <v>0</v>
      </c>
      <c r="L791" s="405">
        <f t="shared" si="51"/>
        <v>0</v>
      </c>
      <c r="M791" s="403"/>
    </row>
    <row r="792" spans="1:13" ht="15.75" x14ac:dyDescent="0.25">
      <c r="A792" s="6" t="s">
        <v>1246</v>
      </c>
      <c r="B792" s="7" t="s">
        <v>1247</v>
      </c>
      <c r="C792" s="6" t="s">
        <v>6</v>
      </c>
      <c r="D792" s="8">
        <v>200</v>
      </c>
      <c r="E792" s="403"/>
      <c r="F792" s="403">
        <f>BBNTHT!J832</f>
        <v>140</v>
      </c>
      <c r="G792" s="403">
        <f t="shared" si="48"/>
        <v>140</v>
      </c>
      <c r="H792" s="9">
        <v>506171</v>
      </c>
      <c r="I792" s="404">
        <f t="shared" si="49"/>
        <v>101234200</v>
      </c>
      <c r="J792" s="403"/>
      <c r="K792" s="404">
        <f t="shared" si="50"/>
        <v>70863940</v>
      </c>
      <c r="L792" s="405">
        <f t="shared" si="51"/>
        <v>70863940</v>
      </c>
      <c r="M792" s="403"/>
    </row>
    <row r="793" spans="1:13" ht="15.75" x14ac:dyDescent="0.25">
      <c r="A793" s="6" t="s">
        <v>1248</v>
      </c>
      <c r="B793" s="7" t="s">
        <v>1249</v>
      </c>
      <c r="C793" s="6" t="s">
        <v>6</v>
      </c>
      <c r="D793" s="8">
        <v>10</v>
      </c>
      <c r="E793" s="403"/>
      <c r="F793" s="403">
        <f>BBNTHT!J833</f>
        <v>7</v>
      </c>
      <c r="G793" s="403">
        <f t="shared" si="48"/>
        <v>7</v>
      </c>
      <c r="H793" s="9">
        <v>236593</v>
      </c>
      <c r="I793" s="404">
        <f t="shared" si="49"/>
        <v>2365930</v>
      </c>
      <c r="J793" s="403"/>
      <c r="K793" s="404">
        <f t="shared" si="50"/>
        <v>1656151</v>
      </c>
      <c r="L793" s="405">
        <f t="shared" si="51"/>
        <v>1656151</v>
      </c>
      <c r="M793" s="403"/>
    </row>
    <row r="794" spans="1:13" ht="31.5" x14ac:dyDescent="0.25">
      <c r="A794" s="2" t="s">
        <v>1250</v>
      </c>
      <c r="B794" s="3" t="s">
        <v>1251</v>
      </c>
      <c r="C794" s="2"/>
      <c r="D794" s="4" t="s">
        <v>3</v>
      </c>
      <c r="E794" s="403"/>
      <c r="F794" s="403">
        <f>BBNTHT!J834</f>
        <v>0</v>
      </c>
      <c r="G794" s="403">
        <f t="shared" si="48"/>
        <v>0</v>
      </c>
      <c r="H794" s="5"/>
      <c r="I794" s="404"/>
      <c r="J794" s="403"/>
      <c r="K794" s="404">
        <f t="shared" si="50"/>
        <v>0</v>
      </c>
      <c r="L794" s="405">
        <f t="shared" si="51"/>
        <v>0</v>
      </c>
      <c r="M794" s="403"/>
    </row>
    <row r="795" spans="1:13" ht="15.75" x14ac:dyDescent="0.25">
      <c r="A795" s="6" t="s">
        <v>1252</v>
      </c>
      <c r="B795" s="7" t="s">
        <v>1137</v>
      </c>
      <c r="C795" s="6" t="s">
        <v>6</v>
      </c>
      <c r="D795" s="8">
        <v>25</v>
      </c>
      <c r="E795" s="403"/>
      <c r="F795" s="403">
        <f>BBNTHT!J835</f>
        <v>17.5</v>
      </c>
      <c r="G795" s="403">
        <f t="shared" si="48"/>
        <v>17.5</v>
      </c>
      <c r="H795" s="9">
        <v>242594</v>
      </c>
      <c r="I795" s="404">
        <f t="shared" si="49"/>
        <v>6064850</v>
      </c>
      <c r="J795" s="403"/>
      <c r="K795" s="404">
        <f t="shared" si="50"/>
        <v>4245395</v>
      </c>
      <c r="L795" s="405">
        <f t="shared" si="51"/>
        <v>4245395</v>
      </c>
      <c r="M795" s="403"/>
    </row>
    <row r="796" spans="1:13" ht="15.75" x14ac:dyDescent="0.25">
      <c r="A796" s="6" t="s">
        <v>1253</v>
      </c>
      <c r="B796" s="7" t="s">
        <v>1186</v>
      </c>
      <c r="C796" s="6" t="s">
        <v>6</v>
      </c>
      <c r="D796" s="8">
        <v>10</v>
      </c>
      <c r="E796" s="403"/>
      <c r="F796" s="403">
        <f>BBNTHT!J836</f>
        <v>7</v>
      </c>
      <c r="G796" s="403">
        <f t="shared" si="48"/>
        <v>7</v>
      </c>
      <c r="H796" s="9">
        <v>58711</v>
      </c>
      <c r="I796" s="404">
        <f t="shared" si="49"/>
        <v>587110</v>
      </c>
      <c r="J796" s="403"/>
      <c r="K796" s="404">
        <f t="shared" si="50"/>
        <v>410977</v>
      </c>
      <c r="L796" s="405">
        <f t="shared" si="51"/>
        <v>410977</v>
      </c>
      <c r="M796" s="403"/>
    </row>
    <row r="797" spans="1:13" ht="15.75" x14ac:dyDescent="0.25">
      <c r="A797" s="6" t="s">
        <v>1254</v>
      </c>
      <c r="B797" s="7" t="s">
        <v>1255</v>
      </c>
      <c r="C797" s="6" t="s">
        <v>6</v>
      </c>
      <c r="D797" s="8">
        <v>30</v>
      </c>
      <c r="E797" s="403"/>
      <c r="F797" s="403">
        <f>BBNTHT!J837</f>
        <v>21</v>
      </c>
      <c r="G797" s="403">
        <f t="shared" si="48"/>
        <v>21</v>
      </c>
      <c r="H797" s="9">
        <v>556952</v>
      </c>
      <c r="I797" s="404">
        <f t="shared" si="49"/>
        <v>16708560</v>
      </c>
      <c r="J797" s="403"/>
      <c r="K797" s="404">
        <f t="shared" si="50"/>
        <v>11695992</v>
      </c>
      <c r="L797" s="405">
        <f t="shared" si="51"/>
        <v>11695992</v>
      </c>
      <c r="M797" s="403"/>
    </row>
    <row r="798" spans="1:13" ht="15.75" x14ac:dyDescent="0.25">
      <c r="A798" s="6" t="s">
        <v>1256</v>
      </c>
      <c r="B798" s="7" t="s">
        <v>1238</v>
      </c>
      <c r="C798" s="6" t="s">
        <v>6</v>
      </c>
      <c r="D798" s="8">
        <v>10</v>
      </c>
      <c r="E798" s="403"/>
      <c r="F798" s="403">
        <f>BBNTHT!J838</f>
        <v>7</v>
      </c>
      <c r="G798" s="403">
        <f t="shared" si="48"/>
        <v>7</v>
      </c>
      <c r="H798" s="9">
        <v>86423</v>
      </c>
      <c r="I798" s="404">
        <f t="shared" si="49"/>
        <v>864230</v>
      </c>
      <c r="J798" s="403"/>
      <c r="K798" s="404">
        <f t="shared" si="50"/>
        <v>604961</v>
      </c>
      <c r="L798" s="405">
        <f t="shared" si="51"/>
        <v>604961</v>
      </c>
      <c r="M798" s="403"/>
    </row>
    <row r="799" spans="1:13" ht="31.5" x14ac:dyDescent="0.25">
      <c r="A799" s="2" t="s">
        <v>1257</v>
      </c>
      <c r="B799" s="3" t="s">
        <v>1258</v>
      </c>
      <c r="C799" s="2"/>
      <c r="D799" s="4" t="s">
        <v>3</v>
      </c>
      <c r="E799" s="403"/>
      <c r="F799" s="403">
        <f>BBNTHT!J839</f>
        <v>0</v>
      </c>
      <c r="G799" s="403">
        <f t="shared" si="48"/>
        <v>0</v>
      </c>
      <c r="H799" s="5"/>
      <c r="I799" s="404"/>
      <c r="J799" s="403"/>
      <c r="K799" s="404">
        <f t="shared" si="50"/>
        <v>0</v>
      </c>
      <c r="L799" s="405">
        <f t="shared" si="51"/>
        <v>0</v>
      </c>
      <c r="M799" s="403"/>
    </row>
    <row r="800" spans="1:13" ht="15.75" x14ac:dyDescent="0.25">
      <c r="A800" s="6" t="s">
        <v>1259</v>
      </c>
      <c r="B800" s="7" t="s">
        <v>1260</v>
      </c>
      <c r="C800" s="6" t="s">
        <v>6</v>
      </c>
      <c r="D800" s="8">
        <v>35</v>
      </c>
      <c r="E800" s="403"/>
      <c r="F800" s="403">
        <f>BBNTHT!J840</f>
        <v>24.5</v>
      </c>
      <c r="G800" s="403">
        <f t="shared" si="48"/>
        <v>24.5</v>
      </c>
      <c r="H800" s="9">
        <v>1422808</v>
      </c>
      <c r="I800" s="404">
        <f t="shared" si="49"/>
        <v>49798280</v>
      </c>
      <c r="J800" s="403"/>
      <c r="K800" s="404">
        <f t="shared" si="50"/>
        <v>34858796</v>
      </c>
      <c r="L800" s="405">
        <f t="shared" si="51"/>
        <v>34858796</v>
      </c>
      <c r="M800" s="403"/>
    </row>
    <row r="801" spans="1:13" ht="15.75" x14ac:dyDescent="0.25">
      <c r="A801" s="6" t="s">
        <v>1261</v>
      </c>
      <c r="B801" s="7" t="s">
        <v>1232</v>
      </c>
      <c r="C801" s="6" t="s">
        <v>6</v>
      </c>
      <c r="D801" s="8">
        <v>10</v>
      </c>
      <c r="E801" s="403"/>
      <c r="F801" s="403">
        <f>BBNTHT!J841</f>
        <v>7</v>
      </c>
      <c r="G801" s="403">
        <f t="shared" si="48"/>
        <v>7</v>
      </c>
      <c r="H801" s="9">
        <v>176401</v>
      </c>
      <c r="I801" s="404">
        <f t="shared" si="49"/>
        <v>1764010</v>
      </c>
      <c r="J801" s="403"/>
      <c r="K801" s="404">
        <f t="shared" si="50"/>
        <v>1234807</v>
      </c>
      <c r="L801" s="405">
        <f t="shared" si="51"/>
        <v>1234807</v>
      </c>
      <c r="M801" s="403"/>
    </row>
    <row r="802" spans="1:13" ht="31.5" x14ac:dyDescent="0.25">
      <c r="A802" s="2" t="s">
        <v>1262</v>
      </c>
      <c r="B802" s="3" t="s">
        <v>1263</v>
      </c>
      <c r="C802" s="2"/>
      <c r="D802" s="4" t="s">
        <v>3</v>
      </c>
      <c r="E802" s="403"/>
      <c r="F802" s="403">
        <f>BBNTHT!J842</f>
        <v>0</v>
      </c>
      <c r="G802" s="403">
        <f t="shared" si="48"/>
        <v>0</v>
      </c>
      <c r="H802" s="5"/>
      <c r="I802" s="404"/>
      <c r="J802" s="403"/>
      <c r="K802" s="404">
        <f t="shared" si="50"/>
        <v>0</v>
      </c>
      <c r="L802" s="405">
        <f t="shared" si="51"/>
        <v>0</v>
      </c>
      <c r="M802" s="403"/>
    </row>
    <row r="803" spans="1:13" ht="15.75" x14ac:dyDescent="0.25">
      <c r="A803" s="6" t="s">
        <v>1264</v>
      </c>
      <c r="B803" s="7" t="s">
        <v>1265</v>
      </c>
      <c r="C803" s="6" t="s">
        <v>6</v>
      </c>
      <c r="D803" s="8">
        <v>40</v>
      </c>
      <c r="E803" s="403"/>
      <c r="F803" s="403">
        <f>BBNTHT!J843</f>
        <v>28</v>
      </c>
      <c r="G803" s="403">
        <f t="shared" si="48"/>
        <v>28</v>
      </c>
      <c r="H803" s="9">
        <v>1898278</v>
      </c>
      <c r="I803" s="404">
        <f t="shared" si="49"/>
        <v>75931120</v>
      </c>
      <c r="J803" s="403"/>
      <c r="K803" s="404">
        <f t="shared" si="50"/>
        <v>53151784</v>
      </c>
      <c r="L803" s="405">
        <f t="shared" si="51"/>
        <v>53151784</v>
      </c>
      <c r="M803" s="403"/>
    </row>
    <row r="804" spans="1:13" ht="15.75" x14ac:dyDescent="0.25">
      <c r="A804" s="6" t="s">
        <v>1266</v>
      </c>
      <c r="B804" s="7" t="s">
        <v>1249</v>
      </c>
      <c r="C804" s="6" t="s">
        <v>6</v>
      </c>
      <c r="D804" s="8">
        <v>10</v>
      </c>
      <c r="E804" s="403"/>
      <c r="F804" s="403">
        <f>BBNTHT!J844</f>
        <v>7</v>
      </c>
      <c r="G804" s="403">
        <f t="shared" si="48"/>
        <v>7</v>
      </c>
      <c r="H804" s="9">
        <v>236593</v>
      </c>
      <c r="I804" s="404">
        <f t="shared" si="49"/>
        <v>2365930</v>
      </c>
      <c r="J804" s="403"/>
      <c r="K804" s="404">
        <f t="shared" si="50"/>
        <v>1656151</v>
      </c>
      <c r="L804" s="405">
        <f t="shared" si="51"/>
        <v>1656151</v>
      </c>
      <c r="M804" s="403"/>
    </row>
    <row r="805" spans="1:13" ht="31.5" x14ac:dyDescent="0.25">
      <c r="A805" s="2" t="s">
        <v>1267</v>
      </c>
      <c r="B805" s="3" t="s">
        <v>1268</v>
      </c>
      <c r="C805" s="2"/>
      <c r="D805" s="4" t="s">
        <v>3</v>
      </c>
      <c r="E805" s="403"/>
      <c r="F805" s="403">
        <f>BBNTHT!J845</f>
        <v>0</v>
      </c>
      <c r="G805" s="403">
        <f t="shared" si="48"/>
        <v>0</v>
      </c>
      <c r="H805" s="5"/>
      <c r="I805" s="404"/>
      <c r="J805" s="403"/>
      <c r="K805" s="404">
        <f t="shared" si="50"/>
        <v>0</v>
      </c>
      <c r="L805" s="405">
        <f t="shared" si="51"/>
        <v>0</v>
      </c>
      <c r="M805" s="403"/>
    </row>
    <row r="806" spans="1:13" ht="15.75" x14ac:dyDescent="0.25">
      <c r="A806" s="6" t="s">
        <v>1269</v>
      </c>
      <c r="B806" s="7" t="s">
        <v>1137</v>
      </c>
      <c r="C806" s="6" t="s">
        <v>6</v>
      </c>
      <c r="D806" s="8">
        <v>45</v>
      </c>
      <c r="E806" s="403"/>
      <c r="F806" s="403">
        <f>BBNTHT!J846</f>
        <v>31.499999999999996</v>
      </c>
      <c r="G806" s="403">
        <f t="shared" si="48"/>
        <v>31.499999999999996</v>
      </c>
      <c r="H806" s="9">
        <v>242594</v>
      </c>
      <c r="I806" s="404">
        <f t="shared" si="49"/>
        <v>10916730</v>
      </c>
      <c r="J806" s="403"/>
      <c r="K806" s="404">
        <f t="shared" si="50"/>
        <v>7641711</v>
      </c>
      <c r="L806" s="405">
        <f t="shared" si="51"/>
        <v>7641711</v>
      </c>
      <c r="M806" s="403"/>
    </row>
    <row r="807" spans="1:13" ht="15.75" x14ac:dyDescent="0.25">
      <c r="A807" s="6" t="s">
        <v>1270</v>
      </c>
      <c r="B807" s="7" t="s">
        <v>1186</v>
      </c>
      <c r="C807" s="6" t="s">
        <v>6</v>
      </c>
      <c r="D807" s="8">
        <v>10</v>
      </c>
      <c r="E807" s="403"/>
      <c r="F807" s="403">
        <f>BBNTHT!J847</f>
        <v>7</v>
      </c>
      <c r="G807" s="403">
        <f t="shared" si="48"/>
        <v>7</v>
      </c>
      <c r="H807" s="9">
        <v>58711</v>
      </c>
      <c r="I807" s="404">
        <f t="shared" si="49"/>
        <v>587110</v>
      </c>
      <c r="J807" s="403"/>
      <c r="K807" s="404">
        <f t="shared" si="50"/>
        <v>410977</v>
      </c>
      <c r="L807" s="405">
        <f t="shared" si="51"/>
        <v>410977</v>
      </c>
      <c r="M807" s="403"/>
    </row>
    <row r="808" spans="1:13" ht="31.5" x14ac:dyDescent="0.25">
      <c r="A808" s="2" t="s">
        <v>1271</v>
      </c>
      <c r="B808" s="3" t="s">
        <v>1272</v>
      </c>
      <c r="C808" s="2"/>
      <c r="D808" s="4" t="s">
        <v>3</v>
      </c>
      <c r="E808" s="403"/>
      <c r="F808" s="403">
        <f>BBNTHT!J848</f>
        <v>0</v>
      </c>
      <c r="G808" s="403">
        <f t="shared" si="48"/>
        <v>0</v>
      </c>
      <c r="H808" s="5"/>
      <c r="I808" s="404"/>
      <c r="J808" s="403"/>
      <c r="K808" s="404">
        <f t="shared" si="50"/>
        <v>0</v>
      </c>
      <c r="L808" s="405">
        <f t="shared" si="51"/>
        <v>0</v>
      </c>
      <c r="M808" s="403"/>
    </row>
    <row r="809" spans="1:13" ht="15.75" x14ac:dyDescent="0.25">
      <c r="A809" s="6" t="s">
        <v>1273</v>
      </c>
      <c r="B809" s="7" t="s">
        <v>1137</v>
      </c>
      <c r="C809" s="6" t="s">
        <v>6</v>
      </c>
      <c r="D809" s="8">
        <v>50</v>
      </c>
      <c r="E809" s="403"/>
      <c r="F809" s="403">
        <f>BBNTHT!J849</f>
        <v>35</v>
      </c>
      <c r="G809" s="403">
        <f t="shared" si="48"/>
        <v>35</v>
      </c>
      <c r="H809" s="9">
        <v>242594</v>
      </c>
      <c r="I809" s="404">
        <f t="shared" si="49"/>
        <v>12129700</v>
      </c>
      <c r="J809" s="403"/>
      <c r="K809" s="404">
        <f t="shared" si="50"/>
        <v>8490790</v>
      </c>
      <c r="L809" s="405">
        <f t="shared" si="51"/>
        <v>8490790</v>
      </c>
      <c r="M809" s="403"/>
    </row>
    <row r="810" spans="1:13" ht="15.75" x14ac:dyDescent="0.25">
      <c r="A810" s="6" t="s">
        <v>1274</v>
      </c>
      <c r="B810" s="7" t="s">
        <v>1186</v>
      </c>
      <c r="C810" s="6" t="s">
        <v>6</v>
      </c>
      <c r="D810" s="8">
        <v>10</v>
      </c>
      <c r="E810" s="403"/>
      <c r="F810" s="403">
        <f>BBNTHT!J850</f>
        <v>7</v>
      </c>
      <c r="G810" s="403">
        <f t="shared" si="48"/>
        <v>7</v>
      </c>
      <c r="H810" s="9">
        <v>58711</v>
      </c>
      <c r="I810" s="404">
        <f t="shared" si="49"/>
        <v>587110</v>
      </c>
      <c r="J810" s="403"/>
      <c r="K810" s="404">
        <f t="shared" si="50"/>
        <v>410977</v>
      </c>
      <c r="L810" s="405">
        <f t="shared" si="51"/>
        <v>410977</v>
      </c>
      <c r="M810" s="403"/>
    </row>
    <row r="811" spans="1:13" ht="31.5" x14ac:dyDescent="0.25">
      <c r="A811" s="2" t="s">
        <v>1275</v>
      </c>
      <c r="B811" s="3" t="s">
        <v>1276</v>
      </c>
      <c r="C811" s="2"/>
      <c r="D811" s="4" t="s">
        <v>3</v>
      </c>
      <c r="E811" s="403"/>
      <c r="F811" s="403">
        <f>BBNTHT!J851</f>
        <v>0</v>
      </c>
      <c r="G811" s="403">
        <f t="shared" si="48"/>
        <v>0</v>
      </c>
      <c r="H811" s="5"/>
      <c r="I811" s="404"/>
      <c r="J811" s="403"/>
      <c r="K811" s="404">
        <f t="shared" si="50"/>
        <v>0</v>
      </c>
      <c r="L811" s="405">
        <f t="shared" si="51"/>
        <v>0</v>
      </c>
      <c r="M811" s="403"/>
    </row>
    <row r="812" spans="1:13" ht="15.75" x14ac:dyDescent="0.25">
      <c r="A812" s="6" t="s">
        <v>1277</v>
      </c>
      <c r="B812" s="7" t="s">
        <v>1196</v>
      </c>
      <c r="C812" s="6" t="s">
        <v>6</v>
      </c>
      <c r="D812" s="8">
        <v>115</v>
      </c>
      <c r="E812" s="403"/>
      <c r="F812" s="403">
        <f>BBNTHT!J852</f>
        <v>80.5</v>
      </c>
      <c r="G812" s="403">
        <f t="shared" si="48"/>
        <v>80.5</v>
      </c>
      <c r="H812" s="9">
        <v>117746</v>
      </c>
      <c r="I812" s="404">
        <f t="shared" si="49"/>
        <v>13540790</v>
      </c>
      <c r="J812" s="403"/>
      <c r="K812" s="404">
        <f t="shared" si="50"/>
        <v>9478553</v>
      </c>
      <c r="L812" s="405">
        <f t="shared" si="51"/>
        <v>9478553</v>
      </c>
      <c r="M812" s="403"/>
    </row>
    <row r="813" spans="1:13" ht="15.75" x14ac:dyDescent="0.25">
      <c r="A813" s="6" t="s">
        <v>1278</v>
      </c>
      <c r="B813" s="7" t="s">
        <v>1198</v>
      </c>
      <c r="C813" s="6" t="s">
        <v>6</v>
      </c>
      <c r="D813" s="8">
        <v>10</v>
      </c>
      <c r="E813" s="403"/>
      <c r="F813" s="403">
        <f>BBNTHT!J853</f>
        <v>7</v>
      </c>
      <c r="G813" s="403">
        <f t="shared" si="48"/>
        <v>7</v>
      </c>
      <c r="H813" s="9">
        <v>28657</v>
      </c>
      <c r="I813" s="404">
        <f t="shared" si="49"/>
        <v>286570</v>
      </c>
      <c r="J813" s="403"/>
      <c r="K813" s="404">
        <f t="shared" si="50"/>
        <v>200599</v>
      </c>
      <c r="L813" s="405">
        <f t="shared" si="51"/>
        <v>200599</v>
      </c>
      <c r="M813" s="403"/>
    </row>
    <row r="814" spans="1:13" ht="31.5" x14ac:dyDescent="0.25">
      <c r="A814" s="2" t="s">
        <v>1279</v>
      </c>
      <c r="B814" s="3" t="s">
        <v>1280</v>
      </c>
      <c r="C814" s="2"/>
      <c r="D814" s="4" t="s">
        <v>3</v>
      </c>
      <c r="E814" s="403"/>
      <c r="F814" s="403">
        <f>BBNTHT!J854</f>
        <v>0</v>
      </c>
      <c r="G814" s="403">
        <f t="shared" si="48"/>
        <v>0</v>
      </c>
      <c r="H814" s="5"/>
      <c r="I814" s="404"/>
      <c r="J814" s="403"/>
      <c r="K814" s="404">
        <f t="shared" si="50"/>
        <v>0</v>
      </c>
      <c r="L814" s="405">
        <f t="shared" si="51"/>
        <v>0</v>
      </c>
      <c r="M814" s="403"/>
    </row>
    <row r="815" spans="1:13" ht="15.75" x14ac:dyDescent="0.25">
      <c r="A815" s="6" t="s">
        <v>1281</v>
      </c>
      <c r="B815" s="7" t="s">
        <v>1196</v>
      </c>
      <c r="C815" s="6" t="s">
        <v>6</v>
      </c>
      <c r="D815" s="8">
        <v>115</v>
      </c>
      <c r="E815" s="403"/>
      <c r="F815" s="403">
        <f>BBNTHT!J855</f>
        <v>80.5</v>
      </c>
      <c r="G815" s="403">
        <f t="shared" si="48"/>
        <v>80.5</v>
      </c>
      <c r="H815" s="9">
        <v>117746</v>
      </c>
      <c r="I815" s="404">
        <f t="shared" si="49"/>
        <v>13540790</v>
      </c>
      <c r="J815" s="403"/>
      <c r="K815" s="404">
        <f t="shared" si="50"/>
        <v>9478553</v>
      </c>
      <c r="L815" s="405">
        <f t="shared" si="51"/>
        <v>9478553</v>
      </c>
      <c r="M815" s="403"/>
    </row>
    <row r="816" spans="1:13" ht="15.75" x14ac:dyDescent="0.25">
      <c r="A816" s="6" t="s">
        <v>1282</v>
      </c>
      <c r="B816" s="7" t="s">
        <v>1198</v>
      </c>
      <c r="C816" s="6" t="s">
        <v>6</v>
      </c>
      <c r="D816" s="8">
        <v>10</v>
      </c>
      <c r="E816" s="403"/>
      <c r="F816" s="403">
        <f>BBNTHT!J856</f>
        <v>7</v>
      </c>
      <c r="G816" s="403">
        <f t="shared" si="48"/>
        <v>7</v>
      </c>
      <c r="H816" s="9">
        <v>28657</v>
      </c>
      <c r="I816" s="404">
        <f t="shared" si="49"/>
        <v>286570</v>
      </c>
      <c r="J816" s="403"/>
      <c r="K816" s="404">
        <f t="shared" si="50"/>
        <v>200599</v>
      </c>
      <c r="L816" s="405">
        <f t="shared" si="51"/>
        <v>200599</v>
      </c>
      <c r="M816" s="403"/>
    </row>
    <row r="817" spans="1:13" ht="31.5" x14ac:dyDescent="0.25">
      <c r="A817" s="2" t="s">
        <v>1283</v>
      </c>
      <c r="B817" s="3" t="s">
        <v>1284</v>
      </c>
      <c r="C817" s="2"/>
      <c r="D817" s="4" t="s">
        <v>3</v>
      </c>
      <c r="E817" s="403"/>
      <c r="F817" s="403">
        <f>BBNTHT!J857</f>
        <v>0</v>
      </c>
      <c r="G817" s="403">
        <f t="shared" si="48"/>
        <v>0</v>
      </c>
      <c r="H817" s="5"/>
      <c r="I817" s="404"/>
      <c r="J817" s="403"/>
      <c r="K817" s="404">
        <f t="shared" si="50"/>
        <v>0</v>
      </c>
      <c r="L817" s="405">
        <f t="shared" si="51"/>
        <v>0</v>
      </c>
      <c r="M817" s="403"/>
    </row>
    <row r="818" spans="1:13" ht="15.75" x14ac:dyDescent="0.25">
      <c r="A818" s="6" t="s">
        <v>1285</v>
      </c>
      <c r="B818" s="7" t="s">
        <v>1137</v>
      </c>
      <c r="C818" s="6" t="s">
        <v>6</v>
      </c>
      <c r="D818" s="8">
        <v>50</v>
      </c>
      <c r="E818" s="403"/>
      <c r="F818" s="403">
        <f>BBNTHT!J858</f>
        <v>35</v>
      </c>
      <c r="G818" s="403">
        <f t="shared" si="48"/>
        <v>35</v>
      </c>
      <c r="H818" s="9">
        <v>242594</v>
      </c>
      <c r="I818" s="404">
        <f t="shared" si="49"/>
        <v>12129700</v>
      </c>
      <c r="J818" s="403"/>
      <c r="K818" s="404">
        <f t="shared" si="50"/>
        <v>8490790</v>
      </c>
      <c r="L818" s="405">
        <f t="shared" si="51"/>
        <v>8490790</v>
      </c>
      <c r="M818" s="403"/>
    </row>
    <row r="819" spans="1:13" ht="15.75" x14ac:dyDescent="0.25">
      <c r="A819" s="6" t="s">
        <v>1286</v>
      </c>
      <c r="B819" s="7" t="s">
        <v>1186</v>
      </c>
      <c r="C819" s="6" t="s">
        <v>6</v>
      </c>
      <c r="D819" s="8">
        <v>10</v>
      </c>
      <c r="E819" s="403"/>
      <c r="F819" s="403">
        <f>BBNTHT!J859</f>
        <v>7</v>
      </c>
      <c r="G819" s="403">
        <f t="shared" si="48"/>
        <v>7</v>
      </c>
      <c r="H819" s="9">
        <v>58711</v>
      </c>
      <c r="I819" s="404">
        <f t="shared" si="49"/>
        <v>587110</v>
      </c>
      <c r="J819" s="403"/>
      <c r="K819" s="404">
        <f t="shared" si="50"/>
        <v>410977</v>
      </c>
      <c r="L819" s="405">
        <f t="shared" si="51"/>
        <v>410977</v>
      </c>
      <c r="M819" s="403"/>
    </row>
    <row r="820" spans="1:13" ht="31.5" x14ac:dyDescent="0.25">
      <c r="A820" s="2" t="s">
        <v>1287</v>
      </c>
      <c r="B820" s="3" t="s">
        <v>1288</v>
      </c>
      <c r="C820" s="2"/>
      <c r="D820" s="4" t="s">
        <v>3</v>
      </c>
      <c r="E820" s="403"/>
      <c r="F820" s="403">
        <f>BBNTHT!J860</f>
        <v>0</v>
      </c>
      <c r="G820" s="403">
        <f t="shared" si="48"/>
        <v>0</v>
      </c>
      <c r="H820" s="5"/>
      <c r="I820" s="404"/>
      <c r="J820" s="403"/>
      <c r="K820" s="404">
        <f t="shared" si="50"/>
        <v>0</v>
      </c>
      <c r="L820" s="405">
        <f t="shared" si="51"/>
        <v>0</v>
      </c>
      <c r="M820" s="403"/>
    </row>
    <row r="821" spans="1:13" ht="15.75" x14ac:dyDescent="0.25">
      <c r="A821" s="6" t="s">
        <v>1289</v>
      </c>
      <c r="B821" s="7" t="s">
        <v>1196</v>
      </c>
      <c r="C821" s="6" t="s">
        <v>6</v>
      </c>
      <c r="D821" s="8">
        <v>50</v>
      </c>
      <c r="E821" s="403"/>
      <c r="F821" s="403">
        <f>BBNTHT!J861</f>
        <v>35</v>
      </c>
      <c r="G821" s="403">
        <f t="shared" si="48"/>
        <v>35</v>
      </c>
      <c r="H821" s="9">
        <v>117746</v>
      </c>
      <c r="I821" s="404">
        <f t="shared" si="49"/>
        <v>5887300</v>
      </c>
      <c r="J821" s="403"/>
      <c r="K821" s="404">
        <f t="shared" si="50"/>
        <v>4121110</v>
      </c>
      <c r="L821" s="405">
        <f t="shared" si="51"/>
        <v>4121110</v>
      </c>
      <c r="M821" s="403"/>
    </row>
    <row r="822" spans="1:13" ht="15.75" x14ac:dyDescent="0.25">
      <c r="A822" s="6" t="s">
        <v>1290</v>
      </c>
      <c r="B822" s="7" t="s">
        <v>1198</v>
      </c>
      <c r="C822" s="6" t="s">
        <v>6</v>
      </c>
      <c r="D822" s="8">
        <v>10</v>
      </c>
      <c r="E822" s="403"/>
      <c r="F822" s="403">
        <f>BBNTHT!J862</f>
        <v>7</v>
      </c>
      <c r="G822" s="403">
        <f t="shared" si="48"/>
        <v>7</v>
      </c>
      <c r="H822" s="9">
        <v>28657</v>
      </c>
      <c r="I822" s="404">
        <f t="shared" si="49"/>
        <v>286570</v>
      </c>
      <c r="J822" s="403"/>
      <c r="K822" s="404">
        <f t="shared" si="50"/>
        <v>200599</v>
      </c>
      <c r="L822" s="405">
        <f t="shared" si="51"/>
        <v>200599</v>
      </c>
      <c r="M822" s="403"/>
    </row>
    <row r="823" spans="1:13" ht="31.5" x14ac:dyDescent="0.25">
      <c r="A823" s="2" t="s">
        <v>1291</v>
      </c>
      <c r="B823" s="3" t="s">
        <v>1292</v>
      </c>
      <c r="C823" s="2"/>
      <c r="D823" s="4" t="s">
        <v>3</v>
      </c>
      <c r="E823" s="403"/>
      <c r="F823" s="403">
        <f>BBNTHT!J863</f>
        <v>0</v>
      </c>
      <c r="G823" s="403">
        <f t="shared" si="48"/>
        <v>0</v>
      </c>
      <c r="H823" s="5"/>
      <c r="I823" s="404"/>
      <c r="J823" s="403"/>
      <c r="K823" s="404">
        <f t="shared" si="50"/>
        <v>0</v>
      </c>
      <c r="L823" s="405">
        <f t="shared" si="51"/>
        <v>0</v>
      </c>
      <c r="M823" s="403"/>
    </row>
    <row r="824" spans="1:13" ht="15.75" x14ac:dyDescent="0.25">
      <c r="A824" s="6" t="s">
        <v>1293</v>
      </c>
      <c r="B824" s="7" t="s">
        <v>1137</v>
      </c>
      <c r="C824" s="6" t="s">
        <v>6</v>
      </c>
      <c r="D824" s="8">
        <v>30</v>
      </c>
      <c r="E824" s="403"/>
      <c r="F824" s="403">
        <f>BBNTHT!J864</f>
        <v>21</v>
      </c>
      <c r="G824" s="403">
        <f t="shared" si="48"/>
        <v>21</v>
      </c>
      <c r="H824" s="9">
        <v>242594</v>
      </c>
      <c r="I824" s="404">
        <f t="shared" si="49"/>
        <v>7277820</v>
      </c>
      <c r="J824" s="403"/>
      <c r="K824" s="404">
        <f t="shared" si="50"/>
        <v>5094474</v>
      </c>
      <c r="L824" s="405">
        <f t="shared" si="51"/>
        <v>5094474</v>
      </c>
      <c r="M824" s="403"/>
    </row>
    <row r="825" spans="1:13" ht="15.75" x14ac:dyDescent="0.25">
      <c r="A825" s="6" t="s">
        <v>1294</v>
      </c>
      <c r="B825" s="7" t="s">
        <v>1186</v>
      </c>
      <c r="C825" s="6" t="s">
        <v>6</v>
      </c>
      <c r="D825" s="8">
        <v>10</v>
      </c>
      <c r="E825" s="403"/>
      <c r="F825" s="403">
        <f>BBNTHT!J865</f>
        <v>7</v>
      </c>
      <c r="G825" s="403">
        <f t="shared" si="48"/>
        <v>7</v>
      </c>
      <c r="H825" s="9">
        <v>58711</v>
      </c>
      <c r="I825" s="404">
        <f t="shared" si="49"/>
        <v>587110</v>
      </c>
      <c r="J825" s="403"/>
      <c r="K825" s="404">
        <f t="shared" si="50"/>
        <v>410977</v>
      </c>
      <c r="L825" s="405">
        <f t="shared" si="51"/>
        <v>410977</v>
      </c>
      <c r="M825" s="403"/>
    </row>
    <row r="826" spans="1:13" ht="31.5" x14ac:dyDescent="0.25">
      <c r="A826" s="2" t="s">
        <v>1295</v>
      </c>
      <c r="B826" s="3" t="s">
        <v>1296</v>
      </c>
      <c r="C826" s="2"/>
      <c r="D826" s="4" t="s">
        <v>3</v>
      </c>
      <c r="E826" s="403"/>
      <c r="F826" s="403">
        <f>BBNTHT!J866</f>
        <v>0</v>
      </c>
      <c r="G826" s="403">
        <f t="shared" si="48"/>
        <v>0</v>
      </c>
      <c r="H826" s="5"/>
      <c r="I826" s="404"/>
      <c r="J826" s="403"/>
      <c r="K826" s="404">
        <f t="shared" si="50"/>
        <v>0</v>
      </c>
      <c r="L826" s="405">
        <f t="shared" si="51"/>
        <v>0</v>
      </c>
      <c r="M826" s="403"/>
    </row>
    <row r="827" spans="1:13" ht="15.75" x14ac:dyDescent="0.25">
      <c r="A827" s="6" t="s">
        <v>1297</v>
      </c>
      <c r="B827" s="7" t="s">
        <v>1196</v>
      </c>
      <c r="C827" s="6" t="s">
        <v>6</v>
      </c>
      <c r="D827" s="8">
        <v>25</v>
      </c>
      <c r="E827" s="403"/>
      <c r="F827" s="403">
        <f>BBNTHT!J867</f>
        <v>17.5</v>
      </c>
      <c r="G827" s="403">
        <f t="shared" si="48"/>
        <v>17.5</v>
      </c>
      <c r="H827" s="9">
        <v>117746</v>
      </c>
      <c r="I827" s="404">
        <f t="shared" si="49"/>
        <v>2943650</v>
      </c>
      <c r="J827" s="403"/>
      <c r="K827" s="404">
        <f t="shared" si="50"/>
        <v>2060555</v>
      </c>
      <c r="L827" s="405">
        <f t="shared" si="51"/>
        <v>2060555</v>
      </c>
      <c r="M827" s="403"/>
    </row>
    <row r="828" spans="1:13" ht="15.75" x14ac:dyDescent="0.25">
      <c r="A828" s="6" t="s">
        <v>1298</v>
      </c>
      <c r="B828" s="7" t="s">
        <v>1198</v>
      </c>
      <c r="C828" s="6" t="s">
        <v>6</v>
      </c>
      <c r="D828" s="8">
        <v>10</v>
      </c>
      <c r="E828" s="403"/>
      <c r="F828" s="403">
        <f>BBNTHT!J868</f>
        <v>7</v>
      </c>
      <c r="G828" s="403">
        <f t="shared" si="48"/>
        <v>7</v>
      </c>
      <c r="H828" s="9">
        <v>28657</v>
      </c>
      <c r="I828" s="404">
        <f t="shared" si="49"/>
        <v>286570</v>
      </c>
      <c r="J828" s="403"/>
      <c r="K828" s="404">
        <f t="shared" si="50"/>
        <v>200599</v>
      </c>
      <c r="L828" s="405">
        <f t="shared" si="51"/>
        <v>200599</v>
      </c>
      <c r="M828" s="403"/>
    </row>
    <row r="829" spans="1:13" ht="31.5" x14ac:dyDescent="0.25">
      <c r="A829" s="2" t="s">
        <v>1299</v>
      </c>
      <c r="B829" s="3" t="s">
        <v>1300</v>
      </c>
      <c r="C829" s="2"/>
      <c r="D829" s="4" t="s">
        <v>3</v>
      </c>
      <c r="E829" s="403"/>
      <c r="F829" s="403">
        <f>BBNTHT!J869</f>
        <v>0</v>
      </c>
      <c r="G829" s="403">
        <f t="shared" si="48"/>
        <v>0</v>
      </c>
      <c r="H829" s="5"/>
      <c r="I829" s="404"/>
      <c r="J829" s="403"/>
      <c r="K829" s="404">
        <f t="shared" si="50"/>
        <v>0</v>
      </c>
      <c r="L829" s="405">
        <f t="shared" si="51"/>
        <v>0</v>
      </c>
      <c r="M829" s="403"/>
    </row>
    <row r="830" spans="1:13" ht="15.75" x14ac:dyDescent="0.25">
      <c r="A830" s="6" t="s">
        <v>1301</v>
      </c>
      <c r="B830" s="7" t="s">
        <v>1196</v>
      </c>
      <c r="C830" s="6" t="s">
        <v>6</v>
      </c>
      <c r="D830" s="8">
        <v>20</v>
      </c>
      <c r="E830" s="403"/>
      <c r="F830" s="403">
        <f>BBNTHT!J870</f>
        <v>14</v>
      </c>
      <c r="G830" s="403">
        <f t="shared" si="48"/>
        <v>14</v>
      </c>
      <c r="H830" s="9">
        <v>117746</v>
      </c>
      <c r="I830" s="404">
        <f t="shared" si="49"/>
        <v>2354920</v>
      </c>
      <c r="J830" s="403"/>
      <c r="K830" s="404">
        <f t="shared" si="50"/>
        <v>1648444</v>
      </c>
      <c r="L830" s="405">
        <f t="shared" si="51"/>
        <v>1648444</v>
      </c>
      <c r="M830" s="403"/>
    </row>
    <row r="831" spans="1:13" ht="15.75" x14ac:dyDescent="0.25">
      <c r="A831" s="6" t="s">
        <v>1302</v>
      </c>
      <c r="B831" s="7" t="s">
        <v>1198</v>
      </c>
      <c r="C831" s="6" t="s">
        <v>6</v>
      </c>
      <c r="D831" s="8">
        <v>10</v>
      </c>
      <c r="E831" s="403"/>
      <c r="F831" s="403">
        <f>BBNTHT!J871</f>
        <v>7</v>
      </c>
      <c r="G831" s="403">
        <f t="shared" si="48"/>
        <v>7</v>
      </c>
      <c r="H831" s="9">
        <v>28657</v>
      </c>
      <c r="I831" s="404">
        <f t="shared" si="49"/>
        <v>286570</v>
      </c>
      <c r="J831" s="403"/>
      <c r="K831" s="404">
        <f t="shared" si="50"/>
        <v>200599</v>
      </c>
      <c r="L831" s="405">
        <f t="shared" si="51"/>
        <v>200599</v>
      </c>
      <c r="M831" s="403"/>
    </row>
    <row r="832" spans="1:13" ht="31.5" x14ac:dyDescent="0.25">
      <c r="A832" s="2" t="s">
        <v>1303</v>
      </c>
      <c r="B832" s="3" t="s">
        <v>1304</v>
      </c>
      <c r="C832" s="2"/>
      <c r="D832" s="4" t="s">
        <v>3</v>
      </c>
      <c r="E832" s="403"/>
      <c r="F832" s="403">
        <f>BBNTHT!J872</f>
        <v>0</v>
      </c>
      <c r="G832" s="403">
        <f t="shared" si="48"/>
        <v>0</v>
      </c>
      <c r="H832" s="5"/>
      <c r="I832" s="404"/>
      <c r="J832" s="403"/>
      <c r="K832" s="404">
        <f t="shared" si="50"/>
        <v>0</v>
      </c>
      <c r="L832" s="405">
        <f t="shared" si="51"/>
        <v>0</v>
      </c>
      <c r="M832" s="403"/>
    </row>
    <row r="833" spans="1:13" ht="15.75" x14ac:dyDescent="0.25">
      <c r="A833" s="6" t="s">
        <v>1305</v>
      </c>
      <c r="B833" s="7" t="s">
        <v>1306</v>
      </c>
      <c r="C833" s="6" t="s">
        <v>6</v>
      </c>
      <c r="D833" s="8">
        <v>115</v>
      </c>
      <c r="E833" s="403"/>
      <c r="F833" s="403">
        <f>BBNTHT!J873</f>
        <v>80.5</v>
      </c>
      <c r="G833" s="403">
        <f t="shared" si="48"/>
        <v>80.5</v>
      </c>
      <c r="H833" s="9">
        <v>362994</v>
      </c>
      <c r="I833" s="404">
        <f t="shared" si="49"/>
        <v>41744310</v>
      </c>
      <c r="J833" s="403"/>
      <c r="K833" s="404">
        <f t="shared" si="50"/>
        <v>29221017</v>
      </c>
      <c r="L833" s="405">
        <f t="shared" si="51"/>
        <v>29221017</v>
      </c>
      <c r="M833" s="403"/>
    </row>
    <row r="834" spans="1:13" ht="15.75" x14ac:dyDescent="0.25">
      <c r="A834" s="6" t="s">
        <v>1307</v>
      </c>
      <c r="B834" s="7" t="s">
        <v>1238</v>
      </c>
      <c r="C834" s="6" t="s">
        <v>6</v>
      </c>
      <c r="D834" s="8">
        <v>10</v>
      </c>
      <c r="E834" s="403"/>
      <c r="F834" s="403">
        <f>BBNTHT!J874</f>
        <v>7</v>
      </c>
      <c r="G834" s="403">
        <f t="shared" si="48"/>
        <v>7</v>
      </c>
      <c r="H834" s="9">
        <v>86423</v>
      </c>
      <c r="I834" s="404">
        <f t="shared" si="49"/>
        <v>864230</v>
      </c>
      <c r="J834" s="403"/>
      <c r="K834" s="404">
        <f t="shared" si="50"/>
        <v>604961</v>
      </c>
      <c r="L834" s="405">
        <f t="shared" si="51"/>
        <v>604961</v>
      </c>
      <c r="M834" s="403"/>
    </row>
    <row r="835" spans="1:13" ht="31.5" x14ac:dyDescent="0.25">
      <c r="A835" s="2" t="s">
        <v>1308</v>
      </c>
      <c r="B835" s="3" t="s">
        <v>1309</v>
      </c>
      <c r="C835" s="2"/>
      <c r="D835" s="4" t="s">
        <v>3</v>
      </c>
      <c r="E835" s="403"/>
      <c r="F835" s="403">
        <f>BBNTHT!J875</f>
        <v>0</v>
      </c>
      <c r="G835" s="403">
        <f t="shared" si="48"/>
        <v>0</v>
      </c>
      <c r="H835" s="5"/>
      <c r="I835" s="404"/>
      <c r="J835" s="403"/>
      <c r="K835" s="404">
        <f t="shared" si="50"/>
        <v>0</v>
      </c>
      <c r="L835" s="405">
        <f t="shared" si="51"/>
        <v>0</v>
      </c>
      <c r="M835" s="403"/>
    </row>
    <row r="836" spans="1:13" ht="15.75" x14ac:dyDescent="0.25">
      <c r="A836" s="6" t="s">
        <v>1310</v>
      </c>
      <c r="B836" s="7" t="s">
        <v>1137</v>
      </c>
      <c r="C836" s="6" t="s">
        <v>6</v>
      </c>
      <c r="D836" s="8">
        <v>30</v>
      </c>
      <c r="E836" s="403"/>
      <c r="F836" s="403">
        <f>BBNTHT!J876</f>
        <v>21</v>
      </c>
      <c r="G836" s="403">
        <f t="shared" si="48"/>
        <v>21</v>
      </c>
      <c r="H836" s="9">
        <v>242594</v>
      </c>
      <c r="I836" s="404">
        <f t="shared" si="49"/>
        <v>7277820</v>
      </c>
      <c r="J836" s="403"/>
      <c r="K836" s="404">
        <f t="shared" si="50"/>
        <v>5094474</v>
      </c>
      <c r="L836" s="405">
        <f t="shared" si="51"/>
        <v>5094474</v>
      </c>
      <c r="M836" s="403"/>
    </row>
    <row r="837" spans="1:13" ht="15.75" x14ac:dyDescent="0.25">
      <c r="A837" s="6" t="s">
        <v>1311</v>
      </c>
      <c r="B837" s="7" t="s">
        <v>1186</v>
      </c>
      <c r="C837" s="6" t="s">
        <v>6</v>
      </c>
      <c r="D837" s="8">
        <v>10</v>
      </c>
      <c r="E837" s="403"/>
      <c r="F837" s="403">
        <f>BBNTHT!J877</f>
        <v>7</v>
      </c>
      <c r="G837" s="403">
        <f t="shared" si="48"/>
        <v>7</v>
      </c>
      <c r="H837" s="9">
        <v>58711</v>
      </c>
      <c r="I837" s="404">
        <f t="shared" si="49"/>
        <v>587110</v>
      </c>
      <c r="J837" s="403"/>
      <c r="K837" s="404">
        <f t="shared" si="50"/>
        <v>410977</v>
      </c>
      <c r="L837" s="405">
        <f t="shared" si="51"/>
        <v>410977</v>
      </c>
      <c r="M837" s="403"/>
    </row>
    <row r="838" spans="1:13" ht="31.5" x14ac:dyDescent="0.25">
      <c r="A838" s="2" t="s">
        <v>1312</v>
      </c>
      <c r="B838" s="3" t="s">
        <v>1313</v>
      </c>
      <c r="C838" s="2"/>
      <c r="D838" s="4" t="s">
        <v>3</v>
      </c>
      <c r="E838" s="403"/>
      <c r="F838" s="403">
        <f>BBNTHT!J878</f>
        <v>0</v>
      </c>
      <c r="G838" s="403">
        <f t="shared" si="48"/>
        <v>0</v>
      </c>
      <c r="H838" s="5"/>
      <c r="I838" s="404"/>
      <c r="J838" s="403"/>
      <c r="K838" s="404">
        <f t="shared" si="50"/>
        <v>0</v>
      </c>
      <c r="L838" s="405">
        <f t="shared" si="51"/>
        <v>0</v>
      </c>
      <c r="M838" s="403"/>
    </row>
    <row r="839" spans="1:13" ht="15.75" x14ac:dyDescent="0.25">
      <c r="A839" s="6" t="s">
        <v>1314</v>
      </c>
      <c r="B839" s="7" t="s">
        <v>1135</v>
      </c>
      <c r="C839" s="6" t="s">
        <v>6</v>
      </c>
      <c r="D839" s="8">
        <v>55</v>
      </c>
      <c r="E839" s="403"/>
      <c r="F839" s="403">
        <f>BBNTHT!J879</f>
        <v>38.5</v>
      </c>
      <c r="G839" s="403">
        <f t="shared" si="48"/>
        <v>38.5</v>
      </c>
      <c r="H839" s="9">
        <v>983606</v>
      </c>
      <c r="I839" s="404">
        <f t="shared" si="49"/>
        <v>54098330</v>
      </c>
      <c r="J839" s="403"/>
      <c r="K839" s="404">
        <f t="shared" si="50"/>
        <v>37868831</v>
      </c>
      <c r="L839" s="405">
        <f t="shared" si="51"/>
        <v>37868831</v>
      </c>
      <c r="M839" s="403"/>
    </row>
    <row r="840" spans="1:13" ht="15.75" x14ac:dyDescent="0.25">
      <c r="A840" s="6" t="s">
        <v>1315</v>
      </c>
      <c r="B840" s="7" t="s">
        <v>1203</v>
      </c>
      <c r="C840" s="6" t="s">
        <v>6</v>
      </c>
      <c r="D840" s="8">
        <v>10</v>
      </c>
      <c r="E840" s="403"/>
      <c r="F840" s="403">
        <f>BBNTHT!J880</f>
        <v>7</v>
      </c>
      <c r="G840" s="403">
        <f t="shared" si="48"/>
        <v>7</v>
      </c>
      <c r="H840" s="9">
        <v>129228</v>
      </c>
      <c r="I840" s="404">
        <f t="shared" si="49"/>
        <v>1292280</v>
      </c>
      <c r="J840" s="403"/>
      <c r="K840" s="404">
        <f t="shared" si="50"/>
        <v>904596</v>
      </c>
      <c r="L840" s="405">
        <f t="shared" si="51"/>
        <v>904596</v>
      </c>
      <c r="M840" s="403"/>
    </row>
    <row r="841" spans="1:13" ht="31.5" x14ac:dyDescent="0.25">
      <c r="A841" s="2" t="s">
        <v>1316</v>
      </c>
      <c r="B841" s="3" t="s">
        <v>1317</v>
      </c>
      <c r="C841" s="2"/>
      <c r="D841" s="4" t="s">
        <v>3</v>
      </c>
      <c r="E841" s="403"/>
      <c r="F841" s="403">
        <f>BBNTHT!J881</f>
        <v>0</v>
      </c>
      <c r="G841" s="403">
        <f t="shared" si="48"/>
        <v>0</v>
      </c>
      <c r="H841" s="5"/>
      <c r="I841" s="404"/>
      <c r="J841" s="403"/>
      <c r="K841" s="404">
        <f t="shared" si="50"/>
        <v>0</v>
      </c>
      <c r="L841" s="405">
        <f t="shared" si="51"/>
        <v>0</v>
      </c>
      <c r="M841" s="403"/>
    </row>
    <row r="842" spans="1:13" ht="15.75" x14ac:dyDescent="0.25">
      <c r="A842" s="6" t="s">
        <v>1318</v>
      </c>
      <c r="B842" s="7" t="s">
        <v>1135</v>
      </c>
      <c r="C842" s="6" t="s">
        <v>6</v>
      </c>
      <c r="D842" s="8">
        <v>60</v>
      </c>
      <c r="E842" s="403"/>
      <c r="F842" s="403">
        <f>BBNTHT!J882</f>
        <v>42</v>
      </c>
      <c r="G842" s="403">
        <f t="shared" si="48"/>
        <v>42</v>
      </c>
      <c r="H842" s="9">
        <v>983606</v>
      </c>
      <c r="I842" s="404">
        <f t="shared" si="49"/>
        <v>59016360</v>
      </c>
      <c r="J842" s="403"/>
      <c r="K842" s="404">
        <f t="shared" si="50"/>
        <v>41311452</v>
      </c>
      <c r="L842" s="405">
        <f t="shared" si="51"/>
        <v>41311452</v>
      </c>
      <c r="M842" s="403"/>
    </row>
    <row r="843" spans="1:13" ht="15.75" x14ac:dyDescent="0.25">
      <c r="A843" s="6" t="s">
        <v>1319</v>
      </c>
      <c r="B843" s="7" t="s">
        <v>1203</v>
      </c>
      <c r="C843" s="6" t="s">
        <v>6</v>
      </c>
      <c r="D843" s="8">
        <v>10</v>
      </c>
      <c r="E843" s="403"/>
      <c r="F843" s="403">
        <f>BBNTHT!J883</f>
        <v>7</v>
      </c>
      <c r="G843" s="403">
        <f t="shared" si="48"/>
        <v>7</v>
      </c>
      <c r="H843" s="9">
        <v>129228</v>
      </c>
      <c r="I843" s="404">
        <f t="shared" si="49"/>
        <v>1292280</v>
      </c>
      <c r="J843" s="403"/>
      <c r="K843" s="404">
        <f t="shared" si="50"/>
        <v>904596</v>
      </c>
      <c r="L843" s="405">
        <f t="shared" si="51"/>
        <v>904596</v>
      </c>
      <c r="M843" s="403"/>
    </row>
    <row r="844" spans="1:13" ht="31.5" x14ac:dyDescent="0.25">
      <c r="A844" s="2" t="s">
        <v>1320</v>
      </c>
      <c r="B844" s="3" t="s">
        <v>1321</v>
      </c>
      <c r="C844" s="2"/>
      <c r="D844" s="4" t="s">
        <v>3</v>
      </c>
      <c r="E844" s="403"/>
      <c r="F844" s="403">
        <f>BBNTHT!J884</f>
        <v>0</v>
      </c>
      <c r="G844" s="403">
        <f t="shared" si="48"/>
        <v>0</v>
      </c>
      <c r="H844" s="5"/>
      <c r="I844" s="404"/>
      <c r="J844" s="403"/>
      <c r="K844" s="404">
        <f t="shared" si="50"/>
        <v>0</v>
      </c>
      <c r="L844" s="405">
        <f t="shared" si="51"/>
        <v>0</v>
      </c>
      <c r="M844" s="403"/>
    </row>
    <row r="845" spans="1:13" ht="15.75" x14ac:dyDescent="0.25">
      <c r="A845" s="6" t="s">
        <v>1322</v>
      </c>
      <c r="B845" s="7" t="s">
        <v>1135</v>
      </c>
      <c r="C845" s="6" t="s">
        <v>6</v>
      </c>
      <c r="D845" s="8">
        <v>65</v>
      </c>
      <c r="E845" s="403"/>
      <c r="F845" s="403">
        <f>BBNTHT!J885</f>
        <v>45.5</v>
      </c>
      <c r="G845" s="403">
        <f t="shared" si="48"/>
        <v>45.5</v>
      </c>
      <c r="H845" s="9">
        <v>983606</v>
      </c>
      <c r="I845" s="404">
        <f t="shared" si="49"/>
        <v>63934390</v>
      </c>
      <c r="J845" s="403"/>
      <c r="K845" s="404">
        <f t="shared" si="50"/>
        <v>44754073</v>
      </c>
      <c r="L845" s="405">
        <f t="shared" si="51"/>
        <v>44754073</v>
      </c>
      <c r="M845" s="403"/>
    </row>
    <row r="846" spans="1:13" ht="15.75" x14ac:dyDescent="0.25">
      <c r="A846" s="6" t="s">
        <v>1323</v>
      </c>
      <c r="B846" s="7" t="s">
        <v>1203</v>
      </c>
      <c r="C846" s="6" t="s">
        <v>6</v>
      </c>
      <c r="D846" s="8">
        <v>10</v>
      </c>
      <c r="E846" s="403"/>
      <c r="F846" s="403">
        <f>BBNTHT!J886</f>
        <v>7</v>
      </c>
      <c r="G846" s="403">
        <f t="shared" si="48"/>
        <v>7</v>
      </c>
      <c r="H846" s="9">
        <v>129228</v>
      </c>
      <c r="I846" s="404">
        <f t="shared" si="49"/>
        <v>1292280</v>
      </c>
      <c r="J846" s="403"/>
      <c r="K846" s="404">
        <f t="shared" si="50"/>
        <v>904596</v>
      </c>
      <c r="L846" s="405">
        <f t="shared" si="51"/>
        <v>904596</v>
      </c>
      <c r="M846" s="403"/>
    </row>
    <row r="847" spans="1:13" ht="31.5" x14ac:dyDescent="0.25">
      <c r="A847" s="2" t="s">
        <v>1324</v>
      </c>
      <c r="B847" s="3" t="s">
        <v>1325</v>
      </c>
      <c r="C847" s="2"/>
      <c r="D847" s="4" t="s">
        <v>3</v>
      </c>
      <c r="E847" s="403"/>
      <c r="F847" s="403">
        <f>BBNTHT!J887</f>
        <v>0</v>
      </c>
      <c r="G847" s="403">
        <f t="shared" si="48"/>
        <v>0</v>
      </c>
      <c r="H847" s="5"/>
      <c r="I847" s="404"/>
      <c r="J847" s="403"/>
      <c r="K847" s="404">
        <f t="shared" si="50"/>
        <v>0</v>
      </c>
      <c r="L847" s="405">
        <f t="shared" si="51"/>
        <v>0</v>
      </c>
      <c r="M847" s="403"/>
    </row>
    <row r="848" spans="1:13" ht="15.75" x14ac:dyDescent="0.25">
      <c r="A848" s="6" t="s">
        <v>1326</v>
      </c>
      <c r="B848" s="7" t="s">
        <v>1135</v>
      </c>
      <c r="C848" s="6" t="s">
        <v>6</v>
      </c>
      <c r="D848" s="8">
        <v>70</v>
      </c>
      <c r="E848" s="403"/>
      <c r="F848" s="403">
        <f>BBNTHT!J888</f>
        <v>49</v>
      </c>
      <c r="G848" s="403">
        <f t="shared" si="48"/>
        <v>49</v>
      </c>
      <c r="H848" s="9">
        <v>983606</v>
      </c>
      <c r="I848" s="404">
        <f t="shared" si="49"/>
        <v>68852420</v>
      </c>
      <c r="J848" s="403"/>
      <c r="K848" s="404">
        <f t="shared" si="50"/>
        <v>48196694</v>
      </c>
      <c r="L848" s="405">
        <f t="shared" si="51"/>
        <v>48196694</v>
      </c>
      <c r="M848" s="403"/>
    </row>
    <row r="849" spans="1:13" ht="15.75" x14ac:dyDescent="0.25">
      <c r="A849" s="6" t="s">
        <v>1327</v>
      </c>
      <c r="B849" s="7" t="s">
        <v>1203</v>
      </c>
      <c r="C849" s="6" t="s">
        <v>6</v>
      </c>
      <c r="D849" s="8">
        <v>10</v>
      </c>
      <c r="E849" s="403"/>
      <c r="F849" s="403">
        <f>BBNTHT!J889</f>
        <v>7</v>
      </c>
      <c r="G849" s="403">
        <f t="shared" si="48"/>
        <v>7</v>
      </c>
      <c r="H849" s="9">
        <v>129228</v>
      </c>
      <c r="I849" s="404">
        <f t="shared" si="49"/>
        <v>1292280</v>
      </c>
      <c r="J849" s="403"/>
      <c r="K849" s="404">
        <f t="shared" si="50"/>
        <v>904596</v>
      </c>
      <c r="L849" s="405">
        <f t="shared" si="51"/>
        <v>904596</v>
      </c>
      <c r="M849" s="403"/>
    </row>
    <row r="850" spans="1:13" ht="31.5" x14ac:dyDescent="0.25">
      <c r="A850" s="2" t="s">
        <v>1328</v>
      </c>
      <c r="B850" s="3" t="s">
        <v>1329</v>
      </c>
      <c r="C850" s="2"/>
      <c r="D850" s="4" t="s">
        <v>3</v>
      </c>
      <c r="E850" s="403"/>
      <c r="F850" s="403">
        <f>BBNTHT!J890</f>
        <v>0</v>
      </c>
      <c r="G850" s="403">
        <f t="shared" ref="G850:G913" si="52">F850+E850</f>
        <v>0</v>
      </c>
      <c r="H850" s="5"/>
      <c r="I850" s="404"/>
      <c r="J850" s="403"/>
      <c r="K850" s="404">
        <f t="shared" ref="K850:K913" si="53">ROUND(F850*H850,0)</f>
        <v>0</v>
      </c>
      <c r="L850" s="405">
        <f t="shared" ref="L850:L913" si="54">J850+K850</f>
        <v>0</v>
      </c>
      <c r="M850" s="403"/>
    </row>
    <row r="851" spans="1:13" ht="15.75" x14ac:dyDescent="0.25">
      <c r="A851" s="6" t="s">
        <v>1330</v>
      </c>
      <c r="B851" s="7" t="s">
        <v>1135</v>
      </c>
      <c r="C851" s="6" t="s">
        <v>6</v>
      </c>
      <c r="D851" s="8">
        <v>75</v>
      </c>
      <c r="E851" s="403"/>
      <c r="F851" s="403">
        <f>BBNTHT!J891</f>
        <v>52.5</v>
      </c>
      <c r="G851" s="403">
        <f t="shared" si="52"/>
        <v>52.5</v>
      </c>
      <c r="H851" s="9">
        <v>983606</v>
      </c>
      <c r="I851" s="404">
        <f t="shared" ref="I851:I913" si="55">ROUND(D851*H851,0)</f>
        <v>73770450</v>
      </c>
      <c r="J851" s="403"/>
      <c r="K851" s="404">
        <f t="shared" si="53"/>
        <v>51639315</v>
      </c>
      <c r="L851" s="405">
        <f t="shared" si="54"/>
        <v>51639315</v>
      </c>
      <c r="M851" s="403"/>
    </row>
    <row r="852" spans="1:13" ht="15.75" x14ac:dyDescent="0.25">
      <c r="A852" s="6" t="s">
        <v>1331</v>
      </c>
      <c r="B852" s="7" t="s">
        <v>1203</v>
      </c>
      <c r="C852" s="6" t="s">
        <v>6</v>
      </c>
      <c r="D852" s="8">
        <v>10</v>
      </c>
      <c r="E852" s="403"/>
      <c r="F852" s="403">
        <f>BBNTHT!J892</f>
        <v>7</v>
      </c>
      <c r="G852" s="403">
        <f t="shared" si="52"/>
        <v>7</v>
      </c>
      <c r="H852" s="9">
        <v>129228</v>
      </c>
      <c r="I852" s="404">
        <f t="shared" si="55"/>
        <v>1292280</v>
      </c>
      <c r="J852" s="403"/>
      <c r="K852" s="404">
        <f t="shared" si="53"/>
        <v>904596</v>
      </c>
      <c r="L852" s="405">
        <f t="shared" si="54"/>
        <v>904596</v>
      </c>
      <c r="M852" s="403"/>
    </row>
    <row r="853" spans="1:13" ht="31.5" x14ac:dyDescent="0.25">
      <c r="A853" s="2" t="s">
        <v>1332</v>
      </c>
      <c r="B853" s="3" t="s">
        <v>1333</v>
      </c>
      <c r="C853" s="2"/>
      <c r="D853" s="4" t="s">
        <v>3</v>
      </c>
      <c r="E853" s="403"/>
      <c r="F853" s="403">
        <f>BBNTHT!J893</f>
        <v>0</v>
      </c>
      <c r="G853" s="403">
        <f t="shared" si="52"/>
        <v>0</v>
      </c>
      <c r="H853" s="5"/>
      <c r="I853" s="404"/>
      <c r="J853" s="403"/>
      <c r="K853" s="404">
        <f t="shared" si="53"/>
        <v>0</v>
      </c>
      <c r="L853" s="405">
        <f t="shared" si="54"/>
        <v>0</v>
      </c>
      <c r="M853" s="403"/>
    </row>
    <row r="854" spans="1:13" ht="15.75" x14ac:dyDescent="0.25">
      <c r="A854" s="6" t="s">
        <v>1334</v>
      </c>
      <c r="B854" s="7" t="s">
        <v>1135</v>
      </c>
      <c r="C854" s="6" t="s">
        <v>6</v>
      </c>
      <c r="D854" s="8">
        <v>80</v>
      </c>
      <c r="E854" s="403"/>
      <c r="F854" s="403">
        <f>BBNTHT!J894</f>
        <v>56</v>
      </c>
      <c r="G854" s="403">
        <f t="shared" si="52"/>
        <v>56</v>
      </c>
      <c r="H854" s="9">
        <v>983606</v>
      </c>
      <c r="I854" s="404">
        <f t="shared" si="55"/>
        <v>78688480</v>
      </c>
      <c r="J854" s="403"/>
      <c r="K854" s="404">
        <f t="shared" si="53"/>
        <v>55081936</v>
      </c>
      <c r="L854" s="405">
        <f t="shared" si="54"/>
        <v>55081936</v>
      </c>
      <c r="M854" s="403"/>
    </row>
    <row r="855" spans="1:13" ht="15.75" x14ac:dyDescent="0.25">
      <c r="A855" s="6" t="s">
        <v>1335</v>
      </c>
      <c r="B855" s="7" t="s">
        <v>1203</v>
      </c>
      <c r="C855" s="6" t="s">
        <v>6</v>
      </c>
      <c r="D855" s="8">
        <v>10</v>
      </c>
      <c r="E855" s="403"/>
      <c r="F855" s="403">
        <f>BBNTHT!J895</f>
        <v>7</v>
      </c>
      <c r="G855" s="403">
        <f t="shared" si="52"/>
        <v>7</v>
      </c>
      <c r="H855" s="9">
        <v>129228</v>
      </c>
      <c r="I855" s="404">
        <f t="shared" si="55"/>
        <v>1292280</v>
      </c>
      <c r="J855" s="403"/>
      <c r="K855" s="404">
        <f t="shared" si="53"/>
        <v>904596</v>
      </c>
      <c r="L855" s="405">
        <f t="shared" si="54"/>
        <v>904596</v>
      </c>
      <c r="M855" s="403"/>
    </row>
    <row r="856" spans="1:13" ht="31.5" x14ac:dyDescent="0.25">
      <c r="A856" s="2" t="s">
        <v>1336</v>
      </c>
      <c r="B856" s="3" t="s">
        <v>1337</v>
      </c>
      <c r="C856" s="2"/>
      <c r="D856" s="4" t="s">
        <v>3</v>
      </c>
      <c r="E856" s="403"/>
      <c r="F856" s="403">
        <f>BBNTHT!J896</f>
        <v>0</v>
      </c>
      <c r="G856" s="403">
        <f t="shared" si="52"/>
        <v>0</v>
      </c>
      <c r="H856" s="5"/>
      <c r="I856" s="404"/>
      <c r="J856" s="403"/>
      <c r="K856" s="404">
        <f t="shared" si="53"/>
        <v>0</v>
      </c>
      <c r="L856" s="405">
        <f t="shared" si="54"/>
        <v>0</v>
      </c>
      <c r="M856" s="403"/>
    </row>
    <row r="857" spans="1:13" ht="15.75" x14ac:dyDescent="0.25">
      <c r="A857" s="6" t="s">
        <v>1338</v>
      </c>
      <c r="B857" s="7" t="s">
        <v>1135</v>
      </c>
      <c r="C857" s="6" t="s">
        <v>6</v>
      </c>
      <c r="D857" s="8">
        <v>85</v>
      </c>
      <c r="E857" s="403"/>
      <c r="F857" s="403">
        <f>BBNTHT!J897</f>
        <v>59.499999999999993</v>
      </c>
      <c r="G857" s="403">
        <f t="shared" si="52"/>
        <v>59.499999999999993</v>
      </c>
      <c r="H857" s="9">
        <v>983606</v>
      </c>
      <c r="I857" s="404">
        <f t="shared" si="55"/>
        <v>83606510</v>
      </c>
      <c r="J857" s="403"/>
      <c r="K857" s="404">
        <f t="shared" si="53"/>
        <v>58524557</v>
      </c>
      <c r="L857" s="405">
        <f t="shared" si="54"/>
        <v>58524557</v>
      </c>
      <c r="M857" s="403"/>
    </row>
    <row r="858" spans="1:13" ht="15.75" x14ac:dyDescent="0.25">
      <c r="A858" s="6" t="s">
        <v>1339</v>
      </c>
      <c r="B858" s="7" t="s">
        <v>1203</v>
      </c>
      <c r="C858" s="6" t="s">
        <v>6</v>
      </c>
      <c r="D858" s="8">
        <v>10</v>
      </c>
      <c r="E858" s="403"/>
      <c r="F858" s="403">
        <f>BBNTHT!J898</f>
        <v>7</v>
      </c>
      <c r="G858" s="403">
        <f t="shared" si="52"/>
        <v>7</v>
      </c>
      <c r="H858" s="9">
        <v>129228</v>
      </c>
      <c r="I858" s="404">
        <f t="shared" si="55"/>
        <v>1292280</v>
      </c>
      <c r="J858" s="403"/>
      <c r="K858" s="404">
        <f t="shared" si="53"/>
        <v>904596</v>
      </c>
      <c r="L858" s="405">
        <f t="shared" si="54"/>
        <v>904596</v>
      </c>
      <c r="M858" s="403"/>
    </row>
    <row r="859" spans="1:13" ht="31.5" x14ac:dyDescent="0.25">
      <c r="A859" s="2" t="s">
        <v>1340</v>
      </c>
      <c r="B859" s="3" t="s">
        <v>1341</v>
      </c>
      <c r="C859" s="2"/>
      <c r="D859" s="4" t="s">
        <v>3</v>
      </c>
      <c r="E859" s="403"/>
      <c r="F859" s="403">
        <f>BBNTHT!J899</f>
        <v>0</v>
      </c>
      <c r="G859" s="403">
        <f t="shared" si="52"/>
        <v>0</v>
      </c>
      <c r="H859" s="5"/>
      <c r="I859" s="404"/>
      <c r="J859" s="403"/>
      <c r="K859" s="404">
        <f t="shared" si="53"/>
        <v>0</v>
      </c>
      <c r="L859" s="405">
        <f t="shared" si="54"/>
        <v>0</v>
      </c>
      <c r="M859" s="403"/>
    </row>
    <row r="860" spans="1:13" ht="15.75" x14ac:dyDescent="0.25">
      <c r="A860" s="6" t="s">
        <v>1342</v>
      </c>
      <c r="B860" s="7" t="s">
        <v>1135</v>
      </c>
      <c r="C860" s="6" t="s">
        <v>6</v>
      </c>
      <c r="D860" s="8">
        <v>90</v>
      </c>
      <c r="E860" s="403"/>
      <c r="F860" s="403">
        <f>BBNTHT!J900</f>
        <v>62.999999999999993</v>
      </c>
      <c r="G860" s="403">
        <f t="shared" si="52"/>
        <v>62.999999999999993</v>
      </c>
      <c r="H860" s="9">
        <v>983606</v>
      </c>
      <c r="I860" s="404">
        <f t="shared" si="55"/>
        <v>88524540</v>
      </c>
      <c r="J860" s="403"/>
      <c r="K860" s="404">
        <f t="shared" si="53"/>
        <v>61967178</v>
      </c>
      <c r="L860" s="405">
        <f t="shared" si="54"/>
        <v>61967178</v>
      </c>
      <c r="M860" s="403"/>
    </row>
    <row r="861" spans="1:13" ht="15.75" x14ac:dyDescent="0.25">
      <c r="A861" s="6" t="s">
        <v>1343</v>
      </c>
      <c r="B861" s="7" t="s">
        <v>1203</v>
      </c>
      <c r="C861" s="6" t="s">
        <v>6</v>
      </c>
      <c r="D861" s="8">
        <v>10</v>
      </c>
      <c r="E861" s="403"/>
      <c r="F861" s="403">
        <f>BBNTHT!J901</f>
        <v>7</v>
      </c>
      <c r="G861" s="403">
        <f t="shared" si="52"/>
        <v>7</v>
      </c>
      <c r="H861" s="9">
        <v>129228</v>
      </c>
      <c r="I861" s="404">
        <f t="shared" si="55"/>
        <v>1292280</v>
      </c>
      <c r="J861" s="403"/>
      <c r="K861" s="404">
        <f t="shared" si="53"/>
        <v>904596</v>
      </c>
      <c r="L861" s="405">
        <f t="shared" si="54"/>
        <v>904596</v>
      </c>
      <c r="M861" s="403"/>
    </row>
    <row r="862" spans="1:13" ht="31.5" x14ac:dyDescent="0.25">
      <c r="A862" s="2" t="s">
        <v>1344</v>
      </c>
      <c r="B862" s="3" t="s">
        <v>1345</v>
      </c>
      <c r="C862" s="2"/>
      <c r="D862" s="4" t="s">
        <v>3</v>
      </c>
      <c r="E862" s="403"/>
      <c r="F862" s="403">
        <f>BBNTHT!J902</f>
        <v>0</v>
      </c>
      <c r="G862" s="403">
        <f t="shared" si="52"/>
        <v>0</v>
      </c>
      <c r="H862" s="5"/>
      <c r="I862" s="404"/>
      <c r="J862" s="403"/>
      <c r="K862" s="404">
        <f t="shared" si="53"/>
        <v>0</v>
      </c>
      <c r="L862" s="405">
        <f t="shared" si="54"/>
        <v>0</v>
      </c>
      <c r="M862" s="403"/>
    </row>
    <row r="863" spans="1:13" ht="15.75" x14ac:dyDescent="0.25">
      <c r="A863" s="6" t="s">
        <v>1346</v>
      </c>
      <c r="B863" s="7" t="s">
        <v>1135</v>
      </c>
      <c r="C863" s="6" t="s">
        <v>6</v>
      </c>
      <c r="D863" s="8">
        <v>95</v>
      </c>
      <c r="E863" s="403"/>
      <c r="F863" s="403">
        <f>BBNTHT!J903</f>
        <v>66.5</v>
      </c>
      <c r="G863" s="403">
        <f t="shared" si="52"/>
        <v>66.5</v>
      </c>
      <c r="H863" s="9">
        <v>983606</v>
      </c>
      <c r="I863" s="404">
        <f t="shared" si="55"/>
        <v>93442570</v>
      </c>
      <c r="J863" s="403"/>
      <c r="K863" s="404">
        <f t="shared" si="53"/>
        <v>65409799</v>
      </c>
      <c r="L863" s="405">
        <f t="shared" si="54"/>
        <v>65409799</v>
      </c>
      <c r="M863" s="403"/>
    </row>
    <row r="864" spans="1:13" ht="15.75" x14ac:dyDescent="0.25">
      <c r="A864" s="6" t="s">
        <v>1347</v>
      </c>
      <c r="B864" s="7" t="s">
        <v>1203</v>
      </c>
      <c r="C864" s="6" t="s">
        <v>6</v>
      </c>
      <c r="D864" s="8">
        <v>10</v>
      </c>
      <c r="E864" s="403"/>
      <c r="F864" s="403">
        <f>BBNTHT!J904</f>
        <v>7</v>
      </c>
      <c r="G864" s="403">
        <f t="shared" si="52"/>
        <v>7</v>
      </c>
      <c r="H864" s="9">
        <v>129228</v>
      </c>
      <c r="I864" s="404">
        <f t="shared" si="55"/>
        <v>1292280</v>
      </c>
      <c r="J864" s="403"/>
      <c r="K864" s="404">
        <f t="shared" si="53"/>
        <v>904596</v>
      </c>
      <c r="L864" s="405">
        <f t="shared" si="54"/>
        <v>904596</v>
      </c>
      <c r="M864" s="403"/>
    </row>
    <row r="865" spans="1:13" ht="31.5" x14ac:dyDescent="0.25">
      <c r="A865" s="2" t="s">
        <v>1348</v>
      </c>
      <c r="B865" s="3" t="s">
        <v>1349</v>
      </c>
      <c r="C865" s="2"/>
      <c r="D865" s="4" t="s">
        <v>3</v>
      </c>
      <c r="E865" s="403"/>
      <c r="F865" s="403">
        <f>BBNTHT!J905</f>
        <v>0</v>
      </c>
      <c r="G865" s="403">
        <f t="shared" si="52"/>
        <v>0</v>
      </c>
      <c r="H865" s="5"/>
      <c r="I865" s="404"/>
      <c r="J865" s="403"/>
      <c r="K865" s="404">
        <f t="shared" si="53"/>
        <v>0</v>
      </c>
      <c r="L865" s="405">
        <f t="shared" si="54"/>
        <v>0</v>
      </c>
      <c r="M865" s="403"/>
    </row>
    <row r="866" spans="1:13" ht="15.75" x14ac:dyDescent="0.25">
      <c r="A866" s="6" t="s">
        <v>1350</v>
      </c>
      <c r="B866" s="7" t="s">
        <v>1135</v>
      </c>
      <c r="C866" s="6" t="s">
        <v>6</v>
      </c>
      <c r="D866" s="8">
        <v>100</v>
      </c>
      <c r="E866" s="403"/>
      <c r="F866" s="403">
        <f>BBNTHT!J906</f>
        <v>70</v>
      </c>
      <c r="G866" s="403">
        <f t="shared" si="52"/>
        <v>70</v>
      </c>
      <c r="H866" s="9">
        <v>983606</v>
      </c>
      <c r="I866" s="404">
        <f t="shared" si="55"/>
        <v>98360600</v>
      </c>
      <c r="J866" s="403"/>
      <c r="K866" s="404">
        <f t="shared" si="53"/>
        <v>68852420</v>
      </c>
      <c r="L866" s="405">
        <f t="shared" si="54"/>
        <v>68852420</v>
      </c>
      <c r="M866" s="403"/>
    </row>
    <row r="867" spans="1:13" ht="15.75" x14ac:dyDescent="0.25">
      <c r="A867" s="6" t="s">
        <v>1351</v>
      </c>
      <c r="B867" s="7" t="s">
        <v>1203</v>
      </c>
      <c r="C867" s="6" t="s">
        <v>6</v>
      </c>
      <c r="D867" s="8">
        <v>10</v>
      </c>
      <c r="E867" s="403"/>
      <c r="F867" s="403">
        <f>BBNTHT!J907</f>
        <v>7</v>
      </c>
      <c r="G867" s="403">
        <f t="shared" si="52"/>
        <v>7</v>
      </c>
      <c r="H867" s="9">
        <v>129228</v>
      </c>
      <c r="I867" s="404">
        <f t="shared" si="55"/>
        <v>1292280</v>
      </c>
      <c r="J867" s="403"/>
      <c r="K867" s="404">
        <f t="shared" si="53"/>
        <v>904596</v>
      </c>
      <c r="L867" s="405">
        <f t="shared" si="54"/>
        <v>904596</v>
      </c>
      <c r="M867" s="403"/>
    </row>
    <row r="868" spans="1:13" ht="31.5" x14ac:dyDescent="0.25">
      <c r="A868" s="2" t="s">
        <v>1352</v>
      </c>
      <c r="B868" s="3" t="s">
        <v>1353</v>
      </c>
      <c r="C868" s="2"/>
      <c r="D868" s="4" t="s">
        <v>3</v>
      </c>
      <c r="E868" s="403"/>
      <c r="F868" s="403">
        <f>BBNTHT!J908</f>
        <v>0</v>
      </c>
      <c r="G868" s="403">
        <f t="shared" si="52"/>
        <v>0</v>
      </c>
      <c r="H868" s="5"/>
      <c r="I868" s="404"/>
      <c r="J868" s="403"/>
      <c r="K868" s="404">
        <f t="shared" si="53"/>
        <v>0</v>
      </c>
      <c r="L868" s="405">
        <f t="shared" si="54"/>
        <v>0</v>
      </c>
      <c r="M868" s="403"/>
    </row>
    <row r="869" spans="1:13" ht="15.75" x14ac:dyDescent="0.25">
      <c r="A869" s="6" t="s">
        <v>1354</v>
      </c>
      <c r="B869" s="7" t="s">
        <v>1355</v>
      </c>
      <c r="C869" s="6" t="s">
        <v>6</v>
      </c>
      <c r="D869" s="8">
        <v>105</v>
      </c>
      <c r="E869" s="403"/>
      <c r="F869" s="403">
        <f>BBNTHT!J909</f>
        <v>73.5</v>
      </c>
      <c r="G869" s="403">
        <f t="shared" si="52"/>
        <v>73.5</v>
      </c>
      <c r="H869" s="9">
        <v>749815</v>
      </c>
      <c r="I869" s="404">
        <f t="shared" si="55"/>
        <v>78730575</v>
      </c>
      <c r="J869" s="403"/>
      <c r="K869" s="404">
        <f t="shared" si="53"/>
        <v>55111403</v>
      </c>
      <c r="L869" s="405">
        <f t="shared" si="54"/>
        <v>55111403</v>
      </c>
      <c r="M869" s="403"/>
    </row>
    <row r="870" spans="1:13" ht="15.75" x14ac:dyDescent="0.25">
      <c r="A870" s="6" t="s">
        <v>1356</v>
      </c>
      <c r="B870" s="7" t="s">
        <v>1238</v>
      </c>
      <c r="C870" s="6" t="s">
        <v>6</v>
      </c>
      <c r="D870" s="8">
        <v>10</v>
      </c>
      <c r="E870" s="403"/>
      <c r="F870" s="403">
        <f>BBNTHT!J910</f>
        <v>7</v>
      </c>
      <c r="G870" s="403">
        <f t="shared" si="52"/>
        <v>7</v>
      </c>
      <c r="H870" s="9">
        <v>86423</v>
      </c>
      <c r="I870" s="404">
        <f t="shared" si="55"/>
        <v>864230</v>
      </c>
      <c r="J870" s="403"/>
      <c r="K870" s="404">
        <f t="shared" si="53"/>
        <v>604961</v>
      </c>
      <c r="L870" s="405">
        <f t="shared" si="54"/>
        <v>604961</v>
      </c>
      <c r="M870" s="403"/>
    </row>
    <row r="871" spans="1:13" ht="31.5" x14ac:dyDescent="0.25">
      <c r="A871" s="2" t="s">
        <v>1357</v>
      </c>
      <c r="B871" s="3" t="s">
        <v>1358</v>
      </c>
      <c r="C871" s="2"/>
      <c r="D871" s="4" t="s">
        <v>3</v>
      </c>
      <c r="E871" s="403"/>
      <c r="F871" s="403">
        <f>BBNTHT!J911</f>
        <v>0</v>
      </c>
      <c r="G871" s="403">
        <f t="shared" si="52"/>
        <v>0</v>
      </c>
      <c r="H871" s="5"/>
      <c r="I871" s="404"/>
      <c r="J871" s="403"/>
      <c r="K871" s="404">
        <f t="shared" si="53"/>
        <v>0</v>
      </c>
      <c r="L871" s="405">
        <f t="shared" si="54"/>
        <v>0</v>
      </c>
      <c r="M871" s="403"/>
    </row>
    <row r="872" spans="1:13" ht="15.75" x14ac:dyDescent="0.25">
      <c r="A872" s="6" t="s">
        <v>1359</v>
      </c>
      <c r="B872" s="7" t="s">
        <v>1355</v>
      </c>
      <c r="C872" s="6" t="s">
        <v>6</v>
      </c>
      <c r="D872" s="8">
        <v>110</v>
      </c>
      <c r="E872" s="403"/>
      <c r="F872" s="403">
        <f>BBNTHT!J912</f>
        <v>77</v>
      </c>
      <c r="G872" s="403">
        <f t="shared" si="52"/>
        <v>77</v>
      </c>
      <c r="H872" s="9">
        <v>749815</v>
      </c>
      <c r="I872" s="404">
        <f t="shared" si="55"/>
        <v>82479650</v>
      </c>
      <c r="J872" s="403"/>
      <c r="K872" s="404">
        <f t="shared" si="53"/>
        <v>57735755</v>
      </c>
      <c r="L872" s="405">
        <f t="shared" si="54"/>
        <v>57735755</v>
      </c>
      <c r="M872" s="403"/>
    </row>
    <row r="873" spans="1:13" ht="15.75" x14ac:dyDescent="0.25">
      <c r="A873" s="6" t="s">
        <v>1360</v>
      </c>
      <c r="B873" s="7" t="s">
        <v>1238</v>
      </c>
      <c r="C873" s="6" t="s">
        <v>6</v>
      </c>
      <c r="D873" s="8">
        <v>10</v>
      </c>
      <c r="E873" s="403"/>
      <c r="F873" s="403">
        <f>BBNTHT!J913</f>
        <v>7</v>
      </c>
      <c r="G873" s="403">
        <f t="shared" si="52"/>
        <v>7</v>
      </c>
      <c r="H873" s="9">
        <v>86423</v>
      </c>
      <c r="I873" s="404">
        <f t="shared" si="55"/>
        <v>864230</v>
      </c>
      <c r="J873" s="403"/>
      <c r="K873" s="404">
        <f t="shared" si="53"/>
        <v>604961</v>
      </c>
      <c r="L873" s="405">
        <f t="shared" si="54"/>
        <v>604961</v>
      </c>
      <c r="M873" s="403"/>
    </row>
    <row r="874" spans="1:13" ht="31.5" x14ac:dyDescent="0.25">
      <c r="A874" s="2" t="s">
        <v>1361</v>
      </c>
      <c r="B874" s="3" t="s">
        <v>1362</v>
      </c>
      <c r="C874" s="2"/>
      <c r="D874" s="4" t="s">
        <v>3</v>
      </c>
      <c r="E874" s="403"/>
      <c r="F874" s="403">
        <f>BBNTHT!J914</f>
        <v>0</v>
      </c>
      <c r="G874" s="403">
        <f t="shared" si="52"/>
        <v>0</v>
      </c>
      <c r="H874" s="5"/>
      <c r="I874" s="404"/>
      <c r="J874" s="403"/>
      <c r="K874" s="404">
        <f t="shared" si="53"/>
        <v>0</v>
      </c>
      <c r="L874" s="405">
        <f t="shared" si="54"/>
        <v>0</v>
      </c>
      <c r="M874" s="403"/>
    </row>
    <row r="875" spans="1:13" ht="15.75" x14ac:dyDescent="0.25">
      <c r="A875" s="6" t="s">
        <v>1363</v>
      </c>
      <c r="B875" s="7" t="s">
        <v>1255</v>
      </c>
      <c r="C875" s="6" t="s">
        <v>6</v>
      </c>
      <c r="D875" s="8">
        <v>115</v>
      </c>
      <c r="E875" s="403"/>
      <c r="F875" s="403">
        <f>BBNTHT!J915</f>
        <v>80.5</v>
      </c>
      <c r="G875" s="403">
        <f t="shared" si="52"/>
        <v>80.5</v>
      </c>
      <c r="H875" s="9">
        <v>556952</v>
      </c>
      <c r="I875" s="404">
        <f t="shared" si="55"/>
        <v>64049480</v>
      </c>
      <c r="J875" s="403"/>
      <c r="K875" s="404">
        <f t="shared" si="53"/>
        <v>44834636</v>
      </c>
      <c r="L875" s="405">
        <f t="shared" si="54"/>
        <v>44834636</v>
      </c>
      <c r="M875" s="403"/>
    </row>
    <row r="876" spans="1:13" ht="15.75" x14ac:dyDescent="0.25">
      <c r="A876" s="6" t="s">
        <v>1364</v>
      </c>
      <c r="B876" s="7" t="s">
        <v>1238</v>
      </c>
      <c r="C876" s="6" t="s">
        <v>6</v>
      </c>
      <c r="D876" s="8">
        <v>10</v>
      </c>
      <c r="E876" s="403"/>
      <c r="F876" s="403">
        <f>BBNTHT!J916</f>
        <v>7</v>
      </c>
      <c r="G876" s="403">
        <f t="shared" si="52"/>
        <v>7</v>
      </c>
      <c r="H876" s="9">
        <v>86423</v>
      </c>
      <c r="I876" s="404">
        <f t="shared" si="55"/>
        <v>864230</v>
      </c>
      <c r="J876" s="403"/>
      <c r="K876" s="404">
        <f t="shared" si="53"/>
        <v>604961</v>
      </c>
      <c r="L876" s="405">
        <f t="shared" si="54"/>
        <v>604961</v>
      </c>
      <c r="M876" s="403"/>
    </row>
    <row r="877" spans="1:13" ht="31.5" x14ac:dyDescent="0.25">
      <c r="A877" s="2" t="s">
        <v>1365</v>
      </c>
      <c r="B877" s="3" t="s">
        <v>1366</v>
      </c>
      <c r="C877" s="2"/>
      <c r="D877" s="4" t="s">
        <v>3</v>
      </c>
      <c r="E877" s="403"/>
      <c r="F877" s="403">
        <f>BBNTHT!J917</f>
        <v>0</v>
      </c>
      <c r="G877" s="403">
        <f t="shared" si="52"/>
        <v>0</v>
      </c>
      <c r="H877" s="5"/>
      <c r="I877" s="404"/>
      <c r="J877" s="403"/>
      <c r="K877" s="404">
        <f t="shared" si="53"/>
        <v>0</v>
      </c>
      <c r="L877" s="405">
        <f t="shared" si="54"/>
        <v>0</v>
      </c>
      <c r="M877" s="403"/>
    </row>
    <row r="878" spans="1:13" ht="15.75" x14ac:dyDescent="0.25">
      <c r="A878" s="6" t="s">
        <v>1367</v>
      </c>
      <c r="B878" s="7" t="s">
        <v>1355</v>
      </c>
      <c r="C878" s="6" t="s">
        <v>6</v>
      </c>
      <c r="D878" s="8">
        <v>115</v>
      </c>
      <c r="E878" s="403"/>
      <c r="F878" s="403">
        <f>BBNTHT!J918</f>
        <v>80.5</v>
      </c>
      <c r="G878" s="403">
        <f t="shared" si="52"/>
        <v>80.5</v>
      </c>
      <c r="H878" s="9">
        <v>749815</v>
      </c>
      <c r="I878" s="404">
        <f t="shared" si="55"/>
        <v>86228725</v>
      </c>
      <c r="J878" s="403"/>
      <c r="K878" s="404">
        <f t="shared" si="53"/>
        <v>60360108</v>
      </c>
      <c r="L878" s="405">
        <f t="shared" si="54"/>
        <v>60360108</v>
      </c>
      <c r="M878" s="403"/>
    </row>
    <row r="879" spans="1:13" ht="15.75" x14ac:dyDescent="0.25">
      <c r="A879" s="6" t="s">
        <v>1368</v>
      </c>
      <c r="B879" s="7" t="s">
        <v>1238</v>
      </c>
      <c r="C879" s="6" t="s">
        <v>6</v>
      </c>
      <c r="D879" s="8">
        <v>10</v>
      </c>
      <c r="E879" s="403"/>
      <c r="F879" s="403">
        <f>BBNTHT!J919</f>
        <v>7</v>
      </c>
      <c r="G879" s="403">
        <f t="shared" si="52"/>
        <v>7</v>
      </c>
      <c r="H879" s="9">
        <v>86423</v>
      </c>
      <c r="I879" s="404">
        <f t="shared" si="55"/>
        <v>864230</v>
      </c>
      <c r="J879" s="403"/>
      <c r="K879" s="404">
        <f t="shared" si="53"/>
        <v>604961</v>
      </c>
      <c r="L879" s="405">
        <f t="shared" si="54"/>
        <v>604961</v>
      </c>
      <c r="M879" s="403"/>
    </row>
    <row r="880" spans="1:13" ht="31.5" x14ac:dyDescent="0.25">
      <c r="A880" s="2" t="s">
        <v>1369</v>
      </c>
      <c r="B880" s="3" t="s">
        <v>1370</v>
      </c>
      <c r="C880" s="2"/>
      <c r="D880" s="4" t="s">
        <v>3</v>
      </c>
      <c r="E880" s="403"/>
      <c r="F880" s="403">
        <f>BBNTHT!J920</f>
        <v>0</v>
      </c>
      <c r="G880" s="403">
        <f t="shared" si="52"/>
        <v>0</v>
      </c>
      <c r="H880" s="5"/>
      <c r="I880" s="404"/>
      <c r="J880" s="403"/>
      <c r="K880" s="404">
        <f t="shared" si="53"/>
        <v>0</v>
      </c>
      <c r="L880" s="405">
        <f t="shared" si="54"/>
        <v>0</v>
      </c>
      <c r="M880" s="403"/>
    </row>
    <row r="881" spans="1:13" ht="15.75" x14ac:dyDescent="0.25">
      <c r="A881" s="6" t="s">
        <v>1371</v>
      </c>
      <c r="B881" s="7" t="s">
        <v>1137</v>
      </c>
      <c r="C881" s="6" t="s">
        <v>6</v>
      </c>
      <c r="D881" s="8">
        <v>115</v>
      </c>
      <c r="E881" s="403"/>
      <c r="F881" s="403">
        <f>BBNTHT!J921</f>
        <v>80.5</v>
      </c>
      <c r="G881" s="403">
        <f t="shared" si="52"/>
        <v>80.5</v>
      </c>
      <c r="H881" s="9">
        <v>242594</v>
      </c>
      <c r="I881" s="404">
        <f t="shared" si="55"/>
        <v>27898310</v>
      </c>
      <c r="J881" s="403"/>
      <c r="K881" s="404">
        <f t="shared" si="53"/>
        <v>19528817</v>
      </c>
      <c r="L881" s="405">
        <f t="shared" si="54"/>
        <v>19528817</v>
      </c>
      <c r="M881" s="403"/>
    </row>
    <row r="882" spans="1:13" ht="15.75" x14ac:dyDescent="0.25">
      <c r="A882" s="6" t="s">
        <v>1372</v>
      </c>
      <c r="B882" s="7" t="s">
        <v>1186</v>
      </c>
      <c r="C882" s="6" t="s">
        <v>6</v>
      </c>
      <c r="D882" s="8">
        <v>10</v>
      </c>
      <c r="E882" s="403"/>
      <c r="F882" s="403">
        <f>BBNTHT!J922</f>
        <v>7</v>
      </c>
      <c r="G882" s="403">
        <f t="shared" si="52"/>
        <v>7</v>
      </c>
      <c r="H882" s="9">
        <v>58711</v>
      </c>
      <c r="I882" s="404">
        <f t="shared" si="55"/>
        <v>587110</v>
      </c>
      <c r="J882" s="403"/>
      <c r="K882" s="404">
        <f t="shared" si="53"/>
        <v>410977</v>
      </c>
      <c r="L882" s="405">
        <f t="shared" si="54"/>
        <v>410977</v>
      </c>
      <c r="M882" s="403"/>
    </row>
    <row r="883" spans="1:13" ht="31.5" x14ac:dyDescent="0.25">
      <c r="A883" s="2" t="s">
        <v>1373</v>
      </c>
      <c r="B883" s="3" t="s">
        <v>1374</v>
      </c>
      <c r="C883" s="2"/>
      <c r="D883" s="4" t="s">
        <v>3</v>
      </c>
      <c r="E883" s="403"/>
      <c r="F883" s="403">
        <f>BBNTHT!J923</f>
        <v>0</v>
      </c>
      <c r="G883" s="403">
        <f t="shared" si="52"/>
        <v>0</v>
      </c>
      <c r="H883" s="5"/>
      <c r="I883" s="404"/>
      <c r="J883" s="403"/>
      <c r="K883" s="404">
        <f t="shared" si="53"/>
        <v>0</v>
      </c>
      <c r="L883" s="405">
        <f t="shared" si="54"/>
        <v>0</v>
      </c>
      <c r="M883" s="403"/>
    </row>
    <row r="884" spans="1:13" ht="15.75" x14ac:dyDescent="0.25">
      <c r="A884" s="6" t="s">
        <v>1375</v>
      </c>
      <c r="B884" s="7" t="s">
        <v>1306</v>
      </c>
      <c r="C884" s="6" t="s">
        <v>6</v>
      </c>
      <c r="D884" s="8">
        <v>70</v>
      </c>
      <c r="E884" s="403"/>
      <c r="F884" s="403">
        <f>BBNTHT!J924</f>
        <v>49</v>
      </c>
      <c r="G884" s="403">
        <f t="shared" si="52"/>
        <v>49</v>
      </c>
      <c r="H884" s="9">
        <v>362994</v>
      </c>
      <c r="I884" s="404">
        <f t="shared" si="55"/>
        <v>25409580</v>
      </c>
      <c r="J884" s="403"/>
      <c r="K884" s="404">
        <f t="shared" si="53"/>
        <v>17786706</v>
      </c>
      <c r="L884" s="405">
        <f t="shared" si="54"/>
        <v>17786706</v>
      </c>
      <c r="M884" s="403"/>
    </row>
    <row r="885" spans="1:13" ht="15.75" x14ac:dyDescent="0.25">
      <c r="A885" s="6" t="s">
        <v>1376</v>
      </c>
      <c r="B885" s="7" t="s">
        <v>1238</v>
      </c>
      <c r="C885" s="6" t="s">
        <v>6</v>
      </c>
      <c r="D885" s="8">
        <v>10</v>
      </c>
      <c r="E885" s="403"/>
      <c r="F885" s="403">
        <f>BBNTHT!J925</f>
        <v>7</v>
      </c>
      <c r="G885" s="403">
        <f t="shared" si="52"/>
        <v>7</v>
      </c>
      <c r="H885" s="9">
        <v>86423</v>
      </c>
      <c r="I885" s="404">
        <f t="shared" si="55"/>
        <v>864230</v>
      </c>
      <c r="J885" s="403"/>
      <c r="K885" s="404">
        <f t="shared" si="53"/>
        <v>604961</v>
      </c>
      <c r="L885" s="405">
        <f t="shared" si="54"/>
        <v>604961</v>
      </c>
      <c r="M885" s="403"/>
    </row>
    <row r="886" spans="1:13" ht="31.5" x14ac:dyDescent="0.25">
      <c r="A886" s="2" t="s">
        <v>1377</v>
      </c>
      <c r="B886" s="3" t="s">
        <v>1378</v>
      </c>
      <c r="C886" s="2"/>
      <c r="D886" s="4" t="s">
        <v>3</v>
      </c>
      <c r="E886" s="403"/>
      <c r="F886" s="403">
        <f>BBNTHT!J926</f>
        <v>0</v>
      </c>
      <c r="G886" s="403">
        <f t="shared" si="52"/>
        <v>0</v>
      </c>
      <c r="H886" s="5"/>
      <c r="I886" s="404"/>
      <c r="J886" s="403"/>
      <c r="K886" s="404">
        <f t="shared" si="53"/>
        <v>0</v>
      </c>
      <c r="L886" s="405">
        <f t="shared" si="54"/>
        <v>0</v>
      </c>
      <c r="M886" s="403"/>
    </row>
    <row r="887" spans="1:13" ht="15.75" x14ac:dyDescent="0.25">
      <c r="A887" s="6" t="s">
        <v>1379</v>
      </c>
      <c r="B887" s="7" t="s">
        <v>1355</v>
      </c>
      <c r="C887" s="6" t="s">
        <v>6</v>
      </c>
      <c r="D887" s="8">
        <v>115</v>
      </c>
      <c r="E887" s="403"/>
      <c r="F887" s="403">
        <f>BBNTHT!J927</f>
        <v>80.5</v>
      </c>
      <c r="G887" s="403">
        <f t="shared" si="52"/>
        <v>80.5</v>
      </c>
      <c r="H887" s="9">
        <v>749815</v>
      </c>
      <c r="I887" s="404">
        <f t="shared" si="55"/>
        <v>86228725</v>
      </c>
      <c r="J887" s="403"/>
      <c r="K887" s="404">
        <f t="shared" si="53"/>
        <v>60360108</v>
      </c>
      <c r="L887" s="405">
        <f t="shared" si="54"/>
        <v>60360108</v>
      </c>
      <c r="M887" s="403"/>
    </row>
    <row r="888" spans="1:13" ht="15.75" x14ac:dyDescent="0.25">
      <c r="A888" s="6" t="s">
        <v>1380</v>
      </c>
      <c r="B888" s="7" t="s">
        <v>1238</v>
      </c>
      <c r="C888" s="6" t="s">
        <v>6</v>
      </c>
      <c r="D888" s="8">
        <v>10</v>
      </c>
      <c r="E888" s="403"/>
      <c r="F888" s="403">
        <f>BBNTHT!J928</f>
        <v>7</v>
      </c>
      <c r="G888" s="403">
        <f t="shared" si="52"/>
        <v>7</v>
      </c>
      <c r="H888" s="9">
        <v>86423</v>
      </c>
      <c r="I888" s="404">
        <f t="shared" si="55"/>
        <v>864230</v>
      </c>
      <c r="J888" s="403"/>
      <c r="K888" s="404">
        <f t="shared" si="53"/>
        <v>604961</v>
      </c>
      <c r="L888" s="405">
        <f t="shared" si="54"/>
        <v>604961</v>
      </c>
      <c r="M888" s="403"/>
    </row>
    <row r="889" spans="1:13" ht="31.5" x14ac:dyDescent="0.25">
      <c r="A889" s="2" t="s">
        <v>1381</v>
      </c>
      <c r="B889" s="3" t="s">
        <v>1382</v>
      </c>
      <c r="C889" s="2"/>
      <c r="D889" s="4" t="s">
        <v>3</v>
      </c>
      <c r="E889" s="403"/>
      <c r="F889" s="403">
        <f>BBNTHT!J929</f>
        <v>0</v>
      </c>
      <c r="G889" s="403">
        <f t="shared" si="52"/>
        <v>0</v>
      </c>
      <c r="H889" s="5"/>
      <c r="I889" s="404"/>
      <c r="J889" s="403"/>
      <c r="K889" s="404">
        <f t="shared" si="53"/>
        <v>0</v>
      </c>
      <c r="L889" s="405">
        <f t="shared" si="54"/>
        <v>0</v>
      </c>
      <c r="M889" s="403"/>
    </row>
    <row r="890" spans="1:13" ht="15.75" x14ac:dyDescent="0.25">
      <c r="A890" s="6" t="s">
        <v>1383</v>
      </c>
      <c r="B890" s="7" t="s">
        <v>1137</v>
      </c>
      <c r="C890" s="6" t="s">
        <v>6</v>
      </c>
      <c r="D890" s="8">
        <v>115</v>
      </c>
      <c r="E890" s="403"/>
      <c r="F890" s="403">
        <f>BBNTHT!J930</f>
        <v>80.5</v>
      </c>
      <c r="G890" s="403">
        <f t="shared" si="52"/>
        <v>80.5</v>
      </c>
      <c r="H890" s="9">
        <v>242594</v>
      </c>
      <c r="I890" s="404">
        <f t="shared" si="55"/>
        <v>27898310</v>
      </c>
      <c r="J890" s="403"/>
      <c r="K890" s="404">
        <f t="shared" si="53"/>
        <v>19528817</v>
      </c>
      <c r="L890" s="405">
        <f t="shared" si="54"/>
        <v>19528817</v>
      </c>
      <c r="M890" s="403"/>
    </row>
    <row r="891" spans="1:13" ht="15.75" x14ac:dyDescent="0.25">
      <c r="A891" s="6" t="s">
        <v>1384</v>
      </c>
      <c r="B891" s="7" t="s">
        <v>1186</v>
      </c>
      <c r="C891" s="6" t="s">
        <v>6</v>
      </c>
      <c r="D891" s="8">
        <v>10</v>
      </c>
      <c r="E891" s="403"/>
      <c r="F891" s="403">
        <f>BBNTHT!J931</f>
        <v>7</v>
      </c>
      <c r="G891" s="403">
        <f t="shared" si="52"/>
        <v>7</v>
      </c>
      <c r="H891" s="9">
        <v>58711</v>
      </c>
      <c r="I891" s="404">
        <f t="shared" si="55"/>
        <v>587110</v>
      </c>
      <c r="J891" s="403"/>
      <c r="K891" s="404">
        <f t="shared" si="53"/>
        <v>410977</v>
      </c>
      <c r="L891" s="405">
        <f t="shared" si="54"/>
        <v>410977</v>
      </c>
      <c r="M891" s="403"/>
    </row>
    <row r="892" spans="1:13" ht="15.75" x14ac:dyDescent="0.25">
      <c r="A892" s="6" t="s">
        <v>1385</v>
      </c>
      <c r="B892" s="7" t="s">
        <v>1386</v>
      </c>
      <c r="C892" s="6" t="s">
        <v>6</v>
      </c>
      <c r="D892" s="8">
        <v>140</v>
      </c>
      <c r="E892" s="403"/>
      <c r="F892" s="403">
        <f>BBNTHT!J932</f>
        <v>98</v>
      </c>
      <c r="G892" s="403">
        <f t="shared" si="52"/>
        <v>98</v>
      </c>
      <c r="H892" s="9">
        <v>974700</v>
      </c>
      <c r="I892" s="404">
        <f t="shared" si="55"/>
        <v>136458000</v>
      </c>
      <c r="J892" s="403"/>
      <c r="K892" s="404">
        <f t="shared" si="53"/>
        <v>95520600</v>
      </c>
      <c r="L892" s="405">
        <f t="shared" si="54"/>
        <v>95520600</v>
      </c>
      <c r="M892" s="403"/>
    </row>
    <row r="893" spans="1:13" ht="31.5" x14ac:dyDescent="0.25">
      <c r="A893" s="6" t="s">
        <v>1387</v>
      </c>
      <c r="B893" s="7" t="s">
        <v>1388</v>
      </c>
      <c r="C893" s="6" t="s">
        <v>6</v>
      </c>
      <c r="D893" s="8">
        <v>100</v>
      </c>
      <c r="E893" s="403"/>
      <c r="F893" s="403">
        <f>BBNTHT!J933</f>
        <v>70</v>
      </c>
      <c r="G893" s="403">
        <f t="shared" si="52"/>
        <v>70</v>
      </c>
      <c r="H893" s="9">
        <v>1155292</v>
      </c>
      <c r="I893" s="404">
        <f t="shared" si="55"/>
        <v>115529200</v>
      </c>
      <c r="J893" s="403"/>
      <c r="K893" s="404">
        <f t="shared" si="53"/>
        <v>80870440</v>
      </c>
      <c r="L893" s="405">
        <f t="shared" si="54"/>
        <v>80870440</v>
      </c>
      <c r="M893" s="403"/>
    </row>
    <row r="894" spans="1:13" ht="15.75" x14ac:dyDescent="0.25">
      <c r="A894" s="6" t="s">
        <v>1389</v>
      </c>
      <c r="B894" s="7" t="s">
        <v>1390</v>
      </c>
      <c r="C894" s="6" t="s">
        <v>248</v>
      </c>
      <c r="D894" s="8">
        <v>25</v>
      </c>
      <c r="E894" s="403"/>
      <c r="F894" s="403">
        <f>BBNTHT!J934</f>
        <v>0</v>
      </c>
      <c r="G894" s="403">
        <f t="shared" si="52"/>
        <v>0</v>
      </c>
      <c r="H894" s="9">
        <v>190495</v>
      </c>
      <c r="I894" s="404">
        <f t="shared" si="55"/>
        <v>4762375</v>
      </c>
      <c r="J894" s="403"/>
      <c r="K894" s="404">
        <f t="shared" si="53"/>
        <v>0</v>
      </c>
      <c r="L894" s="405">
        <f t="shared" si="54"/>
        <v>0</v>
      </c>
      <c r="M894" s="403"/>
    </row>
    <row r="895" spans="1:13" ht="15.75" x14ac:dyDescent="0.25">
      <c r="A895" s="2" t="s">
        <v>1391</v>
      </c>
      <c r="B895" s="3" t="s">
        <v>1392</v>
      </c>
      <c r="C895" s="2"/>
      <c r="D895" s="4" t="s">
        <v>3</v>
      </c>
      <c r="E895" s="403"/>
      <c r="F895" s="403">
        <f>BBNTHT!J935</f>
        <v>0</v>
      </c>
      <c r="G895" s="403">
        <f t="shared" si="52"/>
        <v>0</v>
      </c>
      <c r="H895" s="5"/>
      <c r="I895" s="404"/>
      <c r="J895" s="403"/>
      <c r="K895" s="404">
        <f t="shared" si="53"/>
        <v>0</v>
      </c>
      <c r="L895" s="405">
        <f t="shared" si="54"/>
        <v>0</v>
      </c>
      <c r="M895" s="403"/>
    </row>
    <row r="896" spans="1:13" ht="15.75" x14ac:dyDescent="0.25">
      <c r="A896" s="6" t="s">
        <v>1393</v>
      </c>
      <c r="B896" s="7" t="s">
        <v>1394</v>
      </c>
      <c r="C896" s="6" t="s">
        <v>248</v>
      </c>
      <c r="D896" s="8">
        <v>2</v>
      </c>
      <c r="E896" s="403"/>
      <c r="F896" s="403">
        <f>BBNTHT!J936</f>
        <v>0</v>
      </c>
      <c r="G896" s="403">
        <f t="shared" si="52"/>
        <v>0</v>
      </c>
      <c r="H896" s="9">
        <v>190495</v>
      </c>
      <c r="I896" s="404">
        <f t="shared" si="55"/>
        <v>380990</v>
      </c>
      <c r="J896" s="403"/>
      <c r="K896" s="404">
        <f t="shared" si="53"/>
        <v>0</v>
      </c>
      <c r="L896" s="405">
        <f t="shared" si="54"/>
        <v>0</v>
      </c>
      <c r="M896" s="403"/>
    </row>
    <row r="897" spans="1:13" ht="15.75" x14ac:dyDescent="0.25">
      <c r="A897" s="6" t="s">
        <v>1395</v>
      </c>
      <c r="B897" s="7" t="s">
        <v>1396</v>
      </c>
      <c r="C897" s="6" t="s">
        <v>6</v>
      </c>
      <c r="D897" s="8">
        <v>88</v>
      </c>
      <c r="E897" s="403"/>
      <c r="F897" s="403">
        <f>BBNTHT!J937</f>
        <v>0</v>
      </c>
      <c r="G897" s="403">
        <f t="shared" si="52"/>
        <v>0</v>
      </c>
      <c r="H897" s="9">
        <v>79253</v>
      </c>
      <c r="I897" s="404">
        <f t="shared" si="55"/>
        <v>6974264</v>
      </c>
      <c r="J897" s="403"/>
      <c r="K897" s="404">
        <f t="shared" si="53"/>
        <v>0</v>
      </c>
      <c r="L897" s="405">
        <f t="shared" si="54"/>
        <v>0</v>
      </c>
      <c r="M897" s="403"/>
    </row>
    <row r="898" spans="1:13" ht="15.75" x14ac:dyDescent="0.25">
      <c r="A898" s="6" t="s">
        <v>1397</v>
      </c>
      <c r="B898" s="7" t="s">
        <v>1398</v>
      </c>
      <c r="C898" s="6" t="s">
        <v>1399</v>
      </c>
      <c r="D898" s="8">
        <v>22</v>
      </c>
      <c r="E898" s="403"/>
      <c r="F898" s="403">
        <f>BBNTHT!J938</f>
        <v>0</v>
      </c>
      <c r="G898" s="403">
        <f t="shared" si="52"/>
        <v>0</v>
      </c>
      <c r="H898" s="9">
        <v>487034</v>
      </c>
      <c r="I898" s="404">
        <f t="shared" si="55"/>
        <v>10714748</v>
      </c>
      <c r="J898" s="403"/>
      <c r="K898" s="404">
        <f t="shared" si="53"/>
        <v>0</v>
      </c>
      <c r="L898" s="405">
        <f t="shared" si="54"/>
        <v>0</v>
      </c>
      <c r="M898" s="403"/>
    </row>
    <row r="899" spans="1:13" ht="15.75" x14ac:dyDescent="0.25">
      <c r="A899" s="6" t="s">
        <v>1400</v>
      </c>
      <c r="B899" s="7" t="s">
        <v>1401</v>
      </c>
      <c r="C899" s="6" t="s">
        <v>6</v>
      </c>
      <c r="D899" s="8">
        <v>10</v>
      </c>
      <c r="E899" s="403"/>
      <c r="F899" s="403">
        <f>BBNTHT!J939</f>
        <v>0</v>
      </c>
      <c r="G899" s="403">
        <f t="shared" si="52"/>
        <v>0</v>
      </c>
      <c r="H899" s="9">
        <v>575062</v>
      </c>
      <c r="I899" s="404">
        <f t="shared" si="55"/>
        <v>5750620</v>
      </c>
      <c r="J899" s="403"/>
      <c r="K899" s="404">
        <f t="shared" si="53"/>
        <v>0</v>
      </c>
      <c r="L899" s="405">
        <f t="shared" si="54"/>
        <v>0</v>
      </c>
      <c r="M899" s="403"/>
    </row>
    <row r="900" spans="1:13" ht="15.75" x14ac:dyDescent="0.25">
      <c r="A900" s="2" t="s">
        <v>1402</v>
      </c>
      <c r="B900" s="3" t="s">
        <v>1403</v>
      </c>
      <c r="C900" s="2"/>
      <c r="D900" s="4" t="s">
        <v>3</v>
      </c>
      <c r="E900" s="403"/>
      <c r="F900" s="403">
        <f>BBNTHT!J940</f>
        <v>0</v>
      </c>
      <c r="G900" s="403">
        <f t="shared" si="52"/>
        <v>0</v>
      </c>
      <c r="H900" s="5"/>
      <c r="I900" s="404"/>
      <c r="J900" s="403"/>
      <c r="K900" s="404">
        <f t="shared" si="53"/>
        <v>0</v>
      </c>
      <c r="L900" s="405">
        <f t="shared" si="54"/>
        <v>0</v>
      </c>
      <c r="M900" s="403"/>
    </row>
    <row r="901" spans="1:13" ht="15.75" x14ac:dyDescent="0.25">
      <c r="A901" s="6" t="s">
        <v>1404</v>
      </c>
      <c r="B901" s="7" t="s">
        <v>1405</v>
      </c>
      <c r="C901" s="6" t="s">
        <v>248</v>
      </c>
      <c r="D901" s="8">
        <v>7</v>
      </c>
      <c r="E901" s="403"/>
      <c r="F901" s="403">
        <f>BBNTHT!J941</f>
        <v>0</v>
      </c>
      <c r="G901" s="403">
        <f t="shared" si="52"/>
        <v>0</v>
      </c>
      <c r="H901" s="9">
        <v>618365</v>
      </c>
      <c r="I901" s="404">
        <f t="shared" si="55"/>
        <v>4328555</v>
      </c>
      <c r="J901" s="403"/>
      <c r="K901" s="404">
        <f t="shared" si="53"/>
        <v>0</v>
      </c>
      <c r="L901" s="405">
        <f t="shared" si="54"/>
        <v>0</v>
      </c>
      <c r="M901" s="403"/>
    </row>
    <row r="902" spans="1:13" ht="31.5" x14ac:dyDescent="0.25">
      <c r="A902" s="6" t="s">
        <v>1406</v>
      </c>
      <c r="B902" s="7" t="s">
        <v>1407</v>
      </c>
      <c r="C902" s="6" t="s">
        <v>248</v>
      </c>
      <c r="D902" s="8">
        <v>1</v>
      </c>
      <c r="E902" s="403"/>
      <c r="F902" s="403">
        <f>BBNTHT!J942</f>
        <v>0</v>
      </c>
      <c r="G902" s="403">
        <f t="shared" si="52"/>
        <v>0</v>
      </c>
      <c r="H902" s="9">
        <v>16350889</v>
      </c>
      <c r="I902" s="404">
        <f t="shared" si="55"/>
        <v>16350889</v>
      </c>
      <c r="J902" s="403"/>
      <c r="K902" s="404">
        <f t="shared" si="53"/>
        <v>0</v>
      </c>
      <c r="L902" s="405">
        <f t="shared" si="54"/>
        <v>0</v>
      </c>
      <c r="M902" s="403"/>
    </row>
    <row r="903" spans="1:13" ht="15.75" x14ac:dyDescent="0.25">
      <c r="A903" s="6" t="s">
        <v>1408</v>
      </c>
      <c r="B903" s="7" t="s">
        <v>1409</v>
      </c>
      <c r="C903" s="6" t="s">
        <v>248</v>
      </c>
      <c r="D903" s="8">
        <v>1</v>
      </c>
      <c r="E903" s="403"/>
      <c r="F903" s="403">
        <f>BBNTHT!J943</f>
        <v>0</v>
      </c>
      <c r="G903" s="403">
        <f t="shared" si="52"/>
        <v>0</v>
      </c>
      <c r="H903" s="9">
        <v>1016</v>
      </c>
      <c r="I903" s="404">
        <f t="shared" si="55"/>
        <v>1016</v>
      </c>
      <c r="J903" s="403"/>
      <c r="K903" s="404">
        <f t="shared" si="53"/>
        <v>0</v>
      </c>
      <c r="L903" s="405">
        <f t="shared" si="54"/>
        <v>0</v>
      </c>
      <c r="M903" s="403"/>
    </row>
    <row r="904" spans="1:13" ht="15.75" x14ac:dyDescent="0.25">
      <c r="A904" s="6" t="s">
        <v>1410</v>
      </c>
      <c r="B904" s="7" t="s">
        <v>1411</v>
      </c>
      <c r="C904" s="6" t="s">
        <v>6</v>
      </c>
      <c r="D904" s="8">
        <v>260</v>
      </c>
      <c r="E904" s="403"/>
      <c r="F904" s="403">
        <f>BBNTHT!J944</f>
        <v>182</v>
      </c>
      <c r="G904" s="403">
        <f t="shared" si="52"/>
        <v>182</v>
      </c>
      <c r="H904" s="9">
        <v>334000</v>
      </c>
      <c r="I904" s="404">
        <f t="shared" si="55"/>
        <v>86840000</v>
      </c>
      <c r="J904" s="403"/>
      <c r="K904" s="404">
        <f t="shared" si="53"/>
        <v>60788000</v>
      </c>
      <c r="L904" s="405">
        <f t="shared" si="54"/>
        <v>60788000</v>
      </c>
      <c r="M904" s="403"/>
    </row>
    <row r="905" spans="1:13" ht="15.75" x14ac:dyDescent="0.25">
      <c r="A905" s="6" t="s">
        <v>1412</v>
      </c>
      <c r="B905" s="7" t="s">
        <v>1413</v>
      </c>
      <c r="C905" s="6" t="s">
        <v>6</v>
      </c>
      <c r="D905" s="8">
        <v>260</v>
      </c>
      <c r="E905" s="403"/>
      <c r="F905" s="403">
        <f>BBNTHT!J945</f>
        <v>0</v>
      </c>
      <c r="G905" s="403">
        <f t="shared" si="52"/>
        <v>0</v>
      </c>
      <c r="H905" s="9">
        <v>78397</v>
      </c>
      <c r="I905" s="404">
        <f t="shared" si="55"/>
        <v>20383220</v>
      </c>
      <c r="J905" s="403"/>
      <c r="K905" s="404">
        <f t="shared" si="53"/>
        <v>0</v>
      </c>
      <c r="L905" s="405">
        <f t="shared" si="54"/>
        <v>0</v>
      </c>
      <c r="M905" s="403"/>
    </row>
    <row r="906" spans="1:13" ht="15.75" x14ac:dyDescent="0.25">
      <c r="A906" s="6" t="s">
        <v>1414</v>
      </c>
      <c r="B906" s="7" t="s">
        <v>1396</v>
      </c>
      <c r="C906" s="6" t="s">
        <v>6</v>
      </c>
      <c r="D906" s="8">
        <v>15</v>
      </c>
      <c r="E906" s="403"/>
      <c r="F906" s="403">
        <f>BBNTHT!J946</f>
        <v>0</v>
      </c>
      <c r="G906" s="403">
        <f t="shared" si="52"/>
        <v>0</v>
      </c>
      <c r="H906" s="9">
        <v>79253</v>
      </c>
      <c r="I906" s="404">
        <f t="shared" si="55"/>
        <v>1188795</v>
      </c>
      <c r="J906" s="403"/>
      <c r="K906" s="404">
        <f t="shared" si="53"/>
        <v>0</v>
      </c>
      <c r="L906" s="405">
        <f t="shared" si="54"/>
        <v>0</v>
      </c>
      <c r="M906" s="403"/>
    </row>
    <row r="907" spans="1:13" ht="15.75" x14ac:dyDescent="0.25">
      <c r="A907" s="6" t="s">
        <v>1415</v>
      </c>
      <c r="B907" s="7" t="s">
        <v>1416</v>
      </c>
      <c r="C907" s="6" t="s">
        <v>9</v>
      </c>
      <c r="D907" s="8">
        <v>1</v>
      </c>
      <c r="E907" s="403"/>
      <c r="F907" s="403">
        <f>BBNTHT!J947</f>
        <v>0</v>
      </c>
      <c r="G907" s="403">
        <f t="shared" si="52"/>
        <v>0</v>
      </c>
      <c r="H907" s="9">
        <v>444490</v>
      </c>
      <c r="I907" s="404">
        <f t="shared" si="55"/>
        <v>444490</v>
      </c>
      <c r="J907" s="403"/>
      <c r="K907" s="404">
        <f t="shared" si="53"/>
        <v>0</v>
      </c>
      <c r="L907" s="405">
        <f t="shared" si="54"/>
        <v>0</v>
      </c>
      <c r="M907" s="403"/>
    </row>
    <row r="908" spans="1:13" ht="15.75" x14ac:dyDescent="0.25">
      <c r="A908" s="6" t="s">
        <v>1417</v>
      </c>
      <c r="B908" s="7" t="s">
        <v>1418</v>
      </c>
      <c r="C908" s="6" t="s">
        <v>9</v>
      </c>
      <c r="D908" s="8">
        <v>1</v>
      </c>
      <c r="E908" s="403"/>
      <c r="F908" s="403">
        <f>BBNTHT!J948</f>
        <v>0</v>
      </c>
      <c r="G908" s="403">
        <f t="shared" si="52"/>
        <v>0</v>
      </c>
      <c r="H908" s="9">
        <v>1206473</v>
      </c>
      <c r="I908" s="404">
        <f t="shared" si="55"/>
        <v>1206473</v>
      </c>
      <c r="J908" s="403"/>
      <c r="K908" s="404">
        <f t="shared" si="53"/>
        <v>0</v>
      </c>
      <c r="L908" s="405">
        <f t="shared" si="54"/>
        <v>0</v>
      </c>
      <c r="M908" s="403"/>
    </row>
    <row r="909" spans="1:13" ht="15.75" x14ac:dyDescent="0.25">
      <c r="A909" s="6" t="s">
        <v>1419</v>
      </c>
      <c r="B909" s="7" t="s">
        <v>1420</v>
      </c>
      <c r="C909" s="6" t="s">
        <v>9</v>
      </c>
      <c r="D909" s="8">
        <v>50</v>
      </c>
      <c r="E909" s="403"/>
      <c r="F909" s="403">
        <f>BBNTHT!J949</f>
        <v>0</v>
      </c>
      <c r="G909" s="403">
        <f t="shared" si="52"/>
        <v>0</v>
      </c>
      <c r="H909" s="9">
        <v>12700</v>
      </c>
      <c r="I909" s="404">
        <f t="shared" si="55"/>
        <v>635000</v>
      </c>
      <c r="J909" s="403"/>
      <c r="K909" s="404">
        <f t="shared" si="53"/>
        <v>0</v>
      </c>
      <c r="L909" s="405">
        <f t="shared" si="54"/>
        <v>0</v>
      </c>
      <c r="M909" s="403"/>
    </row>
    <row r="910" spans="1:13" ht="15.75" x14ac:dyDescent="0.25">
      <c r="A910" s="6" t="s">
        <v>1421</v>
      </c>
      <c r="B910" s="7" t="s">
        <v>1422</v>
      </c>
      <c r="C910" s="6" t="s">
        <v>248</v>
      </c>
      <c r="D910" s="8">
        <v>130</v>
      </c>
      <c r="E910" s="403"/>
      <c r="F910" s="403">
        <f>BBNTHT!J950</f>
        <v>0</v>
      </c>
      <c r="G910" s="403">
        <f t="shared" si="52"/>
        <v>0</v>
      </c>
      <c r="H910" s="9">
        <v>86589</v>
      </c>
      <c r="I910" s="404">
        <f t="shared" si="55"/>
        <v>11256570</v>
      </c>
      <c r="J910" s="403"/>
      <c r="K910" s="404">
        <f t="shared" si="53"/>
        <v>0</v>
      </c>
      <c r="L910" s="405">
        <f t="shared" si="54"/>
        <v>0</v>
      </c>
      <c r="M910" s="403"/>
    </row>
    <row r="911" spans="1:13" ht="15.75" x14ac:dyDescent="0.25">
      <c r="A911" s="6" t="s">
        <v>1423</v>
      </c>
      <c r="B911" s="7" t="s">
        <v>1424</v>
      </c>
      <c r="C911" s="6" t="s">
        <v>9</v>
      </c>
      <c r="D911" s="8">
        <v>4</v>
      </c>
      <c r="E911" s="403"/>
      <c r="F911" s="403">
        <f>BBNTHT!J951</f>
        <v>0</v>
      </c>
      <c r="G911" s="403">
        <f t="shared" si="52"/>
        <v>0</v>
      </c>
      <c r="H911" s="9">
        <v>190495</v>
      </c>
      <c r="I911" s="404">
        <f t="shared" si="55"/>
        <v>761980</v>
      </c>
      <c r="J911" s="403"/>
      <c r="K911" s="404">
        <f t="shared" si="53"/>
        <v>0</v>
      </c>
      <c r="L911" s="405">
        <f t="shared" si="54"/>
        <v>0</v>
      </c>
      <c r="M911" s="403"/>
    </row>
    <row r="912" spans="1:13" ht="15.75" x14ac:dyDescent="0.25">
      <c r="A912" s="6" t="s">
        <v>1425</v>
      </c>
      <c r="B912" s="7" t="s">
        <v>1426</v>
      </c>
      <c r="C912" s="6" t="s">
        <v>248</v>
      </c>
      <c r="D912" s="8">
        <v>4</v>
      </c>
      <c r="E912" s="403"/>
      <c r="F912" s="403">
        <f>BBNTHT!J952</f>
        <v>0</v>
      </c>
      <c r="G912" s="403">
        <f t="shared" si="52"/>
        <v>0</v>
      </c>
      <c r="H912" s="9">
        <v>126997</v>
      </c>
      <c r="I912" s="404">
        <f t="shared" si="55"/>
        <v>507988</v>
      </c>
      <c r="J912" s="403"/>
      <c r="K912" s="404">
        <f t="shared" si="53"/>
        <v>0</v>
      </c>
      <c r="L912" s="405">
        <f t="shared" si="54"/>
        <v>0</v>
      </c>
      <c r="M912" s="403"/>
    </row>
    <row r="913" spans="1:13" ht="15.75" x14ac:dyDescent="0.25">
      <c r="A913" s="6" t="s">
        <v>1427</v>
      </c>
      <c r="B913" s="7" t="s">
        <v>1428</v>
      </c>
      <c r="C913" s="6" t="s">
        <v>1429</v>
      </c>
      <c r="D913" s="8">
        <v>2</v>
      </c>
      <c r="E913" s="403"/>
      <c r="F913" s="403">
        <f>BBNTHT!J953</f>
        <v>0</v>
      </c>
      <c r="G913" s="403">
        <f t="shared" si="52"/>
        <v>0</v>
      </c>
      <c r="H913" s="9">
        <v>392144</v>
      </c>
      <c r="I913" s="404">
        <f t="shared" si="55"/>
        <v>784288</v>
      </c>
      <c r="J913" s="403"/>
      <c r="K913" s="404">
        <f t="shared" si="53"/>
        <v>0</v>
      </c>
      <c r="L913" s="405">
        <f t="shared" si="54"/>
        <v>0</v>
      </c>
      <c r="M913" s="403"/>
    </row>
    <row r="914" spans="1:13" ht="15.75" x14ac:dyDescent="0.25">
      <c r="A914" s="6" t="s">
        <v>1430</v>
      </c>
      <c r="B914" s="7" t="s">
        <v>1398</v>
      </c>
      <c r="C914" s="6" t="s">
        <v>1399</v>
      </c>
      <c r="D914" s="8">
        <v>6</v>
      </c>
      <c r="E914" s="403"/>
      <c r="F914" s="403">
        <f>BBNTHT!J954</f>
        <v>0</v>
      </c>
      <c r="G914" s="403">
        <f t="shared" ref="G914:G977" si="56">F914+E914</f>
        <v>0</v>
      </c>
      <c r="H914" s="9">
        <v>487034</v>
      </c>
      <c r="I914" s="404">
        <f t="shared" ref="I914:I977" si="57">ROUND(D914*H914,0)</f>
        <v>2922204</v>
      </c>
      <c r="J914" s="403"/>
      <c r="K914" s="404">
        <f t="shared" ref="K914:K977" si="58">ROUND(F914*H914,0)</f>
        <v>0</v>
      </c>
      <c r="L914" s="405">
        <f t="shared" ref="L914:L977" si="59">J914+K914</f>
        <v>0</v>
      </c>
      <c r="M914" s="403"/>
    </row>
    <row r="915" spans="1:13" ht="15.75" x14ac:dyDescent="0.25">
      <c r="A915" s="6" t="s">
        <v>1431</v>
      </c>
      <c r="B915" s="7" t="s">
        <v>1432</v>
      </c>
      <c r="C915" s="6" t="s">
        <v>248</v>
      </c>
      <c r="D915" s="8">
        <v>4</v>
      </c>
      <c r="E915" s="403"/>
      <c r="F915" s="403">
        <f>BBNTHT!J955</f>
        <v>0</v>
      </c>
      <c r="G915" s="403">
        <f t="shared" si="56"/>
        <v>0</v>
      </c>
      <c r="H915" s="9">
        <v>190495</v>
      </c>
      <c r="I915" s="404">
        <f t="shared" si="57"/>
        <v>761980</v>
      </c>
      <c r="J915" s="403"/>
      <c r="K915" s="404">
        <f t="shared" si="58"/>
        <v>0</v>
      </c>
      <c r="L915" s="405">
        <f t="shared" si="59"/>
        <v>0</v>
      </c>
      <c r="M915" s="403"/>
    </row>
    <row r="916" spans="1:13" ht="15.75" x14ac:dyDescent="0.25">
      <c r="A916" s="6" t="s">
        <v>1433</v>
      </c>
      <c r="B916" s="7" t="s">
        <v>1434</v>
      </c>
      <c r="C916" s="6" t="s">
        <v>248</v>
      </c>
      <c r="D916" s="8">
        <v>1</v>
      </c>
      <c r="E916" s="403"/>
      <c r="F916" s="403">
        <f>BBNTHT!J956</f>
        <v>0</v>
      </c>
      <c r="G916" s="403">
        <f t="shared" si="56"/>
        <v>0</v>
      </c>
      <c r="H916" s="9">
        <v>7215750</v>
      </c>
      <c r="I916" s="404">
        <f t="shared" si="57"/>
        <v>7215750</v>
      </c>
      <c r="J916" s="403"/>
      <c r="K916" s="404">
        <f t="shared" si="58"/>
        <v>0</v>
      </c>
      <c r="L916" s="405">
        <f t="shared" si="59"/>
        <v>0</v>
      </c>
      <c r="M916" s="403"/>
    </row>
    <row r="917" spans="1:13" ht="15.75" x14ac:dyDescent="0.25">
      <c r="A917" s="2" t="s">
        <v>1435</v>
      </c>
      <c r="B917" s="3" t="s">
        <v>1436</v>
      </c>
      <c r="C917" s="2"/>
      <c r="D917" s="4" t="s">
        <v>3</v>
      </c>
      <c r="E917" s="403"/>
      <c r="F917" s="403">
        <f>BBNTHT!J957</f>
        <v>0</v>
      </c>
      <c r="G917" s="403">
        <f t="shared" si="56"/>
        <v>0</v>
      </c>
      <c r="H917" s="5"/>
      <c r="I917" s="404"/>
      <c r="J917" s="403"/>
      <c r="K917" s="404">
        <f t="shared" si="58"/>
        <v>0</v>
      </c>
      <c r="L917" s="405">
        <f t="shared" si="59"/>
        <v>0</v>
      </c>
      <c r="M917" s="403"/>
    </row>
    <row r="918" spans="1:13" ht="15.75" x14ac:dyDescent="0.25">
      <c r="A918" s="6" t="s">
        <v>1437</v>
      </c>
      <c r="B918" s="7" t="s">
        <v>1438</v>
      </c>
      <c r="C918" s="6" t="s">
        <v>248</v>
      </c>
      <c r="D918" s="8">
        <v>275</v>
      </c>
      <c r="E918" s="403"/>
      <c r="F918" s="403">
        <f>BBNTHT!J958</f>
        <v>0</v>
      </c>
      <c r="G918" s="403">
        <f t="shared" si="56"/>
        <v>0</v>
      </c>
      <c r="H918" s="9">
        <v>7585100</v>
      </c>
      <c r="I918" s="404">
        <f t="shared" si="57"/>
        <v>2085902500</v>
      </c>
      <c r="J918" s="403"/>
      <c r="K918" s="404">
        <f t="shared" si="58"/>
        <v>0</v>
      </c>
      <c r="L918" s="405">
        <f t="shared" si="59"/>
        <v>0</v>
      </c>
      <c r="M918" s="403"/>
    </row>
    <row r="919" spans="1:13" ht="15.75" x14ac:dyDescent="0.25">
      <c r="A919" s="6" t="s">
        <v>1439</v>
      </c>
      <c r="B919" s="7" t="s">
        <v>1440</v>
      </c>
      <c r="C919" s="6" t="s">
        <v>9</v>
      </c>
      <c r="D919" s="8">
        <v>275</v>
      </c>
      <c r="E919" s="403"/>
      <c r="F919" s="403">
        <f>BBNTHT!J959</f>
        <v>0</v>
      </c>
      <c r="G919" s="403">
        <f t="shared" si="56"/>
        <v>0</v>
      </c>
      <c r="H919" s="9">
        <v>817653</v>
      </c>
      <c r="I919" s="404">
        <f t="shared" si="57"/>
        <v>224854575</v>
      </c>
      <c r="J919" s="403"/>
      <c r="K919" s="404">
        <f t="shared" si="58"/>
        <v>0</v>
      </c>
      <c r="L919" s="405">
        <f t="shared" si="59"/>
        <v>0</v>
      </c>
      <c r="M919" s="403"/>
    </row>
    <row r="920" spans="1:13" ht="15.75" x14ac:dyDescent="0.25">
      <c r="A920" s="6" t="s">
        <v>1441</v>
      </c>
      <c r="B920" s="7" t="s">
        <v>1442</v>
      </c>
      <c r="C920" s="6" t="s">
        <v>248</v>
      </c>
      <c r="D920" s="8">
        <v>274</v>
      </c>
      <c r="E920" s="403"/>
      <c r="F920" s="403">
        <f>BBNTHT!J960</f>
        <v>0</v>
      </c>
      <c r="G920" s="403">
        <f t="shared" si="56"/>
        <v>0</v>
      </c>
      <c r="H920" s="9">
        <v>2965203</v>
      </c>
      <c r="I920" s="404">
        <f t="shared" si="57"/>
        <v>812465622</v>
      </c>
      <c r="J920" s="403"/>
      <c r="K920" s="404">
        <f t="shared" si="58"/>
        <v>0</v>
      </c>
      <c r="L920" s="405">
        <f t="shared" si="59"/>
        <v>0</v>
      </c>
      <c r="M920" s="403"/>
    </row>
    <row r="921" spans="1:13" ht="15.75" x14ac:dyDescent="0.25">
      <c r="A921" s="6" t="s">
        <v>1443</v>
      </c>
      <c r="B921" s="7" t="s">
        <v>1444</v>
      </c>
      <c r="C921" s="6" t="s">
        <v>248</v>
      </c>
      <c r="D921" s="8">
        <v>274</v>
      </c>
      <c r="E921" s="403"/>
      <c r="F921" s="403">
        <f>BBNTHT!J961</f>
        <v>0</v>
      </c>
      <c r="G921" s="403">
        <f t="shared" si="56"/>
        <v>0</v>
      </c>
      <c r="H921" s="9">
        <v>2679042</v>
      </c>
      <c r="I921" s="404">
        <f t="shared" si="57"/>
        <v>734057508</v>
      </c>
      <c r="J921" s="403"/>
      <c r="K921" s="404">
        <f t="shared" si="58"/>
        <v>0</v>
      </c>
      <c r="L921" s="405">
        <f t="shared" si="59"/>
        <v>0</v>
      </c>
      <c r="M921" s="403"/>
    </row>
    <row r="922" spans="1:13" ht="15.75" x14ac:dyDescent="0.25">
      <c r="A922" s="6" t="s">
        <v>1445</v>
      </c>
      <c r="B922" s="7" t="s">
        <v>1446</v>
      </c>
      <c r="C922" s="6" t="s">
        <v>9</v>
      </c>
      <c r="D922" s="8">
        <v>274</v>
      </c>
      <c r="E922" s="403"/>
      <c r="F922" s="403">
        <f>BBNTHT!J962</f>
        <v>0</v>
      </c>
      <c r="G922" s="403">
        <f t="shared" si="56"/>
        <v>0</v>
      </c>
      <c r="H922" s="9">
        <v>2932412</v>
      </c>
      <c r="I922" s="404">
        <f t="shared" si="57"/>
        <v>803480888</v>
      </c>
      <c r="J922" s="403"/>
      <c r="K922" s="404">
        <f t="shared" si="58"/>
        <v>0</v>
      </c>
      <c r="L922" s="405">
        <f t="shared" si="59"/>
        <v>0</v>
      </c>
      <c r="M922" s="403"/>
    </row>
    <row r="923" spans="1:13" ht="15.75" x14ac:dyDescent="0.25">
      <c r="A923" s="6" t="s">
        <v>1447</v>
      </c>
      <c r="B923" s="7" t="s">
        <v>1448</v>
      </c>
      <c r="C923" s="6" t="s">
        <v>248</v>
      </c>
      <c r="D923" s="8">
        <v>14</v>
      </c>
      <c r="E923" s="403"/>
      <c r="F923" s="403">
        <f>BBNTHT!J963</f>
        <v>0</v>
      </c>
      <c r="G923" s="403">
        <f t="shared" si="56"/>
        <v>0</v>
      </c>
      <c r="H923" s="9">
        <v>5630302</v>
      </c>
      <c r="I923" s="404">
        <f t="shared" si="57"/>
        <v>78824228</v>
      </c>
      <c r="J923" s="403"/>
      <c r="K923" s="404">
        <f t="shared" si="58"/>
        <v>0</v>
      </c>
      <c r="L923" s="405">
        <f t="shared" si="59"/>
        <v>0</v>
      </c>
      <c r="M923" s="403"/>
    </row>
    <row r="924" spans="1:13" ht="15.75" x14ac:dyDescent="0.25">
      <c r="A924" s="6" t="s">
        <v>1449</v>
      </c>
      <c r="B924" s="7" t="s">
        <v>1450</v>
      </c>
      <c r="C924" s="6" t="s">
        <v>248</v>
      </c>
      <c r="D924" s="8">
        <v>241</v>
      </c>
      <c r="E924" s="403"/>
      <c r="F924" s="403">
        <f>BBNTHT!J964</f>
        <v>0</v>
      </c>
      <c r="G924" s="403">
        <f t="shared" si="56"/>
        <v>0</v>
      </c>
      <c r="H924" s="9">
        <v>4360174</v>
      </c>
      <c r="I924" s="404">
        <f t="shared" si="57"/>
        <v>1050801934</v>
      </c>
      <c r="J924" s="403"/>
      <c r="K924" s="404">
        <f t="shared" si="58"/>
        <v>0</v>
      </c>
      <c r="L924" s="405">
        <f t="shared" si="59"/>
        <v>0</v>
      </c>
      <c r="M924" s="403"/>
    </row>
    <row r="925" spans="1:13" ht="15.75" x14ac:dyDescent="0.25">
      <c r="A925" s="6" t="s">
        <v>1451</v>
      </c>
      <c r="B925" s="7" t="s">
        <v>1452</v>
      </c>
      <c r="C925" s="6" t="s">
        <v>248</v>
      </c>
      <c r="D925" s="8">
        <v>13</v>
      </c>
      <c r="E925" s="403"/>
      <c r="F925" s="403">
        <f>BBNTHT!J965</f>
        <v>0</v>
      </c>
      <c r="G925" s="403">
        <f t="shared" si="56"/>
        <v>0</v>
      </c>
      <c r="H925" s="9">
        <v>883584</v>
      </c>
      <c r="I925" s="404">
        <f t="shared" si="57"/>
        <v>11486592</v>
      </c>
      <c r="J925" s="403"/>
      <c r="K925" s="404">
        <f t="shared" si="58"/>
        <v>0</v>
      </c>
      <c r="L925" s="405">
        <f t="shared" si="59"/>
        <v>0</v>
      </c>
      <c r="M925" s="403"/>
    </row>
    <row r="926" spans="1:13" ht="15.75" x14ac:dyDescent="0.25">
      <c r="A926" s="6" t="s">
        <v>1453</v>
      </c>
      <c r="B926" s="7" t="s">
        <v>1454</v>
      </c>
      <c r="C926" s="6" t="s">
        <v>248</v>
      </c>
      <c r="D926" s="8">
        <v>9</v>
      </c>
      <c r="E926" s="403"/>
      <c r="F926" s="403">
        <f>BBNTHT!J966</f>
        <v>0</v>
      </c>
      <c r="G926" s="403">
        <f t="shared" si="56"/>
        <v>0</v>
      </c>
      <c r="H926" s="9">
        <v>42924585</v>
      </c>
      <c r="I926" s="404">
        <f t="shared" si="57"/>
        <v>386321265</v>
      </c>
      <c r="J926" s="403"/>
      <c r="K926" s="404">
        <f t="shared" si="58"/>
        <v>0</v>
      </c>
      <c r="L926" s="405">
        <f t="shared" si="59"/>
        <v>0</v>
      </c>
      <c r="M926" s="403"/>
    </row>
    <row r="927" spans="1:13" ht="15.75" x14ac:dyDescent="0.25">
      <c r="A927" s="6" t="s">
        <v>1455</v>
      </c>
      <c r="B927" s="7" t="s">
        <v>1456</v>
      </c>
      <c r="C927" s="6" t="s">
        <v>14</v>
      </c>
      <c r="D927" s="8">
        <v>0.14499999999999999</v>
      </c>
      <c r="E927" s="403"/>
      <c r="F927" s="403">
        <f>BBNTHT!J967</f>
        <v>0.10149999999999999</v>
      </c>
      <c r="G927" s="403">
        <f t="shared" si="56"/>
        <v>0.10149999999999999</v>
      </c>
      <c r="H927" s="9">
        <v>8516849</v>
      </c>
      <c r="I927" s="404">
        <f t="shared" si="57"/>
        <v>1234943</v>
      </c>
      <c r="J927" s="403"/>
      <c r="K927" s="404">
        <f t="shared" si="58"/>
        <v>864460</v>
      </c>
      <c r="L927" s="405">
        <f t="shared" si="59"/>
        <v>864460</v>
      </c>
      <c r="M927" s="403"/>
    </row>
    <row r="928" spans="1:13" ht="15.75" x14ac:dyDescent="0.25">
      <c r="A928" s="6" t="s">
        <v>1457</v>
      </c>
      <c r="B928" s="7" t="s">
        <v>1458</v>
      </c>
      <c r="C928" s="6" t="s">
        <v>14</v>
      </c>
      <c r="D928" s="8">
        <v>8.2550000000000008</v>
      </c>
      <c r="E928" s="403"/>
      <c r="F928" s="403">
        <f>BBNTHT!J968</f>
        <v>5.7785000000000002</v>
      </c>
      <c r="G928" s="403">
        <f t="shared" si="56"/>
        <v>5.7785000000000002</v>
      </c>
      <c r="H928" s="9">
        <v>5411591</v>
      </c>
      <c r="I928" s="404">
        <f t="shared" si="57"/>
        <v>44672684</v>
      </c>
      <c r="J928" s="403"/>
      <c r="K928" s="404">
        <f t="shared" si="58"/>
        <v>31270879</v>
      </c>
      <c r="L928" s="405">
        <f t="shared" si="59"/>
        <v>31270879</v>
      </c>
      <c r="M928" s="403"/>
    </row>
    <row r="929" spans="1:13" ht="15.75" x14ac:dyDescent="0.25">
      <c r="A929" s="6" t="s">
        <v>1459</v>
      </c>
      <c r="B929" s="7" t="s">
        <v>1460</v>
      </c>
      <c r="C929" s="6" t="s">
        <v>14</v>
      </c>
      <c r="D929" s="8">
        <v>37.409999999999997</v>
      </c>
      <c r="E929" s="403"/>
      <c r="F929" s="403">
        <f>BBNTHT!J969</f>
        <v>26.186999999999998</v>
      </c>
      <c r="G929" s="403">
        <f t="shared" si="56"/>
        <v>26.186999999999998</v>
      </c>
      <c r="H929" s="9">
        <v>4008619</v>
      </c>
      <c r="I929" s="404">
        <f t="shared" si="57"/>
        <v>149962437</v>
      </c>
      <c r="J929" s="403"/>
      <c r="K929" s="404">
        <f t="shared" si="58"/>
        <v>104973706</v>
      </c>
      <c r="L929" s="405">
        <f t="shared" si="59"/>
        <v>104973706</v>
      </c>
      <c r="M929" s="403"/>
    </row>
    <row r="930" spans="1:13" ht="15.75" x14ac:dyDescent="0.25">
      <c r="A930" s="6" t="s">
        <v>1461</v>
      </c>
      <c r="B930" s="7" t="s">
        <v>1462</v>
      </c>
      <c r="C930" s="6" t="s">
        <v>14</v>
      </c>
      <c r="D930" s="8">
        <v>21.51</v>
      </c>
      <c r="E930" s="403"/>
      <c r="F930" s="403">
        <f>BBNTHT!J970</f>
        <v>15.057</v>
      </c>
      <c r="G930" s="403">
        <f t="shared" si="56"/>
        <v>15.057</v>
      </c>
      <c r="H930" s="9">
        <v>4008619</v>
      </c>
      <c r="I930" s="404">
        <f t="shared" si="57"/>
        <v>86225395</v>
      </c>
      <c r="J930" s="403"/>
      <c r="K930" s="404">
        <f t="shared" si="58"/>
        <v>60357776</v>
      </c>
      <c r="L930" s="405">
        <f t="shared" si="59"/>
        <v>60357776</v>
      </c>
      <c r="M930" s="403"/>
    </row>
    <row r="931" spans="1:13" ht="15.75" x14ac:dyDescent="0.25">
      <c r="A931" s="6" t="s">
        <v>1463</v>
      </c>
      <c r="B931" s="7" t="s">
        <v>1464</v>
      </c>
      <c r="C931" s="6" t="s">
        <v>9</v>
      </c>
      <c r="D931" s="8">
        <v>1.45</v>
      </c>
      <c r="E931" s="403"/>
      <c r="F931" s="403">
        <f>BBNTHT!J971</f>
        <v>1</v>
      </c>
      <c r="G931" s="403">
        <f t="shared" si="56"/>
        <v>1</v>
      </c>
      <c r="H931" s="9">
        <v>34300</v>
      </c>
      <c r="I931" s="404">
        <f t="shared" si="57"/>
        <v>49735</v>
      </c>
      <c r="J931" s="403"/>
      <c r="K931" s="404">
        <f t="shared" si="58"/>
        <v>34300</v>
      </c>
      <c r="L931" s="405">
        <f t="shared" si="59"/>
        <v>34300</v>
      </c>
      <c r="M931" s="403"/>
    </row>
    <row r="932" spans="1:13" ht="15.75" x14ac:dyDescent="0.25">
      <c r="A932" s="6" t="s">
        <v>1465</v>
      </c>
      <c r="B932" s="7" t="s">
        <v>1466</v>
      </c>
      <c r="C932" s="6" t="s">
        <v>9</v>
      </c>
      <c r="D932" s="8">
        <v>82.55</v>
      </c>
      <c r="E932" s="403"/>
      <c r="F932" s="403">
        <f>BBNTHT!J972</f>
        <v>57</v>
      </c>
      <c r="G932" s="403">
        <f t="shared" si="56"/>
        <v>57</v>
      </c>
      <c r="H932" s="9">
        <v>30039</v>
      </c>
      <c r="I932" s="404">
        <f t="shared" si="57"/>
        <v>2479719</v>
      </c>
      <c r="J932" s="403"/>
      <c r="K932" s="404">
        <f t="shared" si="58"/>
        <v>1712223</v>
      </c>
      <c r="L932" s="405">
        <f t="shared" si="59"/>
        <v>1712223</v>
      </c>
      <c r="M932" s="403"/>
    </row>
    <row r="933" spans="1:13" ht="15.75" x14ac:dyDescent="0.25">
      <c r="A933" s="6" t="s">
        <v>1467</v>
      </c>
      <c r="B933" s="7" t="s">
        <v>1468</v>
      </c>
      <c r="C933" s="6" t="s">
        <v>9</v>
      </c>
      <c r="D933" s="8">
        <v>589.20000000000005</v>
      </c>
      <c r="E933" s="403"/>
      <c r="F933" s="403">
        <f>BBNTHT!J973</f>
        <v>412</v>
      </c>
      <c r="G933" s="403">
        <f t="shared" si="56"/>
        <v>412</v>
      </c>
      <c r="H933" s="9">
        <v>26648</v>
      </c>
      <c r="I933" s="404">
        <f t="shared" si="57"/>
        <v>15701002</v>
      </c>
      <c r="J933" s="403"/>
      <c r="K933" s="404">
        <f t="shared" si="58"/>
        <v>10978976</v>
      </c>
      <c r="L933" s="405">
        <f t="shared" si="59"/>
        <v>10978976</v>
      </c>
      <c r="M933" s="403"/>
    </row>
    <row r="934" spans="1:13" ht="15.75" x14ac:dyDescent="0.25">
      <c r="A934" s="6" t="s">
        <v>1469</v>
      </c>
      <c r="B934" s="7" t="s">
        <v>1470</v>
      </c>
      <c r="C934" s="6" t="s">
        <v>9</v>
      </c>
      <c r="D934" s="8">
        <v>1812</v>
      </c>
      <c r="E934" s="403"/>
      <c r="F934" s="403">
        <f>BBNTHT!J974</f>
        <v>1268</v>
      </c>
      <c r="G934" s="403">
        <f t="shared" si="56"/>
        <v>1268</v>
      </c>
      <c r="H934" s="9">
        <v>29823</v>
      </c>
      <c r="I934" s="404">
        <f t="shared" si="57"/>
        <v>54039276</v>
      </c>
      <c r="J934" s="403"/>
      <c r="K934" s="404">
        <f t="shared" si="58"/>
        <v>37815564</v>
      </c>
      <c r="L934" s="405">
        <f t="shared" si="59"/>
        <v>37815564</v>
      </c>
      <c r="M934" s="403"/>
    </row>
    <row r="935" spans="1:13" ht="15.75" x14ac:dyDescent="0.25">
      <c r="A935" s="6" t="s">
        <v>1471</v>
      </c>
      <c r="B935" s="7" t="s">
        <v>1472</v>
      </c>
      <c r="C935" s="6" t="s">
        <v>9</v>
      </c>
      <c r="D935" s="8">
        <v>1812</v>
      </c>
      <c r="E935" s="403"/>
      <c r="F935" s="403">
        <f>BBNTHT!J975</f>
        <v>1268</v>
      </c>
      <c r="G935" s="403">
        <f t="shared" si="56"/>
        <v>1268</v>
      </c>
      <c r="H935" s="9">
        <v>72752</v>
      </c>
      <c r="I935" s="404">
        <f t="shared" si="57"/>
        <v>131826624</v>
      </c>
      <c r="J935" s="403"/>
      <c r="K935" s="404">
        <f t="shared" si="58"/>
        <v>92249536</v>
      </c>
      <c r="L935" s="405">
        <f t="shared" si="59"/>
        <v>92249536</v>
      </c>
      <c r="M935" s="403"/>
    </row>
    <row r="936" spans="1:13" ht="15.75" x14ac:dyDescent="0.25">
      <c r="A936" s="6" t="s">
        <v>1473</v>
      </c>
      <c r="B936" s="7" t="s">
        <v>1474</v>
      </c>
      <c r="C936" s="6" t="s">
        <v>9</v>
      </c>
      <c r="D936" s="8">
        <v>1812</v>
      </c>
      <c r="E936" s="403"/>
      <c r="F936" s="403">
        <f>BBNTHT!J976</f>
        <v>1268</v>
      </c>
      <c r="G936" s="403">
        <f t="shared" si="56"/>
        <v>1268</v>
      </c>
      <c r="H936" s="9">
        <v>38333</v>
      </c>
      <c r="I936" s="404">
        <f t="shared" si="57"/>
        <v>69459396</v>
      </c>
      <c r="J936" s="403"/>
      <c r="K936" s="404">
        <f t="shared" si="58"/>
        <v>48606244</v>
      </c>
      <c r="L936" s="405">
        <f t="shared" si="59"/>
        <v>48606244</v>
      </c>
      <c r="M936" s="403"/>
    </row>
    <row r="937" spans="1:13" ht="15.75" x14ac:dyDescent="0.25">
      <c r="A937" s="6" t="s">
        <v>1475</v>
      </c>
      <c r="B937" s="7" t="s">
        <v>1476</v>
      </c>
      <c r="C937" s="6" t="s">
        <v>9</v>
      </c>
      <c r="D937" s="8">
        <v>3</v>
      </c>
      <c r="E937" s="403"/>
      <c r="F937" s="403">
        <f>BBNTHT!J977</f>
        <v>2</v>
      </c>
      <c r="G937" s="403">
        <f t="shared" si="56"/>
        <v>2</v>
      </c>
      <c r="H937" s="9">
        <v>40651</v>
      </c>
      <c r="I937" s="404">
        <f t="shared" si="57"/>
        <v>121953</v>
      </c>
      <c r="J937" s="403"/>
      <c r="K937" s="404">
        <f t="shared" si="58"/>
        <v>81302</v>
      </c>
      <c r="L937" s="405">
        <f t="shared" si="59"/>
        <v>81302</v>
      </c>
      <c r="M937" s="403"/>
    </row>
    <row r="938" spans="1:13" ht="15.75" x14ac:dyDescent="0.25">
      <c r="A938" s="6" t="s">
        <v>1477</v>
      </c>
      <c r="B938" s="7" t="s">
        <v>1478</v>
      </c>
      <c r="C938" s="6" t="s">
        <v>9</v>
      </c>
      <c r="D938" s="8">
        <v>488</v>
      </c>
      <c r="E938" s="403"/>
      <c r="F938" s="403">
        <f>BBNTHT!J978</f>
        <v>341</v>
      </c>
      <c r="G938" s="403">
        <f t="shared" si="56"/>
        <v>341</v>
      </c>
      <c r="H938" s="9">
        <v>33088</v>
      </c>
      <c r="I938" s="404">
        <f t="shared" si="57"/>
        <v>16146944</v>
      </c>
      <c r="J938" s="403"/>
      <c r="K938" s="404">
        <f t="shared" si="58"/>
        <v>11283008</v>
      </c>
      <c r="L938" s="405">
        <f t="shared" si="59"/>
        <v>11283008</v>
      </c>
      <c r="M938" s="403"/>
    </row>
    <row r="939" spans="1:13" ht="15.75" x14ac:dyDescent="0.25">
      <c r="A939" s="6" t="s">
        <v>1479</v>
      </c>
      <c r="B939" s="7" t="s">
        <v>1480</v>
      </c>
      <c r="C939" s="6" t="s">
        <v>9</v>
      </c>
      <c r="D939" s="8">
        <v>2573</v>
      </c>
      <c r="E939" s="403"/>
      <c r="F939" s="403">
        <f>BBNTHT!J979</f>
        <v>1801</v>
      </c>
      <c r="G939" s="403">
        <f t="shared" si="56"/>
        <v>1801</v>
      </c>
      <c r="H939" s="9">
        <v>29823</v>
      </c>
      <c r="I939" s="404">
        <f t="shared" si="57"/>
        <v>76734579</v>
      </c>
      <c r="J939" s="403"/>
      <c r="K939" s="404">
        <f t="shared" si="58"/>
        <v>53711223</v>
      </c>
      <c r="L939" s="405">
        <f t="shared" si="59"/>
        <v>53711223</v>
      </c>
      <c r="M939" s="403"/>
    </row>
    <row r="940" spans="1:13" ht="15.75" x14ac:dyDescent="0.25">
      <c r="A940" s="6" t="s">
        <v>1481</v>
      </c>
      <c r="B940" s="7" t="s">
        <v>1482</v>
      </c>
      <c r="C940" s="6" t="s">
        <v>9</v>
      </c>
      <c r="D940" s="8">
        <v>1</v>
      </c>
      <c r="E940" s="403"/>
      <c r="F940" s="403">
        <f>BBNTHT!J980</f>
        <v>0</v>
      </c>
      <c r="G940" s="403">
        <f t="shared" si="56"/>
        <v>0</v>
      </c>
      <c r="H940" s="9">
        <v>57674</v>
      </c>
      <c r="I940" s="404">
        <f t="shared" si="57"/>
        <v>57674</v>
      </c>
      <c r="J940" s="403"/>
      <c r="K940" s="404">
        <f t="shared" si="58"/>
        <v>0</v>
      </c>
      <c r="L940" s="405">
        <f t="shared" si="59"/>
        <v>0</v>
      </c>
      <c r="M940" s="403"/>
    </row>
    <row r="941" spans="1:13" ht="15.75" x14ac:dyDescent="0.25">
      <c r="A941" s="6" t="s">
        <v>1483</v>
      </c>
      <c r="B941" s="7" t="s">
        <v>1484</v>
      </c>
      <c r="C941" s="6" t="s">
        <v>9</v>
      </c>
      <c r="D941" s="8">
        <v>2</v>
      </c>
      <c r="E941" s="403"/>
      <c r="F941" s="403">
        <f>BBNTHT!J981</f>
        <v>1</v>
      </c>
      <c r="G941" s="403">
        <f t="shared" si="56"/>
        <v>1</v>
      </c>
      <c r="H941" s="9">
        <v>59452</v>
      </c>
      <c r="I941" s="404">
        <f t="shared" si="57"/>
        <v>118904</v>
      </c>
      <c r="J941" s="403"/>
      <c r="K941" s="404">
        <f t="shared" si="58"/>
        <v>59452</v>
      </c>
      <c r="L941" s="405">
        <f t="shared" si="59"/>
        <v>59452</v>
      </c>
      <c r="M941" s="403"/>
    </row>
    <row r="942" spans="1:13" ht="15.75" x14ac:dyDescent="0.25">
      <c r="A942" s="6" t="s">
        <v>1485</v>
      </c>
      <c r="B942" s="7" t="s">
        <v>1486</v>
      </c>
      <c r="C942" s="6" t="s">
        <v>9</v>
      </c>
      <c r="D942" s="8">
        <v>20</v>
      </c>
      <c r="E942" s="403"/>
      <c r="F942" s="403">
        <f>BBNTHT!J982</f>
        <v>14</v>
      </c>
      <c r="G942" s="403">
        <f t="shared" si="56"/>
        <v>14</v>
      </c>
      <c r="H942" s="9">
        <v>48361</v>
      </c>
      <c r="I942" s="404">
        <f t="shared" si="57"/>
        <v>967220</v>
      </c>
      <c r="J942" s="403"/>
      <c r="K942" s="404">
        <f t="shared" si="58"/>
        <v>677054</v>
      </c>
      <c r="L942" s="405">
        <f t="shared" si="59"/>
        <v>677054</v>
      </c>
      <c r="M942" s="403"/>
    </row>
    <row r="943" spans="1:13" ht="15.75" x14ac:dyDescent="0.25">
      <c r="A943" s="6" t="s">
        <v>1487</v>
      </c>
      <c r="B943" s="7" t="s">
        <v>1488</v>
      </c>
      <c r="C943" s="6" t="s">
        <v>9</v>
      </c>
      <c r="D943" s="8">
        <v>780</v>
      </c>
      <c r="E943" s="403"/>
      <c r="F943" s="403">
        <f>BBNTHT!J983</f>
        <v>546</v>
      </c>
      <c r="G943" s="403">
        <f t="shared" si="56"/>
        <v>546</v>
      </c>
      <c r="H943" s="9">
        <v>48361</v>
      </c>
      <c r="I943" s="404">
        <f t="shared" si="57"/>
        <v>37721580</v>
      </c>
      <c r="J943" s="403"/>
      <c r="K943" s="404">
        <f t="shared" si="58"/>
        <v>26405106</v>
      </c>
      <c r="L943" s="405">
        <f t="shared" si="59"/>
        <v>26405106</v>
      </c>
      <c r="M943" s="403"/>
    </row>
    <row r="944" spans="1:13" ht="15.75" x14ac:dyDescent="0.25">
      <c r="A944" s="6" t="s">
        <v>1489</v>
      </c>
      <c r="B944" s="7" t="s">
        <v>1490</v>
      </c>
      <c r="C944" s="6" t="s">
        <v>9</v>
      </c>
      <c r="D944" s="8">
        <v>249</v>
      </c>
      <c r="E944" s="403"/>
      <c r="F944" s="403">
        <f>BBNTHT!J984</f>
        <v>174</v>
      </c>
      <c r="G944" s="403">
        <f t="shared" si="56"/>
        <v>174</v>
      </c>
      <c r="H944" s="9">
        <v>42450</v>
      </c>
      <c r="I944" s="404">
        <f t="shared" si="57"/>
        <v>10570050</v>
      </c>
      <c r="J944" s="403"/>
      <c r="K944" s="404">
        <f t="shared" si="58"/>
        <v>7386300</v>
      </c>
      <c r="L944" s="405">
        <f t="shared" si="59"/>
        <v>7386300</v>
      </c>
      <c r="M944" s="403"/>
    </row>
    <row r="945" spans="1:13" ht="15.75" x14ac:dyDescent="0.25">
      <c r="A945" s="6" t="s">
        <v>1491</v>
      </c>
      <c r="B945" s="7" t="s">
        <v>1492</v>
      </c>
      <c r="C945" s="6" t="s">
        <v>9</v>
      </c>
      <c r="D945" s="8">
        <v>2</v>
      </c>
      <c r="E945" s="403"/>
      <c r="F945" s="403">
        <f>BBNTHT!J985</f>
        <v>1</v>
      </c>
      <c r="G945" s="403">
        <f t="shared" si="56"/>
        <v>1</v>
      </c>
      <c r="H945" s="9">
        <v>33030</v>
      </c>
      <c r="I945" s="404">
        <f t="shared" si="57"/>
        <v>66060</v>
      </c>
      <c r="J945" s="403"/>
      <c r="K945" s="404">
        <f t="shared" si="58"/>
        <v>33030</v>
      </c>
      <c r="L945" s="405">
        <f t="shared" si="59"/>
        <v>33030</v>
      </c>
      <c r="M945" s="403"/>
    </row>
    <row r="946" spans="1:13" ht="15.75" x14ac:dyDescent="0.25">
      <c r="A946" s="6" t="s">
        <v>1493</v>
      </c>
      <c r="B946" s="7" t="s">
        <v>1494</v>
      </c>
      <c r="C946" s="6" t="s">
        <v>9</v>
      </c>
      <c r="D946" s="8">
        <v>268</v>
      </c>
      <c r="E946" s="403"/>
      <c r="F946" s="403">
        <f>BBNTHT!J986</f>
        <v>187</v>
      </c>
      <c r="G946" s="403">
        <f t="shared" si="56"/>
        <v>187</v>
      </c>
      <c r="H946" s="9">
        <v>29531</v>
      </c>
      <c r="I946" s="404">
        <f t="shared" si="57"/>
        <v>7914308</v>
      </c>
      <c r="J946" s="403"/>
      <c r="K946" s="404">
        <f t="shared" si="58"/>
        <v>5522297</v>
      </c>
      <c r="L946" s="405">
        <f t="shared" si="59"/>
        <v>5522297</v>
      </c>
      <c r="M946" s="403"/>
    </row>
    <row r="947" spans="1:13" ht="15.75" x14ac:dyDescent="0.25">
      <c r="A947" s="6" t="s">
        <v>1495</v>
      </c>
      <c r="B947" s="7" t="s">
        <v>1496</v>
      </c>
      <c r="C947" s="6" t="s">
        <v>9</v>
      </c>
      <c r="D947" s="8">
        <v>1</v>
      </c>
      <c r="E947" s="403"/>
      <c r="F947" s="403">
        <f>BBNTHT!J987</f>
        <v>0</v>
      </c>
      <c r="G947" s="403">
        <f t="shared" si="56"/>
        <v>0</v>
      </c>
      <c r="H947" s="9">
        <v>321136</v>
      </c>
      <c r="I947" s="404">
        <f t="shared" si="57"/>
        <v>321136</v>
      </c>
      <c r="J947" s="403"/>
      <c r="K947" s="404">
        <f t="shared" si="58"/>
        <v>0</v>
      </c>
      <c r="L947" s="405">
        <f t="shared" si="59"/>
        <v>0</v>
      </c>
      <c r="M947" s="403"/>
    </row>
    <row r="948" spans="1:13" ht="15.75" x14ac:dyDescent="0.25">
      <c r="A948" s="6" t="s">
        <v>1497</v>
      </c>
      <c r="B948" s="7" t="s">
        <v>1498</v>
      </c>
      <c r="C948" s="6" t="s">
        <v>9</v>
      </c>
      <c r="D948" s="8">
        <v>248</v>
      </c>
      <c r="E948" s="403"/>
      <c r="F948" s="403">
        <f>BBNTHT!J988</f>
        <v>173</v>
      </c>
      <c r="G948" s="403">
        <f t="shared" si="56"/>
        <v>173</v>
      </c>
      <c r="H948" s="9">
        <v>200273</v>
      </c>
      <c r="I948" s="404">
        <f t="shared" si="57"/>
        <v>49667704</v>
      </c>
      <c r="J948" s="403"/>
      <c r="K948" s="404">
        <f t="shared" si="58"/>
        <v>34647229</v>
      </c>
      <c r="L948" s="405">
        <f t="shared" si="59"/>
        <v>34647229</v>
      </c>
      <c r="M948" s="403"/>
    </row>
    <row r="949" spans="1:13" ht="15.75" x14ac:dyDescent="0.25">
      <c r="A949" s="6" t="s">
        <v>1499</v>
      </c>
      <c r="B949" s="7" t="s">
        <v>1500</v>
      </c>
      <c r="C949" s="6" t="s">
        <v>9</v>
      </c>
      <c r="D949" s="8">
        <v>253</v>
      </c>
      <c r="E949" s="403"/>
      <c r="F949" s="403">
        <f>BBNTHT!J989</f>
        <v>177</v>
      </c>
      <c r="G949" s="403">
        <f t="shared" si="56"/>
        <v>177</v>
      </c>
      <c r="H949" s="9">
        <v>149342</v>
      </c>
      <c r="I949" s="404">
        <f t="shared" si="57"/>
        <v>37783526</v>
      </c>
      <c r="J949" s="403"/>
      <c r="K949" s="404">
        <f t="shared" si="58"/>
        <v>26433534</v>
      </c>
      <c r="L949" s="405">
        <f t="shared" si="59"/>
        <v>26433534</v>
      </c>
      <c r="M949" s="403"/>
    </row>
    <row r="950" spans="1:13" ht="15.75" x14ac:dyDescent="0.25">
      <c r="A950" s="6" t="s">
        <v>1501</v>
      </c>
      <c r="B950" s="7" t="s">
        <v>1502</v>
      </c>
      <c r="C950" s="6" t="s">
        <v>14</v>
      </c>
      <c r="D950" s="8">
        <v>6.06</v>
      </c>
      <c r="E950" s="403"/>
      <c r="F950" s="403">
        <f>BBNTHT!J990</f>
        <v>4.2419999999999991</v>
      </c>
      <c r="G950" s="403">
        <f t="shared" si="56"/>
        <v>4.2419999999999991</v>
      </c>
      <c r="H950" s="9">
        <v>16135615</v>
      </c>
      <c r="I950" s="404">
        <f t="shared" si="57"/>
        <v>97781827</v>
      </c>
      <c r="J950" s="403"/>
      <c r="K950" s="404">
        <f t="shared" si="58"/>
        <v>68447279</v>
      </c>
      <c r="L950" s="405">
        <f t="shared" si="59"/>
        <v>68447279</v>
      </c>
      <c r="M950" s="403"/>
    </row>
    <row r="951" spans="1:13" ht="15.75" x14ac:dyDescent="0.25">
      <c r="A951" s="6" t="s">
        <v>1503</v>
      </c>
      <c r="B951" s="7" t="s">
        <v>1504</v>
      </c>
      <c r="C951" s="6" t="s">
        <v>14</v>
      </c>
      <c r="D951" s="8">
        <v>10.8</v>
      </c>
      <c r="E951" s="403"/>
      <c r="F951" s="403">
        <f>BBNTHT!J991</f>
        <v>7.56</v>
      </c>
      <c r="G951" s="403">
        <f t="shared" si="56"/>
        <v>7.56</v>
      </c>
      <c r="H951" s="9">
        <v>13228985</v>
      </c>
      <c r="I951" s="404">
        <f t="shared" si="57"/>
        <v>142873038</v>
      </c>
      <c r="J951" s="403"/>
      <c r="K951" s="404">
        <f t="shared" si="58"/>
        <v>100011127</v>
      </c>
      <c r="L951" s="405">
        <f t="shared" si="59"/>
        <v>100011127</v>
      </c>
      <c r="M951" s="403"/>
    </row>
    <row r="952" spans="1:13" ht="15.75" x14ac:dyDescent="0.25">
      <c r="A952" s="6" t="s">
        <v>1505</v>
      </c>
      <c r="B952" s="7" t="s">
        <v>1506</v>
      </c>
      <c r="C952" s="6" t="s">
        <v>14</v>
      </c>
      <c r="D952" s="8">
        <v>10.89</v>
      </c>
      <c r="E952" s="403"/>
      <c r="F952" s="403">
        <f>BBNTHT!J992</f>
        <v>7.6230000000000002</v>
      </c>
      <c r="G952" s="403">
        <f t="shared" si="56"/>
        <v>7.6230000000000002</v>
      </c>
      <c r="H952" s="9">
        <v>7416032</v>
      </c>
      <c r="I952" s="404">
        <f t="shared" si="57"/>
        <v>80760588</v>
      </c>
      <c r="J952" s="403"/>
      <c r="K952" s="404">
        <f t="shared" si="58"/>
        <v>56532412</v>
      </c>
      <c r="L952" s="405">
        <f t="shared" si="59"/>
        <v>56532412</v>
      </c>
      <c r="M952" s="403"/>
    </row>
    <row r="953" spans="1:13" ht="15.75" x14ac:dyDescent="0.25">
      <c r="A953" s="6" t="s">
        <v>1507</v>
      </c>
      <c r="B953" s="7" t="s">
        <v>1508</v>
      </c>
      <c r="C953" s="6" t="s">
        <v>14</v>
      </c>
      <c r="D953" s="8">
        <v>2.54</v>
      </c>
      <c r="E953" s="403"/>
      <c r="F953" s="403">
        <f>BBNTHT!J993</f>
        <v>1.7779999999999998</v>
      </c>
      <c r="G953" s="403">
        <f t="shared" si="56"/>
        <v>1.7779999999999998</v>
      </c>
      <c r="H953" s="9">
        <v>4257965</v>
      </c>
      <c r="I953" s="404">
        <f t="shared" si="57"/>
        <v>10815231</v>
      </c>
      <c r="J953" s="403"/>
      <c r="K953" s="404">
        <f t="shared" si="58"/>
        <v>7570662</v>
      </c>
      <c r="L953" s="405">
        <f t="shared" si="59"/>
        <v>7570662</v>
      </c>
      <c r="M953" s="403"/>
    </row>
    <row r="954" spans="1:13" ht="15.75" x14ac:dyDescent="0.25">
      <c r="A954" s="6" t="s">
        <v>1509</v>
      </c>
      <c r="B954" s="7" t="s">
        <v>1510</v>
      </c>
      <c r="C954" s="6" t="s">
        <v>9</v>
      </c>
      <c r="D954" s="8">
        <v>245.4</v>
      </c>
      <c r="E954" s="403"/>
      <c r="F954" s="403">
        <f>BBNTHT!J994</f>
        <v>171</v>
      </c>
      <c r="G954" s="403">
        <f t="shared" si="56"/>
        <v>171</v>
      </c>
      <c r="H954" s="9">
        <v>117807</v>
      </c>
      <c r="I954" s="404">
        <f t="shared" si="57"/>
        <v>28909838</v>
      </c>
      <c r="J954" s="403"/>
      <c r="K954" s="404">
        <f t="shared" si="58"/>
        <v>20144997</v>
      </c>
      <c r="L954" s="405">
        <f t="shared" si="59"/>
        <v>20144997</v>
      </c>
      <c r="M954" s="403"/>
    </row>
    <row r="955" spans="1:13" ht="15.75" x14ac:dyDescent="0.25">
      <c r="A955" s="6" t="s">
        <v>1511</v>
      </c>
      <c r="B955" s="7" t="s">
        <v>1512</v>
      </c>
      <c r="C955" s="6" t="s">
        <v>9</v>
      </c>
      <c r="D955" s="8">
        <v>246.6</v>
      </c>
      <c r="E955" s="403"/>
      <c r="F955" s="403">
        <f>BBNTHT!J995</f>
        <v>172</v>
      </c>
      <c r="G955" s="403">
        <f t="shared" si="56"/>
        <v>172</v>
      </c>
      <c r="H955" s="9">
        <v>65994</v>
      </c>
      <c r="I955" s="404">
        <f t="shared" si="57"/>
        <v>16274120</v>
      </c>
      <c r="J955" s="403"/>
      <c r="K955" s="404">
        <f t="shared" si="58"/>
        <v>11350968</v>
      </c>
      <c r="L955" s="405">
        <f t="shared" si="59"/>
        <v>11350968</v>
      </c>
      <c r="M955" s="403"/>
    </row>
    <row r="956" spans="1:13" ht="15.75" x14ac:dyDescent="0.25">
      <c r="A956" s="6" t="s">
        <v>1513</v>
      </c>
      <c r="B956" s="7" t="s">
        <v>1514</v>
      </c>
      <c r="C956" s="6" t="s">
        <v>9</v>
      </c>
      <c r="D956" s="8">
        <v>247.5</v>
      </c>
      <c r="E956" s="403"/>
      <c r="F956" s="403">
        <f>BBNTHT!J996</f>
        <v>173</v>
      </c>
      <c r="G956" s="403">
        <f t="shared" si="56"/>
        <v>173</v>
      </c>
      <c r="H956" s="9">
        <v>36499</v>
      </c>
      <c r="I956" s="404">
        <f t="shared" si="57"/>
        <v>9033503</v>
      </c>
      <c r="J956" s="403"/>
      <c r="K956" s="404">
        <f t="shared" si="58"/>
        <v>6314327</v>
      </c>
      <c r="L956" s="405">
        <f t="shared" si="59"/>
        <v>6314327</v>
      </c>
      <c r="M956" s="403"/>
    </row>
    <row r="957" spans="1:13" ht="15.75" x14ac:dyDescent="0.25">
      <c r="A957" s="6" t="s">
        <v>1515</v>
      </c>
      <c r="B957" s="7" t="s">
        <v>1516</v>
      </c>
      <c r="C957" s="6" t="s">
        <v>9</v>
      </c>
      <c r="D957" s="8">
        <v>25.4</v>
      </c>
      <c r="E957" s="403"/>
      <c r="F957" s="403">
        <f>BBNTHT!J997</f>
        <v>17</v>
      </c>
      <c r="G957" s="403">
        <f t="shared" si="56"/>
        <v>17</v>
      </c>
      <c r="H957" s="9">
        <v>21708</v>
      </c>
      <c r="I957" s="404">
        <f t="shared" si="57"/>
        <v>551383</v>
      </c>
      <c r="J957" s="403"/>
      <c r="K957" s="404">
        <f t="shared" si="58"/>
        <v>369036</v>
      </c>
      <c r="L957" s="405">
        <f t="shared" si="59"/>
        <v>369036</v>
      </c>
      <c r="M957" s="403"/>
    </row>
    <row r="958" spans="1:13" ht="15.75" x14ac:dyDescent="0.25">
      <c r="A958" s="6" t="s">
        <v>1517</v>
      </c>
      <c r="B958" s="7" t="s">
        <v>1518</v>
      </c>
      <c r="C958" s="6" t="s">
        <v>9</v>
      </c>
      <c r="D958" s="8">
        <v>843</v>
      </c>
      <c r="E958" s="403"/>
      <c r="F958" s="403">
        <f>BBNTHT!J998</f>
        <v>590</v>
      </c>
      <c r="G958" s="403">
        <f t="shared" si="56"/>
        <v>590</v>
      </c>
      <c r="H958" s="9">
        <v>90347</v>
      </c>
      <c r="I958" s="404">
        <f t="shared" si="57"/>
        <v>76162521</v>
      </c>
      <c r="J958" s="403"/>
      <c r="K958" s="404">
        <f t="shared" si="58"/>
        <v>53304730</v>
      </c>
      <c r="L958" s="405">
        <f t="shared" si="59"/>
        <v>53304730</v>
      </c>
      <c r="M958" s="403"/>
    </row>
    <row r="959" spans="1:13" ht="15.75" x14ac:dyDescent="0.25">
      <c r="A959" s="6" t="s">
        <v>1519</v>
      </c>
      <c r="B959" s="7" t="s">
        <v>1520</v>
      </c>
      <c r="C959" s="6" t="s">
        <v>9</v>
      </c>
      <c r="D959" s="8">
        <v>766</v>
      </c>
      <c r="E959" s="403"/>
      <c r="F959" s="403">
        <f>BBNTHT!J999</f>
        <v>536</v>
      </c>
      <c r="G959" s="403">
        <f t="shared" si="56"/>
        <v>536</v>
      </c>
      <c r="H959" s="9">
        <v>52264</v>
      </c>
      <c r="I959" s="404">
        <f t="shared" si="57"/>
        <v>40034224</v>
      </c>
      <c r="J959" s="403"/>
      <c r="K959" s="404">
        <f t="shared" si="58"/>
        <v>28013504</v>
      </c>
      <c r="L959" s="405">
        <f t="shared" si="59"/>
        <v>28013504</v>
      </c>
      <c r="M959" s="403"/>
    </row>
    <row r="960" spans="1:13" ht="15.75" x14ac:dyDescent="0.25">
      <c r="A960" s="6" t="s">
        <v>1521</v>
      </c>
      <c r="B960" s="7" t="s">
        <v>1522</v>
      </c>
      <c r="C960" s="6" t="s">
        <v>9</v>
      </c>
      <c r="D960" s="8">
        <v>2109</v>
      </c>
      <c r="E960" s="403"/>
      <c r="F960" s="403">
        <f>BBNTHT!J1000</f>
        <v>1476</v>
      </c>
      <c r="G960" s="403">
        <f t="shared" si="56"/>
        <v>1476</v>
      </c>
      <c r="H960" s="9">
        <v>28998</v>
      </c>
      <c r="I960" s="404">
        <f t="shared" si="57"/>
        <v>61156782</v>
      </c>
      <c r="J960" s="403"/>
      <c r="K960" s="404">
        <f t="shared" si="58"/>
        <v>42801048</v>
      </c>
      <c r="L960" s="405">
        <f t="shared" si="59"/>
        <v>42801048</v>
      </c>
      <c r="M960" s="403"/>
    </row>
    <row r="961" spans="1:13" ht="15.75" x14ac:dyDescent="0.25">
      <c r="A961" s="6" t="s">
        <v>1523</v>
      </c>
      <c r="B961" s="7" t="s">
        <v>1524</v>
      </c>
      <c r="C961" s="6" t="s">
        <v>9</v>
      </c>
      <c r="D961" s="8">
        <v>544</v>
      </c>
      <c r="E961" s="403"/>
      <c r="F961" s="403">
        <f>BBNTHT!J1001</f>
        <v>380</v>
      </c>
      <c r="G961" s="403">
        <f t="shared" si="56"/>
        <v>380</v>
      </c>
      <c r="H961" s="9">
        <v>25395</v>
      </c>
      <c r="I961" s="404">
        <f t="shared" si="57"/>
        <v>13814880</v>
      </c>
      <c r="J961" s="403"/>
      <c r="K961" s="404">
        <f t="shared" si="58"/>
        <v>9650100</v>
      </c>
      <c r="L961" s="405">
        <f t="shared" si="59"/>
        <v>9650100</v>
      </c>
      <c r="M961" s="403"/>
    </row>
    <row r="962" spans="1:13" ht="15.75" x14ac:dyDescent="0.25">
      <c r="A962" s="6" t="s">
        <v>1525</v>
      </c>
      <c r="B962" s="7" t="s">
        <v>1526</v>
      </c>
      <c r="C962" s="6" t="s">
        <v>9</v>
      </c>
      <c r="D962" s="8">
        <v>272</v>
      </c>
      <c r="E962" s="403"/>
      <c r="F962" s="403">
        <f>BBNTHT!J1002</f>
        <v>190</v>
      </c>
      <c r="G962" s="403">
        <f t="shared" si="56"/>
        <v>190</v>
      </c>
      <c r="H962" s="9">
        <v>25395</v>
      </c>
      <c r="I962" s="404">
        <f t="shared" si="57"/>
        <v>6907440</v>
      </c>
      <c r="J962" s="403"/>
      <c r="K962" s="404">
        <f t="shared" si="58"/>
        <v>4825050</v>
      </c>
      <c r="L962" s="405">
        <f t="shared" si="59"/>
        <v>4825050</v>
      </c>
      <c r="M962" s="403"/>
    </row>
    <row r="963" spans="1:13" ht="15.75" x14ac:dyDescent="0.25">
      <c r="A963" s="6" t="s">
        <v>1527</v>
      </c>
      <c r="B963" s="7" t="s">
        <v>1528</v>
      </c>
      <c r="C963" s="6" t="s">
        <v>9</v>
      </c>
      <c r="D963" s="8">
        <v>245</v>
      </c>
      <c r="E963" s="403"/>
      <c r="F963" s="403">
        <f>BBNTHT!J1003</f>
        <v>171</v>
      </c>
      <c r="G963" s="403">
        <f t="shared" si="56"/>
        <v>171</v>
      </c>
      <c r="H963" s="9">
        <v>128933</v>
      </c>
      <c r="I963" s="404">
        <f t="shared" si="57"/>
        <v>31588585</v>
      </c>
      <c r="J963" s="403"/>
      <c r="K963" s="404">
        <f t="shared" si="58"/>
        <v>22047543</v>
      </c>
      <c r="L963" s="405">
        <f t="shared" si="59"/>
        <v>22047543</v>
      </c>
      <c r="M963" s="403"/>
    </row>
    <row r="964" spans="1:13" ht="15.75" x14ac:dyDescent="0.25">
      <c r="A964" s="6" t="s">
        <v>1529</v>
      </c>
      <c r="B964" s="7" t="s">
        <v>1530</v>
      </c>
      <c r="C964" s="6" t="s">
        <v>9</v>
      </c>
      <c r="D964" s="8">
        <v>285</v>
      </c>
      <c r="E964" s="403"/>
      <c r="F964" s="403">
        <f>BBNTHT!J1004</f>
        <v>199</v>
      </c>
      <c r="G964" s="403">
        <f t="shared" si="56"/>
        <v>199</v>
      </c>
      <c r="H964" s="9">
        <v>136052</v>
      </c>
      <c r="I964" s="404">
        <f t="shared" si="57"/>
        <v>38774820</v>
      </c>
      <c r="J964" s="403"/>
      <c r="K964" s="404">
        <f t="shared" si="58"/>
        <v>27074348</v>
      </c>
      <c r="L964" s="405">
        <f t="shared" si="59"/>
        <v>27074348</v>
      </c>
      <c r="M964" s="403"/>
    </row>
    <row r="965" spans="1:13" ht="15.75" x14ac:dyDescent="0.25">
      <c r="A965" s="6" t="s">
        <v>1531</v>
      </c>
      <c r="B965" s="7" t="s">
        <v>1532</v>
      </c>
      <c r="C965" s="6" t="s">
        <v>9</v>
      </c>
      <c r="D965" s="8">
        <v>27</v>
      </c>
      <c r="E965" s="403"/>
      <c r="F965" s="403">
        <f>BBNTHT!J1005</f>
        <v>18</v>
      </c>
      <c r="G965" s="403">
        <f t="shared" si="56"/>
        <v>18</v>
      </c>
      <c r="H965" s="9">
        <v>103382</v>
      </c>
      <c r="I965" s="404">
        <f t="shared" si="57"/>
        <v>2791314</v>
      </c>
      <c r="J965" s="403"/>
      <c r="K965" s="404">
        <f t="shared" si="58"/>
        <v>1860876</v>
      </c>
      <c r="L965" s="405">
        <f t="shared" si="59"/>
        <v>1860876</v>
      </c>
      <c r="M965" s="403"/>
    </row>
    <row r="966" spans="1:13" ht="15.75" x14ac:dyDescent="0.25">
      <c r="A966" s="6" t="s">
        <v>1533</v>
      </c>
      <c r="B966" s="7" t="s">
        <v>1534</v>
      </c>
      <c r="C966" s="6" t="s">
        <v>9</v>
      </c>
      <c r="D966" s="8">
        <v>257</v>
      </c>
      <c r="E966" s="403"/>
      <c r="F966" s="403">
        <f>BBNTHT!J1006</f>
        <v>179</v>
      </c>
      <c r="G966" s="403">
        <f t="shared" si="56"/>
        <v>179</v>
      </c>
      <c r="H966" s="9">
        <v>131138</v>
      </c>
      <c r="I966" s="404">
        <f t="shared" si="57"/>
        <v>33702466</v>
      </c>
      <c r="J966" s="403"/>
      <c r="K966" s="404">
        <f t="shared" si="58"/>
        <v>23473702</v>
      </c>
      <c r="L966" s="405">
        <f t="shared" si="59"/>
        <v>23473702</v>
      </c>
      <c r="M966" s="403"/>
    </row>
    <row r="967" spans="1:13" ht="15.75" x14ac:dyDescent="0.25">
      <c r="A967" s="6" t="s">
        <v>1535</v>
      </c>
      <c r="B967" s="7" t="s">
        <v>1536</v>
      </c>
      <c r="C967" s="6" t="s">
        <v>9</v>
      </c>
      <c r="D967" s="8">
        <v>526</v>
      </c>
      <c r="E967" s="403"/>
      <c r="F967" s="403">
        <f>BBNTHT!J1007</f>
        <v>368</v>
      </c>
      <c r="G967" s="403">
        <f t="shared" si="56"/>
        <v>368</v>
      </c>
      <c r="H967" s="9">
        <v>68973</v>
      </c>
      <c r="I967" s="404">
        <f t="shared" si="57"/>
        <v>36279798</v>
      </c>
      <c r="J967" s="403"/>
      <c r="K967" s="404">
        <f t="shared" si="58"/>
        <v>25382064</v>
      </c>
      <c r="L967" s="405">
        <f t="shared" si="59"/>
        <v>25382064</v>
      </c>
      <c r="M967" s="403"/>
    </row>
    <row r="968" spans="1:13" ht="15.75" x14ac:dyDescent="0.25">
      <c r="A968" s="6" t="s">
        <v>1537</v>
      </c>
      <c r="B968" s="7" t="s">
        <v>1538</v>
      </c>
      <c r="C968" s="6" t="s">
        <v>9</v>
      </c>
      <c r="D968" s="8">
        <v>248</v>
      </c>
      <c r="E968" s="403"/>
      <c r="F968" s="403">
        <f>BBNTHT!J1008</f>
        <v>173</v>
      </c>
      <c r="G968" s="403">
        <f t="shared" si="56"/>
        <v>173</v>
      </c>
      <c r="H968" s="9">
        <v>94105</v>
      </c>
      <c r="I968" s="404">
        <f t="shared" si="57"/>
        <v>23338040</v>
      </c>
      <c r="J968" s="403"/>
      <c r="K968" s="404">
        <f t="shared" si="58"/>
        <v>16280165</v>
      </c>
      <c r="L968" s="405">
        <f t="shared" si="59"/>
        <v>16280165</v>
      </c>
      <c r="M968" s="403"/>
    </row>
    <row r="969" spans="1:13" ht="15.75" x14ac:dyDescent="0.25">
      <c r="A969" s="6" t="s">
        <v>1539</v>
      </c>
      <c r="B969" s="7" t="s">
        <v>1540</v>
      </c>
      <c r="C969" s="6" t="s">
        <v>9</v>
      </c>
      <c r="D969" s="8">
        <v>21</v>
      </c>
      <c r="E969" s="403"/>
      <c r="F969" s="403">
        <f>BBNTHT!J1009</f>
        <v>14</v>
      </c>
      <c r="G969" s="403">
        <f t="shared" si="56"/>
        <v>14</v>
      </c>
      <c r="H969" s="9">
        <v>103950</v>
      </c>
      <c r="I969" s="404">
        <f t="shared" si="57"/>
        <v>2182950</v>
      </c>
      <c r="J969" s="403"/>
      <c r="K969" s="404">
        <f t="shared" si="58"/>
        <v>1455300</v>
      </c>
      <c r="L969" s="405">
        <f t="shared" si="59"/>
        <v>1455300</v>
      </c>
      <c r="M969" s="403"/>
    </row>
    <row r="970" spans="1:13" ht="15.75" x14ac:dyDescent="0.25">
      <c r="A970" s="6" t="s">
        <v>1541</v>
      </c>
      <c r="B970" s="7" t="s">
        <v>1542</v>
      </c>
      <c r="C970" s="6" t="s">
        <v>9</v>
      </c>
      <c r="D970" s="8">
        <v>257</v>
      </c>
      <c r="E970" s="403"/>
      <c r="F970" s="403">
        <f>BBNTHT!J1010</f>
        <v>179</v>
      </c>
      <c r="G970" s="403">
        <f t="shared" si="56"/>
        <v>179</v>
      </c>
      <c r="H970" s="9">
        <v>54807</v>
      </c>
      <c r="I970" s="404">
        <f t="shared" si="57"/>
        <v>14085399</v>
      </c>
      <c r="J970" s="403"/>
      <c r="K970" s="404">
        <f t="shared" si="58"/>
        <v>9810453</v>
      </c>
      <c r="L970" s="405">
        <f t="shared" si="59"/>
        <v>9810453</v>
      </c>
      <c r="M970" s="403"/>
    </row>
    <row r="971" spans="1:13" ht="15.75" x14ac:dyDescent="0.25">
      <c r="A971" s="6" t="s">
        <v>1543</v>
      </c>
      <c r="B971" s="7" t="s">
        <v>1544</v>
      </c>
      <c r="C971" s="6" t="s">
        <v>9</v>
      </c>
      <c r="D971" s="8">
        <v>271</v>
      </c>
      <c r="E971" s="403"/>
      <c r="F971" s="403">
        <f>BBNTHT!J1011</f>
        <v>189</v>
      </c>
      <c r="G971" s="403">
        <f t="shared" si="56"/>
        <v>189</v>
      </c>
      <c r="H971" s="9">
        <v>32050</v>
      </c>
      <c r="I971" s="404">
        <f t="shared" si="57"/>
        <v>8685550</v>
      </c>
      <c r="J971" s="403"/>
      <c r="K971" s="404">
        <f t="shared" si="58"/>
        <v>6057450</v>
      </c>
      <c r="L971" s="405">
        <f t="shared" si="59"/>
        <v>6057450</v>
      </c>
      <c r="M971" s="403"/>
    </row>
    <row r="972" spans="1:13" ht="15.75" x14ac:dyDescent="0.25">
      <c r="A972" s="6" t="s">
        <v>1545</v>
      </c>
      <c r="B972" s="7" t="s">
        <v>1546</v>
      </c>
      <c r="C972" s="6" t="s">
        <v>9</v>
      </c>
      <c r="D972" s="8">
        <v>532</v>
      </c>
      <c r="E972" s="403"/>
      <c r="F972" s="403">
        <f>BBNTHT!J1012</f>
        <v>372</v>
      </c>
      <c r="G972" s="403">
        <f t="shared" si="56"/>
        <v>372</v>
      </c>
      <c r="H972" s="9">
        <v>312414</v>
      </c>
      <c r="I972" s="404">
        <f t="shared" si="57"/>
        <v>166204248</v>
      </c>
      <c r="J972" s="403"/>
      <c r="K972" s="404">
        <f t="shared" si="58"/>
        <v>116218008</v>
      </c>
      <c r="L972" s="405">
        <f t="shared" si="59"/>
        <v>116218008</v>
      </c>
      <c r="M972" s="403"/>
    </row>
    <row r="973" spans="1:13" ht="15.75" x14ac:dyDescent="0.25">
      <c r="A973" s="6" t="s">
        <v>1547</v>
      </c>
      <c r="B973" s="7" t="s">
        <v>1548</v>
      </c>
      <c r="C973" s="6" t="s">
        <v>14</v>
      </c>
      <c r="D973" s="8">
        <v>5.29</v>
      </c>
      <c r="E973" s="403"/>
      <c r="F973" s="403">
        <f>BBNTHT!J1013</f>
        <v>3</v>
      </c>
      <c r="G973" s="403">
        <f t="shared" si="56"/>
        <v>3</v>
      </c>
      <c r="H973" s="9">
        <v>5344039</v>
      </c>
      <c r="I973" s="404">
        <f t="shared" si="57"/>
        <v>28269966</v>
      </c>
      <c r="J973" s="403"/>
      <c r="K973" s="404">
        <f t="shared" si="58"/>
        <v>16032117</v>
      </c>
      <c r="L973" s="405">
        <f t="shared" si="59"/>
        <v>16032117</v>
      </c>
      <c r="M973" s="403"/>
    </row>
    <row r="974" spans="1:13" ht="15.75" x14ac:dyDescent="0.25">
      <c r="A974" s="6" t="s">
        <v>1549</v>
      </c>
      <c r="B974" s="7" t="s">
        <v>1550</v>
      </c>
      <c r="C974" s="6" t="s">
        <v>9</v>
      </c>
      <c r="D974" s="8">
        <v>52.9</v>
      </c>
      <c r="E974" s="403"/>
      <c r="F974" s="403">
        <f>BBNTHT!J1014</f>
        <v>37</v>
      </c>
      <c r="G974" s="403">
        <f t="shared" si="56"/>
        <v>37</v>
      </c>
      <c r="H974" s="9">
        <v>27822</v>
      </c>
      <c r="I974" s="404">
        <f t="shared" si="57"/>
        <v>1471784</v>
      </c>
      <c r="J974" s="403"/>
      <c r="K974" s="404">
        <f t="shared" si="58"/>
        <v>1029414</v>
      </c>
      <c r="L974" s="405">
        <f t="shared" si="59"/>
        <v>1029414</v>
      </c>
      <c r="M974" s="403"/>
    </row>
    <row r="975" spans="1:13" ht="15.75" x14ac:dyDescent="0.25">
      <c r="A975" s="6" t="s">
        <v>1551</v>
      </c>
      <c r="B975" s="7" t="s">
        <v>1552</v>
      </c>
      <c r="C975" s="6" t="s">
        <v>9</v>
      </c>
      <c r="D975" s="8">
        <v>247</v>
      </c>
      <c r="E975" s="403"/>
      <c r="F975" s="403">
        <f>BBNTHT!J1015</f>
        <v>172</v>
      </c>
      <c r="G975" s="403">
        <f t="shared" si="56"/>
        <v>172</v>
      </c>
      <c r="H975" s="9">
        <v>80626</v>
      </c>
      <c r="I975" s="404">
        <f t="shared" si="57"/>
        <v>19914622</v>
      </c>
      <c r="J975" s="403"/>
      <c r="K975" s="404">
        <f t="shared" si="58"/>
        <v>13867672</v>
      </c>
      <c r="L975" s="405">
        <f t="shared" si="59"/>
        <v>13867672</v>
      </c>
      <c r="M975" s="403"/>
    </row>
    <row r="976" spans="1:13" ht="15.75" x14ac:dyDescent="0.25">
      <c r="A976" s="6" t="s">
        <v>1553</v>
      </c>
      <c r="B976" s="7" t="s">
        <v>1554</v>
      </c>
      <c r="C976" s="6" t="s">
        <v>9</v>
      </c>
      <c r="D976" s="8">
        <v>249</v>
      </c>
      <c r="E976" s="403"/>
      <c r="F976" s="403">
        <f>BBNTHT!J1016</f>
        <v>174</v>
      </c>
      <c r="G976" s="403">
        <f t="shared" si="56"/>
        <v>174</v>
      </c>
      <c r="H976" s="9">
        <v>59948</v>
      </c>
      <c r="I976" s="404">
        <f t="shared" si="57"/>
        <v>14927052</v>
      </c>
      <c r="J976" s="403"/>
      <c r="K976" s="404">
        <f t="shared" si="58"/>
        <v>10430952</v>
      </c>
      <c r="L976" s="405">
        <f t="shared" si="59"/>
        <v>10430952</v>
      </c>
      <c r="M976" s="403"/>
    </row>
    <row r="977" spans="1:13" ht="15.75" x14ac:dyDescent="0.25">
      <c r="A977" s="6" t="s">
        <v>1555</v>
      </c>
      <c r="B977" s="7" t="s">
        <v>1556</v>
      </c>
      <c r="C977" s="6" t="s">
        <v>9</v>
      </c>
      <c r="D977" s="8">
        <v>247</v>
      </c>
      <c r="E977" s="403"/>
      <c r="F977" s="403">
        <f>BBNTHT!J1017</f>
        <v>172</v>
      </c>
      <c r="G977" s="403">
        <f t="shared" si="56"/>
        <v>172</v>
      </c>
      <c r="H977" s="9">
        <v>45329</v>
      </c>
      <c r="I977" s="404">
        <f t="shared" si="57"/>
        <v>11196263</v>
      </c>
      <c r="J977" s="403"/>
      <c r="K977" s="404">
        <f t="shared" si="58"/>
        <v>7796588</v>
      </c>
      <c r="L977" s="405">
        <f t="shared" si="59"/>
        <v>7796588</v>
      </c>
      <c r="M977" s="403"/>
    </row>
    <row r="978" spans="1:13" ht="15.75" x14ac:dyDescent="0.25">
      <c r="A978" s="6" t="s">
        <v>1557</v>
      </c>
      <c r="B978" s="7" t="s">
        <v>1558</v>
      </c>
      <c r="C978" s="6" t="s">
        <v>9</v>
      </c>
      <c r="D978" s="8">
        <v>736</v>
      </c>
      <c r="E978" s="403"/>
      <c r="F978" s="403">
        <f>BBNTHT!J1018</f>
        <v>515</v>
      </c>
      <c r="G978" s="403">
        <f t="shared" ref="G978:G1041" si="60">F978+E978</f>
        <v>515</v>
      </c>
      <c r="H978" s="9">
        <v>34178</v>
      </c>
      <c r="I978" s="404">
        <f t="shared" ref="I978:I1041" si="61">ROUND(D978*H978,0)</f>
        <v>25155008</v>
      </c>
      <c r="J978" s="403"/>
      <c r="K978" s="404">
        <f t="shared" ref="K978:K1041" si="62">ROUND(F978*H978,0)</f>
        <v>17601670</v>
      </c>
      <c r="L978" s="405">
        <f t="shared" ref="L978:L1041" si="63">J978+K978</f>
        <v>17601670</v>
      </c>
      <c r="M978" s="403"/>
    </row>
    <row r="979" spans="1:13" ht="15.75" x14ac:dyDescent="0.25">
      <c r="A979" s="6" t="s">
        <v>1559</v>
      </c>
      <c r="B979" s="7" t="s">
        <v>1560</v>
      </c>
      <c r="C979" s="6" t="s">
        <v>1561</v>
      </c>
      <c r="D979" s="8">
        <v>2</v>
      </c>
      <c r="E979" s="403"/>
      <c r="F979" s="403">
        <f>BBNTHT!J1019</f>
        <v>1</v>
      </c>
      <c r="G979" s="403">
        <f t="shared" si="60"/>
        <v>1</v>
      </c>
      <c r="H979" s="9">
        <v>131863416</v>
      </c>
      <c r="I979" s="404">
        <f t="shared" si="61"/>
        <v>263726832</v>
      </c>
      <c r="J979" s="403"/>
      <c r="K979" s="404">
        <f t="shared" si="62"/>
        <v>131863416</v>
      </c>
      <c r="L979" s="405">
        <f t="shared" si="63"/>
        <v>131863416</v>
      </c>
      <c r="M979" s="403"/>
    </row>
    <row r="980" spans="1:13" ht="15.75" x14ac:dyDescent="0.25">
      <c r="A980" s="6" t="s">
        <v>1562</v>
      </c>
      <c r="B980" s="7" t="s">
        <v>1563</v>
      </c>
      <c r="C980" s="6" t="s">
        <v>9</v>
      </c>
      <c r="D980" s="8">
        <v>1</v>
      </c>
      <c r="E980" s="403"/>
      <c r="F980" s="403">
        <f>BBNTHT!J1020</f>
        <v>0</v>
      </c>
      <c r="G980" s="403">
        <f t="shared" si="60"/>
        <v>0</v>
      </c>
      <c r="H980" s="9">
        <v>12728513</v>
      </c>
      <c r="I980" s="404">
        <f t="shared" si="61"/>
        <v>12728513</v>
      </c>
      <c r="J980" s="403"/>
      <c r="K980" s="404">
        <f t="shared" si="62"/>
        <v>0</v>
      </c>
      <c r="L980" s="405">
        <f t="shared" si="63"/>
        <v>0</v>
      </c>
      <c r="M980" s="403"/>
    </row>
    <row r="981" spans="1:13" ht="15.75" x14ac:dyDescent="0.25">
      <c r="A981" s="6" t="s">
        <v>1564</v>
      </c>
      <c r="B981" s="7" t="s">
        <v>1565</v>
      </c>
      <c r="C981" s="6" t="s">
        <v>9</v>
      </c>
      <c r="D981" s="8">
        <v>1</v>
      </c>
      <c r="E981" s="403"/>
      <c r="F981" s="403">
        <f>BBNTHT!J1021</f>
        <v>0</v>
      </c>
      <c r="G981" s="403">
        <f t="shared" si="60"/>
        <v>0</v>
      </c>
      <c r="H981" s="9">
        <v>8934890</v>
      </c>
      <c r="I981" s="404">
        <f t="shared" si="61"/>
        <v>8934890</v>
      </c>
      <c r="J981" s="403"/>
      <c r="K981" s="404">
        <f t="shared" si="62"/>
        <v>0</v>
      </c>
      <c r="L981" s="405">
        <f t="shared" si="63"/>
        <v>0</v>
      </c>
      <c r="M981" s="403"/>
    </row>
    <row r="982" spans="1:13" ht="15.75" x14ac:dyDescent="0.25">
      <c r="A982" s="6" t="s">
        <v>1566</v>
      </c>
      <c r="B982" s="7" t="s">
        <v>1567</v>
      </c>
      <c r="C982" s="6" t="s">
        <v>9</v>
      </c>
      <c r="D982" s="8">
        <v>2</v>
      </c>
      <c r="E982" s="403"/>
      <c r="F982" s="403">
        <f>BBNTHT!J1022</f>
        <v>0</v>
      </c>
      <c r="G982" s="403">
        <f t="shared" si="60"/>
        <v>0</v>
      </c>
      <c r="H982" s="9">
        <v>9051006</v>
      </c>
      <c r="I982" s="404">
        <f t="shared" si="61"/>
        <v>18102012</v>
      </c>
      <c r="J982" s="403"/>
      <c r="K982" s="404">
        <f t="shared" si="62"/>
        <v>0</v>
      </c>
      <c r="L982" s="405">
        <f t="shared" si="63"/>
        <v>0</v>
      </c>
      <c r="M982" s="403"/>
    </row>
    <row r="983" spans="1:13" ht="15.75" x14ac:dyDescent="0.25">
      <c r="A983" s="6" t="s">
        <v>1568</v>
      </c>
      <c r="B983" s="7" t="s">
        <v>1569</v>
      </c>
      <c r="C983" s="6" t="s">
        <v>9</v>
      </c>
      <c r="D983" s="8">
        <v>2</v>
      </c>
      <c r="E983" s="403"/>
      <c r="F983" s="403">
        <f>BBNTHT!J1023</f>
        <v>0</v>
      </c>
      <c r="G983" s="403">
        <f t="shared" si="60"/>
        <v>0</v>
      </c>
      <c r="H983" s="9">
        <v>2111107</v>
      </c>
      <c r="I983" s="404">
        <f t="shared" si="61"/>
        <v>4222214</v>
      </c>
      <c r="J983" s="403"/>
      <c r="K983" s="404">
        <f t="shared" si="62"/>
        <v>0</v>
      </c>
      <c r="L983" s="405">
        <f t="shared" si="63"/>
        <v>0</v>
      </c>
      <c r="M983" s="403"/>
    </row>
    <row r="984" spans="1:13" ht="15.75" x14ac:dyDescent="0.25">
      <c r="A984" s="6" t="s">
        <v>1570</v>
      </c>
      <c r="B984" s="7" t="s">
        <v>1571</v>
      </c>
      <c r="C984" s="6" t="s">
        <v>9</v>
      </c>
      <c r="D984" s="8">
        <v>1</v>
      </c>
      <c r="E984" s="403"/>
      <c r="F984" s="403">
        <f>BBNTHT!J1024</f>
        <v>0</v>
      </c>
      <c r="G984" s="403">
        <f t="shared" si="60"/>
        <v>0</v>
      </c>
      <c r="H984" s="9">
        <v>1258441</v>
      </c>
      <c r="I984" s="404">
        <f t="shared" si="61"/>
        <v>1258441</v>
      </c>
      <c r="J984" s="403"/>
      <c r="K984" s="404">
        <f t="shared" si="62"/>
        <v>0</v>
      </c>
      <c r="L984" s="405">
        <f t="shared" si="63"/>
        <v>0</v>
      </c>
      <c r="M984" s="403"/>
    </row>
    <row r="985" spans="1:13" ht="15.75" x14ac:dyDescent="0.25">
      <c r="A985" s="6" t="s">
        <v>1572</v>
      </c>
      <c r="B985" s="7" t="s">
        <v>1573</v>
      </c>
      <c r="C985" s="6" t="s">
        <v>9</v>
      </c>
      <c r="D985" s="8">
        <v>2</v>
      </c>
      <c r="E985" s="403"/>
      <c r="F985" s="403">
        <f>BBNTHT!J1025</f>
        <v>0</v>
      </c>
      <c r="G985" s="403">
        <f t="shared" si="60"/>
        <v>0</v>
      </c>
      <c r="H985" s="9">
        <v>1008310</v>
      </c>
      <c r="I985" s="404">
        <f t="shared" si="61"/>
        <v>2016620</v>
      </c>
      <c r="J985" s="403"/>
      <c r="K985" s="404">
        <f t="shared" si="62"/>
        <v>0</v>
      </c>
      <c r="L985" s="405">
        <f t="shared" si="63"/>
        <v>0</v>
      </c>
      <c r="M985" s="403"/>
    </row>
    <row r="986" spans="1:13" ht="15.75" x14ac:dyDescent="0.25">
      <c r="A986" s="6" t="s">
        <v>1574</v>
      </c>
      <c r="B986" s="7" t="s">
        <v>1452</v>
      </c>
      <c r="C986" s="6" t="s">
        <v>9</v>
      </c>
      <c r="D986" s="8">
        <v>10</v>
      </c>
      <c r="E986" s="403"/>
      <c r="F986" s="403">
        <f>BBNTHT!J1026</f>
        <v>0</v>
      </c>
      <c r="G986" s="403">
        <f t="shared" si="60"/>
        <v>0</v>
      </c>
      <c r="H986" s="9">
        <v>878903</v>
      </c>
      <c r="I986" s="404">
        <f t="shared" si="61"/>
        <v>8789030</v>
      </c>
      <c r="J986" s="403"/>
      <c r="K986" s="404">
        <f t="shared" si="62"/>
        <v>0</v>
      </c>
      <c r="L986" s="405">
        <f t="shared" si="63"/>
        <v>0</v>
      </c>
      <c r="M986" s="403"/>
    </row>
    <row r="987" spans="1:13" ht="15.75" x14ac:dyDescent="0.25">
      <c r="A987" s="6" t="s">
        <v>1575</v>
      </c>
      <c r="B987" s="7" t="s">
        <v>1576</v>
      </c>
      <c r="C987" s="6" t="s">
        <v>14</v>
      </c>
      <c r="D987" s="8">
        <v>0.68</v>
      </c>
      <c r="E987" s="403"/>
      <c r="F987" s="403">
        <f>BBNTHT!J1027</f>
        <v>0.47599999999999998</v>
      </c>
      <c r="G987" s="403">
        <f t="shared" si="60"/>
        <v>0.47599999999999998</v>
      </c>
      <c r="H987" s="9">
        <v>14260252</v>
      </c>
      <c r="I987" s="404">
        <f t="shared" si="61"/>
        <v>9696971</v>
      </c>
      <c r="J987" s="403"/>
      <c r="K987" s="404">
        <f t="shared" si="62"/>
        <v>6787880</v>
      </c>
      <c r="L987" s="405">
        <f t="shared" si="63"/>
        <v>6787880</v>
      </c>
      <c r="M987" s="403"/>
    </row>
    <row r="988" spans="1:13" ht="15.75" x14ac:dyDescent="0.25">
      <c r="A988" s="6" t="s">
        <v>1577</v>
      </c>
      <c r="B988" s="7" t="s">
        <v>1578</v>
      </c>
      <c r="C988" s="6" t="s">
        <v>14</v>
      </c>
      <c r="D988" s="8">
        <v>1.59</v>
      </c>
      <c r="E988" s="403"/>
      <c r="F988" s="403">
        <f>BBNTHT!J1028</f>
        <v>1.113</v>
      </c>
      <c r="G988" s="403">
        <f t="shared" si="60"/>
        <v>1.113</v>
      </c>
      <c r="H988" s="9">
        <v>12163446</v>
      </c>
      <c r="I988" s="404">
        <f t="shared" si="61"/>
        <v>19339879</v>
      </c>
      <c r="J988" s="403"/>
      <c r="K988" s="404">
        <f t="shared" si="62"/>
        <v>13537915</v>
      </c>
      <c r="L988" s="405">
        <f t="shared" si="63"/>
        <v>13537915</v>
      </c>
      <c r="M988" s="403"/>
    </row>
    <row r="989" spans="1:13" ht="15.75" x14ac:dyDescent="0.25">
      <c r="A989" s="6" t="s">
        <v>1579</v>
      </c>
      <c r="B989" s="7" t="s">
        <v>1580</v>
      </c>
      <c r="C989" s="6" t="s">
        <v>14</v>
      </c>
      <c r="D989" s="8">
        <v>0.22</v>
      </c>
      <c r="E989" s="403"/>
      <c r="F989" s="403">
        <f>BBNTHT!J1029</f>
        <v>0.154</v>
      </c>
      <c r="G989" s="403">
        <f t="shared" si="60"/>
        <v>0.154</v>
      </c>
      <c r="H989" s="9">
        <v>44140842</v>
      </c>
      <c r="I989" s="404">
        <f t="shared" si="61"/>
        <v>9710985</v>
      </c>
      <c r="J989" s="403"/>
      <c r="K989" s="404">
        <f t="shared" si="62"/>
        <v>6797690</v>
      </c>
      <c r="L989" s="405">
        <f t="shared" si="63"/>
        <v>6797690</v>
      </c>
      <c r="M989" s="403"/>
    </row>
    <row r="990" spans="1:13" ht="15.75" x14ac:dyDescent="0.25">
      <c r="A990" s="6" t="s">
        <v>1581</v>
      </c>
      <c r="B990" s="7" t="s">
        <v>1582</v>
      </c>
      <c r="C990" s="6" t="s">
        <v>14</v>
      </c>
      <c r="D990" s="8">
        <v>0.4</v>
      </c>
      <c r="E990" s="403"/>
      <c r="F990" s="403">
        <f>BBNTHT!J1030</f>
        <v>0.27999999999999997</v>
      </c>
      <c r="G990" s="403">
        <f t="shared" si="60"/>
        <v>0.27999999999999997</v>
      </c>
      <c r="H990" s="9">
        <v>31156333</v>
      </c>
      <c r="I990" s="404">
        <f t="shared" si="61"/>
        <v>12462533</v>
      </c>
      <c r="J990" s="403"/>
      <c r="K990" s="404">
        <f t="shared" si="62"/>
        <v>8723773</v>
      </c>
      <c r="L990" s="405">
        <f t="shared" si="63"/>
        <v>8723773</v>
      </c>
      <c r="M990" s="403"/>
    </row>
    <row r="991" spans="1:13" ht="15.75" x14ac:dyDescent="0.25">
      <c r="A991" s="6" t="s">
        <v>1583</v>
      </c>
      <c r="B991" s="7" t="s">
        <v>1584</v>
      </c>
      <c r="C991" s="6" t="s">
        <v>14</v>
      </c>
      <c r="D991" s="8">
        <v>8.4700000000000006</v>
      </c>
      <c r="E991" s="403"/>
      <c r="F991" s="403">
        <f>BBNTHT!J1031</f>
        <v>5.9290000000000003</v>
      </c>
      <c r="G991" s="403">
        <f t="shared" si="60"/>
        <v>5.9290000000000003</v>
      </c>
      <c r="H991" s="9">
        <v>22868817</v>
      </c>
      <c r="I991" s="404">
        <f t="shared" si="61"/>
        <v>193698880</v>
      </c>
      <c r="J991" s="403"/>
      <c r="K991" s="404">
        <f t="shared" si="62"/>
        <v>135589216</v>
      </c>
      <c r="L991" s="405">
        <f t="shared" si="63"/>
        <v>135589216</v>
      </c>
      <c r="M991" s="403"/>
    </row>
    <row r="992" spans="1:13" ht="15.75" x14ac:dyDescent="0.25">
      <c r="A992" s="6" t="s">
        <v>1585</v>
      </c>
      <c r="B992" s="7" t="s">
        <v>1586</v>
      </c>
      <c r="C992" s="6" t="s">
        <v>14</v>
      </c>
      <c r="D992" s="8">
        <v>0.4</v>
      </c>
      <c r="E992" s="403"/>
      <c r="F992" s="403">
        <f>BBNTHT!J1032</f>
        <v>0.27999999999999997</v>
      </c>
      <c r="G992" s="403">
        <f t="shared" si="60"/>
        <v>0.27999999999999997</v>
      </c>
      <c r="H992" s="9">
        <v>15047348</v>
      </c>
      <c r="I992" s="404">
        <f t="shared" si="61"/>
        <v>6018939</v>
      </c>
      <c r="J992" s="403"/>
      <c r="K992" s="404">
        <f t="shared" si="62"/>
        <v>4213257</v>
      </c>
      <c r="L992" s="405">
        <f t="shared" si="63"/>
        <v>4213257</v>
      </c>
      <c r="M992" s="403"/>
    </row>
    <row r="993" spans="1:13" ht="15.75" x14ac:dyDescent="0.25">
      <c r="A993" s="6" t="s">
        <v>1587</v>
      </c>
      <c r="B993" s="7" t="s">
        <v>1588</v>
      </c>
      <c r="C993" s="6" t="s">
        <v>14</v>
      </c>
      <c r="D993" s="8">
        <v>0.32</v>
      </c>
      <c r="E993" s="403"/>
      <c r="F993" s="403">
        <f>BBNTHT!J1033</f>
        <v>0.22399999999999998</v>
      </c>
      <c r="G993" s="403">
        <f t="shared" si="60"/>
        <v>0.22399999999999998</v>
      </c>
      <c r="H993" s="9">
        <v>10716825</v>
      </c>
      <c r="I993" s="404">
        <f t="shared" si="61"/>
        <v>3429384</v>
      </c>
      <c r="J993" s="403"/>
      <c r="K993" s="404">
        <f t="shared" si="62"/>
        <v>2400569</v>
      </c>
      <c r="L993" s="405">
        <f t="shared" si="63"/>
        <v>2400569</v>
      </c>
      <c r="M993" s="403"/>
    </row>
    <row r="994" spans="1:13" ht="15.75" x14ac:dyDescent="0.25">
      <c r="A994" s="6" t="s">
        <v>1589</v>
      </c>
      <c r="B994" s="7" t="s">
        <v>1456</v>
      </c>
      <c r="C994" s="6" t="s">
        <v>14</v>
      </c>
      <c r="D994" s="8">
        <v>1.48</v>
      </c>
      <c r="E994" s="403"/>
      <c r="F994" s="403">
        <f>BBNTHT!J1034</f>
        <v>1.036</v>
      </c>
      <c r="G994" s="403">
        <f t="shared" si="60"/>
        <v>1.036</v>
      </c>
      <c r="H994" s="9">
        <v>8366469</v>
      </c>
      <c r="I994" s="404">
        <f t="shared" si="61"/>
        <v>12382374</v>
      </c>
      <c r="J994" s="403"/>
      <c r="K994" s="404">
        <f t="shared" si="62"/>
        <v>8667662</v>
      </c>
      <c r="L994" s="405">
        <f t="shared" si="63"/>
        <v>8667662</v>
      </c>
      <c r="M994" s="403"/>
    </row>
    <row r="995" spans="1:13" ht="15.75" x14ac:dyDescent="0.25">
      <c r="A995" s="6" t="s">
        <v>1590</v>
      </c>
      <c r="B995" s="7" t="s">
        <v>1458</v>
      </c>
      <c r="C995" s="6" t="s">
        <v>14</v>
      </c>
      <c r="D995" s="8">
        <v>6.78</v>
      </c>
      <c r="E995" s="403"/>
      <c r="F995" s="403">
        <f>BBNTHT!J1035</f>
        <v>4.7459999999999996</v>
      </c>
      <c r="G995" s="403">
        <f t="shared" si="60"/>
        <v>4.7459999999999996</v>
      </c>
      <c r="H995" s="9">
        <v>5314047</v>
      </c>
      <c r="I995" s="404">
        <f t="shared" si="61"/>
        <v>36029239</v>
      </c>
      <c r="J995" s="403"/>
      <c r="K995" s="404">
        <f t="shared" si="62"/>
        <v>25220467</v>
      </c>
      <c r="L995" s="405">
        <f t="shared" si="63"/>
        <v>25220467</v>
      </c>
      <c r="M995" s="403"/>
    </row>
    <row r="996" spans="1:13" ht="15.75" x14ac:dyDescent="0.25">
      <c r="A996" s="6" t="s">
        <v>1591</v>
      </c>
      <c r="B996" s="7" t="s">
        <v>1460</v>
      </c>
      <c r="C996" s="6" t="s">
        <v>14</v>
      </c>
      <c r="D996" s="8">
        <v>0.15</v>
      </c>
      <c r="E996" s="403"/>
      <c r="F996" s="403">
        <f>BBNTHT!J1036</f>
        <v>0.105</v>
      </c>
      <c r="G996" s="403">
        <f t="shared" si="60"/>
        <v>0.105</v>
      </c>
      <c r="H996" s="9">
        <v>3949687</v>
      </c>
      <c r="I996" s="404">
        <f t="shared" si="61"/>
        <v>592453</v>
      </c>
      <c r="J996" s="403"/>
      <c r="K996" s="404">
        <f t="shared" si="62"/>
        <v>414717</v>
      </c>
      <c r="L996" s="405">
        <f t="shared" si="63"/>
        <v>414717</v>
      </c>
      <c r="M996" s="403"/>
    </row>
    <row r="997" spans="1:13" ht="15.75" x14ac:dyDescent="0.25">
      <c r="A997" s="6" t="s">
        <v>1592</v>
      </c>
      <c r="B997" s="7" t="s">
        <v>1593</v>
      </c>
      <c r="C997" s="6" t="s">
        <v>9</v>
      </c>
      <c r="D997" s="8">
        <v>16</v>
      </c>
      <c r="E997" s="403"/>
      <c r="F997" s="403">
        <f>BBNTHT!J1037</f>
        <v>11</v>
      </c>
      <c r="G997" s="403">
        <f t="shared" si="60"/>
        <v>11</v>
      </c>
      <c r="H997" s="9">
        <v>288862</v>
      </c>
      <c r="I997" s="404">
        <f t="shared" si="61"/>
        <v>4621792</v>
      </c>
      <c r="J997" s="403"/>
      <c r="K997" s="404">
        <f t="shared" si="62"/>
        <v>3177482</v>
      </c>
      <c r="L997" s="405">
        <f t="shared" si="63"/>
        <v>3177482</v>
      </c>
      <c r="M997" s="403"/>
    </row>
    <row r="998" spans="1:13" ht="15.75" x14ac:dyDescent="0.25">
      <c r="A998" s="6" t="s">
        <v>1594</v>
      </c>
      <c r="B998" s="7" t="s">
        <v>1595</v>
      </c>
      <c r="C998" s="6" t="s">
        <v>9</v>
      </c>
      <c r="D998" s="8">
        <v>2.2000000000000002</v>
      </c>
      <c r="E998" s="403"/>
      <c r="F998" s="403">
        <f>BBNTHT!J1038</f>
        <v>1</v>
      </c>
      <c r="G998" s="403">
        <f t="shared" si="60"/>
        <v>1</v>
      </c>
      <c r="H998" s="9">
        <v>189785</v>
      </c>
      <c r="I998" s="404">
        <f t="shared" si="61"/>
        <v>417527</v>
      </c>
      <c r="J998" s="403"/>
      <c r="K998" s="404">
        <f t="shared" si="62"/>
        <v>189785</v>
      </c>
      <c r="L998" s="405">
        <f t="shared" si="63"/>
        <v>189785</v>
      </c>
      <c r="M998" s="403"/>
    </row>
    <row r="999" spans="1:13" ht="15.75" x14ac:dyDescent="0.25">
      <c r="A999" s="6" t="s">
        <v>1596</v>
      </c>
      <c r="B999" s="7" t="s">
        <v>1597</v>
      </c>
      <c r="C999" s="6" t="s">
        <v>9</v>
      </c>
      <c r="D999" s="8">
        <v>4</v>
      </c>
      <c r="E999" s="403"/>
      <c r="F999" s="403">
        <f>BBNTHT!J1039</f>
        <v>2</v>
      </c>
      <c r="G999" s="403">
        <f t="shared" si="60"/>
        <v>2</v>
      </c>
      <c r="H999" s="9">
        <v>121886</v>
      </c>
      <c r="I999" s="404">
        <f t="shared" si="61"/>
        <v>487544</v>
      </c>
      <c r="J999" s="403"/>
      <c r="K999" s="404">
        <f t="shared" si="62"/>
        <v>243772</v>
      </c>
      <c r="L999" s="405">
        <f t="shared" si="63"/>
        <v>243772</v>
      </c>
      <c r="M999" s="403"/>
    </row>
    <row r="1000" spans="1:13" ht="15.75" x14ac:dyDescent="0.25">
      <c r="A1000" s="6" t="s">
        <v>1598</v>
      </c>
      <c r="B1000" s="7" t="s">
        <v>1599</v>
      </c>
      <c r="C1000" s="6" t="s">
        <v>9</v>
      </c>
      <c r="D1000" s="8">
        <v>84.7</v>
      </c>
      <c r="E1000" s="403"/>
      <c r="F1000" s="403">
        <f>BBNTHT!J1040</f>
        <v>59</v>
      </c>
      <c r="G1000" s="403">
        <f t="shared" si="60"/>
        <v>59</v>
      </c>
      <c r="H1000" s="9">
        <v>86546</v>
      </c>
      <c r="I1000" s="404">
        <f t="shared" si="61"/>
        <v>7330446</v>
      </c>
      <c r="J1000" s="403"/>
      <c r="K1000" s="404">
        <f t="shared" si="62"/>
        <v>5106214</v>
      </c>
      <c r="L1000" s="405">
        <f t="shared" si="63"/>
        <v>5106214</v>
      </c>
      <c r="M1000" s="403"/>
    </row>
    <row r="1001" spans="1:13" ht="15.75" x14ac:dyDescent="0.25">
      <c r="A1001" s="6" t="s">
        <v>1600</v>
      </c>
      <c r="B1001" s="7" t="s">
        <v>1601</v>
      </c>
      <c r="C1001" s="6" t="s">
        <v>9</v>
      </c>
      <c r="D1001" s="8">
        <v>4</v>
      </c>
      <c r="E1001" s="403"/>
      <c r="F1001" s="403">
        <f>BBNTHT!J1041</f>
        <v>2</v>
      </c>
      <c r="G1001" s="403">
        <f t="shared" si="60"/>
        <v>2</v>
      </c>
      <c r="H1001" s="9">
        <v>54943</v>
      </c>
      <c r="I1001" s="404">
        <f t="shared" si="61"/>
        <v>219772</v>
      </c>
      <c r="J1001" s="403"/>
      <c r="K1001" s="404">
        <f t="shared" si="62"/>
        <v>109886</v>
      </c>
      <c r="L1001" s="405">
        <f t="shared" si="63"/>
        <v>109886</v>
      </c>
      <c r="M1001" s="403"/>
    </row>
    <row r="1002" spans="1:13" ht="15.75" x14ac:dyDescent="0.25">
      <c r="A1002" s="6" t="s">
        <v>1602</v>
      </c>
      <c r="B1002" s="7" t="s">
        <v>1603</v>
      </c>
      <c r="C1002" s="6" t="s">
        <v>9</v>
      </c>
      <c r="D1002" s="8">
        <v>3.2</v>
      </c>
      <c r="E1002" s="403"/>
      <c r="F1002" s="403">
        <f>BBNTHT!J1042</f>
        <v>2</v>
      </c>
      <c r="G1002" s="403">
        <f t="shared" si="60"/>
        <v>2</v>
      </c>
      <c r="H1002" s="9">
        <v>40686</v>
      </c>
      <c r="I1002" s="404">
        <f t="shared" si="61"/>
        <v>130195</v>
      </c>
      <c r="J1002" s="403"/>
      <c r="K1002" s="404">
        <f t="shared" si="62"/>
        <v>81372</v>
      </c>
      <c r="L1002" s="405">
        <f t="shared" si="63"/>
        <v>81372</v>
      </c>
      <c r="M1002" s="403"/>
    </row>
    <row r="1003" spans="1:13" ht="15.75" x14ac:dyDescent="0.25">
      <c r="A1003" s="6" t="s">
        <v>1604</v>
      </c>
      <c r="B1003" s="7" t="s">
        <v>1605</v>
      </c>
      <c r="C1003" s="6" t="s">
        <v>9</v>
      </c>
      <c r="D1003" s="8">
        <v>14.8</v>
      </c>
      <c r="E1003" s="403"/>
      <c r="F1003" s="403">
        <f>BBNTHT!J1043</f>
        <v>10</v>
      </c>
      <c r="G1003" s="403">
        <f t="shared" si="60"/>
        <v>10</v>
      </c>
      <c r="H1003" s="9">
        <v>34300</v>
      </c>
      <c r="I1003" s="404">
        <f t="shared" si="61"/>
        <v>507640</v>
      </c>
      <c r="J1003" s="403"/>
      <c r="K1003" s="404">
        <f t="shared" si="62"/>
        <v>343000</v>
      </c>
      <c r="L1003" s="405">
        <f t="shared" si="63"/>
        <v>343000</v>
      </c>
      <c r="M1003" s="403"/>
    </row>
    <row r="1004" spans="1:13" ht="15.75" x14ac:dyDescent="0.25">
      <c r="A1004" s="6" t="s">
        <v>1606</v>
      </c>
      <c r="B1004" s="7" t="s">
        <v>1607</v>
      </c>
      <c r="C1004" s="6" t="s">
        <v>9</v>
      </c>
      <c r="D1004" s="8">
        <v>67.8</v>
      </c>
      <c r="E1004" s="403"/>
      <c r="F1004" s="403">
        <f>BBNTHT!J1044</f>
        <v>47</v>
      </c>
      <c r="G1004" s="403">
        <f t="shared" si="60"/>
        <v>47</v>
      </c>
      <c r="H1004" s="9">
        <v>30039</v>
      </c>
      <c r="I1004" s="404">
        <f t="shared" si="61"/>
        <v>2036644</v>
      </c>
      <c r="J1004" s="403"/>
      <c r="K1004" s="404">
        <f t="shared" si="62"/>
        <v>1411833</v>
      </c>
      <c r="L1004" s="405">
        <f t="shared" si="63"/>
        <v>1411833</v>
      </c>
      <c r="M1004" s="403"/>
    </row>
    <row r="1005" spans="1:13" ht="15.75" x14ac:dyDescent="0.25">
      <c r="A1005" s="6" t="s">
        <v>1608</v>
      </c>
      <c r="B1005" s="7" t="s">
        <v>1609</v>
      </c>
      <c r="C1005" s="6" t="s">
        <v>9</v>
      </c>
      <c r="D1005" s="8">
        <v>2</v>
      </c>
      <c r="E1005" s="403"/>
      <c r="F1005" s="403">
        <f>BBNTHT!J1045</f>
        <v>1</v>
      </c>
      <c r="G1005" s="403">
        <f t="shared" si="60"/>
        <v>1</v>
      </c>
      <c r="H1005" s="9">
        <v>321367</v>
      </c>
      <c r="I1005" s="404">
        <f t="shared" si="61"/>
        <v>642734</v>
      </c>
      <c r="J1005" s="403"/>
      <c r="K1005" s="404">
        <f t="shared" si="62"/>
        <v>321367</v>
      </c>
      <c r="L1005" s="405">
        <f t="shared" si="63"/>
        <v>321367</v>
      </c>
      <c r="M1005" s="403"/>
    </row>
    <row r="1006" spans="1:13" ht="15.75" x14ac:dyDescent="0.25">
      <c r="A1006" s="6" t="s">
        <v>1610</v>
      </c>
      <c r="B1006" s="7" t="s">
        <v>1611</v>
      </c>
      <c r="C1006" s="6" t="s">
        <v>9</v>
      </c>
      <c r="D1006" s="8">
        <v>6</v>
      </c>
      <c r="E1006" s="403"/>
      <c r="F1006" s="403">
        <f>BBNTHT!J1046</f>
        <v>4</v>
      </c>
      <c r="G1006" s="403">
        <f t="shared" si="60"/>
        <v>4</v>
      </c>
      <c r="H1006" s="9">
        <v>481566</v>
      </c>
      <c r="I1006" s="404">
        <f t="shared" si="61"/>
        <v>2889396</v>
      </c>
      <c r="J1006" s="403"/>
      <c r="K1006" s="404">
        <f t="shared" si="62"/>
        <v>1926264</v>
      </c>
      <c r="L1006" s="405">
        <f t="shared" si="63"/>
        <v>1926264</v>
      </c>
      <c r="M1006" s="403"/>
    </row>
    <row r="1007" spans="1:13" ht="15.75" x14ac:dyDescent="0.25">
      <c r="A1007" s="6" t="s">
        <v>1612</v>
      </c>
      <c r="B1007" s="7" t="s">
        <v>1613</v>
      </c>
      <c r="C1007" s="6" t="s">
        <v>9</v>
      </c>
      <c r="D1007" s="8">
        <v>17</v>
      </c>
      <c r="E1007" s="403"/>
      <c r="F1007" s="403">
        <f>BBNTHT!J1047</f>
        <v>11</v>
      </c>
      <c r="G1007" s="403">
        <f t="shared" si="60"/>
        <v>11</v>
      </c>
      <c r="H1007" s="9">
        <v>297921</v>
      </c>
      <c r="I1007" s="404">
        <f t="shared" si="61"/>
        <v>5064657</v>
      </c>
      <c r="J1007" s="403"/>
      <c r="K1007" s="404">
        <f t="shared" si="62"/>
        <v>3277131</v>
      </c>
      <c r="L1007" s="405">
        <f t="shared" si="63"/>
        <v>3277131</v>
      </c>
      <c r="M1007" s="403"/>
    </row>
    <row r="1008" spans="1:13" ht="15.75" x14ac:dyDescent="0.25">
      <c r="A1008" s="6" t="s">
        <v>1614</v>
      </c>
      <c r="B1008" s="7" t="s">
        <v>1615</v>
      </c>
      <c r="C1008" s="6" t="s">
        <v>9</v>
      </c>
      <c r="D1008" s="8">
        <v>4</v>
      </c>
      <c r="E1008" s="403"/>
      <c r="F1008" s="403">
        <f>BBNTHT!J1048</f>
        <v>2</v>
      </c>
      <c r="G1008" s="403">
        <f t="shared" si="60"/>
        <v>2</v>
      </c>
      <c r="H1008" s="9">
        <v>212826</v>
      </c>
      <c r="I1008" s="404">
        <f t="shared" si="61"/>
        <v>851304</v>
      </c>
      <c r="J1008" s="403"/>
      <c r="K1008" s="404">
        <f t="shared" si="62"/>
        <v>425652</v>
      </c>
      <c r="L1008" s="405">
        <f t="shared" si="63"/>
        <v>425652</v>
      </c>
      <c r="M1008" s="403"/>
    </row>
    <row r="1009" spans="1:13" ht="15.75" x14ac:dyDescent="0.25">
      <c r="A1009" s="6" t="s">
        <v>1616</v>
      </c>
      <c r="B1009" s="7" t="s">
        <v>1617</v>
      </c>
      <c r="C1009" s="6" t="s">
        <v>9</v>
      </c>
      <c r="D1009" s="8">
        <v>80</v>
      </c>
      <c r="E1009" s="403"/>
      <c r="F1009" s="403">
        <f>BBNTHT!J1049</f>
        <v>56</v>
      </c>
      <c r="G1009" s="403">
        <f t="shared" si="60"/>
        <v>56</v>
      </c>
      <c r="H1009" s="9">
        <v>168467</v>
      </c>
      <c r="I1009" s="404">
        <f t="shared" si="61"/>
        <v>13477360</v>
      </c>
      <c r="J1009" s="403"/>
      <c r="K1009" s="404">
        <f t="shared" si="62"/>
        <v>9434152</v>
      </c>
      <c r="L1009" s="405">
        <f t="shared" si="63"/>
        <v>9434152</v>
      </c>
      <c r="M1009" s="403"/>
    </row>
    <row r="1010" spans="1:13" ht="15.75" x14ac:dyDescent="0.25">
      <c r="A1010" s="6" t="s">
        <v>1618</v>
      </c>
      <c r="B1010" s="7" t="s">
        <v>1619</v>
      </c>
      <c r="C1010" s="6" t="s">
        <v>9</v>
      </c>
      <c r="D1010" s="8">
        <v>8</v>
      </c>
      <c r="E1010" s="403"/>
      <c r="F1010" s="403">
        <f>BBNTHT!J1050</f>
        <v>5</v>
      </c>
      <c r="G1010" s="403">
        <f t="shared" si="60"/>
        <v>5</v>
      </c>
      <c r="H1010" s="9">
        <v>72978</v>
      </c>
      <c r="I1010" s="404">
        <f t="shared" si="61"/>
        <v>583824</v>
      </c>
      <c r="J1010" s="403"/>
      <c r="K1010" s="404">
        <f t="shared" si="62"/>
        <v>364890</v>
      </c>
      <c r="L1010" s="405">
        <f t="shared" si="63"/>
        <v>364890</v>
      </c>
      <c r="M1010" s="403"/>
    </row>
    <row r="1011" spans="1:13" ht="15.75" x14ac:dyDescent="0.25">
      <c r="A1011" s="6" t="s">
        <v>1620</v>
      </c>
      <c r="B1011" s="7" t="s">
        <v>1621</v>
      </c>
      <c r="C1011" s="6" t="s">
        <v>9</v>
      </c>
      <c r="D1011" s="8">
        <v>14</v>
      </c>
      <c r="E1011" s="403"/>
      <c r="F1011" s="403">
        <f>BBNTHT!J1051</f>
        <v>9</v>
      </c>
      <c r="G1011" s="403">
        <f t="shared" si="60"/>
        <v>9</v>
      </c>
      <c r="H1011" s="9">
        <v>51736</v>
      </c>
      <c r="I1011" s="404">
        <f t="shared" si="61"/>
        <v>724304</v>
      </c>
      <c r="J1011" s="403"/>
      <c r="K1011" s="404">
        <f t="shared" si="62"/>
        <v>465624</v>
      </c>
      <c r="L1011" s="405">
        <f t="shared" si="63"/>
        <v>465624</v>
      </c>
      <c r="M1011" s="403"/>
    </row>
    <row r="1012" spans="1:13" ht="15.75" x14ac:dyDescent="0.25">
      <c r="A1012" s="6" t="s">
        <v>1622</v>
      </c>
      <c r="B1012" s="7" t="s">
        <v>1623</v>
      </c>
      <c r="C1012" s="6" t="s">
        <v>9</v>
      </c>
      <c r="D1012" s="8">
        <v>28</v>
      </c>
      <c r="E1012" s="403"/>
      <c r="F1012" s="403">
        <f>BBNTHT!J1052</f>
        <v>19</v>
      </c>
      <c r="G1012" s="403">
        <f t="shared" si="60"/>
        <v>19</v>
      </c>
      <c r="H1012" s="9">
        <v>40651</v>
      </c>
      <c r="I1012" s="404">
        <f t="shared" si="61"/>
        <v>1138228</v>
      </c>
      <c r="J1012" s="403"/>
      <c r="K1012" s="404">
        <f t="shared" si="62"/>
        <v>772369</v>
      </c>
      <c r="L1012" s="405">
        <f t="shared" si="63"/>
        <v>772369</v>
      </c>
      <c r="M1012" s="403"/>
    </row>
    <row r="1013" spans="1:13" ht="15.75" x14ac:dyDescent="0.25">
      <c r="A1013" s="6" t="s">
        <v>1624</v>
      </c>
      <c r="B1013" s="7" t="s">
        <v>1625</v>
      </c>
      <c r="C1013" s="6" t="s">
        <v>9</v>
      </c>
      <c r="D1013" s="8">
        <v>126</v>
      </c>
      <c r="E1013" s="403"/>
      <c r="F1013" s="403">
        <f>BBNTHT!J1053</f>
        <v>88</v>
      </c>
      <c r="G1013" s="403">
        <f t="shared" si="60"/>
        <v>88</v>
      </c>
      <c r="H1013" s="9">
        <v>33088</v>
      </c>
      <c r="I1013" s="404">
        <f t="shared" si="61"/>
        <v>4169088</v>
      </c>
      <c r="J1013" s="403"/>
      <c r="K1013" s="404">
        <f t="shared" si="62"/>
        <v>2911744</v>
      </c>
      <c r="L1013" s="405">
        <f t="shared" si="63"/>
        <v>2911744</v>
      </c>
      <c r="M1013" s="403"/>
    </row>
    <row r="1014" spans="1:13" ht="15.75" x14ac:dyDescent="0.25">
      <c r="A1014" s="6" t="s">
        <v>1626</v>
      </c>
      <c r="B1014" s="7" t="s">
        <v>1627</v>
      </c>
      <c r="C1014" s="6" t="s">
        <v>9</v>
      </c>
      <c r="D1014" s="8">
        <v>6</v>
      </c>
      <c r="E1014" s="403"/>
      <c r="F1014" s="403">
        <f>BBNTHT!J1054</f>
        <v>4</v>
      </c>
      <c r="G1014" s="403">
        <f t="shared" si="60"/>
        <v>4</v>
      </c>
      <c r="H1014" s="9">
        <v>29823</v>
      </c>
      <c r="I1014" s="404">
        <f t="shared" si="61"/>
        <v>178938</v>
      </c>
      <c r="J1014" s="403"/>
      <c r="K1014" s="404">
        <f t="shared" si="62"/>
        <v>119292</v>
      </c>
      <c r="L1014" s="405">
        <f t="shared" si="63"/>
        <v>119292</v>
      </c>
      <c r="M1014" s="403"/>
    </row>
    <row r="1015" spans="1:13" ht="15.75" x14ac:dyDescent="0.25">
      <c r="A1015" s="6" t="s">
        <v>1628</v>
      </c>
      <c r="B1015" s="7" t="s">
        <v>1629</v>
      </c>
      <c r="C1015" s="6" t="s">
        <v>9</v>
      </c>
      <c r="D1015" s="8">
        <v>5</v>
      </c>
      <c r="E1015" s="403"/>
      <c r="F1015" s="403">
        <f>BBNTHT!J1055</f>
        <v>3</v>
      </c>
      <c r="G1015" s="403">
        <f t="shared" si="60"/>
        <v>3</v>
      </c>
      <c r="H1015" s="9">
        <v>408004</v>
      </c>
      <c r="I1015" s="404">
        <f t="shared" si="61"/>
        <v>2040020</v>
      </c>
      <c r="J1015" s="403"/>
      <c r="K1015" s="404">
        <f t="shared" si="62"/>
        <v>1224012</v>
      </c>
      <c r="L1015" s="405">
        <f t="shared" si="63"/>
        <v>1224012</v>
      </c>
      <c r="M1015" s="403"/>
    </row>
    <row r="1016" spans="1:13" ht="15.75" x14ac:dyDescent="0.25">
      <c r="A1016" s="6" t="s">
        <v>1630</v>
      </c>
      <c r="B1016" s="7" t="s">
        <v>1631</v>
      </c>
      <c r="C1016" s="6" t="s">
        <v>9</v>
      </c>
      <c r="D1016" s="8">
        <v>4</v>
      </c>
      <c r="E1016" s="403"/>
      <c r="F1016" s="403">
        <f>BBNTHT!J1056</f>
        <v>2</v>
      </c>
      <c r="G1016" s="403">
        <f t="shared" si="60"/>
        <v>2</v>
      </c>
      <c r="H1016" s="9">
        <v>566112</v>
      </c>
      <c r="I1016" s="404">
        <f t="shared" si="61"/>
        <v>2264448</v>
      </c>
      <c r="J1016" s="403"/>
      <c r="K1016" s="404">
        <f t="shared" si="62"/>
        <v>1132224</v>
      </c>
      <c r="L1016" s="405">
        <f t="shared" si="63"/>
        <v>1132224</v>
      </c>
      <c r="M1016" s="403"/>
    </row>
    <row r="1017" spans="1:13" ht="15.75" x14ac:dyDescent="0.25">
      <c r="A1017" s="6" t="s">
        <v>1632</v>
      </c>
      <c r="B1017" s="7" t="s">
        <v>1633</v>
      </c>
      <c r="C1017" s="6" t="s">
        <v>9</v>
      </c>
      <c r="D1017" s="8">
        <v>6</v>
      </c>
      <c r="E1017" s="403"/>
      <c r="F1017" s="403">
        <f>BBNTHT!J1057</f>
        <v>4</v>
      </c>
      <c r="G1017" s="403">
        <f t="shared" si="60"/>
        <v>4</v>
      </c>
      <c r="H1017" s="9">
        <v>479804</v>
      </c>
      <c r="I1017" s="404">
        <f t="shared" si="61"/>
        <v>2878824</v>
      </c>
      <c r="J1017" s="403"/>
      <c r="K1017" s="404">
        <f t="shared" si="62"/>
        <v>1919216</v>
      </c>
      <c r="L1017" s="405">
        <f t="shared" si="63"/>
        <v>1919216</v>
      </c>
      <c r="M1017" s="403"/>
    </row>
    <row r="1018" spans="1:13" ht="15.75" x14ac:dyDescent="0.25">
      <c r="A1018" s="6" t="s">
        <v>1634</v>
      </c>
      <c r="B1018" s="7" t="s">
        <v>1635</v>
      </c>
      <c r="C1018" s="6" t="s">
        <v>9</v>
      </c>
      <c r="D1018" s="8">
        <v>12</v>
      </c>
      <c r="E1018" s="403"/>
      <c r="F1018" s="403">
        <f>BBNTHT!J1058</f>
        <v>8</v>
      </c>
      <c r="G1018" s="403">
        <f t="shared" si="60"/>
        <v>8</v>
      </c>
      <c r="H1018" s="9">
        <v>256178</v>
      </c>
      <c r="I1018" s="404">
        <f t="shared" si="61"/>
        <v>3074136</v>
      </c>
      <c r="J1018" s="403"/>
      <c r="K1018" s="404">
        <f t="shared" si="62"/>
        <v>2049424</v>
      </c>
      <c r="L1018" s="405">
        <f t="shared" si="63"/>
        <v>2049424</v>
      </c>
      <c r="M1018" s="403"/>
    </row>
    <row r="1019" spans="1:13" ht="15.75" x14ac:dyDescent="0.25">
      <c r="A1019" s="6" t="s">
        <v>1636</v>
      </c>
      <c r="B1019" s="7" t="s">
        <v>1637</v>
      </c>
      <c r="C1019" s="6" t="s">
        <v>9</v>
      </c>
      <c r="D1019" s="8">
        <v>1</v>
      </c>
      <c r="E1019" s="403"/>
      <c r="F1019" s="403">
        <f>BBNTHT!J1059</f>
        <v>0</v>
      </c>
      <c r="G1019" s="403">
        <f t="shared" si="60"/>
        <v>0</v>
      </c>
      <c r="H1019" s="9">
        <v>253383</v>
      </c>
      <c r="I1019" s="404">
        <f t="shared" si="61"/>
        <v>253383</v>
      </c>
      <c r="J1019" s="403"/>
      <c r="K1019" s="404">
        <f t="shared" si="62"/>
        <v>0</v>
      </c>
      <c r="L1019" s="405">
        <f t="shared" si="63"/>
        <v>0</v>
      </c>
      <c r="M1019" s="403"/>
    </row>
    <row r="1020" spans="1:13" ht="15.75" x14ac:dyDescent="0.25">
      <c r="A1020" s="6" t="s">
        <v>1638</v>
      </c>
      <c r="B1020" s="7" t="s">
        <v>1639</v>
      </c>
      <c r="C1020" s="6" t="s">
        <v>9</v>
      </c>
      <c r="D1020" s="8">
        <v>145</v>
      </c>
      <c r="E1020" s="403"/>
      <c r="F1020" s="403">
        <f>BBNTHT!J1060</f>
        <v>101</v>
      </c>
      <c r="G1020" s="403">
        <f t="shared" si="60"/>
        <v>101</v>
      </c>
      <c r="H1020" s="9">
        <v>106546</v>
      </c>
      <c r="I1020" s="404">
        <f t="shared" si="61"/>
        <v>15449170</v>
      </c>
      <c r="J1020" s="403"/>
      <c r="K1020" s="404">
        <f t="shared" si="62"/>
        <v>10761146</v>
      </c>
      <c r="L1020" s="405">
        <f t="shared" si="63"/>
        <v>10761146</v>
      </c>
      <c r="M1020" s="403"/>
    </row>
    <row r="1021" spans="1:13" ht="15.75" x14ac:dyDescent="0.25">
      <c r="A1021" s="6" t="s">
        <v>1640</v>
      </c>
      <c r="B1021" s="7" t="s">
        <v>1641</v>
      </c>
      <c r="C1021" s="6" t="s">
        <v>9</v>
      </c>
      <c r="D1021" s="8">
        <v>147</v>
      </c>
      <c r="E1021" s="403"/>
      <c r="F1021" s="403">
        <f>BBNTHT!J1061</f>
        <v>102</v>
      </c>
      <c r="G1021" s="403">
        <f t="shared" si="60"/>
        <v>102</v>
      </c>
      <c r="H1021" s="9">
        <v>191800</v>
      </c>
      <c r="I1021" s="404">
        <f t="shared" si="61"/>
        <v>28194600</v>
      </c>
      <c r="J1021" s="403"/>
      <c r="K1021" s="404">
        <f t="shared" si="62"/>
        <v>19563600</v>
      </c>
      <c r="L1021" s="405">
        <f t="shared" si="63"/>
        <v>19563600</v>
      </c>
      <c r="M1021" s="403"/>
    </row>
    <row r="1022" spans="1:13" ht="15.75" x14ac:dyDescent="0.25">
      <c r="A1022" s="6" t="s">
        <v>1642</v>
      </c>
      <c r="B1022" s="7" t="s">
        <v>1643</v>
      </c>
      <c r="C1022" s="6" t="s">
        <v>9</v>
      </c>
      <c r="D1022" s="8">
        <v>4</v>
      </c>
      <c r="E1022" s="403"/>
      <c r="F1022" s="403">
        <f>BBNTHT!J1062</f>
        <v>2</v>
      </c>
      <c r="G1022" s="403">
        <f t="shared" si="60"/>
        <v>2</v>
      </c>
      <c r="H1022" s="9">
        <v>127248</v>
      </c>
      <c r="I1022" s="404">
        <f t="shared" si="61"/>
        <v>508992</v>
      </c>
      <c r="J1022" s="403"/>
      <c r="K1022" s="404">
        <f t="shared" si="62"/>
        <v>254496</v>
      </c>
      <c r="L1022" s="405">
        <f t="shared" si="63"/>
        <v>254496</v>
      </c>
      <c r="M1022" s="403"/>
    </row>
    <row r="1023" spans="1:13" ht="15.75" x14ac:dyDescent="0.25">
      <c r="A1023" s="6" t="s">
        <v>1644</v>
      </c>
      <c r="B1023" s="7" t="s">
        <v>1645</v>
      </c>
      <c r="C1023" s="6" t="s">
        <v>9</v>
      </c>
      <c r="D1023" s="8">
        <v>3</v>
      </c>
      <c r="E1023" s="403"/>
      <c r="F1023" s="403">
        <f>BBNTHT!J1063</f>
        <v>2</v>
      </c>
      <c r="G1023" s="403">
        <f t="shared" si="60"/>
        <v>2</v>
      </c>
      <c r="H1023" s="9">
        <v>126487</v>
      </c>
      <c r="I1023" s="404">
        <f t="shared" si="61"/>
        <v>379461</v>
      </c>
      <c r="J1023" s="403"/>
      <c r="K1023" s="404">
        <f t="shared" si="62"/>
        <v>252974</v>
      </c>
      <c r="L1023" s="405">
        <f t="shared" si="63"/>
        <v>252974</v>
      </c>
      <c r="M1023" s="403"/>
    </row>
    <row r="1024" spans="1:13" ht="15.75" x14ac:dyDescent="0.25">
      <c r="A1024" s="6" t="s">
        <v>1646</v>
      </c>
      <c r="B1024" s="7" t="s">
        <v>1647</v>
      </c>
      <c r="C1024" s="6" t="s">
        <v>9</v>
      </c>
      <c r="D1024" s="8">
        <v>2</v>
      </c>
      <c r="E1024" s="403"/>
      <c r="F1024" s="403">
        <f>BBNTHT!J1064</f>
        <v>1</v>
      </c>
      <c r="G1024" s="403">
        <f t="shared" si="60"/>
        <v>1</v>
      </c>
      <c r="H1024" s="9">
        <v>194468</v>
      </c>
      <c r="I1024" s="404">
        <f t="shared" si="61"/>
        <v>388936</v>
      </c>
      <c r="J1024" s="403"/>
      <c r="K1024" s="404">
        <f t="shared" si="62"/>
        <v>194468</v>
      </c>
      <c r="L1024" s="405">
        <f t="shared" si="63"/>
        <v>194468</v>
      </c>
      <c r="M1024" s="403"/>
    </row>
    <row r="1025" spans="1:13" ht="15.75" x14ac:dyDescent="0.25">
      <c r="A1025" s="6" t="s">
        <v>1648</v>
      </c>
      <c r="B1025" s="7" t="s">
        <v>1649</v>
      </c>
      <c r="C1025" s="6" t="s">
        <v>9</v>
      </c>
      <c r="D1025" s="8">
        <v>6</v>
      </c>
      <c r="E1025" s="403"/>
      <c r="F1025" s="403">
        <f>BBNTHT!J1065</f>
        <v>4</v>
      </c>
      <c r="G1025" s="403">
        <f t="shared" si="60"/>
        <v>4</v>
      </c>
      <c r="H1025" s="9">
        <v>87257</v>
      </c>
      <c r="I1025" s="404">
        <f t="shared" si="61"/>
        <v>523542</v>
      </c>
      <c r="J1025" s="403"/>
      <c r="K1025" s="404">
        <f t="shared" si="62"/>
        <v>349028</v>
      </c>
      <c r="L1025" s="405">
        <f t="shared" si="63"/>
        <v>349028</v>
      </c>
      <c r="M1025" s="403"/>
    </row>
    <row r="1026" spans="1:13" ht="15.75" x14ac:dyDescent="0.25">
      <c r="A1026" s="6" t="s">
        <v>1650</v>
      </c>
      <c r="B1026" s="7" t="s">
        <v>1651</v>
      </c>
      <c r="C1026" s="6" t="s">
        <v>9</v>
      </c>
      <c r="D1026" s="8">
        <v>5</v>
      </c>
      <c r="E1026" s="403"/>
      <c r="F1026" s="403">
        <f>BBNTHT!J1066</f>
        <v>3</v>
      </c>
      <c r="G1026" s="403">
        <f t="shared" si="60"/>
        <v>3</v>
      </c>
      <c r="H1026" s="9">
        <v>59452</v>
      </c>
      <c r="I1026" s="404">
        <f t="shared" si="61"/>
        <v>297260</v>
      </c>
      <c r="J1026" s="403"/>
      <c r="K1026" s="404">
        <f t="shared" si="62"/>
        <v>178356</v>
      </c>
      <c r="L1026" s="405">
        <f t="shared" si="63"/>
        <v>178356</v>
      </c>
      <c r="M1026" s="403"/>
    </row>
    <row r="1027" spans="1:13" ht="15.75" x14ac:dyDescent="0.25">
      <c r="A1027" s="6" t="s">
        <v>1652</v>
      </c>
      <c r="B1027" s="7" t="s">
        <v>1653</v>
      </c>
      <c r="C1027" s="6" t="s">
        <v>9</v>
      </c>
      <c r="D1027" s="8">
        <v>21</v>
      </c>
      <c r="E1027" s="403"/>
      <c r="F1027" s="403">
        <f>BBNTHT!J1067</f>
        <v>14</v>
      </c>
      <c r="G1027" s="403">
        <f t="shared" si="60"/>
        <v>14</v>
      </c>
      <c r="H1027" s="9">
        <v>48361</v>
      </c>
      <c r="I1027" s="404">
        <f t="shared" si="61"/>
        <v>1015581</v>
      </c>
      <c r="J1027" s="403"/>
      <c r="K1027" s="404">
        <f t="shared" si="62"/>
        <v>677054</v>
      </c>
      <c r="L1027" s="405">
        <f t="shared" si="63"/>
        <v>677054</v>
      </c>
      <c r="M1027" s="403"/>
    </row>
    <row r="1028" spans="1:13" ht="15.75" x14ac:dyDescent="0.25">
      <c r="A1028" s="6" t="s">
        <v>1654</v>
      </c>
      <c r="B1028" s="7" t="s">
        <v>1655</v>
      </c>
      <c r="C1028" s="6" t="s">
        <v>9</v>
      </c>
      <c r="D1028" s="8">
        <v>26</v>
      </c>
      <c r="E1028" s="403"/>
      <c r="F1028" s="403">
        <f>BBNTHT!J1068</f>
        <v>18</v>
      </c>
      <c r="G1028" s="403">
        <f t="shared" si="60"/>
        <v>18</v>
      </c>
      <c r="H1028" s="9">
        <v>48361</v>
      </c>
      <c r="I1028" s="404">
        <f t="shared" si="61"/>
        <v>1257386</v>
      </c>
      <c r="J1028" s="403"/>
      <c r="K1028" s="404">
        <f t="shared" si="62"/>
        <v>870498</v>
      </c>
      <c r="L1028" s="405">
        <f t="shared" si="63"/>
        <v>870498</v>
      </c>
      <c r="M1028" s="403"/>
    </row>
    <row r="1029" spans="1:13" ht="15.75" x14ac:dyDescent="0.25">
      <c r="A1029" s="6" t="s">
        <v>1656</v>
      </c>
      <c r="B1029" s="7" t="s">
        <v>1657</v>
      </c>
      <c r="C1029" s="6" t="s">
        <v>9</v>
      </c>
      <c r="D1029" s="8">
        <v>6</v>
      </c>
      <c r="E1029" s="403"/>
      <c r="F1029" s="403">
        <f>BBNTHT!J1069</f>
        <v>4</v>
      </c>
      <c r="G1029" s="403">
        <f t="shared" si="60"/>
        <v>4</v>
      </c>
      <c r="H1029" s="9">
        <v>42450</v>
      </c>
      <c r="I1029" s="404">
        <f t="shared" si="61"/>
        <v>254700</v>
      </c>
      <c r="J1029" s="403"/>
      <c r="K1029" s="404">
        <f t="shared" si="62"/>
        <v>169800</v>
      </c>
      <c r="L1029" s="405">
        <f t="shared" si="63"/>
        <v>169800</v>
      </c>
      <c r="M1029" s="403"/>
    </row>
    <row r="1030" spans="1:13" ht="15.75" x14ac:dyDescent="0.25">
      <c r="A1030" s="6" t="s">
        <v>1658</v>
      </c>
      <c r="B1030" s="7" t="s">
        <v>1659</v>
      </c>
      <c r="C1030" s="6" t="s">
        <v>9</v>
      </c>
      <c r="D1030" s="8">
        <v>4</v>
      </c>
      <c r="E1030" s="403"/>
      <c r="F1030" s="403">
        <f>BBNTHT!J1070</f>
        <v>2</v>
      </c>
      <c r="G1030" s="403">
        <f t="shared" si="60"/>
        <v>2</v>
      </c>
      <c r="H1030" s="9">
        <v>161843</v>
      </c>
      <c r="I1030" s="404">
        <f t="shared" si="61"/>
        <v>647372</v>
      </c>
      <c r="J1030" s="403"/>
      <c r="K1030" s="404">
        <f t="shared" si="62"/>
        <v>323686</v>
      </c>
      <c r="L1030" s="405">
        <f t="shared" si="63"/>
        <v>323686</v>
      </c>
      <c r="M1030" s="403"/>
    </row>
    <row r="1031" spans="1:13" ht="15.75" x14ac:dyDescent="0.25">
      <c r="A1031" s="6" t="s">
        <v>1660</v>
      </c>
      <c r="B1031" s="7" t="s">
        <v>1661</v>
      </c>
      <c r="C1031" s="6" t="s">
        <v>9</v>
      </c>
      <c r="D1031" s="8">
        <v>3</v>
      </c>
      <c r="E1031" s="403"/>
      <c r="F1031" s="403">
        <f>BBNTHT!J1071</f>
        <v>2</v>
      </c>
      <c r="G1031" s="403">
        <f t="shared" si="60"/>
        <v>2</v>
      </c>
      <c r="H1031" s="9">
        <v>109820</v>
      </c>
      <c r="I1031" s="404">
        <f t="shared" si="61"/>
        <v>329460</v>
      </c>
      <c r="J1031" s="403"/>
      <c r="K1031" s="404">
        <f t="shared" si="62"/>
        <v>219640</v>
      </c>
      <c r="L1031" s="405">
        <f t="shared" si="63"/>
        <v>219640</v>
      </c>
      <c r="M1031" s="403"/>
    </row>
    <row r="1032" spans="1:13" ht="15.75" x14ac:dyDescent="0.25">
      <c r="A1032" s="6" t="s">
        <v>1662</v>
      </c>
      <c r="B1032" s="7" t="s">
        <v>1663</v>
      </c>
      <c r="C1032" s="6" t="s">
        <v>9</v>
      </c>
      <c r="D1032" s="8">
        <v>3</v>
      </c>
      <c r="E1032" s="403"/>
      <c r="F1032" s="403">
        <f>BBNTHT!J1072</f>
        <v>2</v>
      </c>
      <c r="G1032" s="403">
        <f t="shared" si="60"/>
        <v>2</v>
      </c>
      <c r="H1032" s="9">
        <v>73083</v>
      </c>
      <c r="I1032" s="404">
        <f t="shared" si="61"/>
        <v>219249</v>
      </c>
      <c r="J1032" s="403"/>
      <c r="K1032" s="404">
        <f t="shared" si="62"/>
        <v>146166</v>
      </c>
      <c r="L1032" s="405">
        <f t="shared" si="63"/>
        <v>146166</v>
      </c>
      <c r="M1032" s="403"/>
    </row>
    <row r="1033" spans="1:13" ht="15.75" x14ac:dyDescent="0.25">
      <c r="A1033" s="6" t="s">
        <v>1664</v>
      </c>
      <c r="B1033" s="7" t="s">
        <v>1665</v>
      </c>
      <c r="C1033" s="6" t="s">
        <v>9</v>
      </c>
      <c r="D1033" s="8">
        <v>80</v>
      </c>
      <c r="E1033" s="403"/>
      <c r="F1033" s="403">
        <f>BBNTHT!J1073</f>
        <v>56</v>
      </c>
      <c r="G1033" s="403">
        <f t="shared" si="60"/>
        <v>56</v>
      </c>
      <c r="H1033" s="9">
        <v>38273</v>
      </c>
      <c r="I1033" s="404">
        <f t="shared" si="61"/>
        <v>3061840</v>
      </c>
      <c r="J1033" s="403"/>
      <c r="K1033" s="404">
        <f t="shared" si="62"/>
        <v>2143288</v>
      </c>
      <c r="L1033" s="405">
        <f t="shared" si="63"/>
        <v>2143288</v>
      </c>
      <c r="M1033" s="403"/>
    </row>
    <row r="1034" spans="1:13" ht="15.75" x14ac:dyDescent="0.25">
      <c r="A1034" s="6" t="s">
        <v>1666</v>
      </c>
      <c r="B1034" s="7" t="s">
        <v>1667</v>
      </c>
      <c r="C1034" s="6" t="s">
        <v>9</v>
      </c>
      <c r="D1034" s="8">
        <v>76</v>
      </c>
      <c r="E1034" s="403"/>
      <c r="F1034" s="403">
        <f>BBNTHT!J1074</f>
        <v>53</v>
      </c>
      <c r="G1034" s="403">
        <f t="shared" si="60"/>
        <v>53</v>
      </c>
      <c r="H1034" s="9">
        <v>49735</v>
      </c>
      <c r="I1034" s="404">
        <f t="shared" si="61"/>
        <v>3779860</v>
      </c>
      <c r="J1034" s="403"/>
      <c r="K1034" s="404">
        <f t="shared" si="62"/>
        <v>2635955</v>
      </c>
      <c r="L1034" s="405">
        <f t="shared" si="63"/>
        <v>2635955</v>
      </c>
      <c r="M1034" s="403"/>
    </row>
    <row r="1035" spans="1:13" ht="15.75" x14ac:dyDescent="0.25">
      <c r="A1035" s="6" t="s">
        <v>1668</v>
      </c>
      <c r="B1035" s="7" t="s">
        <v>1669</v>
      </c>
      <c r="C1035" s="6" t="s">
        <v>9</v>
      </c>
      <c r="D1035" s="8">
        <v>12</v>
      </c>
      <c r="E1035" s="403"/>
      <c r="F1035" s="403">
        <f>BBNTHT!J1075</f>
        <v>8</v>
      </c>
      <c r="G1035" s="403">
        <f t="shared" si="60"/>
        <v>8</v>
      </c>
      <c r="H1035" s="9">
        <v>29531</v>
      </c>
      <c r="I1035" s="404">
        <f t="shared" si="61"/>
        <v>354372</v>
      </c>
      <c r="J1035" s="403"/>
      <c r="K1035" s="404">
        <f t="shared" si="62"/>
        <v>236248</v>
      </c>
      <c r="L1035" s="405">
        <f t="shared" si="63"/>
        <v>236248</v>
      </c>
      <c r="M1035" s="403"/>
    </row>
    <row r="1036" spans="1:13" ht="15.75" x14ac:dyDescent="0.25">
      <c r="A1036" s="6" t="s">
        <v>1670</v>
      </c>
      <c r="B1036" s="7" t="s">
        <v>1671</v>
      </c>
      <c r="C1036" s="6" t="s">
        <v>9</v>
      </c>
      <c r="D1036" s="8">
        <v>2</v>
      </c>
      <c r="E1036" s="403"/>
      <c r="F1036" s="403">
        <f>BBNTHT!J1076</f>
        <v>1</v>
      </c>
      <c r="G1036" s="403">
        <f t="shared" si="60"/>
        <v>1</v>
      </c>
      <c r="H1036" s="9">
        <v>2643300</v>
      </c>
      <c r="I1036" s="404">
        <f t="shared" si="61"/>
        <v>5286600</v>
      </c>
      <c r="J1036" s="403"/>
      <c r="K1036" s="404">
        <f t="shared" si="62"/>
        <v>2643300</v>
      </c>
      <c r="L1036" s="405">
        <f t="shared" si="63"/>
        <v>2643300</v>
      </c>
      <c r="M1036" s="403"/>
    </row>
    <row r="1037" spans="1:13" ht="15.75" x14ac:dyDescent="0.25">
      <c r="A1037" s="6" t="s">
        <v>1672</v>
      </c>
      <c r="B1037" s="7" t="s">
        <v>1673</v>
      </c>
      <c r="C1037" s="6" t="s">
        <v>9</v>
      </c>
      <c r="D1037" s="8">
        <v>2</v>
      </c>
      <c r="E1037" s="403"/>
      <c r="F1037" s="403">
        <f>BBNTHT!J1077</f>
        <v>1</v>
      </c>
      <c r="G1037" s="403">
        <f t="shared" si="60"/>
        <v>1</v>
      </c>
      <c r="H1037" s="9">
        <v>1582492</v>
      </c>
      <c r="I1037" s="404">
        <f t="shared" si="61"/>
        <v>3164984</v>
      </c>
      <c r="J1037" s="403"/>
      <c r="K1037" s="404">
        <f t="shared" si="62"/>
        <v>1582492</v>
      </c>
      <c r="L1037" s="405">
        <f t="shared" si="63"/>
        <v>1582492</v>
      </c>
      <c r="M1037" s="403"/>
    </row>
    <row r="1038" spans="1:13" ht="15.75" x14ac:dyDescent="0.25">
      <c r="A1038" s="6" t="s">
        <v>1674</v>
      </c>
      <c r="B1038" s="7" t="s">
        <v>1675</v>
      </c>
      <c r="C1038" s="6" t="s">
        <v>9</v>
      </c>
      <c r="D1038" s="8">
        <v>3</v>
      </c>
      <c r="E1038" s="403"/>
      <c r="F1038" s="403">
        <f>BBNTHT!J1078</f>
        <v>2</v>
      </c>
      <c r="G1038" s="403">
        <f t="shared" si="60"/>
        <v>2</v>
      </c>
      <c r="H1038" s="9">
        <v>1572346</v>
      </c>
      <c r="I1038" s="404">
        <f t="shared" si="61"/>
        <v>4717038</v>
      </c>
      <c r="J1038" s="403"/>
      <c r="K1038" s="404">
        <f t="shared" si="62"/>
        <v>3144692</v>
      </c>
      <c r="L1038" s="405">
        <f t="shared" si="63"/>
        <v>3144692</v>
      </c>
      <c r="M1038" s="403"/>
    </row>
    <row r="1039" spans="1:13" ht="15.75" x14ac:dyDescent="0.25">
      <c r="A1039" s="6" t="s">
        <v>1676</v>
      </c>
      <c r="B1039" s="7" t="s">
        <v>1677</v>
      </c>
      <c r="C1039" s="6" t="s">
        <v>9</v>
      </c>
      <c r="D1039" s="8">
        <v>14</v>
      </c>
      <c r="E1039" s="403"/>
      <c r="F1039" s="403">
        <f>BBNTHT!J1079</f>
        <v>9</v>
      </c>
      <c r="G1039" s="403">
        <f t="shared" si="60"/>
        <v>9</v>
      </c>
      <c r="H1039" s="9">
        <v>1227070</v>
      </c>
      <c r="I1039" s="404">
        <f t="shared" si="61"/>
        <v>17178980</v>
      </c>
      <c r="J1039" s="403"/>
      <c r="K1039" s="404">
        <f t="shared" si="62"/>
        <v>11043630</v>
      </c>
      <c r="L1039" s="405">
        <f t="shared" si="63"/>
        <v>11043630</v>
      </c>
      <c r="M1039" s="403"/>
    </row>
    <row r="1040" spans="1:13" ht="15.75" x14ac:dyDescent="0.25">
      <c r="A1040" s="6" t="s">
        <v>1678</v>
      </c>
      <c r="B1040" s="7" t="s">
        <v>1679</v>
      </c>
      <c r="C1040" s="6" t="s">
        <v>9</v>
      </c>
      <c r="D1040" s="8">
        <v>3</v>
      </c>
      <c r="E1040" s="403"/>
      <c r="F1040" s="403">
        <f>BBNTHT!J1080</f>
        <v>2</v>
      </c>
      <c r="G1040" s="403">
        <f t="shared" si="60"/>
        <v>2</v>
      </c>
      <c r="H1040" s="9">
        <v>534686</v>
      </c>
      <c r="I1040" s="404">
        <f t="shared" si="61"/>
        <v>1604058</v>
      </c>
      <c r="J1040" s="403"/>
      <c r="K1040" s="404">
        <f t="shared" si="62"/>
        <v>1069372</v>
      </c>
      <c r="L1040" s="405">
        <f t="shared" si="63"/>
        <v>1069372</v>
      </c>
      <c r="M1040" s="403"/>
    </row>
    <row r="1041" spans="1:13" ht="15.75" x14ac:dyDescent="0.25">
      <c r="A1041" s="6" t="s">
        <v>1680</v>
      </c>
      <c r="B1041" s="7" t="s">
        <v>1681</v>
      </c>
      <c r="C1041" s="6" t="s">
        <v>9</v>
      </c>
      <c r="D1041" s="8">
        <v>4</v>
      </c>
      <c r="E1041" s="403"/>
      <c r="F1041" s="403">
        <f>BBNTHT!J1081</f>
        <v>2</v>
      </c>
      <c r="G1041" s="403">
        <f t="shared" si="60"/>
        <v>2</v>
      </c>
      <c r="H1041" s="9">
        <v>419249</v>
      </c>
      <c r="I1041" s="404">
        <f t="shared" si="61"/>
        <v>1676996</v>
      </c>
      <c r="J1041" s="403"/>
      <c r="K1041" s="404">
        <f t="shared" si="62"/>
        <v>838498</v>
      </c>
      <c r="L1041" s="405">
        <f t="shared" si="63"/>
        <v>838498</v>
      </c>
      <c r="M1041" s="403"/>
    </row>
    <row r="1042" spans="1:13" ht="15.75" x14ac:dyDescent="0.25">
      <c r="A1042" s="6" t="s">
        <v>1682</v>
      </c>
      <c r="B1042" s="7" t="s">
        <v>1496</v>
      </c>
      <c r="C1042" s="6" t="s">
        <v>9</v>
      </c>
      <c r="D1042" s="8">
        <v>3</v>
      </c>
      <c r="E1042" s="403"/>
      <c r="F1042" s="403">
        <f>BBNTHT!J1082</f>
        <v>2</v>
      </c>
      <c r="G1042" s="403">
        <f t="shared" ref="G1042:G1105" si="64">F1042+E1042</f>
        <v>2</v>
      </c>
      <c r="H1042" s="9">
        <v>321136</v>
      </c>
      <c r="I1042" s="404">
        <f t="shared" ref="I1042:I1105" si="65">ROUND(D1042*H1042,0)</f>
        <v>963408</v>
      </c>
      <c r="J1042" s="403"/>
      <c r="K1042" s="404">
        <f t="shared" ref="K1042:K1105" si="66">ROUND(F1042*H1042,0)</f>
        <v>642272</v>
      </c>
      <c r="L1042" s="405">
        <f t="shared" ref="L1042:L1105" si="67">J1042+K1042</f>
        <v>642272</v>
      </c>
      <c r="M1042" s="403"/>
    </row>
    <row r="1043" spans="1:13" ht="15.75" x14ac:dyDescent="0.25">
      <c r="A1043" s="6" t="s">
        <v>1683</v>
      </c>
      <c r="B1043" s="7" t="s">
        <v>1684</v>
      </c>
      <c r="C1043" s="6" t="s">
        <v>14</v>
      </c>
      <c r="D1043" s="8">
        <v>0.6</v>
      </c>
      <c r="E1043" s="403"/>
      <c r="F1043" s="403">
        <f>BBNTHT!J1083</f>
        <v>0.42</v>
      </c>
      <c r="G1043" s="403">
        <f t="shared" si="64"/>
        <v>0.42</v>
      </c>
      <c r="H1043" s="9">
        <v>35274291</v>
      </c>
      <c r="I1043" s="404">
        <f t="shared" si="65"/>
        <v>21164575</v>
      </c>
      <c r="J1043" s="403"/>
      <c r="K1043" s="404">
        <f t="shared" si="66"/>
        <v>14815202</v>
      </c>
      <c r="L1043" s="405">
        <f t="shared" si="67"/>
        <v>14815202</v>
      </c>
      <c r="M1043" s="403"/>
    </row>
    <row r="1044" spans="1:13" ht="15.75" x14ac:dyDescent="0.25">
      <c r="A1044" s="6" t="s">
        <v>1685</v>
      </c>
      <c r="B1044" s="7" t="s">
        <v>1686</v>
      </c>
      <c r="C1044" s="6" t="s">
        <v>14</v>
      </c>
      <c r="D1044" s="8">
        <v>1.18</v>
      </c>
      <c r="E1044" s="403"/>
      <c r="F1044" s="403">
        <f>BBNTHT!J1084</f>
        <v>0.82599999999999996</v>
      </c>
      <c r="G1044" s="403">
        <f t="shared" si="64"/>
        <v>0.82599999999999996</v>
      </c>
      <c r="H1044" s="9">
        <v>48281941</v>
      </c>
      <c r="I1044" s="404">
        <f t="shared" si="65"/>
        <v>56972690</v>
      </c>
      <c r="J1044" s="403"/>
      <c r="K1044" s="404">
        <f t="shared" si="66"/>
        <v>39880883</v>
      </c>
      <c r="L1044" s="405">
        <f t="shared" si="67"/>
        <v>39880883</v>
      </c>
      <c r="M1044" s="403"/>
    </row>
    <row r="1045" spans="1:13" ht="15.75" x14ac:dyDescent="0.25">
      <c r="A1045" s="6" t="s">
        <v>1687</v>
      </c>
      <c r="B1045" s="7" t="s">
        <v>1688</v>
      </c>
      <c r="C1045" s="6" t="s">
        <v>14</v>
      </c>
      <c r="D1045" s="8">
        <v>8.15</v>
      </c>
      <c r="E1045" s="403"/>
      <c r="F1045" s="403">
        <f>BBNTHT!J1085</f>
        <v>5.7050000000000001</v>
      </c>
      <c r="G1045" s="403">
        <f t="shared" si="64"/>
        <v>5.7050000000000001</v>
      </c>
      <c r="H1045" s="9">
        <v>24605331</v>
      </c>
      <c r="I1045" s="404">
        <f t="shared" si="65"/>
        <v>200533448</v>
      </c>
      <c r="J1045" s="403"/>
      <c r="K1045" s="404">
        <f t="shared" si="66"/>
        <v>140373413</v>
      </c>
      <c r="L1045" s="405">
        <f t="shared" si="67"/>
        <v>140373413</v>
      </c>
      <c r="M1045" s="403"/>
    </row>
    <row r="1046" spans="1:13" ht="15.75" x14ac:dyDescent="0.25">
      <c r="A1046" s="6" t="s">
        <v>1689</v>
      </c>
      <c r="B1046" s="7" t="s">
        <v>1690</v>
      </c>
      <c r="C1046" s="6" t="s">
        <v>14</v>
      </c>
      <c r="D1046" s="8">
        <v>14.92</v>
      </c>
      <c r="E1046" s="403"/>
      <c r="F1046" s="403">
        <f>BBNTHT!J1086</f>
        <v>10.443999999999999</v>
      </c>
      <c r="G1046" s="403">
        <f t="shared" si="64"/>
        <v>10.443999999999999</v>
      </c>
      <c r="H1046" s="9">
        <v>16135615</v>
      </c>
      <c r="I1046" s="404">
        <f t="shared" si="65"/>
        <v>240743376</v>
      </c>
      <c r="J1046" s="403"/>
      <c r="K1046" s="404">
        <f t="shared" si="66"/>
        <v>168520363</v>
      </c>
      <c r="L1046" s="405">
        <f t="shared" si="67"/>
        <v>168520363</v>
      </c>
      <c r="M1046" s="403"/>
    </row>
    <row r="1047" spans="1:13" ht="15.75" x14ac:dyDescent="0.25">
      <c r="A1047" s="6" t="s">
        <v>1691</v>
      </c>
      <c r="B1047" s="7" t="s">
        <v>1692</v>
      </c>
      <c r="C1047" s="6" t="s">
        <v>14</v>
      </c>
      <c r="D1047" s="8">
        <v>0.72</v>
      </c>
      <c r="E1047" s="403"/>
      <c r="F1047" s="403">
        <f>BBNTHT!J1087</f>
        <v>0.504</v>
      </c>
      <c r="G1047" s="403">
        <f t="shared" si="64"/>
        <v>0.504</v>
      </c>
      <c r="H1047" s="9">
        <v>5953640</v>
      </c>
      <c r="I1047" s="404">
        <f t="shared" si="65"/>
        <v>4286621</v>
      </c>
      <c r="J1047" s="403"/>
      <c r="K1047" s="404">
        <f t="shared" si="66"/>
        <v>3000635</v>
      </c>
      <c r="L1047" s="405">
        <f t="shared" si="67"/>
        <v>3000635</v>
      </c>
      <c r="M1047" s="403"/>
    </row>
    <row r="1048" spans="1:13" ht="15.75" x14ac:dyDescent="0.25">
      <c r="A1048" s="6" t="s">
        <v>1693</v>
      </c>
      <c r="B1048" s="7" t="s">
        <v>1694</v>
      </c>
      <c r="C1048" s="6" t="s">
        <v>9</v>
      </c>
      <c r="D1048" s="8">
        <v>11.8</v>
      </c>
      <c r="E1048" s="403"/>
      <c r="F1048" s="403">
        <f>BBNTHT!J1088</f>
        <v>8</v>
      </c>
      <c r="G1048" s="403">
        <f t="shared" si="64"/>
        <v>8</v>
      </c>
      <c r="H1048" s="9">
        <v>586085</v>
      </c>
      <c r="I1048" s="404">
        <f t="shared" si="65"/>
        <v>6915803</v>
      </c>
      <c r="J1048" s="403"/>
      <c r="K1048" s="404">
        <f t="shared" si="66"/>
        <v>4688680</v>
      </c>
      <c r="L1048" s="405">
        <f t="shared" si="67"/>
        <v>4688680</v>
      </c>
      <c r="M1048" s="403"/>
    </row>
    <row r="1049" spans="1:13" ht="15.75" x14ac:dyDescent="0.25">
      <c r="A1049" s="6" t="s">
        <v>1695</v>
      </c>
      <c r="B1049" s="7" t="s">
        <v>1696</v>
      </c>
      <c r="C1049" s="6" t="s">
        <v>9</v>
      </c>
      <c r="D1049" s="8">
        <v>81.5</v>
      </c>
      <c r="E1049" s="403"/>
      <c r="F1049" s="403">
        <f>BBNTHT!J1089</f>
        <v>57</v>
      </c>
      <c r="G1049" s="403">
        <f t="shared" si="64"/>
        <v>57</v>
      </c>
      <c r="H1049" s="9">
        <v>116909</v>
      </c>
      <c r="I1049" s="404">
        <f t="shared" si="65"/>
        <v>9528084</v>
      </c>
      <c r="J1049" s="403"/>
      <c r="K1049" s="404">
        <f t="shared" si="66"/>
        <v>6663813</v>
      </c>
      <c r="L1049" s="405">
        <f t="shared" si="67"/>
        <v>6663813</v>
      </c>
      <c r="M1049" s="403"/>
    </row>
    <row r="1050" spans="1:13" ht="15.75" x14ac:dyDescent="0.25">
      <c r="A1050" s="6" t="s">
        <v>1697</v>
      </c>
      <c r="B1050" s="7" t="s">
        <v>1698</v>
      </c>
      <c r="C1050" s="6" t="s">
        <v>9</v>
      </c>
      <c r="D1050" s="8">
        <v>149.19999999999999</v>
      </c>
      <c r="E1050" s="403"/>
      <c r="F1050" s="403">
        <f>BBNTHT!J1090</f>
        <v>104</v>
      </c>
      <c r="G1050" s="403">
        <f t="shared" si="64"/>
        <v>104</v>
      </c>
      <c r="H1050" s="9">
        <v>114882</v>
      </c>
      <c r="I1050" s="404">
        <f t="shared" si="65"/>
        <v>17140394</v>
      </c>
      <c r="J1050" s="403"/>
      <c r="K1050" s="404">
        <f t="shared" si="66"/>
        <v>11947728</v>
      </c>
      <c r="L1050" s="405">
        <f t="shared" si="67"/>
        <v>11947728</v>
      </c>
      <c r="M1050" s="403"/>
    </row>
    <row r="1051" spans="1:13" ht="15.75" x14ac:dyDescent="0.25">
      <c r="A1051" s="6" t="s">
        <v>1699</v>
      </c>
      <c r="B1051" s="7" t="s">
        <v>1700</v>
      </c>
      <c r="C1051" s="6" t="s">
        <v>9</v>
      </c>
      <c r="D1051" s="8">
        <v>52</v>
      </c>
      <c r="E1051" s="403"/>
      <c r="F1051" s="403">
        <f>BBNTHT!J1091</f>
        <v>36</v>
      </c>
      <c r="G1051" s="403">
        <f t="shared" si="64"/>
        <v>36</v>
      </c>
      <c r="H1051" s="9">
        <v>278151</v>
      </c>
      <c r="I1051" s="404">
        <f t="shared" si="65"/>
        <v>14463852</v>
      </c>
      <c r="J1051" s="403"/>
      <c r="K1051" s="404">
        <f t="shared" si="66"/>
        <v>10013436</v>
      </c>
      <c r="L1051" s="405">
        <f t="shared" si="67"/>
        <v>10013436</v>
      </c>
      <c r="M1051" s="403"/>
    </row>
    <row r="1052" spans="1:13" ht="15.75" x14ac:dyDescent="0.25">
      <c r="A1052" s="6" t="s">
        <v>1701</v>
      </c>
      <c r="B1052" s="7" t="s">
        <v>1702</v>
      </c>
      <c r="C1052" s="6" t="s">
        <v>9</v>
      </c>
      <c r="D1052" s="8">
        <v>238</v>
      </c>
      <c r="E1052" s="403"/>
      <c r="F1052" s="403">
        <f>BBNTHT!J1092</f>
        <v>166</v>
      </c>
      <c r="G1052" s="403">
        <f t="shared" si="64"/>
        <v>166</v>
      </c>
      <c r="H1052" s="9">
        <v>154545</v>
      </c>
      <c r="I1052" s="404">
        <f t="shared" si="65"/>
        <v>36781710</v>
      </c>
      <c r="J1052" s="403"/>
      <c r="K1052" s="404">
        <f t="shared" si="66"/>
        <v>25654470</v>
      </c>
      <c r="L1052" s="405">
        <f t="shared" si="67"/>
        <v>25654470</v>
      </c>
      <c r="M1052" s="403"/>
    </row>
    <row r="1053" spans="1:13" ht="15.75" x14ac:dyDescent="0.25">
      <c r="A1053" s="6" t="s">
        <v>1703</v>
      </c>
      <c r="B1053" s="7" t="s">
        <v>1704</v>
      </c>
      <c r="C1053" s="6" t="s">
        <v>9</v>
      </c>
      <c r="D1053" s="8">
        <v>89</v>
      </c>
      <c r="E1053" s="403"/>
      <c r="F1053" s="403">
        <f>BBNTHT!J1093</f>
        <v>62</v>
      </c>
      <c r="G1053" s="403">
        <f t="shared" si="64"/>
        <v>62</v>
      </c>
      <c r="H1053" s="9">
        <v>47177</v>
      </c>
      <c r="I1053" s="404">
        <f t="shared" si="65"/>
        <v>4198753</v>
      </c>
      <c r="J1053" s="403"/>
      <c r="K1053" s="404">
        <f t="shared" si="66"/>
        <v>2924974</v>
      </c>
      <c r="L1053" s="405">
        <f t="shared" si="67"/>
        <v>2924974</v>
      </c>
      <c r="M1053" s="403"/>
    </row>
    <row r="1054" spans="1:13" ht="15.75" x14ac:dyDescent="0.25">
      <c r="A1054" s="6" t="s">
        <v>1705</v>
      </c>
      <c r="B1054" s="7" t="s">
        <v>1706</v>
      </c>
      <c r="C1054" s="6" t="s">
        <v>9</v>
      </c>
      <c r="D1054" s="8">
        <v>288</v>
      </c>
      <c r="E1054" s="403"/>
      <c r="F1054" s="403">
        <f>BBNTHT!J1094</f>
        <v>201</v>
      </c>
      <c r="G1054" s="403">
        <f t="shared" si="64"/>
        <v>201</v>
      </c>
      <c r="H1054" s="9">
        <v>880859</v>
      </c>
      <c r="I1054" s="404">
        <f t="shared" si="65"/>
        <v>253687392</v>
      </c>
      <c r="J1054" s="403"/>
      <c r="K1054" s="404">
        <f t="shared" si="66"/>
        <v>177052659</v>
      </c>
      <c r="L1054" s="405">
        <f t="shared" si="67"/>
        <v>177052659</v>
      </c>
      <c r="M1054" s="403"/>
    </row>
    <row r="1055" spans="1:13" ht="15.75" x14ac:dyDescent="0.25">
      <c r="A1055" s="6" t="s">
        <v>1707</v>
      </c>
      <c r="B1055" s="7" t="s">
        <v>1708</v>
      </c>
      <c r="C1055" s="6" t="s">
        <v>9</v>
      </c>
      <c r="D1055" s="8">
        <v>130</v>
      </c>
      <c r="E1055" s="403"/>
      <c r="F1055" s="403">
        <f>BBNTHT!J1095</f>
        <v>91</v>
      </c>
      <c r="G1055" s="403">
        <f t="shared" si="64"/>
        <v>91</v>
      </c>
      <c r="H1055" s="9">
        <v>411086</v>
      </c>
      <c r="I1055" s="404">
        <f t="shared" si="65"/>
        <v>53441180</v>
      </c>
      <c r="J1055" s="403"/>
      <c r="K1055" s="404">
        <f t="shared" si="66"/>
        <v>37408826</v>
      </c>
      <c r="L1055" s="405">
        <f t="shared" si="67"/>
        <v>37408826</v>
      </c>
      <c r="M1055" s="403"/>
    </row>
    <row r="1056" spans="1:13" ht="15.75" x14ac:dyDescent="0.25">
      <c r="A1056" s="6" t="s">
        <v>1709</v>
      </c>
      <c r="B1056" s="7" t="s">
        <v>1710</v>
      </c>
      <c r="C1056" s="6" t="s">
        <v>9</v>
      </c>
      <c r="D1056" s="8">
        <v>80</v>
      </c>
      <c r="E1056" s="403"/>
      <c r="F1056" s="403">
        <f>BBNTHT!J1096</f>
        <v>56</v>
      </c>
      <c r="G1056" s="403">
        <f t="shared" si="64"/>
        <v>56</v>
      </c>
      <c r="H1056" s="9">
        <v>488123</v>
      </c>
      <c r="I1056" s="404">
        <f t="shared" si="65"/>
        <v>39049840</v>
      </c>
      <c r="J1056" s="403"/>
      <c r="K1056" s="404">
        <f t="shared" si="66"/>
        <v>27334888</v>
      </c>
      <c r="L1056" s="405">
        <f t="shared" si="67"/>
        <v>27334888</v>
      </c>
      <c r="M1056" s="403"/>
    </row>
    <row r="1057" spans="1:13" ht="15.75" x14ac:dyDescent="0.25">
      <c r="A1057" s="6" t="s">
        <v>1711</v>
      </c>
      <c r="B1057" s="7" t="s">
        <v>1712</v>
      </c>
      <c r="C1057" s="6" t="s">
        <v>9</v>
      </c>
      <c r="D1057" s="8">
        <v>14</v>
      </c>
      <c r="E1057" s="403"/>
      <c r="F1057" s="403">
        <f>BBNTHT!J1097</f>
        <v>9</v>
      </c>
      <c r="G1057" s="403">
        <f t="shared" si="64"/>
        <v>9</v>
      </c>
      <c r="H1057" s="9">
        <v>180673</v>
      </c>
      <c r="I1057" s="404">
        <f t="shared" si="65"/>
        <v>2529422</v>
      </c>
      <c r="J1057" s="403"/>
      <c r="K1057" s="404">
        <f t="shared" si="66"/>
        <v>1626057</v>
      </c>
      <c r="L1057" s="405">
        <f t="shared" si="67"/>
        <v>1626057</v>
      </c>
      <c r="M1057" s="403"/>
    </row>
    <row r="1058" spans="1:13" ht="15.75" x14ac:dyDescent="0.25">
      <c r="A1058" s="6" t="s">
        <v>1713</v>
      </c>
      <c r="B1058" s="7" t="s">
        <v>1714</v>
      </c>
      <c r="C1058" s="6" t="s">
        <v>9</v>
      </c>
      <c r="D1058" s="8">
        <v>23</v>
      </c>
      <c r="E1058" s="403"/>
      <c r="F1058" s="403">
        <f>BBNTHT!J1098</f>
        <v>16</v>
      </c>
      <c r="G1058" s="403">
        <f t="shared" si="64"/>
        <v>16</v>
      </c>
      <c r="H1058" s="9">
        <v>103382</v>
      </c>
      <c r="I1058" s="404">
        <f t="shared" si="65"/>
        <v>2377786</v>
      </c>
      <c r="J1058" s="403"/>
      <c r="K1058" s="404">
        <f t="shared" si="66"/>
        <v>1654112</v>
      </c>
      <c r="L1058" s="405">
        <f t="shared" si="67"/>
        <v>1654112</v>
      </c>
      <c r="M1058" s="403"/>
    </row>
    <row r="1059" spans="1:13" ht="15.75" x14ac:dyDescent="0.25">
      <c r="A1059" s="6" t="s">
        <v>1715</v>
      </c>
      <c r="B1059" s="7" t="s">
        <v>1716</v>
      </c>
      <c r="C1059" s="6" t="s">
        <v>9</v>
      </c>
      <c r="D1059" s="8">
        <v>26</v>
      </c>
      <c r="E1059" s="403"/>
      <c r="F1059" s="403">
        <f>BBNTHT!J1099</f>
        <v>18</v>
      </c>
      <c r="G1059" s="403">
        <f t="shared" si="64"/>
        <v>18</v>
      </c>
      <c r="H1059" s="9">
        <v>248908</v>
      </c>
      <c r="I1059" s="404">
        <f t="shared" si="65"/>
        <v>6471608</v>
      </c>
      <c r="J1059" s="403"/>
      <c r="K1059" s="404">
        <f t="shared" si="66"/>
        <v>4480344</v>
      </c>
      <c r="L1059" s="405">
        <f t="shared" si="67"/>
        <v>4480344</v>
      </c>
      <c r="M1059" s="403"/>
    </row>
    <row r="1060" spans="1:13" ht="15.75" x14ac:dyDescent="0.25">
      <c r="A1060" s="6" t="s">
        <v>1717</v>
      </c>
      <c r="B1060" s="7" t="s">
        <v>1718</v>
      </c>
      <c r="C1060" s="6" t="s">
        <v>9</v>
      </c>
      <c r="D1060" s="8">
        <v>28</v>
      </c>
      <c r="E1060" s="403"/>
      <c r="F1060" s="403">
        <f>BBNTHT!J1100</f>
        <v>0</v>
      </c>
      <c r="G1060" s="403">
        <f t="shared" si="64"/>
        <v>0</v>
      </c>
      <c r="H1060" s="9">
        <v>952479</v>
      </c>
      <c r="I1060" s="404">
        <f t="shared" si="65"/>
        <v>26669412</v>
      </c>
      <c r="J1060" s="403"/>
      <c r="K1060" s="404">
        <f t="shared" si="66"/>
        <v>0</v>
      </c>
      <c r="L1060" s="405">
        <f t="shared" si="67"/>
        <v>0</v>
      </c>
      <c r="M1060" s="403"/>
    </row>
    <row r="1061" spans="1:13" ht="15.75" x14ac:dyDescent="0.25">
      <c r="A1061" s="6" t="s">
        <v>1719</v>
      </c>
      <c r="B1061" s="7" t="s">
        <v>1720</v>
      </c>
      <c r="C1061" s="6" t="s">
        <v>14</v>
      </c>
      <c r="D1061" s="8">
        <v>0.15</v>
      </c>
      <c r="E1061" s="403"/>
      <c r="F1061" s="403">
        <f>BBNTHT!J1101</f>
        <v>0.105</v>
      </c>
      <c r="G1061" s="403">
        <f t="shared" si="64"/>
        <v>0.105</v>
      </c>
      <c r="H1061" s="9">
        <v>42009050</v>
      </c>
      <c r="I1061" s="404">
        <f t="shared" si="65"/>
        <v>6301358</v>
      </c>
      <c r="J1061" s="403"/>
      <c r="K1061" s="404">
        <f t="shared" si="66"/>
        <v>4410950</v>
      </c>
      <c r="L1061" s="405">
        <f t="shared" si="67"/>
        <v>4410950</v>
      </c>
      <c r="M1061" s="403"/>
    </row>
    <row r="1062" spans="1:13" ht="15.75" x14ac:dyDescent="0.25">
      <c r="A1062" s="6" t="s">
        <v>1721</v>
      </c>
      <c r="B1062" s="7" t="s">
        <v>1722</v>
      </c>
      <c r="C1062" s="6" t="s">
        <v>14</v>
      </c>
      <c r="D1062" s="8">
        <v>0.6</v>
      </c>
      <c r="E1062" s="403"/>
      <c r="F1062" s="403">
        <f>BBNTHT!J1102</f>
        <v>0.42</v>
      </c>
      <c r="G1062" s="403">
        <f t="shared" si="64"/>
        <v>0.42</v>
      </c>
      <c r="H1062" s="9">
        <v>27523351</v>
      </c>
      <c r="I1062" s="404">
        <f t="shared" si="65"/>
        <v>16514011</v>
      </c>
      <c r="J1062" s="403"/>
      <c r="K1062" s="404">
        <f t="shared" si="66"/>
        <v>11559807</v>
      </c>
      <c r="L1062" s="405">
        <f t="shared" si="67"/>
        <v>11559807</v>
      </c>
      <c r="M1062" s="403"/>
    </row>
    <row r="1063" spans="1:13" ht="15.75" x14ac:dyDescent="0.25">
      <c r="A1063" s="6" t="s">
        <v>1723</v>
      </c>
      <c r="B1063" s="7" t="s">
        <v>1724</v>
      </c>
      <c r="C1063" s="6" t="s">
        <v>14</v>
      </c>
      <c r="D1063" s="8">
        <v>1.2</v>
      </c>
      <c r="E1063" s="403"/>
      <c r="F1063" s="403">
        <f>BBNTHT!J1103</f>
        <v>0.84</v>
      </c>
      <c r="G1063" s="403">
        <f t="shared" si="64"/>
        <v>0.84</v>
      </c>
      <c r="H1063" s="9">
        <v>21270052</v>
      </c>
      <c r="I1063" s="404">
        <f t="shared" si="65"/>
        <v>25524062</v>
      </c>
      <c r="J1063" s="403"/>
      <c r="K1063" s="404">
        <f t="shared" si="66"/>
        <v>17866844</v>
      </c>
      <c r="L1063" s="405">
        <f t="shared" si="67"/>
        <v>17866844</v>
      </c>
      <c r="M1063" s="403"/>
    </row>
    <row r="1064" spans="1:13" ht="15.75" x14ac:dyDescent="0.25">
      <c r="A1064" s="6" t="s">
        <v>1725</v>
      </c>
      <c r="B1064" s="7" t="s">
        <v>1726</v>
      </c>
      <c r="C1064" s="6" t="s">
        <v>14</v>
      </c>
      <c r="D1064" s="8">
        <v>7.9</v>
      </c>
      <c r="E1064" s="403"/>
      <c r="F1064" s="403">
        <f>BBNTHT!J1104</f>
        <v>5.53</v>
      </c>
      <c r="G1064" s="403">
        <f t="shared" si="64"/>
        <v>5.53</v>
      </c>
      <c r="H1064" s="9">
        <v>10624901</v>
      </c>
      <c r="I1064" s="404">
        <f t="shared" si="65"/>
        <v>83936718</v>
      </c>
      <c r="J1064" s="403"/>
      <c r="K1064" s="404">
        <f t="shared" si="66"/>
        <v>58755703</v>
      </c>
      <c r="L1064" s="405">
        <f t="shared" si="67"/>
        <v>58755703</v>
      </c>
      <c r="M1064" s="403"/>
    </row>
    <row r="1065" spans="1:13" ht="15.75" x14ac:dyDescent="0.25">
      <c r="A1065" s="6" t="s">
        <v>1727</v>
      </c>
      <c r="B1065" s="7" t="s">
        <v>1728</v>
      </c>
      <c r="C1065" s="6" t="s">
        <v>9</v>
      </c>
      <c r="D1065" s="8">
        <v>1.5</v>
      </c>
      <c r="E1065" s="403"/>
      <c r="F1065" s="403">
        <f>BBNTHT!J1105</f>
        <v>1</v>
      </c>
      <c r="G1065" s="403">
        <f t="shared" si="64"/>
        <v>1</v>
      </c>
      <c r="H1065" s="9">
        <v>339972</v>
      </c>
      <c r="I1065" s="404">
        <f t="shared" si="65"/>
        <v>509958</v>
      </c>
      <c r="J1065" s="403"/>
      <c r="K1065" s="404">
        <f t="shared" si="66"/>
        <v>339972</v>
      </c>
      <c r="L1065" s="405">
        <f t="shared" si="67"/>
        <v>339972</v>
      </c>
      <c r="M1065" s="403"/>
    </row>
    <row r="1066" spans="1:13" ht="15.75" x14ac:dyDescent="0.25">
      <c r="A1066" s="6" t="s">
        <v>1729</v>
      </c>
      <c r="B1066" s="7" t="s">
        <v>1730</v>
      </c>
      <c r="C1066" s="6" t="s">
        <v>9</v>
      </c>
      <c r="D1066" s="8">
        <v>79</v>
      </c>
      <c r="E1066" s="403"/>
      <c r="F1066" s="403">
        <f>BBNTHT!J1106</f>
        <v>55</v>
      </c>
      <c r="G1066" s="403">
        <f t="shared" si="64"/>
        <v>55</v>
      </c>
      <c r="H1066" s="9">
        <v>65994</v>
      </c>
      <c r="I1066" s="404">
        <f t="shared" si="65"/>
        <v>5213526</v>
      </c>
      <c r="J1066" s="403"/>
      <c r="K1066" s="404">
        <f t="shared" si="66"/>
        <v>3629670</v>
      </c>
      <c r="L1066" s="405">
        <f t="shared" si="67"/>
        <v>3629670</v>
      </c>
      <c r="M1066" s="403"/>
    </row>
    <row r="1067" spans="1:13" ht="15.75" x14ac:dyDescent="0.25">
      <c r="A1067" s="6" t="s">
        <v>1731</v>
      </c>
      <c r="B1067" s="7" t="s">
        <v>1732</v>
      </c>
      <c r="C1067" s="6" t="s">
        <v>9</v>
      </c>
      <c r="D1067" s="8">
        <v>49</v>
      </c>
      <c r="E1067" s="403"/>
      <c r="F1067" s="403">
        <f>BBNTHT!J1107</f>
        <v>34</v>
      </c>
      <c r="G1067" s="403">
        <f t="shared" si="64"/>
        <v>34</v>
      </c>
      <c r="H1067" s="9">
        <v>265783</v>
      </c>
      <c r="I1067" s="404">
        <f t="shared" si="65"/>
        <v>13023367</v>
      </c>
      <c r="J1067" s="403"/>
      <c r="K1067" s="404">
        <f t="shared" si="66"/>
        <v>9036622</v>
      </c>
      <c r="L1067" s="405">
        <f t="shared" si="67"/>
        <v>9036622</v>
      </c>
      <c r="M1067" s="403"/>
    </row>
    <row r="1068" spans="1:13" ht="15.75" x14ac:dyDescent="0.25">
      <c r="A1068" s="6" t="s">
        <v>1733</v>
      </c>
      <c r="B1068" s="7" t="s">
        <v>1734</v>
      </c>
      <c r="C1068" s="6" t="s">
        <v>9</v>
      </c>
      <c r="D1068" s="8">
        <v>1</v>
      </c>
      <c r="E1068" s="403"/>
      <c r="F1068" s="403">
        <f>BBNTHT!J1108</f>
        <v>0</v>
      </c>
      <c r="G1068" s="403">
        <f t="shared" si="64"/>
        <v>0</v>
      </c>
      <c r="H1068" s="9">
        <v>232156</v>
      </c>
      <c r="I1068" s="404">
        <f t="shared" si="65"/>
        <v>232156</v>
      </c>
      <c r="J1068" s="403"/>
      <c r="K1068" s="404">
        <f t="shared" si="66"/>
        <v>0</v>
      </c>
      <c r="L1068" s="405">
        <f t="shared" si="67"/>
        <v>0</v>
      </c>
      <c r="M1068" s="403"/>
    </row>
    <row r="1069" spans="1:13" ht="15.75" x14ac:dyDescent="0.25">
      <c r="A1069" s="6" t="s">
        <v>1735</v>
      </c>
      <c r="B1069" s="7" t="s">
        <v>1736</v>
      </c>
      <c r="C1069" s="6" t="s">
        <v>9</v>
      </c>
      <c r="D1069" s="8">
        <v>332</v>
      </c>
      <c r="E1069" s="403"/>
      <c r="F1069" s="403">
        <f>BBNTHT!J1109</f>
        <v>232</v>
      </c>
      <c r="G1069" s="403">
        <f t="shared" si="64"/>
        <v>232</v>
      </c>
      <c r="H1069" s="9">
        <v>128933</v>
      </c>
      <c r="I1069" s="404">
        <f t="shared" si="65"/>
        <v>42805756</v>
      </c>
      <c r="J1069" s="403"/>
      <c r="K1069" s="404">
        <f t="shared" si="66"/>
        <v>29912456</v>
      </c>
      <c r="L1069" s="405">
        <f t="shared" si="67"/>
        <v>29912456</v>
      </c>
      <c r="M1069" s="403"/>
    </row>
    <row r="1070" spans="1:13" ht="15.75" x14ac:dyDescent="0.25">
      <c r="A1070" s="6" t="s">
        <v>1737</v>
      </c>
      <c r="B1070" s="7" t="s">
        <v>1738</v>
      </c>
      <c r="C1070" s="6" t="s">
        <v>9</v>
      </c>
      <c r="D1070" s="8">
        <v>2</v>
      </c>
      <c r="E1070" s="403"/>
      <c r="F1070" s="403">
        <f>BBNTHT!J1110</f>
        <v>1</v>
      </c>
      <c r="G1070" s="403">
        <f t="shared" si="64"/>
        <v>1</v>
      </c>
      <c r="H1070" s="9">
        <v>180673</v>
      </c>
      <c r="I1070" s="404">
        <f t="shared" si="65"/>
        <v>361346</v>
      </c>
      <c r="J1070" s="403"/>
      <c r="K1070" s="404">
        <f t="shared" si="66"/>
        <v>180673</v>
      </c>
      <c r="L1070" s="405">
        <f t="shared" si="67"/>
        <v>180673</v>
      </c>
      <c r="M1070" s="403"/>
    </row>
    <row r="1071" spans="1:13" ht="15.75" x14ac:dyDescent="0.25">
      <c r="A1071" s="6" t="s">
        <v>1739</v>
      </c>
      <c r="B1071" s="7" t="s">
        <v>1740</v>
      </c>
      <c r="C1071" s="6" t="s">
        <v>9</v>
      </c>
      <c r="D1071" s="8">
        <v>12</v>
      </c>
      <c r="E1071" s="403"/>
      <c r="F1071" s="403">
        <f>BBNTHT!J1111</f>
        <v>8</v>
      </c>
      <c r="G1071" s="403">
        <f t="shared" si="64"/>
        <v>8</v>
      </c>
      <c r="H1071" s="9">
        <v>462520</v>
      </c>
      <c r="I1071" s="404">
        <f t="shared" si="65"/>
        <v>5550240</v>
      </c>
      <c r="J1071" s="403"/>
      <c r="K1071" s="404">
        <f t="shared" si="66"/>
        <v>3700160</v>
      </c>
      <c r="L1071" s="405">
        <f t="shared" si="67"/>
        <v>3700160</v>
      </c>
      <c r="M1071" s="403"/>
    </row>
    <row r="1072" spans="1:13" ht="15.75" x14ac:dyDescent="0.25">
      <c r="A1072" s="6" t="s">
        <v>1741</v>
      </c>
      <c r="B1072" s="7" t="s">
        <v>1742</v>
      </c>
      <c r="C1072" s="6" t="s">
        <v>9</v>
      </c>
      <c r="D1072" s="8">
        <v>28</v>
      </c>
      <c r="E1072" s="403"/>
      <c r="F1072" s="403">
        <f>BBNTHT!J1112</f>
        <v>19</v>
      </c>
      <c r="G1072" s="403">
        <f t="shared" si="64"/>
        <v>19</v>
      </c>
      <c r="H1072" s="9">
        <v>200176</v>
      </c>
      <c r="I1072" s="404">
        <f t="shared" si="65"/>
        <v>5604928</v>
      </c>
      <c r="J1072" s="403"/>
      <c r="K1072" s="404">
        <f t="shared" si="66"/>
        <v>3803344</v>
      </c>
      <c r="L1072" s="405">
        <f t="shared" si="67"/>
        <v>3803344</v>
      </c>
      <c r="M1072" s="403"/>
    </row>
    <row r="1073" spans="1:13" ht="15.75" x14ac:dyDescent="0.25">
      <c r="A1073" s="6" t="s">
        <v>1743</v>
      </c>
      <c r="B1073" s="7" t="s">
        <v>1744</v>
      </c>
      <c r="C1073" s="6" t="s">
        <v>9</v>
      </c>
      <c r="D1073" s="8">
        <v>24</v>
      </c>
      <c r="E1073" s="403"/>
      <c r="F1073" s="403">
        <f>BBNTHT!J1113</f>
        <v>16</v>
      </c>
      <c r="G1073" s="403">
        <f t="shared" si="64"/>
        <v>16</v>
      </c>
      <c r="H1073" s="9">
        <v>52264</v>
      </c>
      <c r="I1073" s="404">
        <f t="shared" si="65"/>
        <v>1254336</v>
      </c>
      <c r="J1073" s="403"/>
      <c r="K1073" s="404">
        <f t="shared" si="66"/>
        <v>836224</v>
      </c>
      <c r="L1073" s="405">
        <f t="shared" si="67"/>
        <v>836224</v>
      </c>
      <c r="M1073" s="403"/>
    </row>
    <row r="1074" spans="1:13" ht="15.75" x14ac:dyDescent="0.25">
      <c r="A1074" s="6" t="s">
        <v>1745</v>
      </c>
      <c r="B1074" s="7" t="s">
        <v>1746</v>
      </c>
      <c r="C1074" s="6" t="s">
        <v>9</v>
      </c>
      <c r="D1074" s="8">
        <v>18</v>
      </c>
      <c r="E1074" s="403"/>
      <c r="F1074" s="403">
        <f>BBNTHT!J1114</f>
        <v>12</v>
      </c>
      <c r="G1074" s="403">
        <f t="shared" si="64"/>
        <v>12</v>
      </c>
      <c r="H1074" s="9">
        <v>79907</v>
      </c>
      <c r="I1074" s="404">
        <f t="shared" si="65"/>
        <v>1438326</v>
      </c>
      <c r="J1074" s="403"/>
      <c r="K1074" s="404">
        <f t="shared" si="66"/>
        <v>958884</v>
      </c>
      <c r="L1074" s="405">
        <f t="shared" si="67"/>
        <v>958884</v>
      </c>
      <c r="M1074" s="403"/>
    </row>
    <row r="1075" spans="1:13" ht="15.75" x14ac:dyDescent="0.25">
      <c r="A1075" s="6" t="s">
        <v>1747</v>
      </c>
      <c r="B1075" s="7" t="s">
        <v>1748</v>
      </c>
      <c r="C1075" s="6" t="s">
        <v>9</v>
      </c>
      <c r="D1075" s="8">
        <v>2</v>
      </c>
      <c r="E1075" s="403"/>
      <c r="F1075" s="403">
        <f>BBNTHT!J1115</f>
        <v>0</v>
      </c>
      <c r="G1075" s="403">
        <f t="shared" si="64"/>
        <v>0</v>
      </c>
      <c r="H1075" s="9">
        <v>260455</v>
      </c>
      <c r="I1075" s="404">
        <f t="shared" si="65"/>
        <v>520910</v>
      </c>
      <c r="J1075" s="403"/>
      <c r="K1075" s="404">
        <f t="shared" si="66"/>
        <v>0</v>
      </c>
      <c r="L1075" s="405">
        <f t="shared" si="67"/>
        <v>0</v>
      </c>
      <c r="M1075" s="403"/>
    </row>
    <row r="1076" spans="1:13" ht="15.75" x14ac:dyDescent="0.25">
      <c r="A1076" s="6" t="s">
        <v>1749</v>
      </c>
      <c r="B1076" s="7" t="s">
        <v>1750</v>
      </c>
      <c r="C1076" s="6" t="s">
        <v>14</v>
      </c>
      <c r="D1076" s="8">
        <v>1.49</v>
      </c>
      <c r="E1076" s="403"/>
      <c r="F1076" s="403">
        <f>BBNTHT!J1116</f>
        <v>1.0429999999999999</v>
      </c>
      <c r="G1076" s="403">
        <f t="shared" si="64"/>
        <v>1.0429999999999999</v>
      </c>
      <c r="H1076" s="9">
        <v>60635305</v>
      </c>
      <c r="I1076" s="404">
        <f t="shared" si="65"/>
        <v>90346604</v>
      </c>
      <c r="J1076" s="403"/>
      <c r="K1076" s="404">
        <f t="shared" si="66"/>
        <v>63242623</v>
      </c>
      <c r="L1076" s="405">
        <f t="shared" si="67"/>
        <v>63242623</v>
      </c>
      <c r="M1076" s="403"/>
    </row>
    <row r="1077" spans="1:13" ht="15.75" x14ac:dyDescent="0.25">
      <c r="A1077" s="6" t="s">
        <v>1751</v>
      </c>
      <c r="B1077" s="7" t="s">
        <v>1752</v>
      </c>
      <c r="C1077" s="6" t="s">
        <v>14</v>
      </c>
      <c r="D1077" s="8">
        <v>1.48</v>
      </c>
      <c r="E1077" s="403"/>
      <c r="F1077" s="403">
        <f>BBNTHT!J1117</f>
        <v>1.036</v>
      </c>
      <c r="G1077" s="403">
        <f t="shared" si="64"/>
        <v>1.036</v>
      </c>
      <c r="H1077" s="9">
        <v>39684295</v>
      </c>
      <c r="I1077" s="404">
        <f t="shared" si="65"/>
        <v>58732757</v>
      </c>
      <c r="J1077" s="403"/>
      <c r="K1077" s="404">
        <f t="shared" si="66"/>
        <v>41112930</v>
      </c>
      <c r="L1077" s="405">
        <f t="shared" si="67"/>
        <v>41112930</v>
      </c>
      <c r="M1077" s="403"/>
    </row>
    <row r="1078" spans="1:13" ht="15.75" x14ac:dyDescent="0.25">
      <c r="A1078" s="6" t="s">
        <v>1753</v>
      </c>
      <c r="B1078" s="7" t="s">
        <v>1754</v>
      </c>
      <c r="C1078" s="6" t="s">
        <v>14</v>
      </c>
      <c r="D1078" s="8">
        <v>9.24</v>
      </c>
      <c r="E1078" s="403"/>
      <c r="F1078" s="403">
        <f>BBNTHT!J1118</f>
        <v>6.468</v>
      </c>
      <c r="G1078" s="403">
        <f t="shared" si="64"/>
        <v>6.468</v>
      </c>
      <c r="H1078" s="9">
        <v>21677311</v>
      </c>
      <c r="I1078" s="404">
        <f t="shared" si="65"/>
        <v>200298354</v>
      </c>
      <c r="J1078" s="403"/>
      <c r="K1078" s="404">
        <f t="shared" si="66"/>
        <v>140208848</v>
      </c>
      <c r="L1078" s="405">
        <f t="shared" si="67"/>
        <v>140208848</v>
      </c>
      <c r="M1078" s="403"/>
    </row>
    <row r="1079" spans="1:13" ht="15.75" x14ac:dyDescent="0.25">
      <c r="A1079" s="6" t="s">
        <v>1755</v>
      </c>
      <c r="B1079" s="7" t="s">
        <v>1756</v>
      </c>
      <c r="C1079" s="6" t="s">
        <v>14</v>
      </c>
      <c r="D1079" s="8">
        <v>2.4900000000000002</v>
      </c>
      <c r="E1079" s="403"/>
      <c r="F1079" s="403">
        <f>BBNTHT!J1119</f>
        <v>1.7430000000000001</v>
      </c>
      <c r="G1079" s="403">
        <f t="shared" si="64"/>
        <v>1.7430000000000001</v>
      </c>
      <c r="H1079" s="9">
        <v>7416032</v>
      </c>
      <c r="I1079" s="404">
        <f t="shared" si="65"/>
        <v>18465920</v>
      </c>
      <c r="J1079" s="403"/>
      <c r="K1079" s="404">
        <f t="shared" si="66"/>
        <v>12926144</v>
      </c>
      <c r="L1079" s="405">
        <f t="shared" si="67"/>
        <v>12926144</v>
      </c>
      <c r="M1079" s="403"/>
    </row>
    <row r="1080" spans="1:13" ht="15.75" x14ac:dyDescent="0.25">
      <c r="A1080" s="6" t="s">
        <v>1757</v>
      </c>
      <c r="B1080" s="7" t="s">
        <v>1694</v>
      </c>
      <c r="C1080" s="6" t="s">
        <v>9</v>
      </c>
      <c r="D1080" s="8">
        <v>14.9</v>
      </c>
      <c r="E1080" s="403"/>
      <c r="F1080" s="403">
        <f>BBNTHT!J1120</f>
        <v>10</v>
      </c>
      <c r="G1080" s="403">
        <f t="shared" si="64"/>
        <v>10</v>
      </c>
      <c r="H1080" s="9">
        <v>586085</v>
      </c>
      <c r="I1080" s="404">
        <f t="shared" si="65"/>
        <v>8732667</v>
      </c>
      <c r="J1080" s="403"/>
      <c r="K1080" s="404">
        <f t="shared" si="66"/>
        <v>5860850</v>
      </c>
      <c r="L1080" s="405">
        <f t="shared" si="67"/>
        <v>5860850</v>
      </c>
      <c r="M1080" s="403"/>
    </row>
    <row r="1081" spans="1:13" ht="15.75" x14ac:dyDescent="0.25">
      <c r="A1081" s="6" t="s">
        <v>1758</v>
      </c>
      <c r="B1081" s="7" t="s">
        <v>1759</v>
      </c>
      <c r="C1081" s="6" t="s">
        <v>9</v>
      </c>
      <c r="D1081" s="8">
        <v>14.8</v>
      </c>
      <c r="E1081" s="403"/>
      <c r="F1081" s="403">
        <f>BBNTHT!J1121</f>
        <v>10</v>
      </c>
      <c r="G1081" s="403">
        <f t="shared" si="64"/>
        <v>10</v>
      </c>
      <c r="H1081" s="9">
        <v>213446</v>
      </c>
      <c r="I1081" s="404">
        <f t="shared" si="65"/>
        <v>3159001</v>
      </c>
      <c r="J1081" s="403"/>
      <c r="K1081" s="404">
        <f t="shared" si="66"/>
        <v>2134460</v>
      </c>
      <c r="L1081" s="405">
        <f t="shared" si="67"/>
        <v>2134460</v>
      </c>
      <c r="M1081" s="403"/>
    </row>
    <row r="1082" spans="1:13" ht="15.75" x14ac:dyDescent="0.25">
      <c r="A1082" s="6" t="s">
        <v>1760</v>
      </c>
      <c r="B1082" s="7" t="s">
        <v>1698</v>
      </c>
      <c r="C1082" s="6" t="s">
        <v>9</v>
      </c>
      <c r="D1082" s="8">
        <v>92.4</v>
      </c>
      <c r="E1082" s="403"/>
      <c r="F1082" s="403">
        <f>BBNTHT!J1122</f>
        <v>64</v>
      </c>
      <c r="G1082" s="403">
        <f t="shared" si="64"/>
        <v>64</v>
      </c>
      <c r="H1082" s="9">
        <v>114882</v>
      </c>
      <c r="I1082" s="404">
        <f t="shared" si="65"/>
        <v>10615097</v>
      </c>
      <c r="J1082" s="403"/>
      <c r="K1082" s="404">
        <f t="shared" si="66"/>
        <v>7352448</v>
      </c>
      <c r="L1082" s="405">
        <f t="shared" si="67"/>
        <v>7352448</v>
      </c>
      <c r="M1082" s="403"/>
    </row>
    <row r="1083" spans="1:13" ht="15.75" x14ac:dyDescent="0.25">
      <c r="A1083" s="6" t="s">
        <v>1761</v>
      </c>
      <c r="B1083" s="7" t="s">
        <v>1762</v>
      </c>
      <c r="C1083" s="6" t="s">
        <v>9</v>
      </c>
      <c r="D1083" s="8">
        <v>14</v>
      </c>
      <c r="E1083" s="403"/>
      <c r="F1083" s="403">
        <f>BBNTHT!J1123</f>
        <v>9</v>
      </c>
      <c r="G1083" s="403">
        <f t="shared" si="64"/>
        <v>9</v>
      </c>
      <c r="H1083" s="9">
        <v>608967</v>
      </c>
      <c r="I1083" s="404">
        <f t="shared" si="65"/>
        <v>8525538</v>
      </c>
      <c r="J1083" s="403"/>
      <c r="K1083" s="404">
        <f t="shared" si="66"/>
        <v>5480703</v>
      </c>
      <c r="L1083" s="405">
        <f t="shared" si="67"/>
        <v>5480703</v>
      </c>
      <c r="M1083" s="403"/>
    </row>
    <row r="1084" spans="1:13" ht="15.75" x14ac:dyDescent="0.25">
      <c r="A1084" s="6" t="s">
        <v>1763</v>
      </c>
      <c r="B1084" s="7" t="s">
        <v>1764</v>
      </c>
      <c r="C1084" s="6" t="s">
        <v>9</v>
      </c>
      <c r="D1084" s="8">
        <v>36</v>
      </c>
      <c r="E1084" s="403"/>
      <c r="F1084" s="403">
        <f>BBNTHT!J1124</f>
        <v>25</v>
      </c>
      <c r="G1084" s="403">
        <f t="shared" si="64"/>
        <v>25</v>
      </c>
      <c r="H1084" s="9">
        <v>226794</v>
      </c>
      <c r="I1084" s="404">
        <f t="shared" si="65"/>
        <v>8164584</v>
      </c>
      <c r="J1084" s="403"/>
      <c r="K1084" s="404">
        <f t="shared" si="66"/>
        <v>5669850</v>
      </c>
      <c r="L1084" s="405">
        <f t="shared" si="67"/>
        <v>5669850</v>
      </c>
      <c r="M1084" s="403"/>
    </row>
    <row r="1085" spans="1:13" ht="15.75" x14ac:dyDescent="0.25">
      <c r="A1085" s="6" t="s">
        <v>1765</v>
      </c>
      <c r="B1085" s="7" t="s">
        <v>1702</v>
      </c>
      <c r="C1085" s="6" t="s">
        <v>9</v>
      </c>
      <c r="D1085" s="8">
        <v>180</v>
      </c>
      <c r="E1085" s="403"/>
      <c r="F1085" s="403">
        <f>BBNTHT!J1125</f>
        <v>126</v>
      </c>
      <c r="G1085" s="403">
        <f t="shared" si="64"/>
        <v>126</v>
      </c>
      <c r="H1085" s="9">
        <v>154545</v>
      </c>
      <c r="I1085" s="404">
        <f t="shared" si="65"/>
        <v>27818100</v>
      </c>
      <c r="J1085" s="403"/>
      <c r="K1085" s="404">
        <f t="shared" si="66"/>
        <v>19472670</v>
      </c>
      <c r="L1085" s="405">
        <f t="shared" si="67"/>
        <v>19472670</v>
      </c>
      <c r="M1085" s="403"/>
    </row>
    <row r="1086" spans="1:13" ht="15.75" x14ac:dyDescent="0.25">
      <c r="A1086" s="6" t="s">
        <v>1766</v>
      </c>
      <c r="B1086" s="7" t="s">
        <v>1704</v>
      </c>
      <c r="C1086" s="6" t="s">
        <v>9</v>
      </c>
      <c r="D1086" s="8">
        <v>765</v>
      </c>
      <c r="E1086" s="403"/>
      <c r="F1086" s="403">
        <f>BBNTHT!J1126</f>
        <v>535</v>
      </c>
      <c r="G1086" s="403">
        <f t="shared" si="64"/>
        <v>535</v>
      </c>
      <c r="H1086" s="9">
        <v>47177</v>
      </c>
      <c r="I1086" s="404">
        <f t="shared" si="65"/>
        <v>36090405</v>
      </c>
      <c r="J1086" s="403"/>
      <c r="K1086" s="404">
        <f t="shared" si="66"/>
        <v>25239695</v>
      </c>
      <c r="L1086" s="405">
        <f t="shared" si="67"/>
        <v>25239695</v>
      </c>
      <c r="M1086" s="403"/>
    </row>
    <row r="1087" spans="1:13" ht="15.75" x14ac:dyDescent="0.25">
      <c r="A1087" s="6" t="s">
        <v>1767</v>
      </c>
      <c r="B1087" s="7" t="s">
        <v>1768</v>
      </c>
      <c r="C1087" s="6" t="s">
        <v>9</v>
      </c>
      <c r="D1087" s="8">
        <v>8</v>
      </c>
      <c r="E1087" s="403"/>
      <c r="F1087" s="403">
        <f>BBNTHT!J1127</f>
        <v>5</v>
      </c>
      <c r="G1087" s="403">
        <f t="shared" si="64"/>
        <v>5</v>
      </c>
      <c r="H1087" s="9">
        <v>880859</v>
      </c>
      <c r="I1087" s="404">
        <f t="shared" si="65"/>
        <v>7046872</v>
      </c>
      <c r="J1087" s="403"/>
      <c r="K1087" s="404">
        <f t="shared" si="66"/>
        <v>4404295</v>
      </c>
      <c r="L1087" s="405">
        <f t="shared" si="67"/>
        <v>4404295</v>
      </c>
      <c r="M1087" s="403"/>
    </row>
    <row r="1088" spans="1:13" ht="15.75" x14ac:dyDescent="0.25">
      <c r="A1088" s="6" t="s">
        <v>1769</v>
      </c>
      <c r="B1088" s="7" t="s">
        <v>1770</v>
      </c>
      <c r="C1088" s="6" t="s">
        <v>9</v>
      </c>
      <c r="D1088" s="8">
        <v>42</v>
      </c>
      <c r="E1088" s="403"/>
      <c r="F1088" s="403">
        <f>BBNTHT!J1128</f>
        <v>29</v>
      </c>
      <c r="G1088" s="403">
        <f t="shared" si="64"/>
        <v>29</v>
      </c>
      <c r="H1088" s="9">
        <v>383500</v>
      </c>
      <c r="I1088" s="404">
        <f t="shared" si="65"/>
        <v>16107000</v>
      </c>
      <c r="J1088" s="403"/>
      <c r="K1088" s="404">
        <f t="shared" si="66"/>
        <v>11121500</v>
      </c>
      <c r="L1088" s="405">
        <f t="shared" si="67"/>
        <v>11121500</v>
      </c>
      <c r="M1088" s="403"/>
    </row>
    <row r="1089" spans="1:13" ht="15.75" x14ac:dyDescent="0.25">
      <c r="A1089" s="6" t="s">
        <v>1771</v>
      </c>
      <c r="B1089" s="7" t="s">
        <v>1712</v>
      </c>
      <c r="C1089" s="6" t="s">
        <v>9</v>
      </c>
      <c r="D1089" s="8">
        <v>22</v>
      </c>
      <c r="E1089" s="403"/>
      <c r="F1089" s="403">
        <f>BBNTHT!J1129</f>
        <v>15</v>
      </c>
      <c r="G1089" s="403">
        <f t="shared" si="64"/>
        <v>15</v>
      </c>
      <c r="H1089" s="9">
        <v>180673</v>
      </c>
      <c r="I1089" s="404">
        <f t="shared" si="65"/>
        <v>3974806</v>
      </c>
      <c r="J1089" s="403"/>
      <c r="K1089" s="404">
        <f t="shared" si="66"/>
        <v>2710095</v>
      </c>
      <c r="L1089" s="405">
        <f t="shared" si="67"/>
        <v>2710095</v>
      </c>
      <c r="M1089" s="403"/>
    </row>
    <row r="1090" spans="1:13" ht="15.75" x14ac:dyDescent="0.25">
      <c r="A1090" s="6" t="s">
        <v>1772</v>
      </c>
      <c r="B1090" s="7" t="s">
        <v>1714</v>
      </c>
      <c r="C1090" s="6" t="s">
        <v>9</v>
      </c>
      <c r="D1090" s="8">
        <v>249</v>
      </c>
      <c r="E1090" s="403"/>
      <c r="F1090" s="403">
        <f>BBNTHT!J1130</f>
        <v>174</v>
      </c>
      <c r="G1090" s="403">
        <f t="shared" si="64"/>
        <v>174</v>
      </c>
      <c r="H1090" s="9">
        <v>103382</v>
      </c>
      <c r="I1090" s="404">
        <f t="shared" si="65"/>
        <v>25742118</v>
      </c>
      <c r="J1090" s="403"/>
      <c r="K1090" s="404">
        <f t="shared" si="66"/>
        <v>17988468</v>
      </c>
      <c r="L1090" s="405">
        <f t="shared" si="67"/>
        <v>17988468</v>
      </c>
      <c r="M1090" s="403"/>
    </row>
    <row r="1091" spans="1:13" ht="15.75" x14ac:dyDescent="0.25">
      <c r="A1091" s="6" t="s">
        <v>1773</v>
      </c>
      <c r="B1091" s="7" t="s">
        <v>1774</v>
      </c>
      <c r="C1091" s="6" t="s">
        <v>9</v>
      </c>
      <c r="D1091" s="8">
        <v>16</v>
      </c>
      <c r="E1091" s="403"/>
      <c r="F1091" s="403">
        <f>BBNTHT!J1131</f>
        <v>11</v>
      </c>
      <c r="G1091" s="403">
        <f t="shared" si="64"/>
        <v>11</v>
      </c>
      <c r="H1091" s="9">
        <v>576550</v>
      </c>
      <c r="I1091" s="404">
        <f t="shared" si="65"/>
        <v>9224800</v>
      </c>
      <c r="J1091" s="403"/>
      <c r="K1091" s="404">
        <f t="shared" si="66"/>
        <v>6342050</v>
      </c>
      <c r="L1091" s="405">
        <f t="shared" si="67"/>
        <v>6342050</v>
      </c>
      <c r="M1091" s="403"/>
    </row>
    <row r="1092" spans="1:13" ht="15.75" x14ac:dyDescent="0.25">
      <c r="A1092" s="6" t="s">
        <v>1775</v>
      </c>
      <c r="B1092" s="7" t="s">
        <v>1776</v>
      </c>
      <c r="C1092" s="6" t="s">
        <v>9</v>
      </c>
      <c r="D1092" s="8">
        <v>20</v>
      </c>
      <c r="E1092" s="403"/>
      <c r="F1092" s="403">
        <f>BBNTHT!J1132</f>
        <v>14</v>
      </c>
      <c r="G1092" s="403">
        <f t="shared" si="64"/>
        <v>14</v>
      </c>
      <c r="H1092" s="9">
        <v>246117</v>
      </c>
      <c r="I1092" s="404">
        <f t="shared" si="65"/>
        <v>4922340</v>
      </c>
      <c r="J1092" s="403"/>
      <c r="K1092" s="404">
        <f t="shared" si="66"/>
        <v>3445638</v>
      </c>
      <c r="L1092" s="405">
        <f t="shared" si="67"/>
        <v>3445638</v>
      </c>
      <c r="M1092" s="403"/>
    </row>
    <row r="1093" spans="1:13" ht="15.75" x14ac:dyDescent="0.25">
      <c r="A1093" s="6" t="s">
        <v>1777</v>
      </c>
      <c r="B1093" s="7" t="s">
        <v>1778</v>
      </c>
      <c r="C1093" s="6" t="s">
        <v>9</v>
      </c>
      <c r="D1093" s="8">
        <v>255</v>
      </c>
      <c r="E1093" s="403"/>
      <c r="F1093" s="403">
        <f>BBNTHT!J1133</f>
        <v>178</v>
      </c>
      <c r="G1093" s="403">
        <f t="shared" si="64"/>
        <v>178</v>
      </c>
      <c r="H1093" s="9">
        <v>95306</v>
      </c>
      <c r="I1093" s="404">
        <f t="shared" si="65"/>
        <v>24303030</v>
      </c>
      <c r="J1093" s="403"/>
      <c r="K1093" s="404">
        <f t="shared" si="66"/>
        <v>16964468</v>
      </c>
      <c r="L1093" s="405">
        <f t="shared" si="67"/>
        <v>16964468</v>
      </c>
      <c r="M1093" s="403"/>
    </row>
    <row r="1094" spans="1:13" ht="15.75" x14ac:dyDescent="0.25">
      <c r="A1094" s="6" t="s">
        <v>1779</v>
      </c>
      <c r="B1094" s="7" t="s">
        <v>1780</v>
      </c>
      <c r="C1094" s="6" t="s">
        <v>9</v>
      </c>
      <c r="D1094" s="8">
        <v>255</v>
      </c>
      <c r="E1094" s="403"/>
      <c r="F1094" s="403">
        <f>BBNTHT!J1134</f>
        <v>178</v>
      </c>
      <c r="G1094" s="403">
        <f t="shared" si="64"/>
        <v>178</v>
      </c>
      <c r="H1094" s="9">
        <v>248908</v>
      </c>
      <c r="I1094" s="404">
        <f t="shared" si="65"/>
        <v>63471540</v>
      </c>
      <c r="J1094" s="403"/>
      <c r="K1094" s="404">
        <f t="shared" si="66"/>
        <v>44305624</v>
      </c>
      <c r="L1094" s="405">
        <f t="shared" si="67"/>
        <v>44305624</v>
      </c>
      <c r="M1094" s="403"/>
    </row>
    <row r="1095" spans="1:13" ht="15.75" x14ac:dyDescent="0.25">
      <c r="A1095" s="6" t="s">
        <v>1781</v>
      </c>
      <c r="B1095" s="7" t="s">
        <v>1782</v>
      </c>
      <c r="C1095" s="6" t="s">
        <v>9</v>
      </c>
      <c r="D1095" s="8">
        <v>10</v>
      </c>
      <c r="E1095" s="403"/>
      <c r="F1095" s="403">
        <f>BBNTHT!J1135</f>
        <v>0</v>
      </c>
      <c r="G1095" s="403">
        <f t="shared" si="64"/>
        <v>0</v>
      </c>
      <c r="H1095" s="9">
        <v>253994</v>
      </c>
      <c r="I1095" s="404">
        <f t="shared" si="65"/>
        <v>2539940</v>
      </c>
      <c r="J1095" s="403"/>
      <c r="K1095" s="404">
        <f t="shared" si="66"/>
        <v>0</v>
      </c>
      <c r="L1095" s="405">
        <f t="shared" si="67"/>
        <v>0</v>
      </c>
      <c r="M1095" s="403"/>
    </row>
    <row r="1096" spans="1:13" ht="15.75" x14ac:dyDescent="0.25">
      <c r="A1096" s="6" t="s">
        <v>1783</v>
      </c>
      <c r="B1096" s="7" t="s">
        <v>1784</v>
      </c>
      <c r="C1096" s="6" t="s">
        <v>9</v>
      </c>
      <c r="D1096" s="8">
        <v>4</v>
      </c>
      <c r="E1096" s="403"/>
      <c r="F1096" s="403">
        <f>BBNTHT!J1136</f>
        <v>0</v>
      </c>
      <c r="G1096" s="403">
        <f t="shared" si="64"/>
        <v>0</v>
      </c>
      <c r="H1096" s="9">
        <v>1972266</v>
      </c>
      <c r="I1096" s="404">
        <f t="shared" si="65"/>
        <v>7889064</v>
      </c>
      <c r="J1096" s="403"/>
      <c r="K1096" s="404">
        <f t="shared" si="66"/>
        <v>0</v>
      </c>
      <c r="L1096" s="405">
        <f t="shared" si="67"/>
        <v>0</v>
      </c>
      <c r="M1096" s="403"/>
    </row>
    <row r="1097" spans="1:13" ht="15.75" x14ac:dyDescent="0.25">
      <c r="A1097" s="6" t="s">
        <v>1785</v>
      </c>
      <c r="B1097" s="7" t="s">
        <v>1786</v>
      </c>
      <c r="C1097" s="6" t="s">
        <v>9</v>
      </c>
      <c r="D1097" s="8">
        <v>1</v>
      </c>
      <c r="E1097" s="403"/>
      <c r="F1097" s="403">
        <f>BBNTHT!J1137</f>
        <v>0</v>
      </c>
      <c r="G1097" s="403">
        <f t="shared" si="64"/>
        <v>0</v>
      </c>
      <c r="H1097" s="9">
        <v>32140244</v>
      </c>
      <c r="I1097" s="404">
        <f t="shared" si="65"/>
        <v>32140244</v>
      </c>
      <c r="J1097" s="403"/>
      <c r="K1097" s="404">
        <f t="shared" si="66"/>
        <v>0</v>
      </c>
      <c r="L1097" s="405">
        <f t="shared" si="67"/>
        <v>0</v>
      </c>
      <c r="M1097" s="403"/>
    </row>
    <row r="1098" spans="1:13" ht="15.75" x14ac:dyDescent="0.25">
      <c r="A1098" s="6" t="s">
        <v>1787</v>
      </c>
      <c r="B1098" s="7" t="s">
        <v>1788</v>
      </c>
      <c r="C1098" s="6" t="s">
        <v>9</v>
      </c>
      <c r="D1098" s="8">
        <v>8</v>
      </c>
      <c r="E1098" s="403"/>
      <c r="F1098" s="403">
        <f>BBNTHT!J1138</f>
        <v>0</v>
      </c>
      <c r="G1098" s="403">
        <f t="shared" si="64"/>
        <v>0</v>
      </c>
      <c r="H1098" s="9">
        <v>357548</v>
      </c>
      <c r="I1098" s="404">
        <f t="shared" si="65"/>
        <v>2860384</v>
      </c>
      <c r="J1098" s="403"/>
      <c r="K1098" s="404">
        <f t="shared" si="66"/>
        <v>0</v>
      </c>
      <c r="L1098" s="405">
        <f t="shared" si="67"/>
        <v>0</v>
      </c>
      <c r="M1098" s="403"/>
    </row>
    <row r="1099" spans="1:13" ht="15.75" x14ac:dyDescent="0.25">
      <c r="A1099" s="6" t="s">
        <v>1789</v>
      </c>
      <c r="B1099" s="7" t="s">
        <v>1790</v>
      </c>
      <c r="C1099" s="6" t="s">
        <v>9</v>
      </c>
      <c r="D1099" s="8">
        <v>2</v>
      </c>
      <c r="E1099" s="403"/>
      <c r="F1099" s="403">
        <f>BBNTHT!J1139</f>
        <v>0</v>
      </c>
      <c r="G1099" s="403">
        <f t="shared" si="64"/>
        <v>0</v>
      </c>
      <c r="H1099" s="9">
        <v>393149</v>
      </c>
      <c r="I1099" s="404">
        <f t="shared" si="65"/>
        <v>786298</v>
      </c>
      <c r="J1099" s="403"/>
      <c r="K1099" s="404">
        <f t="shared" si="66"/>
        <v>0</v>
      </c>
      <c r="L1099" s="405">
        <f t="shared" si="67"/>
        <v>0</v>
      </c>
      <c r="M1099" s="403"/>
    </row>
    <row r="1100" spans="1:13" ht="15.75" x14ac:dyDescent="0.25">
      <c r="A1100" s="6" t="s">
        <v>1791</v>
      </c>
      <c r="B1100" s="7" t="s">
        <v>1792</v>
      </c>
      <c r="C1100" s="6" t="s">
        <v>9</v>
      </c>
      <c r="D1100" s="8">
        <v>2</v>
      </c>
      <c r="E1100" s="403"/>
      <c r="F1100" s="403">
        <f>BBNTHT!J1140</f>
        <v>0</v>
      </c>
      <c r="G1100" s="403">
        <f t="shared" si="64"/>
        <v>0</v>
      </c>
      <c r="H1100" s="9">
        <v>16513396</v>
      </c>
      <c r="I1100" s="404">
        <f t="shared" si="65"/>
        <v>33026792</v>
      </c>
      <c r="J1100" s="403"/>
      <c r="K1100" s="404">
        <f t="shared" si="66"/>
        <v>0</v>
      </c>
      <c r="L1100" s="405">
        <f t="shared" si="67"/>
        <v>0</v>
      </c>
      <c r="M1100" s="403"/>
    </row>
    <row r="1101" spans="1:13" ht="15.75" x14ac:dyDescent="0.25">
      <c r="A1101" s="6" t="s">
        <v>1793</v>
      </c>
      <c r="B1101" s="7" t="s">
        <v>1794</v>
      </c>
      <c r="C1101" s="6" t="s">
        <v>9</v>
      </c>
      <c r="D1101" s="8">
        <v>2</v>
      </c>
      <c r="E1101" s="403"/>
      <c r="F1101" s="403">
        <f>BBNTHT!J1141</f>
        <v>0</v>
      </c>
      <c r="G1101" s="403">
        <f t="shared" si="64"/>
        <v>0</v>
      </c>
      <c r="H1101" s="9">
        <v>6774751</v>
      </c>
      <c r="I1101" s="404">
        <f t="shared" si="65"/>
        <v>13549502</v>
      </c>
      <c r="J1101" s="403"/>
      <c r="K1101" s="404">
        <f t="shared" si="66"/>
        <v>0</v>
      </c>
      <c r="L1101" s="405">
        <f t="shared" si="67"/>
        <v>0</v>
      </c>
      <c r="M1101" s="403"/>
    </row>
    <row r="1102" spans="1:13" ht="15.75" x14ac:dyDescent="0.25">
      <c r="A1102" s="6" t="s">
        <v>1795</v>
      </c>
      <c r="B1102" s="7" t="s">
        <v>1796</v>
      </c>
      <c r="C1102" s="6" t="s">
        <v>9</v>
      </c>
      <c r="D1102" s="8">
        <v>2</v>
      </c>
      <c r="E1102" s="403"/>
      <c r="F1102" s="403">
        <f>BBNTHT!J1142</f>
        <v>0</v>
      </c>
      <c r="G1102" s="403">
        <f t="shared" si="64"/>
        <v>0</v>
      </c>
      <c r="H1102" s="9">
        <v>2718944</v>
      </c>
      <c r="I1102" s="404">
        <f t="shared" si="65"/>
        <v>5437888</v>
      </c>
      <c r="J1102" s="403"/>
      <c r="K1102" s="404">
        <f t="shared" si="66"/>
        <v>0</v>
      </c>
      <c r="L1102" s="405">
        <f t="shared" si="67"/>
        <v>0</v>
      </c>
      <c r="M1102" s="403"/>
    </row>
    <row r="1103" spans="1:13" ht="15.75" x14ac:dyDescent="0.25">
      <c r="A1103" s="6" t="s">
        <v>1797</v>
      </c>
      <c r="B1103" s="7" t="s">
        <v>1798</v>
      </c>
      <c r="C1103" s="6" t="s">
        <v>9</v>
      </c>
      <c r="D1103" s="8">
        <v>2</v>
      </c>
      <c r="E1103" s="403"/>
      <c r="F1103" s="403">
        <f>BBNTHT!J1143</f>
        <v>0</v>
      </c>
      <c r="G1103" s="403">
        <f t="shared" si="64"/>
        <v>0</v>
      </c>
      <c r="H1103" s="9">
        <v>105976</v>
      </c>
      <c r="I1103" s="404">
        <f t="shared" si="65"/>
        <v>211952</v>
      </c>
      <c r="J1103" s="403"/>
      <c r="K1103" s="404">
        <f t="shared" si="66"/>
        <v>0</v>
      </c>
      <c r="L1103" s="405">
        <f t="shared" si="67"/>
        <v>0</v>
      </c>
      <c r="M1103" s="403"/>
    </row>
    <row r="1104" spans="1:13" ht="15.75" x14ac:dyDescent="0.25">
      <c r="A1104" s="6" t="s">
        <v>1799</v>
      </c>
      <c r="B1104" s="7" t="s">
        <v>1800</v>
      </c>
      <c r="C1104" s="6" t="s">
        <v>9</v>
      </c>
      <c r="D1104" s="8">
        <v>2</v>
      </c>
      <c r="E1104" s="403"/>
      <c r="F1104" s="403">
        <f>BBNTHT!J1144</f>
        <v>0</v>
      </c>
      <c r="G1104" s="403">
        <f t="shared" si="64"/>
        <v>0</v>
      </c>
      <c r="H1104" s="9">
        <v>90094</v>
      </c>
      <c r="I1104" s="404">
        <f t="shared" si="65"/>
        <v>180188</v>
      </c>
      <c r="J1104" s="403"/>
      <c r="K1104" s="404">
        <f t="shared" si="66"/>
        <v>0</v>
      </c>
      <c r="L1104" s="405">
        <f t="shared" si="67"/>
        <v>0</v>
      </c>
      <c r="M1104" s="403"/>
    </row>
    <row r="1105" spans="1:13" ht="15.75" x14ac:dyDescent="0.25">
      <c r="A1105" s="6" t="s">
        <v>1801</v>
      </c>
      <c r="B1105" s="7" t="s">
        <v>1802</v>
      </c>
      <c r="C1105" s="6" t="s">
        <v>9</v>
      </c>
      <c r="D1105" s="8">
        <v>2</v>
      </c>
      <c r="E1105" s="403"/>
      <c r="F1105" s="403">
        <f>BBNTHT!J1145</f>
        <v>0</v>
      </c>
      <c r="G1105" s="403">
        <f t="shared" si="64"/>
        <v>0</v>
      </c>
      <c r="H1105" s="9">
        <v>123454</v>
      </c>
      <c r="I1105" s="404">
        <f t="shared" si="65"/>
        <v>246908</v>
      </c>
      <c r="J1105" s="403"/>
      <c r="K1105" s="404">
        <f t="shared" si="66"/>
        <v>0</v>
      </c>
      <c r="L1105" s="405">
        <f t="shared" si="67"/>
        <v>0</v>
      </c>
      <c r="M1105" s="403"/>
    </row>
    <row r="1106" spans="1:13" ht="15.75" x14ac:dyDescent="0.25">
      <c r="A1106" s="6" t="s">
        <v>1803</v>
      </c>
      <c r="B1106" s="7" t="s">
        <v>1804</v>
      </c>
      <c r="C1106" s="6" t="s">
        <v>9</v>
      </c>
      <c r="D1106" s="8">
        <v>2</v>
      </c>
      <c r="E1106" s="403"/>
      <c r="F1106" s="403">
        <f>BBNTHT!J1146</f>
        <v>0</v>
      </c>
      <c r="G1106" s="403">
        <f t="shared" ref="G1106:G1169" si="68">F1106+E1106</f>
        <v>0</v>
      </c>
      <c r="H1106" s="9">
        <v>4986484</v>
      </c>
      <c r="I1106" s="404">
        <f t="shared" ref="I1106:I1169" si="69">ROUND(D1106*H1106,0)</f>
        <v>9972968</v>
      </c>
      <c r="J1106" s="403"/>
      <c r="K1106" s="404">
        <f t="shared" ref="K1106:K1169" si="70">ROUND(F1106*H1106,0)</f>
        <v>0</v>
      </c>
      <c r="L1106" s="405">
        <f t="shared" ref="L1106:L1169" si="71">J1106+K1106</f>
        <v>0</v>
      </c>
      <c r="M1106" s="403"/>
    </row>
    <row r="1107" spans="1:13" ht="15.75" x14ac:dyDescent="0.25">
      <c r="A1107" s="6" t="s">
        <v>1805</v>
      </c>
      <c r="B1107" s="7" t="s">
        <v>1806</v>
      </c>
      <c r="C1107" s="6" t="s">
        <v>9</v>
      </c>
      <c r="D1107" s="8">
        <v>2</v>
      </c>
      <c r="E1107" s="403"/>
      <c r="F1107" s="403">
        <f>BBNTHT!J1147</f>
        <v>0</v>
      </c>
      <c r="G1107" s="403">
        <f t="shared" si="68"/>
        <v>0</v>
      </c>
      <c r="H1107" s="9">
        <v>4276704</v>
      </c>
      <c r="I1107" s="404">
        <f t="shared" si="69"/>
        <v>8553408</v>
      </c>
      <c r="J1107" s="403"/>
      <c r="K1107" s="404">
        <f t="shared" si="70"/>
        <v>0</v>
      </c>
      <c r="L1107" s="405">
        <f t="shared" si="71"/>
        <v>0</v>
      </c>
      <c r="M1107" s="403"/>
    </row>
    <row r="1108" spans="1:13" ht="15.75" x14ac:dyDescent="0.25">
      <c r="A1108" s="6" t="s">
        <v>1807</v>
      </c>
      <c r="B1108" s="7" t="s">
        <v>1808</v>
      </c>
      <c r="C1108" s="6" t="s">
        <v>9</v>
      </c>
      <c r="D1108" s="8">
        <v>2</v>
      </c>
      <c r="E1108" s="403"/>
      <c r="F1108" s="403">
        <f>BBNTHT!J1148</f>
        <v>0</v>
      </c>
      <c r="G1108" s="403">
        <f t="shared" si="68"/>
        <v>0</v>
      </c>
      <c r="H1108" s="9">
        <v>1137528</v>
      </c>
      <c r="I1108" s="404">
        <f t="shared" si="69"/>
        <v>2275056</v>
      </c>
      <c r="J1108" s="403"/>
      <c r="K1108" s="404">
        <f t="shared" si="70"/>
        <v>0</v>
      </c>
      <c r="L1108" s="405">
        <f t="shared" si="71"/>
        <v>0</v>
      </c>
      <c r="M1108" s="403"/>
    </row>
    <row r="1109" spans="1:13" ht="15.75" x14ac:dyDescent="0.25">
      <c r="A1109" s="6" t="s">
        <v>1809</v>
      </c>
      <c r="B1109" s="7" t="s">
        <v>1810</v>
      </c>
      <c r="C1109" s="6" t="s">
        <v>9</v>
      </c>
      <c r="D1109" s="8">
        <v>2</v>
      </c>
      <c r="E1109" s="403"/>
      <c r="F1109" s="403">
        <f>BBNTHT!J1149</f>
        <v>0</v>
      </c>
      <c r="G1109" s="403">
        <f t="shared" si="68"/>
        <v>0</v>
      </c>
      <c r="H1109" s="9">
        <v>52010</v>
      </c>
      <c r="I1109" s="404">
        <f t="shared" si="69"/>
        <v>104020</v>
      </c>
      <c r="J1109" s="403"/>
      <c r="K1109" s="404">
        <f t="shared" si="70"/>
        <v>0</v>
      </c>
      <c r="L1109" s="405">
        <f t="shared" si="71"/>
        <v>0</v>
      </c>
      <c r="M1109" s="403"/>
    </row>
    <row r="1110" spans="1:13" ht="15.75" x14ac:dyDescent="0.25">
      <c r="A1110" s="6" t="s">
        <v>1811</v>
      </c>
      <c r="B1110" s="7" t="s">
        <v>1812</v>
      </c>
      <c r="C1110" s="6" t="s">
        <v>9</v>
      </c>
      <c r="D1110" s="8">
        <v>3</v>
      </c>
      <c r="E1110" s="403"/>
      <c r="F1110" s="403">
        <f>BBNTHT!J1150</f>
        <v>0</v>
      </c>
      <c r="G1110" s="403">
        <f t="shared" si="68"/>
        <v>0</v>
      </c>
      <c r="H1110" s="9">
        <v>30015</v>
      </c>
      <c r="I1110" s="404">
        <f t="shared" si="69"/>
        <v>90045</v>
      </c>
      <c r="J1110" s="403"/>
      <c r="K1110" s="404">
        <f t="shared" si="70"/>
        <v>0</v>
      </c>
      <c r="L1110" s="405">
        <f t="shared" si="71"/>
        <v>0</v>
      </c>
      <c r="M1110" s="403"/>
    </row>
    <row r="1111" spans="1:13" ht="15.75" x14ac:dyDescent="0.25">
      <c r="A1111" s="2" t="s">
        <v>1813</v>
      </c>
      <c r="B1111" s="3" t="s">
        <v>1814</v>
      </c>
      <c r="C1111" s="2"/>
      <c r="D1111" s="4" t="s">
        <v>3</v>
      </c>
      <c r="E1111" s="403"/>
      <c r="F1111" s="403">
        <f>BBNTHT!J1151</f>
        <v>0</v>
      </c>
      <c r="G1111" s="403">
        <f t="shared" si="68"/>
        <v>0</v>
      </c>
      <c r="H1111" s="5"/>
      <c r="I1111" s="404"/>
      <c r="J1111" s="403"/>
      <c r="K1111" s="404">
        <f t="shared" si="70"/>
        <v>0</v>
      </c>
      <c r="L1111" s="405">
        <f t="shared" si="71"/>
        <v>0</v>
      </c>
      <c r="M1111" s="403"/>
    </row>
    <row r="1112" spans="1:13" ht="15.75" x14ac:dyDescent="0.25">
      <c r="A1112" s="2" t="s">
        <v>1815</v>
      </c>
      <c r="B1112" s="3" t="s">
        <v>1816</v>
      </c>
      <c r="C1112" s="2"/>
      <c r="D1112" s="4" t="s">
        <v>3</v>
      </c>
      <c r="E1112" s="403"/>
      <c r="F1112" s="403">
        <f>BBNTHT!J1152</f>
        <v>0</v>
      </c>
      <c r="G1112" s="403">
        <f t="shared" si="68"/>
        <v>0</v>
      </c>
      <c r="H1112" s="5"/>
      <c r="I1112" s="404"/>
      <c r="J1112" s="403"/>
      <c r="K1112" s="404">
        <f t="shared" si="70"/>
        <v>0</v>
      </c>
      <c r="L1112" s="405">
        <f t="shared" si="71"/>
        <v>0</v>
      </c>
      <c r="M1112" s="403"/>
    </row>
    <row r="1113" spans="1:13" ht="15.75" x14ac:dyDescent="0.25">
      <c r="A1113" s="6" t="s">
        <v>1817</v>
      </c>
      <c r="B1113" s="7" t="s">
        <v>1818</v>
      </c>
      <c r="C1113" s="6" t="s">
        <v>6</v>
      </c>
      <c r="D1113" s="8">
        <v>6105</v>
      </c>
      <c r="E1113" s="403"/>
      <c r="F1113" s="403">
        <f>BBNTHT!J1153</f>
        <v>0</v>
      </c>
      <c r="G1113" s="403">
        <f t="shared" si="68"/>
        <v>0</v>
      </c>
      <c r="H1113" s="9">
        <v>21770</v>
      </c>
      <c r="I1113" s="404">
        <f t="shared" si="69"/>
        <v>132905850</v>
      </c>
      <c r="J1113" s="403"/>
      <c r="K1113" s="404">
        <f t="shared" si="70"/>
        <v>0</v>
      </c>
      <c r="L1113" s="405">
        <f t="shared" si="71"/>
        <v>0</v>
      </c>
      <c r="M1113" s="403"/>
    </row>
    <row r="1114" spans="1:13" ht="15.75" x14ac:dyDescent="0.25">
      <c r="A1114" s="6" t="s">
        <v>1819</v>
      </c>
      <c r="B1114" s="7" t="s">
        <v>1820</v>
      </c>
      <c r="C1114" s="6" t="s">
        <v>6</v>
      </c>
      <c r="D1114" s="8">
        <v>1200</v>
      </c>
      <c r="E1114" s="403"/>
      <c r="F1114" s="403">
        <f>BBNTHT!J1154</f>
        <v>0</v>
      </c>
      <c r="G1114" s="403">
        <f t="shared" si="68"/>
        <v>0</v>
      </c>
      <c r="H1114" s="9">
        <v>18802</v>
      </c>
      <c r="I1114" s="404">
        <f t="shared" si="69"/>
        <v>22562400</v>
      </c>
      <c r="J1114" s="403"/>
      <c r="K1114" s="404">
        <f t="shared" si="70"/>
        <v>0</v>
      </c>
      <c r="L1114" s="405">
        <f t="shared" si="71"/>
        <v>0</v>
      </c>
      <c r="M1114" s="403"/>
    </row>
    <row r="1115" spans="1:13" ht="15.75" x14ac:dyDescent="0.25">
      <c r="A1115" s="6" t="s">
        <v>1821</v>
      </c>
      <c r="B1115" s="7" t="s">
        <v>1822</v>
      </c>
      <c r="C1115" s="6" t="s">
        <v>6</v>
      </c>
      <c r="D1115" s="8">
        <v>1200</v>
      </c>
      <c r="E1115" s="403"/>
      <c r="F1115" s="403">
        <f>BBNTHT!J1155</f>
        <v>0</v>
      </c>
      <c r="G1115" s="403">
        <f t="shared" si="68"/>
        <v>0</v>
      </c>
      <c r="H1115" s="9">
        <v>58480</v>
      </c>
      <c r="I1115" s="404">
        <f t="shared" si="69"/>
        <v>70176000</v>
      </c>
      <c r="J1115" s="403"/>
      <c r="K1115" s="404">
        <f t="shared" si="70"/>
        <v>0</v>
      </c>
      <c r="L1115" s="405">
        <f t="shared" si="71"/>
        <v>0</v>
      </c>
      <c r="M1115" s="403"/>
    </row>
    <row r="1116" spans="1:13" ht="15.75" x14ac:dyDescent="0.25">
      <c r="A1116" s="6" t="s">
        <v>1823</v>
      </c>
      <c r="B1116" s="7" t="s">
        <v>1824</v>
      </c>
      <c r="C1116" s="6" t="s">
        <v>6</v>
      </c>
      <c r="D1116" s="8">
        <v>200</v>
      </c>
      <c r="E1116" s="403"/>
      <c r="F1116" s="403">
        <f>BBNTHT!J1156</f>
        <v>0</v>
      </c>
      <c r="G1116" s="403">
        <f t="shared" si="68"/>
        <v>0</v>
      </c>
      <c r="H1116" s="9">
        <v>47394</v>
      </c>
      <c r="I1116" s="404">
        <f t="shared" si="69"/>
        <v>9478800</v>
      </c>
      <c r="J1116" s="403"/>
      <c r="K1116" s="404">
        <f t="shared" si="70"/>
        <v>0</v>
      </c>
      <c r="L1116" s="405">
        <f t="shared" si="71"/>
        <v>0</v>
      </c>
      <c r="M1116" s="403"/>
    </row>
    <row r="1117" spans="1:13" ht="15.75" x14ac:dyDescent="0.25">
      <c r="A1117" s="6" t="s">
        <v>1825</v>
      </c>
      <c r="B1117" s="7" t="s">
        <v>1826</v>
      </c>
      <c r="C1117" s="6" t="s">
        <v>6</v>
      </c>
      <c r="D1117" s="8">
        <v>15700</v>
      </c>
      <c r="E1117" s="403"/>
      <c r="F1117" s="403">
        <f>BBNTHT!J1157</f>
        <v>0</v>
      </c>
      <c r="G1117" s="403">
        <f t="shared" si="68"/>
        <v>0</v>
      </c>
      <c r="H1117" s="9">
        <v>23841</v>
      </c>
      <c r="I1117" s="404">
        <f t="shared" si="69"/>
        <v>374303700</v>
      </c>
      <c r="J1117" s="403"/>
      <c r="K1117" s="404">
        <f t="shared" si="70"/>
        <v>0</v>
      </c>
      <c r="L1117" s="405">
        <f t="shared" si="71"/>
        <v>0</v>
      </c>
      <c r="M1117" s="403"/>
    </row>
    <row r="1118" spans="1:13" ht="15.75" x14ac:dyDescent="0.25">
      <c r="A1118" s="6" t="s">
        <v>1827</v>
      </c>
      <c r="B1118" s="7" t="s">
        <v>1828</v>
      </c>
      <c r="C1118" s="6" t="s">
        <v>6</v>
      </c>
      <c r="D1118" s="8">
        <v>1090</v>
      </c>
      <c r="E1118" s="403"/>
      <c r="F1118" s="403">
        <f>BBNTHT!J1158</f>
        <v>0</v>
      </c>
      <c r="G1118" s="403">
        <f t="shared" si="68"/>
        <v>0</v>
      </c>
      <c r="H1118" s="9">
        <v>19528</v>
      </c>
      <c r="I1118" s="404">
        <f t="shared" si="69"/>
        <v>21285520</v>
      </c>
      <c r="J1118" s="403"/>
      <c r="K1118" s="404">
        <f t="shared" si="70"/>
        <v>0</v>
      </c>
      <c r="L1118" s="405">
        <f t="shared" si="71"/>
        <v>0</v>
      </c>
      <c r="M1118" s="403"/>
    </row>
    <row r="1119" spans="1:13" ht="31.5" x14ac:dyDescent="0.25">
      <c r="A1119" s="6" t="s">
        <v>1829</v>
      </c>
      <c r="B1119" s="7" t="s">
        <v>1830</v>
      </c>
      <c r="C1119" s="6" t="s">
        <v>9</v>
      </c>
      <c r="D1119" s="8">
        <v>302</v>
      </c>
      <c r="E1119" s="403"/>
      <c r="F1119" s="403">
        <f>BBNTHT!J1159</f>
        <v>0</v>
      </c>
      <c r="G1119" s="403">
        <f t="shared" si="68"/>
        <v>0</v>
      </c>
      <c r="H1119" s="9">
        <v>273469</v>
      </c>
      <c r="I1119" s="404">
        <f t="shared" si="69"/>
        <v>82587638</v>
      </c>
      <c r="J1119" s="403"/>
      <c r="K1119" s="404">
        <f t="shared" si="70"/>
        <v>0</v>
      </c>
      <c r="L1119" s="405">
        <f t="shared" si="71"/>
        <v>0</v>
      </c>
      <c r="M1119" s="403"/>
    </row>
    <row r="1120" spans="1:13" ht="15.75" x14ac:dyDescent="0.25">
      <c r="A1120" s="6" t="s">
        <v>1831</v>
      </c>
      <c r="B1120" s="7" t="s">
        <v>1832</v>
      </c>
      <c r="C1120" s="6" t="s">
        <v>499</v>
      </c>
      <c r="D1120" s="8">
        <v>1</v>
      </c>
      <c r="E1120" s="403"/>
      <c r="F1120" s="403">
        <f>BBNTHT!J1160</f>
        <v>0</v>
      </c>
      <c r="G1120" s="403">
        <f t="shared" si="68"/>
        <v>0</v>
      </c>
      <c r="H1120" s="9">
        <v>19094539</v>
      </c>
      <c r="I1120" s="404">
        <f t="shared" si="69"/>
        <v>19094539</v>
      </c>
      <c r="J1120" s="403"/>
      <c r="K1120" s="404">
        <f t="shared" si="70"/>
        <v>0</v>
      </c>
      <c r="L1120" s="405">
        <f t="shared" si="71"/>
        <v>0</v>
      </c>
      <c r="M1120" s="403"/>
    </row>
    <row r="1121" spans="1:13" ht="15.75" x14ac:dyDescent="0.25">
      <c r="A1121" s="6" t="s">
        <v>1833</v>
      </c>
      <c r="B1121" s="7" t="s">
        <v>1834</v>
      </c>
      <c r="C1121" s="6" t="s">
        <v>1835</v>
      </c>
      <c r="D1121" s="8">
        <v>19</v>
      </c>
      <c r="E1121" s="403"/>
      <c r="F1121" s="403">
        <f>BBNTHT!J1161</f>
        <v>0</v>
      </c>
      <c r="G1121" s="403">
        <f t="shared" si="68"/>
        <v>0</v>
      </c>
      <c r="H1121" s="9">
        <v>1142975</v>
      </c>
      <c r="I1121" s="404">
        <f t="shared" si="69"/>
        <v>21716525</v>
      </c>
      <c r="J1121" s="403"/>
      <c r="K1121" s="404">
        <f t="shared" si="70"/>
        <v>0</v>
      </c>
      <c r="L1121" s="405">
        <f t="shared" si="71"/>
        <v>0</v>
      </c>
      <c r="M1121" s="403"/>
    </row>
    <row r="1122" spans="1:13" ht="15.75" x14ac:dyDescent="0.25">
      <c r="A1122" s="6" t="s">
        <v>1836</v>
      </c>
      <c r="B1122" s="7" t="s">
        <v>1837</v>
      </c>
      <c r="C1122" s="6" t="s">
        <v>1835</v>
      </c>
      <c r="D1122" s="8">
        <v>1</v>
      </c>
      <c r="E1122" s="403"/>
      <c r="F1122" s="403">
        <f>BBNTHT!J1162</f>
        <v>0</v>
      </c>
      <c r="G1122" s="403">
        <f t="shared" si="68"/>
        <v>0</v>
      </c>
      <c r="H1122" s="9">
        <v>3733717</v>
      </c>
      <c r="I1122" s="404">
        <f t="shared" si="69"/>
        <v>3733717</v>
      </c>
      <c r="J1122" s="403"/>
      <c r="K1122" s="404">
        <f t="shared" si="70"/>
        <v>0</v>
      </c>
      <c r="L1122" s="405">
        <f t="shared" si="71"/>
        <v>0</v>
      </c>
      <c r="M1122" s="403"/>
    </row>
    <row r="1123" spans="1:13" ht="15.75" x14ac:dyDescent="0.25">
      <c r="A1123" s="2" t="s">
        <v>1838</v>
      </c>
      <c r="B1123" s="3" t="s">
        <v>1839</v>
      </c>
      <c r="C1123" s="2"/>
      <c r="D1123" s="4" t="s">
        <v>3</v>
      </c>
      <c r="E1123" s="403"/>
      <c r="F1123" s="403">
        <f>BBNTHT!J1163</f>
        <v>0</v>
      </c>
      <c r="G1123" s="403">
        <f t="shared" si="68"/>
        <v>0</v>
      </c>
      <c r="H1123" s="5"/>
      <c r="I1123" s="404"/>
      <c r="J1123" s="403"/>
      <c r="K1123" s="404">
        <f t="shared" si="70"/>
        <v>0</v>
      </c>
      <c r="L1123" s="405">
        <f t="shared" si="71"/>
        <v>0</v>
      </c>
      <c r="M1123" s="403"/>
    </row>
    <row r="1124" spans="1:13" ht="15.75" x14ac:dyDescent="0.25">
      <c r="A1124" s="6" t="s">
        <v>1840</v>
      </c>
      <c r="B1124" s="7" t="s">
        <v>1841</v>
      </c>
      <c r="C1124" s="6" t="s">
        <v>499</v>
      </c>
      <c r="D1124" s="8">
        <v>1</v>
      </c>
      <c r="E1124" s="403"/>
      <c r="F1124" s="403">
        <f>BBNTHT!J1164</f>
        <v>0</v>
      </c>
      <c r="G1124" s="403">
        <f t="shared" si="68"/>
        <v>0</v>
      </c>
      <c r="H1124" s="9">
        <v>737285</v>
      </c>
      <c r="I1124" s="404">
        <f t="shared" si="69"/>
        <v>737285</v>
      </c>
      <c r="J1124" s="403"/>
      <c r="K1124" s="404">
        <f t="shared" si="70"/>
        <v>0</v>
      </c>
      <c r="L1124" s="405">
        <f t="shared" si="71"/>
        <v>0</v>
      </c>
      <c r="M1124" s="403"/>
    </row>
    <row r="1125" spans="1:13" ht="15.75" x14ac:dyDescent="0.25">
      <c r="A1125" s="6" t="s">
        <v>1842</v>
      </c>
      <c r="B1125" s="7" t="s">
        <v>1843</v>
      </c>
      <c r="C1125" s="6" t="s">
        <v>499</v>
      </c>
      <c r="D1125" s="8">
        <v>2</v>
      </c>
      <c r="E1125" s="403"/>
      <c r="F1125" s="403">
        <f>BBNTHT!J1165</f>
        <v>0</v>
      </c>
      <c r="G1125" s="403">
        <f t="shared" si="68"/>
        <v>0</v>
      </c>
      <c r="H1125" s="9">
        <v>778851</v>
      </c>
      <c r="I1125" s="404">
        <f t="shared" si="69"/>
        <v>1557702</v>
      </c>
      <c r="J1125" s="403"/>
      <c r="K1125" s="404">
        <f t="shared" si="70"/>
        <v>0</v>
      </c>
      <c r="L1125" s="405">
        <f t="shared" si="71"/>
        <v>0</v>
      </c>
      <c r="M1125" s="403"/>
    </row>
    <row r="1126" spans="1:13" ht="15.75" x14ac:dyDescent="0.25">
      <c r="A1126" s="6" t="s">
        <v>1844</v>
      </c>
      <c r="B1126" s="7" t="s">
        <v>1845</v>
      </c>
      <c r="C1126" s="6" t="s">
        <v>499</v>
      </c>
      <c r="D1126" s="8">
        <v>12</v>
      </c>
      <c r="E1126" s="403"/>
      <c r="F1126" s="403">
        <f>BBNTHT!J1166</f>
        <v>0</v>
      </c>
      <c r="G1126" s="403">
        <f t="shared" si="68"/>
        <v>0</v>
      </c>
      <c r="H1126" s="9">
        <v>644983</v>
      </c>
      <c r="I1126" s="404">
        <f t="shared" si="69"/>
        <v>7739796</v>
      </c>
      <c r="J1126" s="403"/>
      <c r="K1126" s="404">
        <f t="shared" si="70"/>
        <v>0</v>
      </c>
      <c r="L1126" s="405">
        <f t="shared" si="71"/>
        <v>0</v>
      </c>
      <c r="M1126" s="403"/>
    </row>
    <row r="1127" spans="1:13" ht="15.75" x14ac:dyDescent="0.25">
      <c r="A1127" s="6" t="s">
        <v>1846</v>
      </c>
      <c r="B1127" s="7" t="s">
        <v>1847</v>
      </c>
      <c r="C1127" s="6" t="s">
        <v>499</v>
      </c>
      <c r="D1127" s="8">
        <v>2</v>
      </c>
      <c r="E1127" s="403"/>
      <c r="F1127" s="403">
        <f>BBNTHT!J1167</f>
        <v>0</v>
      </c>
      <c r="G1127" s="403">
        <f t="shared" si="68"/>
        <v>0</v>
      </c>
      <c r="H1127" s="9">
        <v>8293427</v>
      </c>
      <c r="I1127" s="404">
        <f t="shared" si="69"/>
        <v>16586854</v>
      </c>
      <c r="J1127" s="403"/>
      <c r="K1127" s="404">
        <f t="shared" si="70"/>
        <v>0</v>
      </c>
      <c r="L1127" s="405">
        <f t="shared" si="71"/>
        <v>0</v>
      </c>
      <c r="M1127" s="403"/>
    </row>
    <row r="1128" spans="1:13" ht="15.75" x14ac:dyDescent="0.25">
      <c r="A1128" s="6" t="s">
        <v>1848</v>
      </c>
      <c r="B1128" s="7" t="s">
        <v>1849</v>
      </c>
      <c r="C1128" s="6" t="s">
        <v>6</v>
      </c>
      <c r="D1128" s="8">
        <v>7660</v>
      </c>
      <c r="E1128" s="403"/>
      <c r="F1128" s="403">
        <f>BBNTHT!J1168</f>
        <v>0</v>
      </c>
      <c r="G1128" s="403">
        <f t="shared" si="68"/>
        <v>0</v>
      </c>
      <c r="H1128" s="9">
        <v>15036</v>
      </c>
      <c r="I1128" s="404">
        <f t="shared" si="69"/>
        <v>115175760</v>
      </c>
      <c r="J1128" s="403"/>
      <c r="K1128" s="404">
        <f t="shared" si="70"/>
        <v>0</v>
      </c>
      <c r="L1128" s="405">
        <f t="shared" si="71"/>
        <v>0</v>
      </c>
      <c r="M1128" s="403"/>
    </row>
    <row r="1129" spans="1:13" ht="15.75" x14ac:dyDescent="0.25">
      <c r="A1129" s="6" t="s">
        <v>1850</v>
      </c>
      <c r="B1129" s="7" t="s">
        <v>1851</v>
      </c>
      <c r="C1129" s="6" t="s">
        <v>6</v>
      </c>
      <c r="D1129" s="8">
        <v>1360</v>
      </c>
      <c r="E1129" s="403"/>
      <c r="F1129" s="403">
        <f>BBNTHT!J1169</f>
        <v>0</v>
      </c>
      <c r="G1129" s="403">
        <f t="shared" si="68"/>
        <v>0</v>
      </c>
      <c r="H1129" s="9">
        <v>100319</v>
      </c>
      <c r="I1129" s="404">
        <f t="shared" si="69"/>
        <v>136433840</v>
      </c>
      <c r="J1129" s="403"/>
      <c r="K1129" s="404">
        <f t="shared" si="70"/>
        <v>0</v>
      </c>
      <c r="L1129" s="405">
        <f t="shared" si="71"/>
        <v>0</v>
      </c>
      <c r="M1129" s="403"/>
    </row>
    <row r="1130" spans="1:13" ht="31.5" x14ac:dyDescent="0.25">
      <c r="A1130" s="6" t="s">
        <v>1852</v>
      </c>
      <c r="B1130" s="7" t="s">
        <v>1853</v>
      </c>
      <c r="C1130" s="6" t="s">
        <v>9</v>
      </c>
      <c r="D1130" s="8">
        <v>283</v>
      </c>
      <c r="E1130" s="403"/>
      <c r="F1130" s="403">
        <f>BBNTHT!J1170</f>
        <v>0</v>
      </c>
      <c r="G1130" s="403">
        <f t="shared" si="68"/>
        <v>0</v>
      </c>
      <c r="H1130" s="9">
        <v>273469</v>
      </c>
      <c r="I1130" s="404">
        <f t="shared" si="69"/>
        <v>77391727</v>
      </c>
      <c r="J1130" s="403"/>
      <c r="K1130" s="404">
        <f t="shared" si="70"/>
        <v>0</v>
      </c>
      <c r="L1130" s="405">
        <f t="shared" si="71"/>
        <v>0</v>
      </c>
      <c r="M1130" s="403"/>
    </row>
    <row r="1131" spans="1:13" ht="15.75" x14ac:dyDescent="0.25">
      <c r="A1131" s="2" t="s">
        <v>1854</v>
      </c>
      <c r="B1131" s="3" t="s">
        <v>1855</v>
      </c>
      <c r="C1131" s="2"/>
      <c r="D1131" s="4" t="s">
        <v>3</v>
      </c>
      <c r="E1131" s="403"/>
      <c r="F1131" s="403">
        <f>BBNTHT!J1171</f>
        <v>0</v>
      </c>
      <c r="G1131" s="403">
        <f t="shared" si="68"/>
        <v>0</v>
      </c>
      <c r="H1131" s="5"/>
      <c r="I1131" s="404"/>
      <c r="J1131" s="403"/>
      <c r="K1131" s="404">
        <f t="shared" si="70"/>
        <v>0</v>
      </c>
      <c r="L1131" s="405">
        <f t="shared" si="71"/>
        <v>0</v>
      </c>
      <c r="M1131" s="403"/>
    </row>
    <row r="1132" spans="1:13" ht="15.75" x14ac:dyDescent="0.25">
      <c r="A1132" s="6" t="s">
        <v>1856</v>
      </c>
      <c r="B1132" s="7" t="s">
        <v>1818</v>
      </c>
      <c r="C1132" s="6" t="s">
        <v>6</v>
      </c>
      <c r="D1132" s="8">
        <v>3200</v>
      </c>
      <c r="E1132" s="403"/>
      <c r="F1132" s="403">
        <f>BBNTHT!J1172</f>
        <v>0</v>
      </c>
      <c r="G1132" s="403">
        <f t="shared" si="68"/>
        <v>0</v>
      </c>
      <c r="H1132" s="9">
        <v>21770</v>
      </c>
      <c r="I1132" s="404">
        <f t="shared" si="69"/>
        <v>69664000</v>
      </c>
      <c r="J1132" s="403"/>
      <c r="K1132" s="404">
        <f t="shared" si="70"/>
        <v>0</v>
      </c>
      <c r="L1132" s="405">
        <f t="shared" si="71"/>
        <v>0</v>
      </c>
      <c r="M1132" s="403"/>
    </row>
    <row r="1133" spans="1:13" ht="15.75" x14ac:dyDescent="0.25">
      <c r="A1133" s="6" t="s">
        <v>1857</v>
      </c>
      <c r="B1133" s="7" t="s">
        <v>1820</v>
      </c>
      <c r="C1133" s="6" t="s">
        <v>6</v>
      </c>
      <c r="D1133" s="8">
        <v>480</v>
      </c>
      <c r="E1133" s="403"/>
      <c r="F1133" s="403">
        <f>BBNTHT!J1173</f>
        <v>0</v>
      </c>
      <c r="G1133" s="403">
        <f t="shared" si="68"/>
        <v>0</v>
      </c>
      <c r="H1133" s="9">
        <v>18802</v>
      </c>
      <c r="I1133" s="404">
        <f t="shared" si="69"/>
        <v>9024960</v>
      </c>
      <c r="J1133" s="403"/>
      <c r="K1133" s="404">
        <f t="shared" si="70"/>
        <v>0</v>
      </c>
      <c r="L1133" s="405">
        <f t="shared" si="71"/>
        <v>0</v>
      </c>
      <c r="M1133" s="403"/>
    </row>
    <row r="1134" spans="1:13" ht="15.75" x14ac:dyDescent="0.25">
      <c r="A1134" s="6" t="s">
        <v>1858</v>
      </c>
      <c r="B1134" s="7" t="s">
        <v>1859</v>
      </c>
      <c r="C1134" s="6" t="s">
        <v>6</v>
      </c>
      <c r="D1134" s="8">
        <v>4024</v>
      </c>
      <c r="E1134" s="403"/>
      <c r="F1134" s="403">
        <f>BBNTHT!J1174</f>
        <v>0</v>
      </c>
      <c r="G1134" s="403">
        <f t="shared" si="68"/>
        <v>0</v>
      </c>
      <c r="H1134" s="9">
        <v>35081</v>
      </c>
      <c r="I1134" s="404">
        <f t="shared" si="69"/>
        <v>141165944</v>
      </c>
      <c r="J1134" s="403"/>
      <c r="K1134" s="404">
        <f t="shared" si="70"/>
        <v>0</v>
      </c>
      <c r="L1134" s="405">
        <f t="shared" si="71"/>
        <v>0</v>
      </c>
      <c r="M1134" s="403"/>
    </row>
    <row r="1135" spans="1:13" ht="15.75" x14ac:dyDescent="0.25">
      <c r="A1135" s="6" t="s">
        <v>1860</v>
      </c>
      <c r="B1135" s="7" t="s">
        <v>1824</v>
      </c>
      <c r="C1135" s="6" t="s">
        <v>6</v>
      </c>
      <c r="D1135" s="8">
        <v>625</v>
      </c>
      <c r="E1135" s="403"/>
      <c r="F1135" s="403">
        <f>BBNTHT!J1175</f>
        <v>0</v>
      </c>
      <c r="G1135" s="403">
        <f t="shared" si="68"/>
        <v>0</v>
      </c>
      <c r="H1135" s="9">
        <v>47394</v>
      </c>
      <c r="I1135" s="404">
        <f t="shared" si="69"/>
        <v>29621250</v>
      </c>
      <c r="J1135" s="403"/>
      <c r="K1135" s="404">
        <f t="shared" si="70"/>
        <v>0</v>
      </c>
      <c r="L1135" s="405">
        <f t="shared" si="71"/>
        <v>0</v>
      </c>
      <c r="M1135" s="403"/>
    </row>
    <row r="1136" spans="1:13" ht="15.75" x14ac:dyDescent="0.25">
      <c r="A1136" s="6" t="s">
        <v>1861</v>
      </c>
      <c r="B1136" s="7" t="s">
        <v>1826</v>
      </c>
      <c r="C1136" s="6" t="s">
        <v>6</v>
      </c>
      <c r="D1136" s="8">
        <v>3680</v>
      </c>
      <c r="E1136" s="403"/>
      <c r="F1136" s="403">
        <f>BBNTHT!J1176</f>
        <v>0</v>
      </c>
      <c r="G1136" s="403">
        <f t="shared" si="68"/>
        <v>0</v>
      </c>
      <c r="H1136" s="9">
        <v>22919</v>
      </c>
      <c r="I1136" s="404">
        <f t="shared" si="69"/>
        <v>84341920</v>
      </c>
      <c r="J1136" s="403"/>
      <c r="K1136" s="404">
        <f t="shared" si="70"/>
        <v>0</v>
      </c>
      <c r="L1136" s="405">
        <f t="shared" si="71"/>
        <v>0</v>
      </c>
      <c r="M1136" s="403"/>
    </row>
    <row r="1137" spans="1:13" ht="15.75" x14ac:dyDescent="0.25">
      <c r="A1137" s="6" t="s">
        <v>1862</v>
      </c>
      <c r="B1137" s="7" t="s">
        <v>1863</v>
      </c>
      <c r="C1137" s="6" t="s">
        <v>6</v>
      </c>
      <c r="D1137" s="8">
        <v>625</v>
      </c>
      <c r="E1137" s="403"/>
      <c r="F1137" s="403">
        <f>BBNTHT!J1177</f>
        <v>0</v>
      </c>
      <c r="G1137" s="403">
        <f t="shared" si="68"/>
        <v>0</v>
      </c>
      <c r="H1137" s="9">
        <v>12023</v>
      </c>
      <c r="I1137" s="404">
        <f t="shared" si="69"/>
        <v>7514375</v>
      </c>
      <c r="J1137" s="403"/>
      <c r="K1137" s="404">
        <f t="shared" si="70"/>
        <v>0</v>
      </c>
      <c r="L1137" s="405">
        <f t="shared" si="71"/>
        <v>0</v>
      </c>
      <c r="M1137" s="403"/>
    </row>
    <row r="1138" spans="1:13" ht="15.75" x14ac:dyDescent="0.25">
      <c r="A1138" s="6" t="s">
        <v>1864</v>
      </c>
      <c r="B1138" s="7" t="s">
        <v>1832</v>
      </c>
      <c r="C1138" s="6" t="s">
        <v>499</v>
      </c>
      <c r="D1138" s="8">
        <v>1</v>
      </c>
      <c r="E1138" s="403"/>
      <c r="F1138" s="403">
        <f>BBNTHT!J1178</f>
        <v>0</v>
      </c>
      <c r="G1138" s="403">
        <f t="shared" si="68"/>
        <v>0</v>
      </c>
      <c r="H1138" s="9">
        <v>19094539</v>
      </c>
      <c r="I1138" s="404">
        <f t="shared" si="69"/>
        <v>19094539</v>
      </c>
      <c r="J1138" s="403"/>
      <c r="K1138" s="404">
        <f t="shared" si="70"/>
        <v>0</v>
      </c>
      <c r="L1138" s="405">
        <f t="shared" si="71"/>
        <v>0</v>
      </c>
      <c r="M1138" s="403"/>
    </row>
    <row r="1139" spans="1:13" ht="15.75" x14ac:dyDescent="0.25">
      <c r="A1139" s="6" t="s">
        <v>1865</v>
      </c>
      <c r="B1139" s="7" t="s">
        <v>1866</v>
      </c>
      <c r="C1139" s="6" t="s">
        <v>1867</v>
      </c>
      <c r="D1139" s="8">
        <v>1</v>
      </c>
      <c r="E1139" s="403"/>
      <c r="F1139" s="403">
        <f>BBNTHT!J1179</f>
        <v>0</v>
      </c>
      <c r="G1139" s="403">
        <f t="shared" si="68"/>
        <v>0</v>
      </c>
      <c r="H1139" s="9">
        <v>1047727</v>
      </c>
      <c r="I1139" s="404">
        <f t="shared" si="69"/>
        <v>1047727</v>
      </c>
      <c r="J1139" s="403"/>
      <c r="K1139" s="404">
        <f t="shared" si="70"/>
        <v>0</v>
      </c>
      <c r="L1139" s="405">
        <f t="shared" si="71"/>
        <v>0</v>
      </c>
      <c r="M1139" s="403"/>
    </row>
    <row r="1140" spans="1:13" ht="15.75" x14ac:dyDescent="0.25">
      <c r="A1140" s="6" t="s">
        <v>1868</v>
      </c>
      <c r="B1140" s="7" t="s">
        <v>1869</v>
      </c>
      <c r="C1140" s="6" t="s">
        <v>1867</v>
      </c>
      <c r="D1140" s="8">
        <v>9</v>
      </c>
      <c r="E1140" s="403"/>
      <c r="F1140" s="403">
        <f>BBNTHT!J1180</f>
        <v>0</v>
      </c>
      <c r="G1140" s="403">
        <f t="shared" si="68"/>
        <v>0</v>
      </c>
      <c r="H1140" s="9">
        <v>285743</v>
      </c>
      <c r="I1140" s="404">
        <f t="shared" si="69"/>
        <v>2571687</v>
      </c>
      <c r="J1140" s="403"/>
      <c r="K1140" s="404">
        <f t="shared" si="70"/>
        <v>0</v>
      </c>
      <c r="L1140" s="405">
        <f t="shared" si="71"/>
        <v>0</v>
      </c>
      <c r="M1140" s="403"/>
    </row>
    <row r="1141" spans="1:13" ht="15.75" x14ac:dyDescent="0.25">
      <c r="A1141" s="6" t="s">
        <v>1870</v>
      </c>
      <c r="B1141" s="7" t="s">
        <v>1871</v>
      </c>
      <c r="C1141" s="6" t="s">
        <v>1872</v>
      </c>
      <c r="D1141" s="8">
        <v>6</v>
      </c>
      <c r="E1141" s="403"/>
      <c r="F1141" s="403">
        <f>BBNTHT!J1181</f>
        <v>0</v>
      </c>
      <c r="G1141" s="403">
        <f t="shared" si="68"/>
        <v>0</v>
      </c>
      <c r="H1141" s="9">
        <v>761983</v>
      </c>
      <c r="I1141" s="404">
        <f t="shared" si="69"/>
        <v>4571898</v>
      </c>
      <c r="J1141" s="403"/>
      <c r="K1141" s="404">
        <f t="shared" si="70"/>
        <v>0</v>
      </c>
      <c r="L1141" s="405">
        <f t="shared" si="71"/>
        <v>0</v>
      </c>
      <c r="M1141" s="403"/>
    </row>
    <row r="1142" spans="1:13" ht="15.75" x14ac:dyDescent="0.25">
      <c r="A1142" s="2" t="s">
        <v>1873</v>
      </c>
      <c r="B1142" s="3" t="s">
        <v>1874</v>
      </c>
      <c r="C1142" s="2"/>
      <c r="D1142" s="4" t="s">
        <v>3</v>
      </c>
      <c r="E1142" s="403"/>
      <c r="F1142" s="403">
        <f>BBNTHT!J1182</f>
        <v>0</v>
      </c>
      <c r="G1142" s="403">
        <f t="shared" si="68"/>
        <v>0</v>
      </c>
      <c r="H1142" s="5"/>
      <c r="I1142" s="404"/>
      <c r="J1142" s="403"/>
      <c r="K1142" s="404">
        <f t="shared" si="70"/>
        <v>0</v>
      </c>
      <c r="L1142" s="405">
        <f t="shared" si="71"/>
        <v>0</v>
      </c>
      <c r="M1142" s="403"/>
    </row>
    <row r="1143" spans="1:13" ht="15.75" x14ac:dyDescent="0.25">
      <c r="A1143" s="6" t="s">
        <v>1875</v>
      </c>
      <c r="B1143" s="7" t="s">
        <v>1818</v>
      </c>
      <c r="C1143" s="6" t="s">
        <v>6</v>
      </c>
      <c r="D1143" s="8">
        <v>2290</v>
      </c>
      <c r="E1143" s="403"/>
      <c r="F1143" s="403">
        <f>BBNTHT!J1183</f>
        <v>0</v>
      </c>
      <c r="G1143" s="403">
        <f t="shared" si="68"/>
        <v>0</v>
      </c>
      <c r="H1143" s="9">
        <v>21770</v>
      </c>
      <c r="I1143" s="404">
        <f t="shared" si="69"/>
        <v>49853300</v>
      </c>
      <c r="J1143" s="403"/>
      <c r="K1143" s="404">
        <f t="shared" si="70"/>
        <v>0</v>
      </c>
      <c r="L1143" s="405">
        <f t="shared" si="71"/>
        <v>0</v>
      </c>
      <c r="M1143" s="403"/>
    </row>
    <row r="1144" spans="1:13" ht="15.75" x14ac:dyDescent="0.25">
      <c r="A1144" s="6" t="s">
        <v>1876</v>
      </c>
      <c r="B1144" s="7" t="s">
        <v>1820</v>
      </c>
      <c r="C1144" s="6" t="s">
        <v>6</v>
      </c>
      <c r="D1144" s="8">
        <v>760</v>
      </c>
      <c r="E1144" s="403"/>
      <c r="F1144" s="403">
        <f>BBNTHT!J1184</f>
        <v>0</v>
      </c>
      <c r="G1144" s="403">
        <f t="shared" si="68"/>
        <v>0</v>
      </c>
      <c r="H1144" s="9">
        <v>18802</v>
      </c>
      <c r="I1144" s="404">
        <f t="shared" si="69"/>
        <v>14289520</v>
      </c>
      <c r="J1144" s="403"/>
      <c r="K1144" s="404">
        <f t="shared" si="70"/>
        <v>0</v>
      </c>
      <c r="L1144" s="405">
        <f t="shared" si="71"/>
        <v>0</v>
      </c>
      <c r="M1144" s="403"/>
    </row>
    <row r="1145" spans="1:13" ht="31.5" x14ac:dyDescent="0.25">
      <c r="A1145" s="6" t="s">
        <v>1877</v>
      </c>
      <c r="B1145" s="7" t="s">
        <v>1878</v>
      </c>
      <c r="C1145" s="6" t="s">
        <v>1429</v>
      </c>
      <c r="D1145" s="8">
        <v>13</v>
      </c>
      <c r="E1145" s="403"/>
      <c r="F1145" s="403">
        <f>BBNTHT!J1185</f>
        <v>0</v>
      </c>
      <c r="G1145" s="403">
        <f t="shared" si="68"/>
        <v>0</v>
      </c>
      <c r="H1145" s="9">
        <v>141223</v>
      </c>
      <c r="I1145" s="404">
        <f t="shared" si="69"/>
        <v>1835899</v>
      </c>
      <c r="J1145" s="403"/>
      <c r="K1145" s="404">
        <f t="shared" si="70"/>
        <v>0</v>
      </c>
      <c r="L1145" s="405">
        <f t="shared" si="71"/>
        <v>0</v>
      </c>
      <c r="M1145" s="403"/>
    </row>
    <row r="1146" spans="1:13" ht="15.75" x14ac:dyDescent="0.25">
      <c r="A1146" s="6" t="s">
        <v>1879</v>
      </c>
      <c r="B1146" s="7" t="s">
        <v>1824</v>
      </c>
      <c r="C1146" s="6" t="s">
        <v>6</v>
      </c>
      <c r="D1146" s="8">
        <v>50</v>
      </c>
      <c r="E1146" s="403"/>
      <c r="F1146" s="403">
        <f>BBNTHT!J1186</f>
        <v>0</v>
      </c>
      <c r="G1146" s="403">
        <f t="shared" si="68"/>
        <v>0</v>
      </c>
      <c r="H1146" s="9">
        <v>47394</v>
      </c>
      <c r="I1146" s="404">
        <f t="shared" si="69"/>
        <v>2369700</v>
      </c>
      <c r="J1146" s="403"/>
      <c r="K1146" s="404">
        <f t="shared" si="70"/>
        <v>0</v>
      </c>
      <c r="L1146" s="405">
        <f t="shared" si="71"/>
        <v>0</v>
      </c>
      <c r="M1146" s="403"/>
    </row>
    <row r="1147" spans="1:13" ht="15.75" x14ac:dyDescent="0.25">
      <c r="A1147" s="6" t="s">
        <v>1880</v>
      </c>
      <c r="B1147" s="7" t="s">
        <v>1881</v>
      </c>
      <c r="C1147" s="6" t="s">
        <v>6</v>
      </c>
      <c r="D1147" s="8">
        <v>3180</v>
      </c>
      <c r="E1147" s="403"/>
      <c r="F1147" s="403">
        <f>BBNTHT!J1187</f>
        <v>0</v>
      </c>
      <c r="G1147" s="403">
        <f t="shared" si="68"/>
        <v>0</v>
      </c>
      <c r="H1147" s="9">
        <v>41385</v>
      </c>
      <c r="I1147" s="404">
        <f t="shared" si="69"/>
        <v>131604300</v>
      </c>
      <c r="J1147" s="403"/>
      <c r="K1147" s="404">
        <f t="shared" si="70"/>
        <v>0</v>
      </c>
      <c r="L1147" s="405">
        <f t="shared" si="71"/>
        <v>0</v>
      </c>
      <c r="M1147" s="403"/>
    </row>
    <row r="1148" spans="1:13" ht="15.75" x14ac:dyDescent="0.25">
      <c r="A1148" s="6" t="s">
        <v>1882</v>
      </c>
      <c r="B1148" s="7" t="s">
        <v>1883</v>
      </c>
      <c r="C1148" s="6" t="s">
        <v>6</v>
      </c>
      <c r="D1148" s="8">
        <v>640</v>
      </c>
      <c r="E1148" s="403"/>
      <c r="F1148" s="403">
        <f>BBNTHT!J1188</f>
        <v>0</v>
      </c>
      <c r="G1148" s="403">
        <f t="shared" si="68"/>
        <v>0</v>
      </c>
      <c r="H1148" s="9">
        <v>41385</v>
      </c>
      <c r="I1148" s="404">
        <f t="shared" si="69"/>
        <v>26486400</v>
      </c>
      <c r="J1148" s="403"/>
      <c r="K1148" s="404">
        <f t="shared" si="70"/>
        <v>0</v>
      </c>
      <c r="L1148" s="405">
        <f t="shared" si="71"/>
        <v>0</v>
      </c>
      <c r="M1148" s="403"/>
    </row>
    <row r="1149" spans="1:13" ht="15.75" x14ac:dyDescent="0.25">
      <c r="A1149" s="2" t="s">
        <v>1884</v>
      </c>
      <c r="B1149" s="3" t="s">
        <v>1885</v>
      </c>
      <c r="C1149" s="2"/>
      <c r="D1149" s="4" t="s">
        <v>3</v>
      </c>
      <c r="E1149" s="403"/>
      <c r="F1149" s="403">
        <f>BBNTHT!J1189</f>
        <v>0</v>
      </c>
      <c r="G1149" s="403">
        <f t="shared" si="68"/>
        <v>0</v>
      </c>
      <c r="H1149" s="5"/>
      <c r="I1149" s="404"/>
      <c r="J1149" s="403"/>
      <c r="K1149" s="404">
        <f t="shared" si="70"/>
        <v>0</v>
      </c>
      <c r="L1149" s="405">
        <f t="shared" si="71"/>
        <v>0</v>
      </c>
      <c r="M1149" s="403"/>
    </row>
    <row r="1150" spans="1:13" ht="15.75" x14ac:dyDescent="0.25">
      <c r="A1150" s="6" t="s">
        <v>1886</v>
      </c>
      <c r="B1150" s="7" t="s">
        <v>1818</v>
      </c>
      <c r="C1150" s="6" t="s">
        <v>6</v>
      </c>
      <c r="D1150" s="8">
        <v>1950</v>
      </c>
      <c r="E1150" s="403"/>
      <c r="F1150" s="403">
        <f>BBNTHT!J1190</f>
        <v>0</v>
      </c>
      <c r="G1150" s="403">
        <f t="shared" si="68"/>
        <v>0</v>
      </c>
      <c r="H1150" s="9">
        <v>21770</v>
      </c>
      <c r="I1150" s="404">
        <f t="shared" si="69"/>
        <v>42451500</v>
      </c>
      <c r="J1150" s="403"/>
      <c r="K1150" s="404">
        <f t="shared" si="70"/>
        <v>0</v>
      </c>
      <c r="L1150" s="405">
        <f t="shared" si="71"/>
        <v>0</v>
      </c>
      <c r="M1150" s="403"/>
    </row>
    <row r="1151" spans="1:13" ht="15.75" x14ac:dyDescent="0.25">
      <c r="A1151" s="6" t="s">
        <v>1887</v>
      </c>
      <c r="B1151" s="7" t="s">
        <v>1888</v>
      </c>
      <c r="C1151" s="6" t="s">
        <v>6</v>
      </c>
      <c r="D1151" s="8">
        <v>2500</v>
      </c>
      <c r="E1151" s="403"/>
      <c r="F1151" s="403">
        <f>BBNTHT!J1191</f>
        <v>0</v>
      </c>
      <c r="G1151" s="403">
        <f t="shared" si="68"/>
        <v>0</v>
      </c>
      <c r="H1151" s="9">
        <v>79627</v>
      </c>
      <c r="I1151" s="404">
        <f t="shared" si="69"/>
        <v>199067500</v>
      </c>
      <c r="J1151" s="403"/>
      <c r="K1151" s="404">
        <f t="shared" si="70"/>
        <v>0</v>
      </c>
      <c r="L1151" s="405">
        <f t="shared" si="71"/>
        <v>0</v>
      </c>
      <c r="M1151" s="403"/>
    </row>
    <row r="1152" spans="1:13" ht="15.75" x14ac:dyDescent="0.25">
      <c r="A1152" s="6" t="s">
        <v>1889</v>
      </c>
      <c r="B1152" s="7" t="s">
        <v>1890</v>
      </c>
      <c r="C1152" s="6" t="s">
        <v>6</v>
      </c>
      <c r="D1152" s="8">
        <v>650</v>
      </c>
      <c r="E1152" s="403"/>
      <c r="F1152" s="403">
        <f>BBNTHT!J1192</f>
        <v>0</v>
      </c>
      <c r="G1152" s="403">
        <f t="shared" si="68"/>
        <v>0</v>
      </c>
      <c r="H1152" s="9">
        <v>147825</v>
      </c>
      <c r="I1152" s="404">
        <f t="shared" si="69"/>
        <v>96086250</v>
      </c>
      <c r="J1152" s="403"/>
      <c r="K1152" s="404">
        <f t="shared" si="70"/>
        <v>0</v>
      </c>
      <c r="L1152" s="405">
        <f t="shared" si="71"/>
        <v>0</v>
      </c>
      <c r="M1152" s="403"/>
    </row>
    <row r="1153" spans="1:13" ht="15.75" x14ac:dyDescent="0.25">
      <c r="A1153" s="2" t="s">
        <v>1891</v>
      </c>
      <c r="B1153" s="3" t="s">
        <v>1892</v>
      </c>
      <c r="C1153" s="2"/>
      <c r="D1153" s="4" t="s">
        <v>3</v>
      </c>
      <c r="E1153" s="403"/>
      <c r="F1153" s="403">
        <f>BBNTHT!J1193</f>
        <v>0</v>
      </c>
      <c r="G1153" s="403">
        <f t="shared" si="68"/>
        <v>0</v>
      </c>
      <c r="H1153" s="5"/>
      <c r="I1153" s="404"/>
      <c r="J1153" s="403"/>
      <c r="K1153" s="404">
        <f t="shared" si="70"/>
        <v>0</v>
      </c>
      <c r="L1153" s="405">
        <f t="shared" si="71"/>
        <v>0</v>
      </c>
      <c r="M1153" s="403"/>
    </row>
    <row r="1154" spans="1:13" ht="15.75" x14ac:dyDescent="0.25">
      <c r="A1154" s="6" t="s">
        <v>1893</v>
      </c>
      <c r="B1154" s="7" t="s">
        <v>1863</v>
      </c>
      <c r="C1154" s="6" t="s">
        <v>6</v>
      </c>
      <c r="D1154" s="8">
        <v>50</v>
      </c>
      <c r="E1154" s="403"/>
      <c r="F1154" s="403">
        <f>BBNTHT!J1194</f>
        <v>0</v>
      </c>
      <c r="G1154" s="403">
        <f t="shared" si="68"/>
        <v>0</v>
      </c>
      <c r="H1154" s="9">
        <v>4763</v>
      </c>
      <c r="I1154" s="404">
        <f t="shared" si="69"/>
        <v>238150</v>
      </c>
      <c r="J1154" s="403"/>
      <c r="K1154" s="404">
        <f t="shared" si="70"/>
        <v>0</v>
      </c>
      <c r="L1154" s="405">
        <f t="shared" si="71"/>
        <v>0</v>
      </c>
      <c r="M1154" s="403"/>
    </row>
    <row r="1155" spans="1:13" ht="15.75" x14ac:dyDescent="0.25">
      <c r="A1155" s="6" t="s">
        <v>1894</v>
      </c>
      <c r="B1155" s="7" t="s">
        <v>1826</v>
      </c>
      <c r="C1155" s="6" t="s">
        <v>6</v>
      </c>
      <c r="D1155" s="8">
        <v>100</v>
      </c>
      <c r="E1155" s="403"/>
      <c r="F1155" s="403">
        <f>BBNTHT!J1195</f>
        <v>0</v>
      </c>
      <c r="G1155" s="403">
        <f t="shared" si="68"/>
        <v>0</v>
      </c>
      <c r="H1155" s="9">
        <v>22919</v>
      </c>
      <c r="I1155" s="404">
        <f t="shared" si="69"/>
        <v>2291900</v>
      </c>
      <c r="J1155" s="403"/>
      <c r="K1155" s="404">
        <f t="shared" si="70"/>
        <v>0</v>
      </c>
      <c r="L1155" s="405">
        <f t="shared" si="71"/>
        <v>0</v>
      </c>
      <c r="M1155" s="403"/>
    </row>
    <row r="1156" spans="1:13" ht="15.75" x14ac:dyDescent="0.25">
      <c r="A1156" s="6" t="s">
        <v>1895</v>
      </c>
      <c r="B1156" s="7" t="s">
        <v>1824</v>
      </c>
      <c r="C1156" s="6" t="s">
        <v>6</v>
      </c>
      <c r="D1156" s="8">
        <v>50</v>
      </c>
      <c r="E1156" s="403"/>
      <c r="F1156" s="403">
        <f>BBNTHT!J1196</f>
        <v>0</v>
      </c>
      <c r="G1156" s="403">
        <f t="shared" si="68"/>
        <v>0</v>
      </c>
      <c r="H1156" s="9">
        <v>47394</v>
      </c>
      <c r="I1156" s="404">
        <f t="shared" si="69"/>
        <v>2369700</v>
      </c>
      <c r="J1156" s="403"/>
      <c r="K1156" s="404">
        <f t="shared" si="70"/>
        <v>0</v>
      </c>
      <c r="L1156" s="405">
        <f t="shared" si="71"/>
        <v>0</v>
      </c>
      <c r="M1156" s="403"/>
    </row>
    <row r="1157" spans="1:13" ht="15.75" x14ac:dyDescent="0.25">
      <c r="A1157" s="6" t="s">
        <v>1896</v>
      </c>
      <c r="B1157" s="7" t="s">
        <v>1897</v>
      </c>
      <c r="C1157" s="6" t="s">
        <v>1898</v>
      </c>
      <c r="D1157" s="8">
        <v>1</v>
      </c>
      <c r="E1157" s="403"/>
      <c r="F1157" s="403">
        <f>BBNTHT!J1197</f>
        <v>0</v>
      </c>
      <c r="G1157" s="403">
        <f t="shared" si="68"/>
        <v>0</v>
      </c>
      <c r="H1157" s="9">
        <v>12699720</v>
      </c>
      <c r="I1157" s="404">
        <f t="shared" si="69"/>
        <v>12699720</v>
      </c>
      <c r="J1157" s="403"/>
      <c r="K1157" s="404">
        <f t="shared" si="70"/>
        <v>0</v>
      </c>
      <c r="L1157" s="405">
        <f t="shared" si="71"/>
        <v>0</v>
      </c>
      <c r="M1157" s="403"/>
    </row>
    <row r="1158" spans="1:13" ht="15.75" x14ac:dyDescent="0.25">
      <c r="A1158" s="2" t="s">
        <v>1899</v>
      </c>
      <c r="B1158" s="3" t="s">
        <v>1900</v>
      </c>
      <c r="C1158" s="2"/>
      <c r="D1158" s="4" t="s">
        <v>3</v>
      </c>
      <c r="E1158" s="403"/>
      <c r="F1158" s="403">
        <f>BBNTHT!J1198</f>
        <v>0</v>
      </c>
      <c r="G1158" s="403">
        <f t="shared" si="68"/>
        <v>0</v>
      </c>
      <c r="H1158" s="5"/>
      <c r="I1158" s="404"/>
      <c r="J1158" s="403"/>
      <c r="K1158" s="404">
        <f t="shared" si="70"/>
        <v>0</v>
      </c>
      <c r="L1158" s="405">
        <f t="shared" si="71"/>
        <v>0</v>
      </c>
      <c r="M1158" s="403"/>
    </row>
    <row r="1159" spans="1:13" ht="15.75" x14ac:dyDescent="0.25">
      <c r="A1159" s="6" t="s">
        <v>1901</v>
      </c>
      <c r="B1159" s="7" t="s">
        <v>1902</v>
      </c>
      <c r="C1159" s="6" t="s">
        <v>6</v>
      </c>
      <c r="D1159" s="8">
        <v>75</v>
      </c>
      <c r="E1159" s="403"/>
      <c r="F1159" s="403">
        <f>BBNTHT!J1199</f>
        <v>0</v>
      </c>
      <c r="G1159" s="403">
        <f t="shared" si="68"/>
        <v>0</v>
      </c>
      <c r="H1159" s="9">
        <v>1078071</v>
      </c>
      <c r="I1159" s="404">
        <f t="shared" si="69"/>
        <v>80855325</v>
      </c>
      <c r="J1159" s="403"/>
      <c r="K1159" s="404">
        <f t="shared" si="70"/>
        <v>0</v>
      </c>
      <c r="L1159" s="405">
        <f t="shared" si="71"/>
        <v>0</v>
      </c>
      <c r="M1159" s="403"/>
    </row>
    <row r="1160" spans="1:13" ht="15.75" x14ac:dyDescent="0.25">
      <c r="A1160" s="6" t="s">
        <v>1903</v>
      </c>
      <c r="B1160" s="7" t="s">
        <v>1904</v>
      </c>
      <c r="C1160" s="6" t="s">
        <v>6</v>
      </c>
      <c r="D1160" s="8">
        <v>36</v>
      </c>
      <c r="E1160" s="403"/>
      <c r="F1160" s="403">
        <f>BBNTHT!J1200</f>
        <v>0</v>
      </c>
      <c r="G1160" s="403">
        <f t="shared" si="68"/>
        <v>0</v>
      </c>
      <c r="H1160" s="9">
        <v>1078071</v>
      </c>
      <c r="I1160" s="404">
        <f t="shared" si="69"/>
        <v>38810556</v>
      </c>
      <c r="J1160" s="403"/>
      <c r="K1160" s="404">
        <f t="shared" si="70"/>
        <v>0</v>
      </c>
      <c r="L1160" s="405">
        <f t="shared" si="71"/>
        <v>0</v>
      </c>
      <c r="M1160" s="403"/>
    </row>
    <row r="1161" spans="1:13" ht="15.75" x14ac:dyDescent="0.25">
      <c r="A1161" s="6" t="s">
        <v>1905</v>
      </c>
      <c r="B1161" s="7" t="s">
        <v>1906</v>
      </c>
      <c r="C1161" s="6" t="s">
        <v>6</v>
      </c>
      <c r="D1161" s="8">
        <v>740</v>
      </c>
      <c r="E1161" s="403"/>
      <c r="F1161" s="403">
        <f>BBNTHT!J1201</f>
        <v>0</v>
      </c>
      <c r="G1161" s="403">
        <f t="shared" si="68"/>
        <v>0</v>
      </c>
      <c r="H1161" s="9">
        <v>537415</v>
      </c>
      <c r="I1161" s="404">
        <f t="shared" si="69"/>
        <v>397687100</v>
      </c>
      <c r="J1161" s="403"/>
      <c r="K1161" s="404">
        <f t="shared" si="70"/>
        <v>0</v>
      </c>
      <c r="L1161" s="405">
        <f t="shared" si="71"/>
        <v>0</v>
      </c>
      <c r="M1161" s="403"/>
    </row>
    <row r="1162" spans="1:13" ht="15.75" x14ac:dyDescent="0.25">
      <c r="A1162" s="6" t="s">
        <v>1907</v>
      </c>
      <c r="B1162" s="7" t="s">
        <v>1908</v>
      </c>
      <c r="C1162" s="6" t="s">
        <v>1429</v>
      </c>
      <c r="D1162" s="8">
        <v>19</v>
      </c>
      <c r="E1162" s="403"/>
      <c r="F1162" s="403">
        <f>BBNTHT!J1202</f>
        <v>0</v>
      </c>
      <c r="G1162" s="403">
        <f t="shared" si="68"/>
        <v>0</v>
      </c>
      <c r="H1162" s="9">
        <v>13678616</v>
      </c>
      <c r="I1162" s="404">
        <f t="shared" si="69"/>
        <v>259893704</v>
      </c>
      <c r="J1162" s="403"/>
      <c r="K1162" s="404">
        <f t="shared" si="70"/>
        <v>0</v>
      </c>
      <c r="L1162" s="405">
        <f t="shared" si="71"/>
        <v>0</v>
      </c>
      <c r="M1162" s="403"/>
    </row>
    <row r="1163" spans="1:13" ht="15.75" x14ac:dyDescent="0.25">
      <c r="A1163" s="6" t="s">
        <v>1909</v>
      </c>
      <c r="B1163" s="7" t="s">
        <v>1910</v>
      </c>
      <c r="C1163" s="6" t="s">
        <v>9</v>
      </c>
      <c r="D1163" s="8">
        <v>1</v>
      </c>
      <c r="E1163" s="403"/>
      <c r="F1163" s="403">
        <f>BBNTHT!J1203</f>
        <v>0</v>
      </c>
      <c r="G1163" s="403">
        <f t="shared" si="68"/>
        <v>0</v>
      </c>
      <c r="H1163" s="9">
        <v>58880517</v>
      </c>
      <c r="I1163" s="404">
        <f t="shared" si="69"/>
        <v>58880517</v>
      </c>
      <c r="J1163" s="403"/>
      <c r="K1163" s="404">
        <f t="shared" si="70"/>
        <v>0</v>
      </c>
      <c r="L1163" s="405">
        <f t="shared" si="71"/>
        <v>0</v>
      </c>
      <c r="M1163" s="403"/>
    </row>
    <row r="1164" spans="1:13" ht="31.5" x14ac:dyDescent="0.25">
      <c r="A1164" s="2" t="s">
        <v>3766</v>
      </c>
      <c r="B1164" s="3" t="s">
        <v>3767</v>
      </c>
      <c r="C1164" s="2"/>
      <c r="D1164" s="4" t="s">
        <v>3</v>
      </c>
      <c r="E1164" s="403"/>
      <c r="F1164" s="403">
        <f>BBNTHT!J1204</f>
        <v>0</v>
      </c>
      <c r="G1164" s="403">
        <f t="shared" si="68"/>
        <v>0</v>
      </c>
      <c r="H1164" s="5"/>
      <c r="I1164" s="404"/>
      <c r="J1164" s="403"/>
      <c r="K1164" s="404">
        <f t="shared" si="70"/>
        <v>0</v>
      </c>
      <c r="L1164" s="405">
        <f t="shared" si="71"/>
        <v>0</v>
      </c>
      <c r="M1164" s="403"/>
    </row>
    <row r="1165" spans="1:13" ht="15.75" x14ac:dyDescent="0.25">
      <c r="A1165" s="2" t="s">
        <v>3768</v>
      </c>
      <c r="B1165" s="3" t="s">
        <v>3769</v>
      </c>
      <c r="C1165" s="2"/>
      <c r="D1165" s="4" t="s">
        <v>3</v>
      </c>
      <c r="E1165" s="403"/>
      <c r="F1165" s="403">
        <f>BBNTHT!J1205</f>
        <v>0</v>
      </c>
      <c r="G1165" s="403">
        <f t="shared" si="68"/>
        <v>0</v>
      </c>
      <c r="H1165" s="5"/>
      <c r="I1165" s="404"/>
      <c r="J1165" s="403"/>
      <c r="K1165" s="404">
        <f t="shared" si="70"/>
        <v>0</v>
      </c>
      <c r="L1165" s="405">
        <f t="shared" si="71"/>
        <v>0</v>
      </c>
      <c r="M1165" s="403"/>
    </row>
    <row r="1166" spans="1:13" ht="15.75" x14ac:dyDescent="0.25">
      <c r="A1166" s="6" t="s">
        <v>3770</v>
      </c>
      <c r="B1166" s="7" t="s">
        <v>3771</v>
      </c>
      <c r="C1166" s="6" t="s">
        <v>6</v>
      </c>
      <c r="D1166" s="8">
        <v>382</v>
      </c>
      <c r="E1166" s="403"/>
      <c r="F1166" s="403">
        <f>BBNTHT!J1206</f>
        <v>0</v>
      </c>
      <c r="G1166" s="403">
        <f t="shared" si="68"/>
        <v>0</v>
      </c>
      <c r="H1166" s="9">
        <v>47096</v>
      </c>
      <c r="I1166" s="404">
        <f t="shared" si="69"/>
        <v>17990672</v>
      </c>
      <c r="J1166" s="403"/>
      <c r="K1166" s="404">
        <f t="shared" si="70"/>
        <v>0</v>
      </c>
      <c r="L1166" s="405">
        <f t="shared" si="71"/>
        <v>0</v>
      </c>
      <c r="M1166" s="403"/>
    </row>
    <row r="1167" spans="1:13" ht="15.75" x14ac:dyDescent="0.25">
      <c r="A1167" s="6" t="s">
        <v>3772</v>
      </c>
      <c r="B1167" s="7" t="s">
        <v>3773</v>
      </c>
      <c r="C1167" s="6" t="s">
        <v>6</v>
      </c>
      <c r="D1167" s="8">
        <v>5</v>
      </c>
      <c r="E1167" s="403"/>
      <c r="F1167" s="403">
        <f>BBNTHT!J1207</f>
        <v>0</v>
      </c>
      <c r="G1167" s="403">
        <f t="shared" si="68"/>
        <v>0</v>
      </c>
      <c r="H1167" s="9">
        <v>59399</v>
      </c>
      <c r="I1167" s="404">
        <f t="shared" si="69"/>
        <v>296995</v>
      </c>
      <c r="J1167" s="403"/>
      <c r="K1167" s="404">
        <f t="shared" si="70"/>
        <v>0</v>
      </c>
      <c r="L1167" s="405">
        <f t="shared" si="71"/>
        <v>0</v>
      </c>
      <c r="M1167" s="403"/>
    </row>
    <row r="1168" spans="1:13" ht="31.5" x14ac:dyDescent="0.25">
      <c r="A1168" s="6" t="s">
        <v>3774</v>
      </c>
      <c r="B1168" s="7" t="s">
        <v>3775</v>
      </c>
      <c r="C1168" s="6" t="s">
        <v>6</v>
      </c>
      <c r="D1168" s="8">
        <v>74</v>
      </c>
      <c r="E1168" s="403"/>
      <c r="F1168" s="403">
        <f>BBNTHT!J1208</f>
        <v>0</v>
      </c>
      <c r="G1168" s="403">
        <f t="shared" si="68"/>
        <v>0</v>
      </c>
      <c r="H1168" s="9">
        <v>231704</v>
      </c>
      <c r="I1168" s="404">
        <f t="shared" si="69"/>
        <v>17146096</v>
      </c>
      <c r="J1168" s="403"/>
      <c r="K1168" s="404">
        <f t="shared" si="70"/>
        <v>0</v>
      </c>
      <c r="L1168" s="405">
        <f t="shared" si="71"/>
        <v>0</v>
      </c>
      <c r="M1168" s="403"/>
    </row>
    <row r="1169" spans="1:13" ht="31.5" x14ac:dyDescent="0.25">
      <c r="A1169" s="6" t="s">
        <v>3776</v>
      </c>
      <c r="B1169" s="7" t="s">
        <v>3777</v>
      </c>
      <c r="C1169" s="6" t="s">
        <v>6</v>
      </c>
      <c r="D1169" s="8">
        <v>158</v>
      </c>
      <c r="E1169" s="403"/>
      <c r="F1169" s="403">
        <f>BBNTHT!J1209</f>
        <v>0</v>
      </c>
      <c r="G1169" s="403">
        <f t="shared" si="68"/>
        <v>0</v>
      </c>
      <c r="H1169" s="9">
        <v>268326</v>
      </c>
      <c r="I1169" s="404">
        <f t="shared" si="69"/>
        <v>42395508</v>
      </c>
      <c r="J1169" s="403"/>
      <c r="K1169" s="404">
        <f t="shared" si="70"/>
        <v>0</v>
      </c>
      <c r="L1169" s="405">
        <f t="shared" si="71"/>
        <v>0</v>
      </c>
      <c r="M1169" s="403"/>
    </row>
    <row r="1170" spans="1:13" ht="31.5" x14ac:dyDescent="0.25">
      <c r="A1170" s="6" t="s">
        <v>3778</v>
      </c>
      <c r="B1170" s="7" t="s">
        <v>3779</v>
      </c>
      <c r="C1170" s="6" t="s">
        <v>6</v>
      </c>
      <c r="D1170" s="8">
        <v>225</v>
      </c>
      <c r="E1170" s="403"/>
      <c r="F1170" s="403">
        <f>BBNTHT!J1210</f>
        <v>0</v>
      </c>
      <c r="G1170" s="403">
        <f t="shared" ref="G1170:G1233" si="72">F1170+E1170</f>
        <v>0</v>
      </c>
      <c r="H1170" s="9">
        <v>304949</v>
      </c>
      <c r="I1170" s="404">
        <f t="shared" ref="I1170:I1233" si="73">ROUND(D1170*H1170,0)</f>
        <v>68613525</v>
      </c>
      <c r="J1170" s="403"/>
      <c r="K1170" s="404">
        <f t="shared" ref="K1170:K1233" si="74">ROUND(F1170*H1170,0)</f>
        <v>0</v>
      </c>
      <c r="L1170" s="405">
        <f t="shared" ref="L1170:L1233" si="75">J1170+K1170</f>
        <v>0</v>
      </c>
      <c r="M1170" s="403"/>
    </row>
    <row r="1171" spans="1:13" ht="31.5" x14ac:dyDescent="0.25">
      <c r="A1171" s="6" t="s">
        <v>3780</v>
      </c>
      <c r="B1171" s="7" t="s">
        <v>3781</v>
      </c>
      <c r="C1171" s="6" t="s">
        <v>6</v>
      </c>
      <c r="D1171" s="8">
        <v>106</v>
      </c>
      <c r="E1171" s="403"/>
      <c r="F1171" s="403">
        <f>BBNTHT!J1211</f>
        <v>0</v>
      </c>
      <c r="G1171" s="403">
        <f t="shared" si="72"/>
        <v>0</v>
      </c>
      <c r="H1171" s="9">
        <v>341572</v>
      </c>
      <c r="I1171" s="404">
        <f t="shared" si="73"/>
        <v>36206632</v>
      </c>
      <c r="J1171" s="403"/>
      <c r="K1171" s="404">
        <f t="shared" si="74"/>
        <v>0</v>
      </c>
      <c r="L1171" s="405">
        <f t="shared" si="75"/>
        <v>0</v>
      </c>
      <c r="M1171" s="403"/>
    </row>
    <row r="1172" spans="1:13" ht="31.5" x14ac:dyDescent="0.25">
      <c r="A1172" s="6" t="s">
        <v>3782</v>
      </c>
      <c r="B1172" s="7" t="s">
        <v>3783</v>
      </c>
      <c r="C1172" s="6" t="s">
        <v>6</v>
      </c>
      <c r="D1172" s="8">
        <v>499</v>
      </c>
      <c r="E1172" s="403"/>
      <c r="F1172" s="403">
        <f>BBNTHT!J1212</f>
        <v>0</v>
      </c>
      <c r="G1172" s="403">
        <f t="shared" si="72"/>
        <v>0</v>
      </c>
      <c r="H1172" s="9">
        <v>378195</v>
      </c>
      <c r="I1172" s="404">
        <f t="shared" si="73"/>
        <v>188719305</v>
      </c>
      <c r="J1172" s="403"/>
      <c r="K1172" s="404">
        <f t="shared" si="74"/>
        <v>0</v>
      </c>
      <c r="L1172" s="405">
        <f t="shared" si="75"/>
        <v>0</v>
      </c>
      <c r="M1172" s="403"/>
    </row>
    <row r="1173" spans="1:13" ht="31.5" x14ac:dyDescent="0.25">
      <c r="A1173" s="6" t="s">
        <v>3784</v>
      </c>
      <c r="B1173" s="7" t="s">
        <v>3785</v>
      </c>
      <c r="C1173" s="6" t="s">
        <v>6</v>
      </c>
      <c r="D1173" s="8">
        <v>62</v>
      </c>
      <c r="E1173" s="403"/>
      <c r="F1173" s="403">
        <f>BBNTHT!J1213</f>
        <v>0</v>
      </c>
      <c r="G1173" s="403">
        <f t="shared" si="72"/>
        <v>0</v>
      </c>
      <c r="H1173" s="9">
        <v>551163</v>
      </c>
      <c r="I1173" s="404">
        <f t="shared" si="73"/>
        <v>34172106</v>
      </c>
      <c r="J1173" s="403"/>
      <c r="K1173" s="404">
        <f t="shared" si="74"/>
        <v>0</v>
      </c>
      <c r="L1173" s="405">
        <f t="shared" si="75"/>
        <v>0</v>
      </c>
      <c r="M1173" s="403"/>
    </row>
    <row r="1174" spans="1:13" ht="31.5" x14ac:dyDescent="0.25">
      <c r="A1174" s="6" t="s">
        <v>3786</v>
      </c>
      <c r="B1174" s="7" t="s">
        <v>3787</v>
      </c>
      <c r="C1174" s="6" t="s">
        <v>6</v>
      </c>
      <c r="D1174" s="8">
        <v>125</v>
      </c>
      <c r="E1174" s="403"/>
      <c r="F1174" s="403">
        <f>BBNTHT!J1214</f>
        <v>0</v>
      </c>
      <c r="G1174" s="403">
        <f t="shared" si="72"/>
        <v>0</v>
      </c>
      <c r="H1174" s="9">
        <v>692983</v>
      </c>
      <c r="I1174" s="404">
        <f t="shared" si="73"/>
        <v>86622875</v>
      </c>
      <c r="J1174" s="403"/>
      <c r="K1174" s="404">
        <f t="shared" si="74"/>
        <v>0</v>
      </c>
      <c r="L1174" s="405">
        <f t="shared" si="75"/>
        <v>0</v>
      </c>
      <c r="M1174" s="403"/>
    </row>
    <row r="1175" spans="1:13" ht="31.5" x14ac:dyDescent="0.25">
      <c r="A1175" s="6" t="s">
        <v>3788</v>
      </c>
      <c r="B1175" s="7" t="s">
        <v>3789</v>
      </c>
      <c r="C1175" s="6" t="s">
        <v>6</v>
      </c>
      <c r="D1175" s="8">
        <v>35</v>
      </c>
      <c r="E1175" s="403"/>
      <c r="F1175" s="403">
        <f>BBNTHT!J1215</f>
        <v>0</v>
      </c>
      <c r="G1175" s="403">
        <f t="shared" si="72"/>
        <v>0</v>
      </c>
      <c r="H1175" s="9">
        <v>859829</v>
      </c>
      <c r="I1175" s="404">
        <f t="shared" si="73"/>
        <v>30094015</v>
      </c>
      <c r="J1175" s="403"/>
      <c r="K1175" s="404">
        <f t="shared" si="74"/>
        <v>0</v>
      </c>
      <c r="L1175" s="405">
        <f t="shared" si="75"/>
        <v>0</v>
      </c>
      <c r="M1175" s="403"/>
    </row>
    <row r="1176" spans="1:13" ht="31.5" x14ac:dyDescent="0.25">
      <c r="A1176" s="6" t="s">
        <v>3790</v>
      </c>
      <c r="B1176" s="7" t="s">
        <v>3791</v>
      </c>
      <c r="C1176" s="6" t="s">
        <v>6</v>
      </c>
      <c r="D1176" s="8">
        <v>35</v>
      </c>
      <c r="E1176" s="403"/>
      <c r="F1176" s="403">
        <f>BBNTHT!J1216</f>
        <v>0</v>
      </c>
      <c r="G1176" s="403">
        <f t="shared" si="72"/>
        <v>0</v>
      </c>
      <c r="H1176" s="9">
        <v>901540</v>
      </c>
      <c r="I1176" s="404">
        <f t="shared" si="73"/>
        <v>31553900</v>
      </c>
      <c r="J1176" s="403"/>
      <c r="K1176" s="404">
        <f t="shared" si="74"/>
        <v>0</v>
      </c>
      <c r="L1176" s="405">
        <f t="shared" si="75"/>
        <v>0</v>
      </c>
      <c r="M1176" s="403"/>
    </row>
    <row r="1177" spans="1:13" ht="31.5" x14ac:dyDescent="0.25">
      <c r="A1177" s="6" t="s">
        <v>3792</v>
      </c>
      <c r="B1177" s="7" t="s">
        <v>3793</v>
      </c>
      <c r="C1177" s="6" t="s">
        <v>6</v>
      </c>
      <c r="D1177" s="8">
        <v>12</v>
      </c>
      <c r="E1177" s="403"/>
      <c r="F1177" s="403">
        <f>BBNTHT!J1217</f>
        <v>0</v>
      </c>
      <c r="G1177" s="403">
        <f t="shared" si="72"/>
        <v>0</v>
      </c>
      <c r="H1177" s="9">
        <v>1068387</v>
      </c>
      <c r="I1177" s="404">
        <f t="shared" si="73"/>
        <v>12820644</v>
      </c>
      <c r="J1177" s="403"/>
      <c r="K1177" s="404">
        <f t="shared" si="74"/>
        <v>0</v>
      </c>
      <c r="L1177" s="405">
        <f t="shared" si="75"/>
        <v>0</v>
      </c>
      <c r="M1177" s="403"/>
    </row>
    <row r="1178" spans="1:13" ht="47.25" x14ac:dyDescent="0.25">
      <c r="A1178" s="6" t="s">
        <v>3794</v>
      </c>
      <c r="B1178" s="7" t="s">
        <v>3795</v>
      </c>
      <c r="C1178" s="6" t="s">
        <v>6</v>
      </c>
      <c r="D1178" s="8">
        <v>58</v>
      </c>
      <c r="E1178" s="403"/>
      <c r="F1178" s="403">
        <f>BBNTHT!J1218</f>
        <v>0</v>
      </c>
      <c r="G1178" s="403">
        <f t="shared" si="72"/>
        <v>0</v>
      </c>
      <c r="H1178" s="9">
        <v>4636582</v>
      </c>
      <c r="I1178" s="404">
        <f t="shared" si="73"/>
        <v>268921756</v>
      </c>
      <c r="J1178" s="403"/>
      <c r="K1178" s="404">
        <f t="shared" si="74"/>
        <v>0</v>
      </c>
      <c r="L1178" s="405">
        <f t="shared" si="75"/>
        <v>0</v>
      </c>
      <c r="M1178" s="403"/>
    </row>
    <row r="1179" spans="1:13" ht="47.25" x14ac:dyDescent="0.25">
      <c r="A1179" s="6" t="s">
        <v>3796</v>
      </c>
      <c r="B1179" s="7" t="s">
        <v>3797</v>
      </c>
      <c r="C1179" s="6" t="s">
        <v>6</v>
      </c>
      <c r="D1179" s="8">
        <v>8</v>
      </c>
      <c r="E1179" s="403"/>
      <c r="F1179" s="403">
        <f>BBNTHT!J1219</f>
        <v>0</v>
      </c>
      <c r="G1179" s="403">
        <f t="shared" si="72"/>
        <v>0</v>
      </c>
      <c r="H1179" s="9">
        <v>6554351</v>
      </c>
      <c r="I1179" s="404">
        <f t="shared" si="73"/>
        <v>52434808</v>
      </c>
      <c r="J1179" s="403"/>
      <c r="K1179" s="404">
        <f t="shared" si="74"/>
        <v>0</v>
      </c>
      <c r="L1179" s="405">
        <f t="shared" si="75"/>
        <v>0</v>
      </c>
      <c r="M1179" s="403"/>
    </row>
    <row r="1180" spans="1:13" ht="47.25" x14ac:dyDescent="0.25">
      <c r="A1180" s="6" t="s">
        <v>3798</v>
      </c>
      <c r="B1180" s="7" t="s">
        <v>3799</v>
      </c>
      <c r="C1180" s="6" t="s">
        <v>6</v>
      </c>
      <c r="D1180" s="8">
        <v>18</v>
      </c>
      <c r="E1180" s="403"/>
      <c r="F1180" s="403">
        <f>BBNTHT!J1220</f>
        <v>0</v>
      </c>
      <c r="G1180" s="403">
        <f t="shared" si="72"/>
        <v>0</v>
      </c>
      <c r="H1180" s="9">
        <v>7033793</v>
      </c>
      <c r="I1180" s="404">
        <f t="shared" si="73"/>
        <v>126608274</v>
      </c>
      <c r="J1180" s="403"/>
      <c r="K1180" s="404">
        <f t="shared" si="74"/>
        <v>0</v>
      </c>
      <c r="L1180" s="405">
        <f t="shared" si="75"/>
        <v>0</v>
      </c>
      <c r="M1180" s="403"/>
    </row>
    <row r="1181" spans="1:13" ht="47.25" x14ac:dyDescent="0.25">
      <c r="A1181" s="6" t="s">
        <v>3800</v>
      </c>
      <c r="B1181" s="7" t="s">
        <v>3795</v>
      </c>
      <c r="C1181" s="6" t="s">
        <v>6</v>
      </c>
      <c r="D1181" s="8">
        <v>58</v>
      </c>
      <c r="E1181" s="403"/>
      <c r="F1181" s="403">
        <f>BBNTHT!J1221</f>
        <v>0</v>
      </c>
      <c r="G1181" s="403">
        <f t="shared" si="72"/>
        <v>0</v>
      </c>
      <c r="H1181" s="9">
        <v>4636582</v>
      </c>
      <c r="I1181" s="404">
        <f t="shared" si="73"/>
        <v>268921756</v>
      </c>
      <c r="J1181" s="403"/>
      <c r="K1181" s="404">
        <f t="shared" si="74"/>
        <v>0</v>
      </c>
      <c r="L1181" s="405">
        <f t="shared" si="75"/>
        <v>0</v>
      </c>
      <c r="M1181" s="403"/>
    </row>
    <row r="1182" spans="1:13" ht="47.25" x14ac:dyDescent="0.25">
      <c r="A1182" s="6" t="s">
        <v>3801</v>
      </c>
      <c r="B1182" s="7" t="s">
        <v>3797</v>
      </c>
      <c r="C1182" s="6" t="s">
        <v>6</v>
      </c>
      <c r="D1182" s="8">
        <v>8</v>
      </c>
      <c r="E1182" s="403"/>
      <c r="F1182" s="403">
        <f>BBNTHT!J1222</f>
        <v>0</v>
      </c>
      <c r="G1182" s="403">
        <f t="shared" si="72"/>
        <v>0</v>
      </c>
      <c r="H1182" s="9">
        <v>6554351</v>
      </c>
      <c r="I1182" s="404">
        <f t="shared" si="73"/>
        <v>52434808</v>
      </c>
      <c r="J1182" s="403"/>
      <c r="K1182" s="404">
        <f t="shared" si="74"/>
        <v>0</v>
      </c>
      <c r="L1182" s="405">
        <f t="shared" si="75"/>
        <v>0</v>
      </c>
      <c r="M1182" s="403"/>
    </row>
    <row r="1183" spans="1:13" ht="47.25" x14ac:dyDescent="0.25">
      <c r="A1183" s="6" t="s">
        <v>3802</v>
      </c>
      <c r="B1183" s="7" t="s">
        <v>3799</v>
      </c>
      <c r="C1183" s="6" t="s">
        <v>6</v>
      </c>
      <c r="D1183" s="8">
        <v>18</v>
      </c>
      <c r="E1183" s="403"/>
      <c r="F1183" s="403">
        <f>BBNTHT!J1223</f>
        <v>0</v>
      </c>
      <c r="G1183" s="403">
        <f t="shared" si="72"/>
        <v>0</v>
      </c>
      <c r="H1183" s="9">
        <v>7033793</v>
      </c>
      <c r="I1183" s="404">
        <f t="shared" si="73"/>
        <v>126608274</v>
      </c>
      <c r="J1183" s="403"/>
      <c r="K1183" s="404">
        <f t="shared" si="74"/>
        <v>0</v>
      </c>
      <c r="L1183" s="405">
        <f t="shared" si="75"/>
        <v>0</v>
      </c>
      <c r="M1183" s="403"/>
    </row>
    <row r="1184" spans="1:13" ht="15.75" x14ac:dyDescent="0.25">
      <c r="A1184" s="6" t="s">
        <v>3803</v>
      </c>
      <c r="B1184" s="7" t="s">
        <v>3804</v>
      </c>
      <c r="C1184" s="6" t="s">
        <v>6</v>
      </c>
      <c r="D1184" s="8">
        <v>117</v>
      </c>
      <c r="E1184" s="403"/>
      <c r="F1184" s="403">
        <f>BBNTHT!J1224</f>
        <v>0</v>
      </c>
      <c r="G1184" s="403">
        <f t="shared" si="72"/>
        <v>0</v>
      </c>
      <c r="H1184" s="9">
        <v>70430</v>
      </c>
      <c r="I1184" s="404">
        <f t="shared" si="73"/>
        <v>8240310</v>
      </c>
      <c r="J1184" s="403"/>
      <c r="K1184" s="404">
        <f t="shared" si="74"/>
        <v>0</v>
      </c>
      <c r="L1184" s="405">
        <f t="shared" si="75"/>
        <v>0</v>
      </c>
      <c r="M1184" s="403"/>
    </row>
    <row r="1185" spans="1:13" ht="15.75" x14ac:dyDescent="0.25">
      <c r="A1185" s="6" t="s">
        <v>3805</v>
      </c>
      <c r="B1185" s="7" t="s">
        <v>3806</v>
      </c>
      <c r="C1185" s="6" t="s">
        <v>6</v>
      </c>
      <c r="D1185" s="8">
        <v>731</v>
      </c>
      <c r="E1185" s="403"/>
      <c r="F1185" s="403">
        <f>BBNTHT!J1225</f>
        <v>0</v>
      </c>
      <c r="G1185" s="403">
        <f t="shared" si="72"/>
        <v>0</v>
      </c>
      <c r="H1185" s="9">
        <v>83413</v>
      </c>
      <c r="I1185" s="404">
        <f t="shared" si="73"/>
        <v>60974903</v>
      </c>
      <c r="J1185" s="403"/>
      <c r="K1185" s="404">
        <f t="shared" si="74"/>
        <v>0</v>
      </c>
      <c r="L1185" s="405">
        <f t="shared" si="75"/>
        <v>0</v>
      </c>
      <c r="M1185" s="403"/>
    </row>
    <row r="1186" spans="1:13" ht="78.75" x14ac:dyDescent="0.25">
      <c r="A1186" s="6" t="s">
        <v>3807</v>
      </c>
      <c r="B1186" s="7" t="s">
        <v>3808</v>
      </c>
      <c r="C1186" s="6" t="s">
        <v>3809</v>
      </c>
      <c r="D1186" s="8">
        <v>260</v>
      </c>
      <c r="E1186" s="403"/>
      <c r="F1186" s="403">
        <f>BBNTHT!J1226</f>
        <v>0</v>
      </c>
      <c r="G1186" s="403">
        <f t="shared" si="72"/>
        <v>0</v>
      </c>
      <c r="H1186" s="9">
        <v>2027987</v>
      </c>
      <c r="I1186" s="404">
        <f t="shared" si="73"/>
        <v>527276620</v>
      </c>
      <c r="J1186" s="403"/>
      <c r="K1186" s="404">
        <f t="shared" si="74"/>
        <v>0</v>
      </c>
      <c r="L1186" s="405">
        <f t="shared" si="75"/>
        <v>0</v>
      </c>
      <c r="M1186" s="403"/>
    </row>
    <row r="1187" spans="1:13" ht="31.5" x14ac:dyDescent="0.25">
      <c r="A1187" s="6" t="s">
        <v>3810</v>
      </c>
      <c r="B1187" s="7" t="s">
        <v>3811</v>
      </c>
      <c r="C1187" s="6" t="s">
        <v>6</v>
      </c>
      <c r="D1187" s="8">
        <v>858</v>
      </c>
      <c r="E1187" s="403"/>
      <c r="F1187" s="403">
        <f>BBNTHT!J1227</f>
        <v>0</v>
      </c>
      <c r="G1187" s="403">
        <f t="shared" si="72"/>
        <v>0</v>
      </c>
      <c r="H1187" s="9">
        <v>119559</v>
      </c>
      <c r="I1187" s="404">
        <f t="shared" si="73"/>
        <v>102581622</v>
      </c>
      <c r="J1187" s="403"/>
      <c r="K1187" s="404">
        <f t="shared" si="74"/>
        <v>0</v>
      </c>
      <c r="L1187" s="405">
        <f t="shared" si="75"/>
        <v>0</v>
      </c>
      <c r="M1187" s="403"/>
    </row>
    <row r="1188" spans="1:13" ht="47.25" x14ac:dyDescent="0.25">
      <c r="A1188" s="6" t="s">
        <v>3812</v>
      </c>
      <c r="B1188" s="7" t="s">
        <v>3813</v>
      </c>
      <c r="C1188" s="6" t="s">
        <v>3809</v>
      </c>
      <c r="D1188" s="8">
        <v>260</v>
      </c>
      <c r="E1188" s="403"/>
      <c r="F1188" s="403">
        <f>BBNTHT!J1228</f>
        <v>0</v>
      </c>
      <c r="G1188" s="403">
        <f t="shared" si="72"/>
        <v>0</v>
      </c>
      <c r="H1188" s="9">
        <v>1540052</v>
      </c>
      <c r="I1188" s="404">
        <f t="shared" si="73"/>
        <v>400413520</v>
      </c>
      <c r="J1188" s="403"/>
      <c r="K1188" s="404">
        <f t="shared" si="74"/>
        <v>0</v>
      </c>
      <c r="L1188" s="405">
        <f t="shared" si="75"/>
        <v>0</v>
      </c>
      <c r="M1188" s="403"/>
    </row>
    <row r="1189" spans="1:13" ht="15.75" x14ac:dyDescent="0.25">
      <c r="A1189" s="6" t="s">
        <v>3814</v>
      </c>
      <c r="B1189" s="7" t="s">
        <v>3815</v>
      </c>
      <c r="C1189" s="6" t="s">
        <v>9</v>
      </c>
      <c r="D1189" s="8">
        <v>520</v>
      </c>
      <c r="E1189" s="403"/>
      <c r="F1189" s="403">
        <f>BBNTHT!J1229</f>
        <v>0</v>
      </c>
      <c r="G1189" s="403">
        <f t="shared" si="72"/>
        <v>0</v>
      </c>
      <c r="H1189" s="9">
        <v>395418</v>
      </c>
      <c r="I1189" s="404">
        <f t="shared" si="73"/>
        <v>205617360</v>
      </c>
      <c r="J1189" s="403"/>
      <c r="K1189" s="404">
        <f t="shared" si="74"/>
        <v>0</v>
      </c>
      <c r="L1189" s="405">
        <f t="shared" si="75"/>
        <v>0</v>
      </c>
      <c r="M1189" s="403"/>
    </row>
    <row r="1190" spans="1:13" ht="63" x14ac:dyDescent="0.25">
      <c r="A1190" s="6" t="s">
        <v>3816</v>
      </c>
      <c r="B1190" s="7" t="s">
        <v>3817</v>
      </c>
      <c r="C1190" s="6" t="s">
        <v>9</v>
      </c>
      <c r="D1190" s="8">
        <v>520</v>
      </c>
      <c r="E1190" s="403"/>
      <c r="F1190" s="403">
        <f>BBNTHT!J1230</f>
        <v>0</v>
      </c>
      <c r="G1190" s="403">
        <f t="shared" si="72"/>
        <v>0</v>
      </c>
      <c r="H1190" s="9">
        <v>2680412</v>
      </c>
      <c r="I1190" s="404">
        <f t="shared" si="73"/>
        <v>1393814240</v>
      </c>
      <c r="J1190" s="403"/>
      <c r="K1190" s="404">
        <f t="shared" si="74"/>
        <v>0</v>
      </c>
      <c r="L1190" s="405">
        <f t="shared" si="75"/>
        <v>0</v>
      </c>
      <c r="M1190" s="403"/>
    </row>
    <row r="1191" spans="1:13" ht="63" x14ac:dyDescent="0.25">
      <c r="A1191" s="6" t="s">
        <v>3818</v>
      </c>
      <c r="B1191" s="7" t="s">
        <v>3819</v>
      </c>
      <c r="C1191" s="6" t="s">
        <v>6</v>
      </c>
      <c r="D1191" s="8">
        <v>40</v>
      </c>
      <c r="E1191" s="403"/>
      <c r="F1191" s="403">
        <f>BBNTHT!J1231</f>
        <v>0</v>
      </c>
      <c r="G1191" s="403">
        <f t="shared" si="72"/>
        <v>0</v>
      </c>
      <c r="H1191" s="9">
        <v>571945</v>
      </c>
      <c r="I1191" s="404">
        <f t="shared" si="73"/>
        <v>22877800</v>
      </c>
      <c r="J1191" s="403"/>
      <c r="K1191" s="404">
        <f t="shared" si="74"/>
        <v>0</v>
      </c>
      <c r="L1191" s="405">
        <f t="shared" si="75"/>
        <v>0</v>
      </c>
      <c r="M1191" s="403"/>
    </row>
    <row r="1192" spans="1:13" ht="63" x14ac:dyDescent="0.25">
      <c r="A1192" s="6" t="s">
        <v>3820</v>
      </c>
      <c r="B1192" s="7" t="s">
        <v>3821</v>
      </c>
      <c r="C1192" s="6" t="s">
        <v>6</v>
      </c>
      <c r="D1192" s="8">
        <v>63</v>
      </c>
      <c r="E1192" s="403"/>
      <c r="F1192" s="403">
        <f>BBNTHT!J1232</f>
        <v>0</v>
      </c>
      <c r="G1192" s="403">
        <f t="shared" si="72"/>
        <v>0</v>
      </c>
      <c r="H1192" s="9">
        <v>671575</v>
      </c>
      <c r="I1192" s="404">
        <f t="shared" si="73"/>
        <v>42309225</v>
      </c>
      <c r="J1192" s="403"/>
      <c r="K1192" s="404">
        <f t="shared" si="74"/>
        <v>0</v>
      </c>
      <c r="L1192" s="405">
        <f t="shared" si="75"/>
        <v>0</v>
      </c>
      <c r="M1192" s="403"/>
    </row>
    <row r="1193" spans="1:13" ht="63" x14ac:dyDescent="0.25">
      <c r="A1193" s="6" t="s">
        <v>3822</v>
      </c>
      <c r="B1193" s="7" t="s">
        <v>3823</v>
      </c>
      <c r="C1193" s="6" t="s">
        <v>6</v>
      </c>
      <c r="D1193" s="8">
        <v>75</v>
      </c>
      <c r="E1193" s="403"/>
      <c r="F1193" s="403">
        <f>BBNTHT!J1233</f>
        <v>0</v>
      </c>
      <c r="G1193" s="403">
        <f t="shared" si="72"/>
        <v>0</v>
      </c>
      <c r="H1193" s="9">
        <v>771206</v>
      </c>
      <c r="I1193" s="404">
        <f t="shared" si="73"/>
        <v>57840450</v>
      </c>
      <c r="J1193" s="403"/>
      <c r="K1193" s="404">
        <f t="shared" si="74"/>
        <v>0</v>
      </c>
      <c r="L1193" s="405">
        <f t="shared" si="75"/>
        <v>0</v>
      </c>
      <c r="M1193" s="403"/>
    </row>
    <row r="1194" spans="1:13" ht="63" x14ac:dyDescent="0.25">
      <c r="A1194" s="6" t="s">
        <v>3824</v>
      </c>
      <c r="B1194" s="7" t="s">
        <v>3825</v>
      </c>
      <c r="C1194" s="6" t="s">
        <v>6</v>
      </c>
      <c r="D1194" s="8">
        <v>127</v>
      </c>
      <c r="E1194" s="403"/>
      <c r="F1194" s="403">
        <f>BBNTHT!J1234</f>
        <v>0</v>
      </c>
      <c r="G1194" s="403">
        <f t="shared" si="72"/>
        <v>0</v>
      </c>
      <c r="H1194" s="9">
        <v>870836</v>
      </c>
      <c r="I1194" s="404">
        <f t="shared" si="73"/>
        <v>110596172</v>
      </c>
      <c r="J1194" s="403"/>
      <c r="K1194" s="404">
        <f t="shared" si="74"/>
        <v>0</v>
      </c>
      <c r="L1194" s="405">
        <f t="shared" si="75"/>
        <v>0</v>
      </c>
      <c r="M1194" s="403"/>
    </row>
    <row r="1195" spans="1:13" ht="63" x14ac:dyDescent="0.25">
      <c r="A1195" s="6" t="s">
        <v>3826</v>
      </c>
      <c r="B1195" s="7" t="s">
        <v>3827</v>
      </c>
      <c r="C1195" s="6" t="s">
        <v>6</v>
      </c>
      <c r="D1195" s="8">
        <v>12</v>
      </c>
      <c r="E1195" s="403"/>
      <c r="F1195" s="403">
        <f>BBNTHT!J1235</f>
        <v>0</v>
      </c>
      <c r="G1195" s="403">
        <f t="shared" si="72"/>
        <v>0</v>
      </c>
      <c r="H1195" s="9">
        <v>970467</v>
      </c>
      <c r="I1195" s="404">
        <f t="shared" si="73"/>
        <v>11645604</v>
      </c>
      <c r="J1195" s="403"/>
      <c r="K1195" s="404">
        <f t="shared" si="74"/>
        <v>0</v>
      </c>
      <c r="L1195" s="405">
        <f t="shared" si="75"/>
        <v>0</v>
      </c>
      <c r="M1195" s="403"/>
    </row>
    <row r="1196" spans="1:13" ht="63" x14ac:dyDescent="0.25">
      <c r="A1196" s="6" t="s">
        <v>3828</v>
      </c>
      <c r="B1196" s="7" t="s">
        <v>3829</v>
      </c>
      <c r="C1196" s="6" t="s">
        <v>6</v>
      </c>
      <c r="D1196" s="8">
        <v>127</v>
      </c>
      <c r="E1196" s="403"/>
      <c r="F1196" s="403">
        <f>BBNTHT!J1236</f>
        <v>0</v>
      </c>
      <c r="G1196" s="403">
        <f t="shared" si="72"/>
        <v>0</v>
      </c>
      <c r="H1196" s="9">
        <v>1087228</v>
      </c>
      <c r="I1196" s="404">
        <f t="shared" si="73"/>
        <v>138077956</v>
      </c>
      <c r="J1196" s="403"/>
      <c r="K1196" s="404">
        <f t="shared" si="74"/>
        <v>0</v>
      </c>
      <c r="L1196" s="405">
        <f t="shared" si="75"/>
        <v>0</v>
      </c>
      <c r="M1196" s="403"/>
    </row>
    <row r="1197" spans="1:13" ht="63" x14ac:dyDescent="0.25">
      <c r="A1197" s="6" t="s">
        <v>3830</v>
      </c>
      <c r="B1197" s="7" t="s">
        <v>3831</v>
      </c>
      <c r="C1197" s="6" t="s">
        <v>6</v>
      </c>
      <c r="D1197" s="8">
        <v>69</v>
      </c>
      <c r="E1197" s="403"/>
      <c r="F1197" s="403">
        <f>BBNTHT!J1237</f>
        <v>0</v>
      </c>
      <c r="G1197" s="403">
        <f t="shared" si="72"/>
        <v>0</v>
      </c>
      <c r="H1197" s="9">
        <v>1289784</v>
      </c>
      <c r="I1197" s="404">
        <f t="shared" si="73"/>
        <v>88995096</v>
      </c>
      <c r="J1197" s="403"/>
      <c r="K1197" s="404">
        <f t="shared" si="74"/>
        <v>0</v>
      </c>
      <c r="L1197" s="405">
        <f t="shared" si="75"/>
        <v>0</v>
      </c>
      <c r="M1197" s="403"/>
    </row>
    <row r="1198" spans="1:13" ht="63" x14ac:dyDescent="0.25">
      <c r="A1198" s="6" t="s">
        <v>3832</v>
      </c>
      <c r="B1198" s="7" t="s">
        <v>3833</v>
      </c>
      <c r="C1198" s="6" t="s">
        <v>6</v>
      </c>
      <c r="D1198" s="8">
        <v>23</v>
      </c>
      <c r="E1198" s="403"/>
      <c r="F1198" s="403">
        <f>BBNTHT!J1238</f>
        <v>0</v>
      </c>
      <c r="G1198" s="403">
        <f t="shared" si="72"/>
        <v>0</v>
      </c>
      <c r="H1198" s="9">
        <v>1532851</v>
      </c>
      <c r="I1198" s="404">
        <f t="shared" si="73"/>
        <v>35255573</v>
      </c>
      <c r="J1198" s="403"/>
      <c r="K1198" s="404">
        <f t="shared" si="74"/>
        <v>0</v>
      </c>
      <c r="L1198" s="405">
        <f t="shared" si="75"/>
        <v>0</v>
      </c>
      <c r="M1198" s="403"/>
    </row>
    <row r="1199" spans="1:13" ht="63" x14ac:dyDescent="0.25">
      <c r="A1199" s="6" t="s">
        <v>3834</v>
      </c>
      <c r="B1199" s="7" t="s">
        <v>3835</v>
      </c>
      <c r="C1199" s="6" t="s">
        <v>6</v>
      </c>
      <c r="D1199" s="8">
        <v>61</v>
      </c>
      <c r="E1199" s="403"/>
      <c r="F1199" s="403">
        <f>BBNTHT!J1239</f>
        <v>0</v>
      </c>
      <c r="G1199" s="403">
        <f t="shared" si="72"/>
        <v>0</v>
      </c>
      <c r="H1199" s="9">
        <v>2033629</v>
      </c>
      <c r="I1199" s="404">
        <f t="shared" si="73"/>
        <v>124051369</v>
      </c>
      <c r="J1199" s="403"/>
      <c r="K1199" s="404">
        <f t="shared" si="74"/>
        <v>0</v>
      </c>
      <c r="L1199" s="405">
        <f t="shared" si="75"/>
        <v>0</v>
      </c>
      <c r="M1199" s="403"/>
    </row>
    <row r="1200" spans="1:13" ht="63" x14ac:dyDescent="0.25">
      <c r="A1200" s="6" t="s">
        <v>3836</v>
      </c>
      <c r="B1200" s="7" t="s">
        <v>3837</v>
      </c>
      <c r="C1200" s="6" t="s">
        <v>6</v>
      </c>
      <c r="D1200" s="8">
        <v>31</v>
      </c>
      <c r="E1200" s="403"/>
      <c r="F1200" s="403">
        <f>BBNTHT!J1240</f>
        <v>0</v>
      </c>
      <c r="G1200" s="403">
        <f t="shared" si="72"/>
        <v>0</v>
      </c>
      <c r="H1200" s="9">
        <v>2246362</v>
      </c>
      <c r="I1200" s="404">
        <f t="shared" si="73"/>
        <v>69637222</v>
      </c>
      <c r="J1200" s="403"/>
      <c r="K1200" s="404">
        <f t="shared" si="74"/>
        <v>0</v>
      </c>
      <c r="L1200" s="405">
        <f t="shared" si="75"/>
        <v>0</v>
      </c>
      <c r="M1200" s="403"/>
    </row>
    <row r="1201" spans="1:13" ht="63" x14ac:dyDescent="0.25">
      <c r="A1201" s="6" t="s">
        <v>3838</v>
      </c>
      <c r="B1201" s="7" t="s">
        <v>3839</v>
      </c>
      <c r="C1201" s="6" t="s">
        <v>6</v>
      </c>
      <c r="D1201" s="8">
        <v>35</v>
      </c>
      <c r="E1201" s="403"/>
      <c r="F1201" s="403">
        <f>BBNTHT!J1241</f>
        <v>0</v>
      </c>
      <c r="G1201" s="403">
        <f t="shared" si="72"/>
        <v>0</v>
      </c>
      <c r="H1201" s="9">
        <v>2671828</v>
      </c>
      <c r="I1201" s="404">
        <f t="shared" si="73"/>
        <v>93513980</v>
      </c>
      <c r="J1201" s="403"/>
      <c r="K1201" s="404">
        <f t="shared" si="74"/>
        <v>0</v>
      </c>
      <c r="L1201" s="405">
        <f t="shared" si="75"/>
        <v>0</v>
      </c>
      <c r="M1201" s="403"/>
    </row>
    <row r="1202" spans="1:13" ht="31.5" x14ac:dyDescent="0.25">
      <c r="A1202" s="6" t="s">
        <v>3840</v>
      </c>
      <c r="B1202" s="7" t="s">
        <v>3841</v>
      </c>
      <c r="C1202" s="6" t="s">
        <v>6</v>
      </c>
      <c r="D1202" s="8">
        <v>28</v>
      </c>
      <c r="E1202" s="403"/>
      <c r="F1202" s="403">
        <f>BBNTHT!J1242</f>
        <v>0</v>
      </c>
      <c r="G1202" s="403">
        <f t="shared" si="72"/>
        <v>0</v>
      </c>
      <c r="H1202" s="9">
        <v>231704</v>
      </c>
      <c r="I1202" s="404">
        <f t="shared" si="73"/>
        <v>6487712</v>
      </c>
      <c r="J1202" s="403"/>
      <c r="K1202" s="404">
        <f t="shared" si="74"/>
        <v>0</v>
      </c>
      <c r="L1202" s="405">
        <f t="shared" si="75"/>
        <v>0</v>
      </c>
      <c r="M1202" s="403"/>
    </row>
    <row r="1203" spans="1:13" ht="31.5" x14ac:dyDescent="0.25">
      <c r="A1203" s="6" t="s">
        <v>3842</v>
      </c>
      <c r="B1203" s="7" t="s">
        <v>3843</v>
      </c>
      <c r="C1203" s="6" t="s">
        <v>6</v>
      </c>
      <c r="D1203" s="8">
        <v>14</v>
      </c>
      <c r="E1203" s="403"/>
      <c r="F1203" s="403">
        <f>BBNTHT!J1243</f>
        <v>0</v>
      </c>
      <c r="G1203" s="403">
        <f t="shared" si="72"/>
        <v>0</v>
      </c>
      <c r="H1203" s="9">
        <v>304949</v>
      </c>
      <c r="I1203" s="404">
        <f t="shared" si="73"/>
        <v>4269286</v>
      </c>
      <c r="J1203" s="403"/>
      <c r="K1203" s="404">
        <f t="shared" si="74"/>
        <v>0</v>
      </c>
      <c r="L1203" s="405">
        <f t="shared" si="75"/>
        <v>0</v>
      </c>
      <c r="M1203" s="403"/>
    </row>
    <row r="1204" spans="1:13" ht="31.5" x14ac:dyDescent="0.25">
      <c r="A1204" s="6" t="s">
        <v>3844</v>
      </c>
      <c r="B1204" s="7" t="s">
        <v>3845</v>
      </c>
      <c r="C1204" s="6" t="s">
        <v>6</v>
      </c>
      <c r="D1204" s="8">
        <v>76</v>
      </c>
      <c r="E1204" s="403"/>
      <c r="F1204" s="403">
        <f>BBNTHT!J1244</f>
        <v>0</v>
      </c>
      <c r="G1204" s="403">
        <f t="shared" si="72"/>
        <v>0</v>
      </c>
      <c r="H1204" s="9">
        <v>378195</v>
      </c>
      <c r="I1204" s="404">
        <f t="shared" si="73"/>
        <v>28742820</v>
      </c>
      <c r="J1204" s="403"/>
      <c r="K1204" s="404">
        <f t="shared" si="74"/>
        <v>0</v>
      </c>
      <c r="L1204" s="405">
        <f t="shared" si="75"/>
        <v>0</v>
      </c>
      <c r="M1204" s="403"/>
    </row>
    <row r="1205" spans="1:13" ht="31.5" x14ac:dyDescent="0.25">
      <c r="A1205" s="6" t="s">
        <v>3846</v>
      </c>
      <c r="B1205" s="7" t="s">
        <v>3847</v>
      </c>
      <c r="C1205" s="6" t="s">
        <v>6</v>
      </c>
      <c r="D1205" s="8">
        <v>28</v>
      </c>
      <c r="E1205" s="403"/>
      <c r="F1205" s="403">
        <f>BBNTHT!J1245</f>
        <v>0</v>
      </c>
      <c r="G1205" s="403">
        <f t="shared" si="72"/>
        <v>0</v>
      </c>
      <c r="H1205" s="9">
        <v>414818</v>
      </c>
      <c r="I1205" s="404">
        <f t="shared" si="73"/>
        <v>11614904</v>
      </c>
      <c r="J1205" s="403"/>
      <c r="K1205" s="404">
        <f t="shared" si="74"/>
        <v>0</v>
      </c>
      <c r="L1205" s="405">
        <f t="shared" si="75"/>
        <v>0</v>
      </c>
      <c r="M1205" s="403"/>
    </row>
    <row r="1206" spans="1:13" ht="31.5" x14ac:dyDescent="0.25">
      <c r="A1206" s="6" t="s">
        <v>3848</v>
      </c>
      <c r="B1206" s="7" t="s">
        <v>3849</v>
      </c>
      <c r="C1206" s="6" t="s">
        <v>6</v>
      </c>
      <c r="D1206" s="8">
        <v>28</v>
      </c>
      <c r="E1206" s="403"/>
      <c r="F1206" s="403">
        <f>BBNTHT!J1246</f>
        <v>0</v>
      </c>
      <c r="G1206" s="403">
        <f t="shared" si="72"/>
        <v>0</v>
      </c>
      <c r="H1206" s="9">
        <v>488064</v>
      </c>
      <c r="I1206" s="404">
        <f t="shared" si="73"/>
        <v>13665792</v>
      </c>
      <c r="J1206" s="403"/>
      <c r="K1206" s="404">
        <f t="shared" si="74"/>
        <v>0</v>
      </c>
      <c r="L1206" s="405">
        <f t="shared" si="75"/>
        <v>0</v>
      </c>
      <c r="M1206" s="403"/>
    </row>
    <row r="1207" spans="1:13" ht="15.75" x14ac:dyDescent="0.25">
      <c r="A1207" s="6" t="s">
        <v>3850</v>
      </c>
      <c r="B1207" s="7" t="s">
        <v>3851</v>
      </c>
      <c r="C1207" s="6" t="s">
        <v>9</v>
      </c>
      <c r="D1207" s="8">
        <v>1</v>
      </c>
      <c r="E1207" s="403"/>
      <c r="F1207" s="403">
        <f>BBNTHT!J1247</f>
        <v>0</v>
      </c>
      <c r="G1207" s="403">
        <f t="shared" si="72"/>
        <v>0</v>
      </c>
      <c r="H1207" s="9">
        <v>232925</v>
      </c>
      <c r="I1207" s="404">
        <f t="shared" si="73"/>
        <v>232925</v>
      </c>
      <c r="J1207" s="403"/>
      <c r="K1207" s="404">
        <f t="shared" si="74"/>
        <v>0</v>
      </c>
      <c r="L1207" s="405">
        <f t="shared" si="75"/>
        <v>0</v>
      </c>
      <c r="M1207" s="403"/>
    </row>
    <row r="1208" spans="1:13" ht="15.75" x14ac:dyDescent="0.25">
      <c r="A1208" s="6" t="s">
        <v>3852</v>
      </c>
      <c r="B1208" s="7" t="s">
        <v>3853</v>
      </c>
      <c r="C1208" s="6" t="s">
        <v>3809</v>
      </c>
      <c r="D1208" s="8">
        <v>39</v>
      </c>
      <c r="E1208" s="403"/>
      <c r="F1208" s="403">
        <f>BBNTHT!J1248</f>
        <v>0</v>
      </c>
      <c r="G1208" s="403">
        <f t="shared" si="72"/>
        <v>0</v>
      </c>
      <c r="H1208" s="9">
        <v>1298746</v>
      </c>
      <c r="I1208" s="404">
        <f t="shared" si="73"/>
        <v>50651094</v>
      </c>
      <c r="J1208" s="403"/>
      <c r="K1208" s="404">
        <f t="shared" si="74"/>
        <v>0</v>
      </c>
      <c r="L1208" s="405">
        <f t="shared" si="75"/>
        <v>0</v>
      </c>
      <c r="M1208" s="403"/>
    </row>
    <row r="1209" spans="1:13" ht="47.25" x14ac:dyDescent="0.25">
      <c r="A1209" s="6" t="s">
        <v>3854</v>
      </c>
      <c r="B1209" s="7" t="s">
        <v>3855</v>
      </c>
      <c r="C1209" s="6" t="s">
        <v>6</v>
      </c>
      <c r="D1209" s="8">
        <v>28</v>
      </c>
      <c r="E1209" s="403"/>
      <c r="F1209" s="403">
        <f>BBNTHT!J1249</f>
        <v>0</v>
      </c>
      <c r="G1209" s="403">
        <f t="shared" si="72"/>
        <v>0</v>
      </c>
      <c r="H1209" s="9">
        <v>1674956</v>
      </c>
      <c r="I1209" s="404">
        <f t="shared" si="73"/>
        <v>46898768</v>
      </c>
      <c r="J1209" s="403"/>
      <c r="K1209" s="404">
        <f t="shared" si="74"/>
        <v>0</v>
      </c>
      <c r="L1209" s="405">
        <f t="shared" si="75"/>
        <v>0</v>
      </c>
      <c r="M1209" s="403"/>
    </row>
    <row r="1210" spans="1:13" ht="47.25" x14ac:dyDescent="0.25">
      <c r="A1210" s="6" t="s">
        <v>3856</v>
      </c>
      <c r="B1210" s="7" t="s">
        <v>3857</v>
      </c>
      <c r="C1210" s="6" t="s">
        <v>6</v>
      </c>
      <c r="D1210" s="8">
        <v>14</v>
      </c>
      <c r="E1210" s="403"/>
      <c r="F1210" s="403">
        <f>BBNTHT!J1250</f>
        <v>0</v>
      </c>
      <c r="G1210" s="403">
        <f t="shared" si="72"/>
        <v>0</v>
      </c>
      <c r="H1210" s="9">
        <v>4242517</v>
      </c>
      <c r="I1210" s="404">
        <f t="shared" si="73"/>
        <v>59395238</v>
      </c>
      <c r="J1210" s="403"/>
      <c r="K1210" s="404">
        <f t="shared" si="74"/>
        <v>0</v>
      </c>
      <c r="L1210" s="405">
        <f t="shared" si="75"/>
        <v>0</v>
      </c>
      <c r="M1210" s="403"/>
    </row>
    <row r="1211" spans="1:13" ht="47.25" x14ac:dyDescent="0.25">
      <c r="A1211" s="6" t="s">
        <v>3858</v>
      </c>
      <c r="B1211" s="7" t="s">
        <v>3859</v>
      </c>
      <c r="C1211" s="6" t="s">
        <v>6</v>
      </c>
      <c r="D1211" s="8">
        <v>76</v>
      </c>
      <c r="E1211" s="403"/>
      <c r="F1211" s="403">
        <f>BBNTHT!J1251</f>
        <v>0</v>
      </c>
      <c r="G1211" s="403">
        <f t="shared" si="72"/>
        <v>0</v>
      </c>
      <c r="H1211" s="9">
        <v>5037245</v>
      </c>
      <c r="I1211" s="404">
        <f t="shared" si="73"/>
        <v>382830620</v>
      </c>
      <c r="J1211" s="403"/>
      <c r="K1211" s="404">
        <f t="shared" si="74"/>
        <v>0</v>
      </c>
      <c r="L1211" s="405">
        <f t="shared" si="75"/>
        <v>0</v>
      </c>
      <c r="M1211" s="403"/>
    </row>
    <row r="1212" spans="1:13" ht="31.5" x14ac:dyDescent="0.25">
      <c r="A1212" s="6" t="s">
        <v>3860</v>
      </c>
      <c r="B1212" s="7" t="s">
        <v>3861</v>
      </c>
      <c r="C1212" s="6" t="s">
        <v>6</v>
      </c>
      <c r="D1212" s="8">
        <v>28</v>
      </c>
      <c r="E1212" s="403"/>
      <c r="F1212" s="403">
        <f>BBNTHT!J1252</f>
        <v>0</v>
      </c>
      <c r="G1212" s="403">
        <f t="shared" si="72"/>
        <v>0</v>
      </c>
      <c r="H1212" s="9">
        <v>571957</v>
      </c>
      <c r="I1212" s="404">
        <f t="shared" si="73"/>
        <v>16014796</v>
      </c>
      <c r="J1212" s="403"/>
      <c r="K1212" s="404">
        <f t="shared" si="74"/>
        <v>0</v>
      </c>
      <c r="L1212" s="405">
        <f t="shared" si="75"/>
        <v>0</v>
      </c>
      <c r="M1212" s="403"/>
    </row>
    <row r="1213" spans="1:13" ht="31.5" x14ac:dyDescent="0.25">
      <c r="A1213" s="6" t="s">
        <v>3862</v>
      </c>
      <c r="B1213" s="7" t="s">
        <v>3863</v>
      </c>
      <c r="C1213" s="6" t="s">
        <v>6</v>
      </c>
      <c r="D1213" s="8">
        <v>28</v>
      </c>
      <c r="E1213" s="403"/>
      <c r="F1213" s="403">
        <f>BBNTHT!J1253</f>
        <v>0</v>
      </c>
      <c r="G1213" s="403">
        <f t="shared" si="72"/>
        <v>0</v>
      </c>
      <c r="H1213" s="9">
        <v>1196750</v>
      </c>
      <c r="I1213" s="404">
        <f t="shared" si="73"/>
        <v>33509000</v>
      </c>
      <c r="J1213" s="403"/>
      <c r="K1213" s="404">
        <f t="shared" si="74"/>
        <v>0</v>
      </c>
      <c r="L1213" s="405">
        <f t="shared" si="75"/>
        <v>0</v>
      </c>
      <c r="M1213" s="403"/>
    </row>
    <row r="1214" spans="1:13" ht="31.5" x14ac:dyDescent="0.25">
      <c r="A1214" s="6" t="s">
        <v>3864</v>
      </c>
      <c r="B1214" s="7" t="s">
        <v>3865</v>
      </c>
      <c r="C1214" s="6" t="s">
        <v>3809</v>
      </c>
      <c r="D1214" s="8">
        <v>1</v>
      </c>
      <c r="E1214" s="403"/>
      <c r="F1214" s="403">
        <f>BBNTHT!J1254</f>
        <v>0</v>
      </c>
      <c r="G1214" s="403">
        <f t="shared" si="72"/>
        <v>0</v>
      </c>
      <c r="H1214" s="9">
        <v>775755</v>
      </c>
      <c r="I1214" s="404">
        <f t="shared" si="73"/>
        <v>775755</v>
      </c>
      <c r="J1214" s="403"/>
      <c r="K1214" s="404">
        <f t="shared" si="74"/>
        <v>0</v>
      </c>
      <c r="L1214" s="405">
        <f t="shared" si="75"/>
        <v>0</v>
      </c>
      <c r="M1214" s="403"/>
    </row>
    <row r="1215" spans="1:13" ht="31.5" x14ac:dyDescent="0.25">
      <c r="A1215" s="6" t="s">
        <v>3866</v>
      </c>
      <c r="B1215" s="7" t="s">
        <v>3867</v>
      </c>
      <c r="C1215" s="6" t="s">
        <v>3809</v>
      </c>
      <c r="D1215" s="8">
        <v>39</v>
      </c>
      <c r="E1215" s="403"/>
      <c r="F1215" s="403">
        <f>BBNTHT!J1255</f>
        <v>0</v>
      </c>
      <c r="G1215" s="403">
        <f t="shared" si="72"/>
        <v>0</v>
      </c>
      <c r="H1215" s="9">
        <v>1852535</v>
      </c>
      <c r="I1215" s="404">
        <f t="shared" si="73"/>
        <v>72248865</v>
      </c>
      <c r="J1215" s="403"/>
      <c r="K1215" s="404">
        <f t="shared" si="74"/>
        <v>0</v>
      </c>
      <c r="L1215" s="405">
        <f t="shared" si="75"/>
        <v>0</v>
      </c>
      <c r="M1215" s="403"/>
    </row>
    <row r="1216" spans="1:13" ht="47.25" x14ac:dyDescent="0.25">
      <c r="A1216" s="6" t="s">
        <v>3868</v>
      </c>
      <c r="B1216" s="7" t="s">
        <v>3869</v>
      </c>
      <c r="C1216" s="6" t="s">
        <v>3809</v>
      </c>
      <c r="D1216" s="8">
        <v>268</v>
      </c>
      <c r="E1216" s="403"/>
      <c r="F1216" s="403">
        <f>BBNTHT!J1256</f>
        <v>0</v>
      </c>
      <c r="G1216" s="403">
        <f t="shared" si="72"/>
        <v>0</v>
      </c>
      <c r="H1216" s="9">
        <v>1751384</v>
      </c>
      <c r="I1216" s="404">
        <f t="shared" si="73"/>
        <v>469370912</v>
      </c>
      <c r="J1216" s="403"/>
      <c r="K1216" s="404">
        <f t="shared" si="74"/>
        <v>0</v>
      </c>
      <c r="L1216" s="405">
        <f t="shared" si="75"/>
        <v>0</v>
      </c>
      <c r="M1216" s="403"/>
    </row>
    <row r="1217" spans="1:13" ht="47.25" x14ac:dyDescent="0.25">
      <c r="A1217" s="6" t="s">
        <v>3870</v>
      </c>
      <c r="B1217" s="7" t="s">
        <v>3871</v>
      </c>
      <c r="C1217" s="6" t="s">
        <v>3809</v>
      </c>
      <c r="D1217" s="8">
        <v>24</v>
      </c>
      <c r="E1217" s="403"/>
      <c r="F1217" s="403">
        <f>BBNTHT!J1257</f>
        <v>0</v>
      </c>
      <c r="G1217" s="403">
        <f t="shared" si="72"/>
        <v>0</v>
      </c>
      <c r="H1217" s="9">
        <v>1700269</v>
      </c>
      <c r="I1217" s="404">
        <f t="shared" si="73"/>
        <v>40806456</v>
      </c>
      <c r="J1217" s="403"/>
      <c r="K1217" s="404">
        <f t="shared" si="74"/>
        <v>0</v>
      </c>
      <c r="L1217" s="405">
        <f t="shared" si="75"/>
        <v>0</v>
      </c>
      <c r="M1217" s="403"/>
    </row>
    <row r="1218" spans="1:13" ht="31.5" x14ac:dyDescent="0.25">
      <c r="A1218" s="6" t="s">
        <v>3872</v>
      </c>
      <c r="B1218" s="7" t="s">
        <v>3873</v>
      </c>
      <c r="C1218" s="6" t="s">
        <v>3809</v>
      </c>
      <c r="D1218" s="8">
        <v>18</v>
      </c>
      <c r="E1218" s="403"/>
      <c r="F1218" s="403">
        <f>BBNTHT!J1258</f>
        <v>0</v>
      </c>
      <c r="G1218" s="403">
        <f t="shared" si="72"/>
        <v>0</v>
      </c>
      <c r="H1218" s="9">
        <v>1420266</v>
      </c>
      <c r="I1218" s="404">
        <f t="shared" si="73"/>
        <v>25564788</v>
      </c>
      <c r="J1218" s="403"/>
      <c r="K1218" s="404">
        <f t="shared" si="74"/>
        <v>0</v>
      </c>
      <c r="L1218" s="405">
        <f t="shared" si="75"/>
        <v>0</v>
      </c>
      <c r="M1218" s="403"/>
    </row>
    <row r="1219" spans="1:13" ht="31.5" x14ac:dyDescent="0.25">
      <c r="A1219" s="6" t="s">
        <v>3874</v>
      </c>
      <c r="B1219" s="7" t="s">
        <v>3875</v>
      </c>
      <c r="C1219" s="6" t="s">
        <v>3809</v>
      </c>
      <c r="D1219" s="8">
        <v>252</v>
      </c>
      <c r="E1219" s="403"/>
      <c r="F1219" s="403">
        <f>BBNTHT!J1259</f>
        <v>0</v>
      </c>
      <c r="G1219" s="403">
        <f t="shared" si="72"/>
        <v>0</v>
      </c>
      <c r="H1219" s="9">
        <v>965615</v>
      </c>
      <c r="I1219" s="404">
        <f t="shared" si="73"/>
        <v>243334980</v>
      </c>
      <c r="J1219" s="403"/>
      <c r="K1219" s="404">
        <f t="shared" si="74"/>
        <v>0</v>
      </c>
      <c r="L1219" s="405">
        <f t="shared" si="75"/>
        <v>0</v>
      </c>
      <c r="M1219" s="403"/>
    </row>
    <row r="1220" spans="1:13" ht="31.5" x14ac:dyDescent="0.25">
      <c r="A1220" s="6" t="s">
        <v>3876</v>
      </c>
      <c r="B1220" s="7" t="s">
        <v>3877</v>
      </c>
      <c r="C1220" s="6" t="s">
        <v>3809</v>
      </c>
      <c r="D1220" s="8">
        <v>23</v>
      </c>
      <c r="E1220" s="403"/>
      <c r="F1220" s="403">
        <f>BBNTHT!J1260</f>
        <v>0</v>
      </c>
      <c r="G1220" s="403">
        <f t="shared" si="72"/>
        <v>0</v>
      </c>
      <c r="H1220" s="9">
        <v>1290157</v>
      </c>
      <c r="I1220" s="404">
        <f t="shared" si="73"/>
        <v>29673611</v>
      </c>
      <c r="J1220" s="403"/>
      <c r="K1220" s="404">
        <f t="shared" si="74"/>
        <v>0</v>
      </c>
      <c r="L1220" s="405">
        <f t="shared" si="75"/>
        <v>0</v>
      </c>
      <c r="M1220" s="403"/>
    </row>
    <row r="1221" spans="1:13" ht="63" x14ac:dyDescent="0.25">
      <c r="A1221" s="6" t="s">
        <v>3878</v>
      </c>
      <c r="B1221" s="7" t="s">
        <v>3879</v>
      </c>
      <c r="C1221" s="6" t="s">
        <v>3809</v>
      </c>
      <c r="D1221" s="8">
        <v>268</v>
      </c>
      <c r="E1221" s="403"/>
      <c r="F1221" s="403">
        <f>BBNTHT!J1261</f>
        <v>0</v>
      </c>
      <c r="G1221" s="403">
        <f t="shared" si="72"/>
        <v>0</v>
      </c>
      <c r="H1221" s="9">
        <v>784240</v>
      </c>
      <c r="I1221" s="404">
        <f t="shared" si="73"/>
        <v>210176320</v>
      </c>
      <c r="J1221" s="403"/>
      <c r="K1221" s="404">
        <f t="shared" si="74"/>
        <v>0</v>
      </c>
      <c r="L1221" s="405">
        <f t="shared" si="75"/>
        <v>0</v>
      </c>
      <c r="M1221" s="403"/>
    </row>
    <row r="1222" spans="1:13" ht="63" x14ac:dyDescent="0.25">
      <c r="A1222" s="6" t="s">
        <v>3880</v>
      </c>
      <c r="B1222" s="7" t="s">
        <v>3881</v>
      </c>
      <c r="C1222" s="6" t="s">
        <v>3809</v>
      </c>
      <c r="D1222" s="8">
        <v>24</v>
      </c>
      <c r="E1222" s="403"/>
      <c r="F1222" s="403">
        <f>BBNTHT!J1262</f>
        <v>0</v>
      </c>
      <c r="G1222" s="403">
        <f t="shared" si="72"/>
        <v>0</v>
      </c>
      <c r="H1222" s="9">
        <v>1303864</v>
      </c>
      <c r="I1222" s="404">
        <f t="shared" si="73"/>
        <v>31292736</v>
      </c>
      <c r="J1222" s="403"/>
      <c r="K1222" s="404">
        <f t="shared" si="74"/>
        <v>0</v>
      </c>
      <c r="L1222" s="405">
        <f t="shared" si="75"/>
        <v>0</v>
      </c>
      <c r="M1222" s="403"/>
    </row>
    <row r="1223" spans="1:13" ht="63" x14ac:dyDescent="0.25">
      <c r="A1223" s="6" t="s">
        <v>3882</v>
      </c>
      <c r="B1223" s="7" t="s">
        <v>3883</v>
      </c>
      <c r="C1223" s="6" t="s">
        <v>3809</v>
      </c>
      <c r="D1223" s="8">
        <v>18</v>
      </c>
      <c r="E1223" s="403"/>
      <c r="F1223" s="403">
        <f>BBNTHT!J1263</f>
        <v>0</v>
      </c>
      <c r="G1223" s="403">
        <f t="shared" si="72"/>
        <v>0</v>
      </c>
      <c r="H1223" s="9">
        <v>1920414</v>
      </c>
      <c r="I1223" s="404">
        <f t="shared" si="73"/>
        <v>34567452</v>
      </c>
      <c r="J1223" s="403"/>
      <c r="K1223" s="404">
        <f t="shared" si="74"/>
        <v>0</v>
      </c>
      <c r="L1223" s="405">
        <f t="shared" si="75"/>
        <v>0</v>
      </c>
      <c r="M1223" s="403"/>
    </row>
    <row r="1224" spans="1:13" ht="47.25" x14ac:dyDescent="0.25">
      <c r="A1224" s="6" t="s">
        <v>3884</v>
      </c>
      <c r="B1224" s="7" t="s">
        <v>3885</v>
      </c>
      <c r="C1224" s="6" t="s">
        <v>3809</v>
      </c>
      <c r="D1224" s="8">
        <v>2</v>
      </c>
      <c r="E1224" s="403"/>
      <c r="F1224" s="403">
        <f>BBNTHT!J1264</f>
        <v>0</v>
      </c>
      <c r="G1224" s="403">
        <f t="shared" si="72"/>
        <v>0</v>
      </c>
      <c r="H1224" s="9">
        <v>852773</v>
      </c>
      <c r="I1224" s="404">
        <f t="shared" si="73"/>
        <v>1705546</v>
      </c>
      <c r="J1224" s="403"/>
      <c r="K1224" s="404">
        <f t="shared" si="74"/>
        <v>0</v>
      </c>
      <c r="L1224" s="405">
        <f t="shared" si="75"/>
        <v>0</v>
      </c>
      <c r="M1224" s="403"/>
    </row>
    <row r="1225" spans="1:13" ht="47.25" x14ac:dyDescent="0.25">
      <c r="A1225" s="6" t="s">
        <v>3886</v>
      </c>
      <c r="B1225" s="7" t="s">
        <v>3887</v>
      </c>
      <c r="C1225" s="6" t="s">
        <v>3809</v>
      </c>
      <c r="D1225" s="8">
        <v>1</v>
      </c>
      <c r="E1225" s="403"/>
      <c r="F1225" s="403">
        <f>BBNTHT!J1265</f>
        <v>0</v>
      </c>
      <c r="G1225" s="403">
        <f t="shared" si="72"/>
        <v>0</v>
      </c>
      <c r="H1225" s="9">
        <v>2440245</v>
      </c>
      <c r="I1225" s="404">
        <f t="shared" si="73"/>
        <v>2440245</v>
      </c>
      <c r="J1225" s="403"/>
      <c r="K1225" s="404">
        <f t="shared" si="74"/>
        <v>0</v>
      </c>
      <c r="L1225" s="405">
        <f t="shared" si="75"/>
        <v>0</v>
      </c>
      <c r="M1225" s="403"/>
    </row>
    <row r="1226" spans="1:13" ht="47.25" x14ac:dyDescent="0.25">
      <c r="A1226" s="6" t="s">
        <v>3888</v>
      </c>
      <c r="B1226" s="7" t="s">
        <v>3889</v>
      </c>
      <c r="C1226" s="6" t="s">
        <v>3809</v>
      </c>
      <c r="D1226" s="8">
        <v>4</v>
      </c>
      <c r="E1226" s="403"/>
      <c r="F1226" s="403">
        <f>BBNTHT!J1266</f>
        <v>0</v>
      </c>
      <c r="G1226" s="403">
        <f t="shared" si="72"/>
        <v>0</v>
      </c>
      <c r="H1226" s="9">
        <v>5023202</v>
      </c>
      <c r="I1226" s="404">
        <f t="shared" si="73"/>
        <v>20092808</v>
      </c>
      <c r="J1226" s="403"/>
      <c r="K1226" s="404">
        <f t="shared" si="74"/>
        <v>0</v>
      </c>
      <c r="L1226" s="405">
        <f t="shared" si="75"/>
        <v>0</v>
      </c>
      <c r="M1226" s="403"/>
    </row>
    <row r="1227" spans="1:13" ht="47.25" x14ac:dyDescent="0.25">
      <c r="A1227" s="6" t="s">
        <v>3890</v>
      </c>
      <c r="B1227" s="7" t="s">
        <v>3891</v>
      </c>
      <c r="C1227" s="6" t="s">
        <v>3809</v>
      </c>
      <c r="D1227" s="8">
        <v>2</v>
      </c>
      <c r="E1227" s="403"/>
      <c r="F1227" s="403">
        <f>BBNTHT!J1267</f>
        <v>0</v>
      </c>
      <c r="G1227" s="403">
        <f t="shared" si="72"/>
        <v>0</v>
      </c>
      <c r="H1227" s="9">
        <v>19176061</v>
      </c>
      <c r="I1227" s="404">
        <f t="shared" si="73"/>
        <v>38352122</v>
      </c>
      <c r="J1227" s="403"/>
      <c r="K1227" s="404">
        <f t="shared" si="74"/>
        <v>0</v>
      </c>
      <c r="L1227" s="405">
        <f t="shared" si="75"/>
        <v>0</v>
      </c>
      <c r="M1227" s="403"/>
    </row>
    <row r="1228" spans="1:13" ht="63" x14ac:dyDescent="0.25">
      <c r="A1228" s="6" t="s">
        <v>3892</v>
      </c>
      <c r="B1228" s="7" t="s">
        <v>3893</v>
      </c>
      <c r="C1228" s="6" t="s">
        <v>3809</v>
      </c>
      <c r="D1228" s="8">
        <v>1</v>
      </c>
      <c r="E1228" s="403"/>
      <c r="F1228" s="403">
        <f>BBNTHT!J1268</f>
        <v>0</v>
      </c>
      <c r="G1228" s="403">
        <f t="shared" si="72"/>
        <v>0</v>
      </c>
      <c r="H1228" s="9">
        <v>1697722</v>
      </c>
      <c r="I1228" s="404">
        <f t="shared" si="73"/>
        <v>1697722</v>
      </c>
      <c r="J1228" s="403"/>
      <c r="K1228" s="404">
        <f t="shared" si="74"/>
        <v>0</v>
      </c>
      <c r="L1228" s="405">
        <f t="shared" si="75"/>
        <v>0</v>
      </c>
      <c r="M1228" s="403"/>
    </row>
    <row r="1229" spans="1:13" ht="63" x14ac:dyDescent="0.25">
      <c r="A1229" s="6" t="s">
        <v>3894</v>
      </c>
      <c r="B1229" s="7" t="s">
        <v>3895</v>
      </c>
      <c r="C1229" s="6" t="s">
        <v>3809</v>
      </c>
      <c r="D1229" s="8">
        <v>3</v>
      </c>
      <c r="E1229" s="403"/>
      <c r="F1229" s="403">
        <f>BBNTHT!J1269</f>
        <v>0</v>
      </c>
      <c r="G1229" s="403">
        <f t="shared" si="72"/>
        <v>0</v>
      </c>
      <c r="H1229" s="9">
        <v>4193027</v>
      </c>
      <c r="I1229" s="404">
        <f t="shared" si="73"/>
        <v>12579081</v>
      </c>
      <c r="J1229" s="403"/>
      <c r="K1229" s="404">
        <f t="shared" si="74"/>
        <v>0</v>
      </c>
      <c r="L1229" s="405">
        <f t="shared" si="75"/>
        <v>0</v>
      </c>
      <c r="M1229" s="403"/>
    </row>
    <row r="1230" spans="1:13" ht="63" x14ac:dyDescent="0.25">
      <c r="A1230" s="6" t="s">
        <v>3896</v>
      </c>
      <c r="B1230" s="7" t="s">
        <v>3897</v>
      </c>
      <c r="C1230" s="6" t="s">
        <v>3809</v>
      </c>
      <c r="D1230" s="8">
        <v>1</v>
      </c>
      <c r="E1230" s="403"/>
      <c r="F1230" s="403">
        <f>BBNTHT!J1270</f>
        <v>0</v>
      </c>
      <c r="G1230" s="403">
        <f t="shared" si="72"/>
        <v>0</v>
      </c>
      <c r="H1230" s="9">
        <v>8620811</v>
      </c>
      <c r="I1230" s="404">
        <f t="shared" si="73"/>
        <v>8620811</v>
      </c>
      <c r="J1230" s="403"/>
      <c r="K1230" s="404">
        <f t="shared" si="74"/>
        <v>0</v>
      </c>
      <c r="L1230" s="405">
        <f t="shared" si="75"/>
        <v>0</v>
      </c>
      <c r="M1230" s="403"/>
    </row>
    <row r="1231" spans="1:13" ht="63" x14ac:dyDescent="0.25">
      <c r="A1231" s="6" t="s">
        <v>3898</v>
      </c>
      <c r="B1231" s="7" t="s">
        <v>3899</v>
      </c>
      <c r="C1231" s="6" t="s">
        <v>3809</v>
      </c>
      <c r="D1231" s="8">
        <v>2</v>
      </c>
      <c r="E1231" s="403"/>
      <c r="F1231" s="403">
        <f>BBNTHT!J1271</f>
        <v>0</v>
      </c>
      <c r="G1231" s="403">
        <f t="shared" si="72"/>
        <v>0</v>
      </c>
      <c r="H1231" s="9">
        <v>15502087</v>
      </c>
      <c r="I1231" s="404">
        <f t="shared" si="73"/>
        <v>31004174</v>
      </c>
      <c r="J1231" s="403"/>
      <c r="K1231" s="404">
        <f t="shared" si="74"/>
        <v>0</v>
      </c>
      <c r="L1231" s="405">
        <f t="shared" si="75"/>
        <v>0</v>
      </c>
      <c r="M1231" s="403"/>
    </row>
    <row r="1232" spans="1:13" ht="63" x14ac:dyDescent="0.25">
      <c r="A1232" s="6" t="s">
        <v>3900</v>
      </c>
      <c r="B1232" s="7" t="s">
        <v>3901</v>
      </c>
      <c r="C1232" s="6" t="s">
        <v>6</v>
      </c>
      <c r="D1232" s="8">
        <v>1</v>
      </c>
      <c r="E1232" s="403"/>
      <c r="F1232" s="403">
        <f>BBNTHT!J1272</f>
        <v>0</v>
      </c>
      <c r="G1232" s="403">
        <f t="shared" si="72"/>
        <v>0</v>
      </c>
      <c r="H1232" s="9">
        <v>9028087</v>
      </c>
      <c r="I1232" s="404">
        <f t="shared" si="73"/>
        <v>9028087</v>
      </c>
      <c r="J1232" s="403"/>
      <c r="K1232" s="404">
        <f t="shared" si="74"/>
        <v>0</v>
      </c>
      <c r="L1232" s="405">
        <f t="shared" si="75"/>
        <v>0</v>
      </c>
      <c r="M1232" s="403"/>
    </row>
    <row r="1233" spans="1:13" ht="31.5" x14ac:dyDescent="0.25">
      <c r="A1233" s="6" t="s">
        <v>3902</v>
      </c>
      <c r="B1233" s="7" t="s">
        <v>3903</v>
      </c>
      <c r="C1233" s="6" t="s">
        <v>9</v>
      </c>
      <c r="D1233" s="8">
        <v>31</v>
      </c>
      <c r="E1233" s="403"/>
      <c r="F1233" s="403">
        <f>BBNTHT!J1273</f>
        <v>0</v>
      </c>
      <c r="G1233" s="403">
        <f t="shared" si="72"/>
        <v>0</v>
      </c>
      <c r="H1233" s="9">
        <v>224440</v>
      </c>
      <c r="I1233" s="404">
        <f t="shared" si="73"/>
        <v>6957640</v>
      </c>
      <c r="J1233" s="403"/>
      <c r="K1233" s="404">
        <f t="shared" si="74"/>
        <v>0</v>
      </c>
      <c r="L1233" s="405">
        <f t="shared" si="75"/>
        <v>0</v>
      </c>
      <c r="M1233" s="403"/>
    </row>
    <row r="1234" spans="1:13" ht="31.5" x14ac:dyDescent="0.25">
      <c r="A1234" s="6" t="s">
        <v>3904</v>
      </c>
      <c r="B1234" s="7" t="s">
        <v>3905</v>
      </c>
      <c r="C1234" s="6" t="s">
        <v>9</v>
      </c>
      <c r="D1234" s="8">
        <v>7</v>
      </c>
      <c r="E1234" s="403"/>
      <c r="F1234" s="403">
        <f>BBNTHT!J1274</f>
        <v>0</v>
      </c>
      <c r="G1234" s="403">
        <f t="shared" ref="G1234:G1297" si="76">F1234+E1234</f>
        <v>0</v>
      </c>
      <c r="H1234" s="9">
        <v>241410</v>
      </c>
      <c r="I1234" s="404">
        <f t="shared" ref="I1234:I1297" si="77">ROUND(D1234*H1234,0)</f>
        <v>1689870</v>
      </c>
      <c r="J1234" s="403"/>
      <c r="K1234" s="404">
        <f t="shared" ref="K1234:K1297" si="78">ROUND(F1234*H1234,0)</f>
        <v>0</v>
      </c>
      <c r="L1234" s="405">
        <f t="shared" ref="L1234:L1297" si="79">J1234+K1234</f>
        <v>0</v>
      </c>
      <c r="M1234" s="403"/>
    </row>
    <row r="1235" spans="1:13" ht="31.5" x14ac:dyDescent="0.25">
      <c r="A1235" s="6" t="s">
        <v>3906</v>
      </c>
      <c r="B1235" s="7" t="s">
        <v>3907</v>
      </c>
      <c r="C1235" s="6" t="s">
        <v>9</v>
      </c>
      <c r="D1235" s="8">
        <v>36</v>
      </c>
      <c r="E1235" s="403"/>
      <c r="F1235" s="403">
        <f>BBNTHT!J1275</f>
        <v>0</v>
      </c>
      <c r="G1235" s="403">
        <f t="shared" si="76"/>
        <v>0</v>
      </c>
      <c r="H1235" s="9">
        <v>275350</v>
      </c>
      <c r="I1235" s="404">
        <f t="shared" si="77"/>
        <v>9912600</v>
      </c>
      <c r="J1235" s="403"/>
      <c r="K1235" s="404">
        <f t="shared" si="78"/>
        <v>0</v>
      </c>
      <c r="L1235" s="405">
        <f t="shared" si="79"/>
        <v>0</v>
      </c>
      <c r="M1235" s="403"/>
    </row>
    <row r="1236" spans="1:13" ht="31.5" x14ac:dyDescent="0.25">
      <c r="A1236" s="6" t="s">
        <v>3908</v>
      </c>
      <c r="B1236" s="7" t="s">
        <v>3909</v>
      </c>
      <c r="C1236" s="6" t="s">
        <v>9</v>
      </c>
      <c r="D1236" s="8">
        <v>10</v>
      </c>
      <c r="E1236" s="403"/>
      <c r="F1236" s="403">
        <f>BBNTHT!J1276</f>
        <v>0</v>
      </c>
      <c r="G1236" s="403">
        <f t="shared" si="76"/>
        <v>0</v>
      </c>
      <c r="H1236" s="9">
        <v>292319</v>
      </c>
      <c r="I1236" s="404">
        <f t="shared" si="77"/>
        <v>2923190</v>
      </c>
      <c r="J1236" s="403"/>
      <c r="K1236" s="404">
        <f t="shared" si="78"/>
        <v>0</v>
      </c>
      <c r="L1236" s="405">
        <f t="shared" si="79"/>
        <v>0</v>
      </c>
      <c r="M1236" s="403"/>
    </row>
    <row r="1237" spans="1:13" ht="31.5" x14ac:dyDescent="0.25">
      <c r="A1237" s="6" t="s">
        <v>3910</v>
      </c>
      <c r="B1237" s="7" t="s">
        <v>3911</v>
      </c>
      <c r="C1237" s="6" t="s">
        <v>9</v>
      </c>
      <c r="D1237" s="8">
        <v>1</v>
      </c>
      <c r="E1237" s="403"/>
      <c r="F1237" s="403">
        <f>BBNTHT!J1277</f>
        <v>0</v>
      </c>
      <c r="G1237" s="403">
        <f t="shared" si="76"/>
        <v>0</v>
      </c>
      <c r="H1237" s="9">
        <v>326259</v>
      </c>
      <c r="I1237" s="404">
        <f t="shared" si="77"/>
        <v>326259</v>
      </c>
      <c r="J1237" s="403"/>
      <c r="K1237" s="404">
        <f t="shared" si="78"/>
        <v>0</v>
      </c>
      <c r="L1237" s="405">
        <f t="shared" si="79"/>
        <v>0</v>
      </c>
      <c r="M1237" s="403"/>
    </row>
    <row r="1238" spans="1:13" ht="31.5" x14ac:dyDescent="0.25">
      <c r="A1238" s="6" t="s">
        <v>3912</v>
      </c>
      <c r="B1238" s="7" t="s">
        <v>3913</v>
      </c>
      <c r="C1238" s="6" t="s">
        <v>9</v>
      </c>
      <c r="D1238" s="8">
        <v>4</v>
      </c>
      <c r="E1238" s="403"/>
      <c r="F1238" s="403">
        <f>BBNTHT!J1278</f>
        <v>0</v>
      </c>
      <c r="G1238" s="403">
        <f t="shared" si="76"/>
        <v>0</v>
      </c>
      <c r="H1238" s="9">
        <v>705543</v>
      </c>
      <c r="I1238" s="404">
        <f t="shared" si="77"/>
        <v>2822172</v>
      </c>
      <c r="J1238" s="403"/>
      <c r="K1238" s="404">
        <f t="shared" si="78"/>
        <v>0</v>
      </c>
      <c r="L1238" s="405">
        <f t="shared" si="79"/>
        <v>0</v>
      </c>
      <c r="M1238" s="403"/>
    </row>
    <row r="1239" spans="1:13" ht="31.5" x14ac:dyDescent="0.25">
      <c r="A1239" s="6" t="s">
        <v>3914</v>
      </c>
      <c r="B1239" s="7" t="s">
        <v>3915</v>
      </c>
      <c r="C1239" s="6" t="s">
        <v>9</v>
      </c>
      <c r="D1239" s="8">
        <v>3</v>
      </c>
      <c r="E1239" s="403"/>
      <c r="F1239" s="403">
        <f>BBNTHT!J1279</f>
        <v>0</v>
      </c>
      <c r="G1239" s="403">
        <f t="shared" si="76"/>
        <v>0</v>
      </c>
      <c r="H1239" s="9">
        <v>1129789</v>
      </c>
      <c r="I1239" s="404">
        <f t="shared" si="77"/>
        <v>3389367</v>
      </c>
      <c r="J1239" s="403"/>
      <c r="K1239" s="404">
        <f t="shared" si="78"/>
        <v>0</v>
      </c>
      <c r="L1239" s="405">
        <f t="shared" si="79"/>
        <v>0</v>
      </c>
      <c r="M1239" s="403"/>
    </row>
    <row r="1240" spans="1:13" ht="31.5" x14ac:dyDescent="0.25">
      <c r="A1240" s="6" t="s">
        <v>3916</v>
      </c>
      <c r="B1240" s="7" t="s">
        <v>3917</v>
      </c>
      <c r="C1240" s="6" t="s">
        <v>9</v>
      </c>
      <c r="D1240" s="8">
        <v>49</v>
      </c>
      <c r="E1240" s="403"/>
      <c r="F1240" s="403">
        <f>BBNTHT!J1280</f>
        <v>0</v>
      </c>
      <c r="G1240" s="403">
        <f t="shared" si="76"/>
        <v>0</v>
      </c>
      <c r="H1240" s="9">
        <v>529051</v>
      </c>
      <c r="I1240" s="404">
        <f t="shared" si="77"/>
        <v>25923499</v>
      </c>
      <c r="J1240" s="403"/>
      <c r="K1240" s="404">
        <f t="shared" si="78"/>
        <v>0</v>
      </c>
      <c r="L1240" s="405">
        <f t="shared" si="79"/>
        <v>0</v>
      </c>
      <c r="M1240" s="403"/>
    </row>
    <row r="1241" spans="1:13" ht="31.5" x14ac:dyDescent="0.25">
      <c r="A1241" s="6" t="s">
        <v>3918</v>
      </c>
      <c r="B1241" s="7" t="s">
        <v>3919</v>
      </c>
      <c r="C1241" s="6" t="s">
        <v>9</v>
      </c>
      <c r="D1241" s="8">
        <v>196</v>
      </c>
      <c r="E1241" s="403"/>
      <c r="F1241" s="403">
        <f>BBNTHT!J1281</f>
        <v>0</v>
      </c>
      <c r="G1241" s="403">
        <f t="shared" si="76"/>
        <v>0</v>
      </c>
      <c r="H1241" s="9">
        <v>562991</v>
      </c>
      <c r="I1241" s="404">
        <f t="shared" si="77"/>
        <v>110346236</v>
      </c>
      <c r="J1241" s="403"/>
      <c r="K1241" s="404">
        <f t="shared" si="78"/>
        <v>0</v>
      </c>
      <c r="L1241" s="405">
        <f t="shared" si="79"/>
        <v>0</v>
      </c>
      <c r="M1241" s="403"/>
    </row>
    <row r="1242" spans="1:13" ht="31.5" x14ac:dyDescent="0.25">
      <c r="A1242" s="6" t="s">
        <v>3920</v>
      </c>
      <c r="B1242" s="7" t="s">
        <v>3921</v>
      </c>
      <c r="C1242" s="6" t="s">
        <v>9</v>
      </c>
      <c r="D1242" s="8">
        <v>2</v>
      </c>
      <c r="E1242" s="403"/>
      <c r="F1242" s="403">
        <f>BBNTHT!J1282</f>
        <v>0</v>
      </c>
      <c r="G1242" s="403">
        <f t="shared" si="76"/>
        <v>0</v>
      </c>
      <c r="H1242" s="9">
        <v>1865017</v>
      </c>
      <c r="I1242" s="404">
        <f t="shared" si="77"/>
        <v>3730034</v>
      </c>
      <c r="J1242" s="403"/>
      <c r="K1242" s="404">
        <f t="shared" si="78"/>
        <v>0</v>
      </c>
      <c r="L1242" s="405">
        <f t="shared" si="79"/>
        <v>0</v>
      </c>
      <c r="M1242" s="403"/>
    </row>
    <row r="1243" spans="1:13" ht="47.25" x14ac:dyDescent="0.25">
      <c r="A1243" s="6" t="s">
        <v>3922</v>
      </c>
      <c r="B1243" s="7" t="s">
        <v>3923</v>
      </c>
      <c r="C1243" s="6" t="s">
        <v>9</v>
      </c>
      <c r="D1243" s="8">
        <v>8</v>
      </c>
      <c r="E1243" s="403"/>
      <c r="F1243" s="403">
        <f>BBNTHT!J1283</f>
        <v>0</v>
      </c>
      <c r="G1243" s="403">
        <f t="shared" si="76"/>
        <v>0</v>
      </c>
      <c r="H1243" s="9">
        <v>1039957</v>
      </c>
      <c r="I1243" s="404">
        <f t="shared" si="77"/>
        <v>8319656</v>
      </c>
      <c r="J1243" s="403"/>
      <c r="K1243" s="404">
        <f t="shared" si="78"/>
        <v>0</v>
      </c>
      <c r="L1243" s="405">
        <f t="shared" si="79"/>
        <v>0</v>
      </c>
      <c r="M1243" s="403"/>
    </row>
    <row r="1244" spans="1:13" ht="47.25" x14ac:dyDescent="0.25">
      <c r="A1244" s="6" t="s">
        <v>3924</v>
      </c>
      <c r="B1244" s="7" t="s">
        <v>3925</v>
      </c>
      <c r="C1244" s="6" t="s">
        <v>9</v>
      </c>
      <c r="D1244" s="8">
        <v>2</v>
      </c>
      <c r="E1244" s="403"/>
      <c r="F1244" s="403">
        <f>BBNTHT!J1284</f>
        <v>0</v>
      </c>
      <c r="G1244" s="403">
        <f t="shared" si="76"/>
        <v>0</v>
      </c>
      <c r="H1244" s="9">
        <v>1233421</v>
      </c>
      <c r="I1244" s="404">
        <f t="shared" si="77"/>
        <v>2466842</v>
      </c>
      <c r="J1244" s="403"/>
      <c r="K1244" s="404">
        <f t="shared" si="78"/>
        <v>0</v>
      </c>
      <c r="L1244" s="405">
        <f t="shared" si="79"/>
        <v>0</v>
      </c>
      <c r="M1244" s="403"/>
    </row>
    <row r="1245" spans="1:13" ht="47.25" x14ac:dyDescent="0.25">
      <c r="A1245" s="6" t="s">
        <v>3926</v>
      </c>
      <c r="B1245" s="7" t="s">
        <v>3927</v>
      </c>
      <c r="C1245" s="6" t="s">
        <v>9</v>
      </c>
      <c r="D1245" s="8">
        <v>2</v>
      </c>
      <c r="E1245" s="403"/>
      <c r="F1245" s="403">
        <f>BBNTHT!J1285</f>
        <v>0</v>
      </c>
      <c r="G1245" s="403">
        <f t="shared" si="76"/>
        <v>0</v>
      </c>
      <c r="H1245" s="9">
        <v>1692209</v>
      </c>
      <c r="I1245" s="404">
        <f t="shared" si="77"/>
        <v>3384418</v>
      </c>
      <c r="J1245" s="403"/>
      <c r="K1245" s="404">
        <f t="shared" si="78"/>
        <v>0</v>
      </c>
      <c r="L1245" s="405">
        <f t="shared" si="79"/>
        <v>0</v>
      </c>
      <c r="M1245" s="403"/>
    </row>
    <row r="1246" spans="1:13" ht="47.25" x14ac:dyDescent="0.25">
      <c r="A1246" s="6" t="s">
        <v>3928</v>
      </c>
      <c r="B1246" s="7" t="s">
        <v>3929</v>
      </c>
      <c r="C1246" s="6" t="s">
        <v>9</v>
      </c>
      <c r="D1246" s="8">
        <v>1</v>
      </c>
      <c r="E1246" s="403"/>
      <c r="F1246" s="403">
        <f>BBNTHT!J1286</f>
        <v>0</v>
      </c>
      <c r="G1246" s="403">
        <f t="shared" si="76"/>
        <v>0</v>
      </c>
      <c r="H1246" s="9">
        <v>1807366</v>
      </c>
      <c r="I1246" s="404">
        <f t="shared" si="77"/>
        <v>1807366</v>
      </c>
      <c r="J1246" s="403"/>
      <c r="K1246" s="404">
        <f t="shared" si="78"/>
        <v>0</v>
      </c>
      <c r="L1246" s="405">
        <f t="shared" si="79"/>
        <v>0</v>
      </c>
      <c r="M1246" s="403"/>
    </row>
    <row r="1247" spans="1:13" ht="47.25" x14ac:dyDescent="0.25">
      <c r="A1247" s="6" t="s">
        <v>3930</v>
      </c>
      <c r="B1247" s="7" t="s">
        <v>3931</v>
      </c>
      <c r="C1247" s="6" t="s">
        <v>9</v>
      </c>
      <c r="D1247" s="8">
        <v>4</v>
      </c>
      <c r="E1247" s="403"/>
      <c r="F1247" s="403">
        <f>BBNTHT!J1287</f>
        <v>0</v>
      </c>
      <c r="G1247" s="403">
        <f t="shared" si="76"/>
        <v>0</v>
      </c>
      <c r="H1247" s="9">
        <v>2152839</v>
      </c>
      <c r="I1247" s="404">
        <f t="shared" si="77"/>
        <v>8611356</v>
      </c>
      <c r="J1247" s="403"/>
      <c r="K1247" s="404">
        <f t="shared" si="78"/>
        <v>0</v>
      </c>
      <c r="L1247" s="405">
        <f t="shared" si="79"/>
        <v>0</v>
      </c>
      <c r="M1247" s="403"/>
    </row>
    <row r="1248" spans="1:13" ht="47.25" x14ac:dyDescent="0.25">
      <c r="A1248" s="6" t="s">
        <v>3932</v>
      </c>
      <c r="B1248" s="7" t="s">
        <v>3933</v>
      </c>
      <c r="C1248" s="6" t="s">
        <v>9</v>
      </c>
      <c r="D1248" s="8">
        <v>2</v>
      </c>
      <c r="E1248" s="403"/>
      <c r="F1248" s="403">
        <f>BBNTHT!J1288</f>
        <v>0</v>
      </c>
      <c r="G1248" s="403">
        <f t="shared" si="76"/>
        <v>0</v>
      </c>
      <c r="H1248" s="9">
        <v>2275145</v>
      </c>
      <c r="I1248" s="404">
        <f t="shared" si="77"/>
        <v>4550290</v>
      </c>
      <c r="J1248" s="403"/>
      <c r="K1248" s="404">
        <f t="shared" si="78"/>
        <v>0</v>
      </c>
      <c r="L1248" s="405">
        <f t="shared" si="79"/>
        <v>0</v>
      </c>
      <c r="M1248" s="403"/>
    </row>
    <row r="1249" spans="1:13" ht="47.25" x14ac:dyDescent="0.25">
      <c r="A1249" s="6" t="s">
        <v>3934</v>
      </c>
      <c r="B1249" s="7" t="s">
        <v>3935</v>
      </c>
      <c r="C1249" s="6" t="s">
        <v>9</v>
      </c>
      <c r="D1249" s="8">
        <v>2</v>
      </c>
      <c r="E1249" s="403"/>
      <c r="F1249" s="403">
        <f>BBNTHT!J1289</f>
        <v>0</v>
      </c>
      <c r="G1249" s="403">
        <f t="shared" si="76"/>
        <v>0</v>
      </c>
      <c r="H1249" s="9">
        <v>2498312</v>
      </c>
      <c r="I1249" s="404">
        <f t="shared" si="77"/>
        <v>4996624</v>
      </c>
      <c r="J1249" s="403"/>
      <c r="K1249" s="404">
        <f t="shared" si="78"/>
        <v>0</v>
      </c>
      <c r="L1249" s="405">
        <f t="shared" si="79"/>
        <v>0</v>
      </c>
      <c r="M1249" s="403"/>
    </row>
    <row r="1250" spans="1:13" ht="47.25" x14ac:dyDescent="0.25">
      <c r="A1250" s="6" t="s">
        <v>3936</v>
      </c>
      <c r="B1250" s="7" t="s">
        <v>3937</v>
      </c>
      <c r="C1250" s="6" t="s">
        <v>9</v>
      </c>
      <c r="D1250" s="8">
        <v>4</v>
      </c>
      <c r="E1250" s="403"/>
      <c r="F1250" s="403">
        <f>BBNTHT!J1290</f>
        <v>0</v>
      </c>
      <c r="G1250" s="403">
        <f t="shared" si="76"/>
        <v>0</v>
      </c>
      <c r="H1250" s="9">
        <v>2613469</v>
      </c>
      <c r="I1250" s="404">
        <f t="shared" si="77"/>
        <v>10453876</v>
      </c>
      <c r="J1250" s="403"/>
      <c r="K1250" s="404">
        <f t="shared" si="78"/>
        <v>0</v>
      </c>
      <c r="L1250" s="405">
        <f t="shared" si="79"/>
        <v>0</v>
      </c>
      <c r="M1250" s="403"/>
    </row>
    <row r="1251" spans="1:13" ht="63" x14ac:dyDescent="0.25">
      <c r="A1251" s="6" t="s">
        <v>3938</v>
      </c>
      <c r="B1251" s="7" t="s">
        <v>3939</v>
      </c>
      <c r="C1251" s="6" t="s">
        <v>9</v>
      </c>
      <c r="D1251" s="8">
        <v>4</v>
      </c>
      <c r="E1251" s="403"/>
      <c r="F1251" s="403">
        <f>BBNTHT!J1291</f>
        <v>0</v>
      </c>
      <c r="G1251" s="403">
        <f t="shared" si="76"/>
        <v>0</v>
      </c>
      <c r="H1251" s="9">
        <v>3534729</v>
      </c>
      <c r="I1251" s="404">
        <f t="shared" si="77"/>
        <v>14138916</v>
      </c>
      <c r="J1251" s="403"/>
      <c r="K1251" s="404">
        <f t="shared" si="78"/>
        <v>0</v>
      </c>
      <c r="L1251" s="405">
        <f t="shared" si="79"/>
        <v>0</v>
      </c>
      <c r="M1251" s="403"/>
    </row>
    <row r="1252" spans="1:13" ht="63" x14ac:dyDescent="0.25">
      <c r="A1252" s="6" t="s">
        <v>3940</v>
      </c>
      <c r="B1252" s="7" t="s">
        <v>3941</v>
      </c>
      <c r="C1252" s="6" t="s">
        <v>9</v>
      </c>
      <c r="D1252" s="8">
        <v>8</v>
      </c>
      <c r="E1252" s="403"/>
      <c r="F1252" s="403">
        <f>BBNTHT!J1292</f>
        <v>0</v>
      </c>
      <c r="G1252" s="403">
        <f t="shared" si="76"/>
        <v>0</v>
      </c>
      <c r="H1252" s="9">
        <v>7514575</v>
      </c>
      <c r="I1252" s="404">
        <f t="shared" si="77"/>
        <v>60116600</v>
      </c>
      <c r="J1252" s="403"/>
      <c r="K1252" s="404">
        <f t="shared" si="78"/>
        <v>0</v>
      </c>
      <c r="L1252" s="405">
        <f t="shared" si="79"/>
        <v>0</v>
      </c>
      <c r="M1252" s="403"/>
    </row>
    <row r="1253" spans="1:13" ht="94.5" x14ac:dyDescent="0.25">
      <c r="A1253" s="6" t="s">
        <v>3942</v>
      </c>
      <c r="B1253" s="7" t="s">
        <v>3943</v>
      </c>
      <c r="C1253" s="6" t="s">
        <v>248</v>
      </c>
      <c r="D1253" s="8">
        <v>122</v>
      </c>
      <c r="E1253" s="403"/>
      <c r="F1253" s="403">
        <f>BBNTHT!J1293</f>
        <v>0</v>
      </c>
      <c r="G1253" s="403">
        <f t="shared" si="76"/>
        <v>0</v>
      </c>
      <c r="H1253" s="9">
        <v>3766734</v>
      </c>
      <c r="I1253" s="404">
        <f t="shared" si="77"/>
        <v>459541548</v>
      </c>
      <c r="J1253" s="403"/>
      <c r="K1253" s="404">
        <f t="shared" si="78"/>
        <v>0</v>
      </c>
      <c r="L1253" s="405">
        <f t="shared" si="79"/>
        <v>0</v>
      </c>
      <c r="M1253" s="403"/>
    </row>
    <row r="1254" spans="1:13" ht="15.75" x14ac:dyDescent="0.25">
      <c r="A1254" s="6" t="s">
        <v>3944</v>
      </c>
      <c r="B1254" s="7" t="s">
        <v>3945</v>
      </c>
      <c r="C1254" s="6" t="s">
        <v>248</v>
      </c>
      <c r="D1254" s="8">
        <v>122</v>
      </c>
      <c r="E1254" s="403"/>
      <c r="F1254" s="403">
        <f>BBNTHT!J1294</f>
        <v>0</v>
      </c>
      <c r="G1254" s="403">
        <f t="shared" si="76"/>
        <v>0</v>
      </c>
      <c r="H1254" s="9">
        <v>218070</v>
      </c>
      <c r="I1254" s="404">
        <f t="shared" si="77"/>
        <v>26604540</v>
      </c>
      <c r="J1254" s="403"/>
      <c r="K1254" s="404">
        <f t="shared" si="78"/>
        <v>0</v>
      </c>
      <c r="L1254" s="405">
        <f t="shared" si="79"/>
        <v>0</v>
      </c>
      <c r="M1254" s="403"/>
    </row>
    <row r="1255" spans="1:13" ht="31.5" x14ac:dyDescent="0.25">
      <c r="A1255" s="6" t="s">
        <v>3946</v>
      </c>
      <c r="B1255" s="7" t="s">
        <v>3947</v>
      </c>
      <c r="C1255" s="6" t="s">
        <v>9</v>
      </c>
      <c r="D1255" s="8">
        <v>122</v>
      </c>
      <c r="E1255" s="403"/>
      <c r="F1255" s="403">
        <f>BBNTHT!J1295</f>
        <v>0</v>
      </c>
      <c r="G1255" s="403">
        <f t="shared" si="76"/>
        <v>0</v>
      </c>
      <c r="H1255" s="9">
        <v>722539</v>
      </c>
      <c r="I1255" s="404">
        <f t="shared" si="77"/>
        <v>88149758</v>
      </c>
      <c r="J1255" s="403"/>
      <c r="K1255" s="404">
        <f t="shared" si="78"/>
        <v>0</v>
      </c>
      <c r="L1255" s="405">
        <f t="shared" si="79"/>
        <v>0</v>
      </c>
      <c r="M1255" s="403"/>
    </row>
    <row r="1256" spans="1:13" ht="15.75" x14ac:dyDescent="0.25">
      <c r="A1256" s="6" t="s">
        <v>3948</v>
      </c>
      <c r="B1256" s="7" t="s">
        <v>3949</v>
      </c>
      <c r="C1256" s="6" t="s">
        <v>9</v>
      </c>
      <c r="D1256" s="8">
        <v>34</v>
      </c>
      <c r="E1256" s="403"/>
      <c r="F1256" s="403">
        <f>BBNTHT!J1296</f>
        <v>0</v>
      </c>
      <c r="G1256" s="403">
        <f t="shared" si="76"/>
        <v>0</v>
      </c>
      <c r="H1256" s="9">
        <v>384063</v>
      </c>
      <c r="I1256" s="404">
        <f t="shared" si="77"/>
        <v>13058142</v>
      </c>
      <c r="J1256" s="403"/>
      <c r="K1256" s="404">
        <f t="shared" si="78"/>
        <v>0</v>
      </c>
      <c r="L1256" s="405">
        <f t="shared" si="79"/>
        <v>0</v>
      </c>
      <c r="M1256" s="403"/>
    </row>
    <row r="1257" spans="1:13" ht="47.25" x14ac:dyDescent="0.25">
      <c r="A1257" s="6" t="s">
        <v>3950</v>
      </c>
      <c r="B1257" s="7" t="s">
        <v>3951</v>
      </c>
      <c r="C1257" s="6" t="s">
        <v>3673</v>
      </c>
      <c r="D1257" s="8">
        <v>1503</v>
      </c>
      <c r="E1257" s="403"/>
      <c r="F1257" s="403">
        <f>BBNTHT!J1297</f>
        <v>0</v>
      </c>
      <c r="G1257" s="403">
        <f t="shared" si="76"/>
        <v>0</v>
      </c>
      <c r="H1257" s="9">
        <v>150191</v>
      </c>
      <c r="I1257" s="404">
        <f t="shared" si="77"/>
        <v>225737073</v>
      </c>
      <c r="J1257" s="403"/>
      <c r="K1257" s="404">
        <f t="shared" si="78"/>
        <v>0</v>
      </c>
      <c r="L1257" s="405">
        <f t="shared" si="79"/>
        <v>0</v>
      </c>
      <c r="M1257" s="403"/>
    </row>
    <row r="1258" spans="1:13" ht="15.75" x14ac:dyDescent="0.25">
      <c r="A1258" s="2" t="s">
        <v>3952</v>
      </c>
      <c r="B1258" s="3" t="s">
        <v>3953</v>
      </c>
      <c r="C1258" s="2"/>
      <c r="D1258" s="4" t="s">
        <v>3</v>
      </c>
      <c r="E1258" s="403"/>
      <c r="F1258" s="403">
        <f>BBNTHT!J1298</f>
        <v>0</v>
      </c>
      <c r="G1258" s="403">
        <f t="shared" si="76"/>
        <v>0</v>
      </c>
      <c r="H1258" s="5"/>
      <c r="I1258" s="404"/>
      <c r="J1258" s="403"/>
      <c r="K1258" s="404">
        <f t="shared" si="78"/>
        <v>0</v>
      </c>
      <c r="L1258" s="405">
        <f t="shared" si="79"/>
        <v>0</v>
      </c>
      <c r="M1258" s="403"/>
    </row>
    <row r="1259" spans="1:13" ht="15.75" x14ac:dyDescent="0.25">
      <c r="A1259" s="6" t="s">
        <v>3954</v>
      </c>
      <c r="B1259" s="7" t="s">
        <v>3955</v>
      </c>
      <c r="C1259" s="6" t="s">
        <v>14</v>
      </c>
      <c r="D1259" s="8">
        <v>3.91</v>
      </c>
      <c r="E1259" s="403"/>
      <c r="F1259" s="403">
        <f>BBNTHT!J1299</f>
        <v>0</v>
      </c>
      <c r="G1259" s="403">
        <f t="shared" si="76"/>
        <v>0</v>
      </c>
      <c r="H1259" s="9">
        <v>6567486</v>
      </c>
      <c r="I1259" s="404">
        <f t="shared" si="77"/>
        <v>25678870</v>
      </c>
      <c r="J1259" s="403"/>
      <c r="K1259" s="404">
        <f t="shared" si="78"/>
        <v>0</v>
      </c>
      <c r="L1259" s="405">
        <f t="shared" si="79"/>
        <v>0</v>
      </c>
      <c r="M1259" s="403"/>
    </row>
    <row r="1260" spans="1:13" ht="15.75" x14ac:dyDescent="0.25">
      <c r="A1260" s="6" t="s">
        <v>3956</v>
      </c>
      <c r="B1260" s="7" t="s">
        <v>3957</v>
      </c>
      <c r="C1260" s="6" t="s">
        <v>14</v>
      </c>
      <c r="D1260" s="8">
        <v>3.45</v>
      </c>
      <c r="E1260" s="403"/>
      <c r="F1260" s="403">
        <f>BBNTHT!J1300</f>
        <v>0</v>
      </c>
      <c r="G1260" s="403">
        <f t="shared" si="76"/>
        <v>0</v>
      </c>
      <c r="H1260" s="9">
        <v>8491895</v>
      </c>
      <c r="I1260" s="404">
        <f t="shared" si="77"/>
        <v>29297038</v>
      </c>
      <c r="J1260" s="403"/>
      <c r="K1260" s="404">
        <f t="shared" si="78"/>
        <v>0</v>
      </c>
      <c r="L1260" s="405">
        <f t="shared" si="79"/>
        <v>0</v>
      </c>
      <c r="M1260" s="403"/>
    </row>
    <row r="1261" spans="1:13" ht="15.75" x14ac:dyDescent="0.25">
      <c r="A1261" s="6" t="s">
        <v>3958</v>
      </c>
      <c r="B1261" s="7" t="s">
        <v>3959</v>
      </c>
      <c r="C1261" s="6" t="s">
        <v>14</v>
      </c>
      <c r="D1261" s="8">
        <v>1.73</v>
      </c>
      <c r="E1261" s="403"/>
      <c r="F1261" s="403">
        <f>BBNTHT!J1301</f>
        <v>0</v>
      </c>
      <c r="G1261" s="403">
        <f t="shared" si="76"/>
        <v>0</v>
      </c>
      <c r="H1261" s="9">
        <v>10160848</v>
      </c>
      <c r="I1261" s="404">
        <f t="shared" si="77"/>
        <v>17578267</v>
      </c>
      <c r="J1261" s="403"/>
      <c r="K1261" s="404">
        <f t="shared" si="78"/>
        <v>0</v>
      </c>
      <c r="L1261" s="405">
        <f t="shared" si="79"/>
        <v>0</v>
      </c>
      <c r="M1261" s="403"/>
    </row>
    <row r="1262" spans="1:13" ht="15.75" x14ac:dyDescent="0.25">
      <c r="A1262" s="6" t="s">
        <v>3960</v>
      </c>
      <c r="B1262" s="7" t="s">
        <v>3961</v>
      </c>
      <c r="C1262" s="6" t="s">
        <v>14</v>
      </c>
      <c r="D1262" s="8">
        <v>1.1499999999999999</v>
      </c>
      <c r="E1262" s="403"/>
      <c r="F1262" s="403">
        <f>BBNTHT!J1302</f>
        <v>0</v>
      </c>
      <c r="G1262" s="403">
        <f t="shared" si="76"/>
        <v>0</v>
      </c>
      <c r="H1262" s="9">
        <v>12040674</v>
      </c>
      <c r="I1262" s="404">
        <f t="shared" si="77"/>
        <v>13846775</v>
      </c>
      <c r="J1262" s="403"/>
      <c r="K1262" s="404">
        <f t="shared" si="78"/>
        <v>0</v>
      </c>
      <c r="L1262" s="405">
        <f t="shared" si="79"/>
        <v>0</v>
      </c>
      <c r="M1262" s="403"/>
    </row>
    <row r="1263" spans="1:13" ht="15.75" x14ac:dyDescent="0.25">
      <c r="A1263" s="6" t="s">
        <v>3962</v>
      </c>
      <c r="B1263" s="7" t="s">
        <v>3963</v>
      </c>
      <c r="C1263" s="6" t="s">
        <v>14</v>
      </c>
      <c r="D1263" s="8">
        <v>1.1499999999999999</v>
      </c>
      <c r="E1263" s="403"/>
      <c r="F1263" s="403">
        <f>BBNTHT!J1303</f>
        <v>0</v>
      </c>
      <c r="G1263" s="403">
        <f t="shared" si="76"/>
        <v>0</v>
      </c>
      <c r="H1263" s="9">
        <v>14451189</v>
      </c>
      <c r="I1263" s="404">
        <f t="shared" si="77"/>
        <v>16618867</v>
      </c>
      <c r="J1263" s="403"/>
      <c r="K1263" s="404">
        <f t="shared" si="78"/>
        <v>0</v>
      </c>
      <c r="L1263" s="405">
        <f t="shared" si="79"/>
        <v>0</v>
      </c>
      <c r="M1263" s="403"/>
    </row>
    <row r="1264" spans="1:13" ht="15.75" x14ac:dyDescent="0.25">
      <c r="A1264" s="6" t="s">
        <v>3964</v>
      </c>
      <c r="B1264" s="7" t="s">
        <v>3965</v>
      </c>
      <c r="C1264" s="6" t="s">
        <v>14</v>
      </c>
      <c r="D1264" s="8">
        <v>1.06</v>
      </c>
      <c r="E1264" s="403"/>
      <c r="F1264" s="403">
        <f>BBNTHT!J1304</f>
        <v>0</v>
      </c>
      <c r="G1264" s="403">
        <f t="shared" si="76"/>
        <v>0</v>
      </c>
      <c r="H1264" s="9">
        <v>25591023</v>
      </c>
      <c r="I1264" s="404">
        <f t="shared" si="77"/>
        <v>27126484</v>
      </c>
      <c r="J1264" s="403"/>
      <c r="K1264" s="404">
        <f t="shared" si="78"/>
        <v>0</v>
      </c>
      <c r="L1264" s="405">
        <f t="shared" si="79"/>
        <v>0</v>
      </c>
      <c r="M1264" s="403"/>
    </row>
    <row r="1265" spans="1:13" ht="15.75" x14ac:dyDescent="0.25">
      <c r="A1265" s="6" t="s">
        <v>3966</v>
      </c>
      <c r="B1265" s="7" t="s">
        <v>3967</v>
      </c>
      <c r="C1265" s="6" t="s">
        <v>9</v>
      </c>
      <c r="D1265" s="8">
        <v>129</v>
      </c>
      <c r="E1265" s="403"/>
      <c r="F1265" s="403">
        <f>BBNTHT!J1305</f>
        <v>0</v>
      </c>
      <c r="G1265" s="403">
        <f t="shared" si="76"/>
        <v>0</v>
      </c>
      <c r="H1265" s="9">
        <v>18166</v>
      </c>
      <c r="I1265" s="404">
        <f t="shared" si="77"/>
        <v>2343414</v>
      </c>
      <c r="J1265" s="403"/>
      <c r="K1265" s="404">
        <f t="shared" si="78"/>
        <v>0</v>
      </c>
      <c r="L1265" s="405">
        <f t="shared" si="79"/>
        <v>0</v>
      </c>
      <c r="M1265" s="403"/>
    </row>
    <row r="1266" spans="1:13" ht="15.75" x14ac:dyDescent="0.25">
      <c r="A1266" s="6" t="s">
        <v>3968</v>
      </c>
      <c r="B1266" s="7" t="s">
        <v>3969</v>
      </c>
      <c r="C1266" s="6" t="s">
        <v>9</v>
      </c>
      <c r="D1266" s="8">
        <v>100</v>
      </c>
      <c r="E1266" s="403"/>
      <c r="F1266" s="403">
        <f>BBNTHT!J1306</f>
        <v>0</v>
      </c>
      <c r="G1266" s="403">
        <f t="shared" si="76"/>
        <v>0</v>
      </c>
      <c r="H1266" s="9">
        <v>21928</v>
      </c>
      <c r="I1266" s="404">
        <f t="shared" si="77"/>
        <v>2192800</v>
      </c>
      <c r="J1266" s="403"/>
      <c r="K1266" s="404">
        <f t="shared" si="78"/>
        <v>0</v>
      </c>
      <c r="L1266" s="405">
        <f t="shared" si="79"/>
        <v>0</v>
      </c>
      <c r="M1266" s="403"/>
    </row>
    <row r="1267" spans="1:13" ht="15.75" x14ac:dyDescent="0.25">
      <c r="A1267" s="6" t="s">
        <v>3970</v>
      </c>
      <c r="B1267" s="7" t="s">
        <v>3971</v>
      </c>
      <c r="C1267" s="6" t="s">
        <v>9</v>
      </c>
      <c r="D1267" s="8">
        <v>50</v>
      </c>
      <c r="E1267" s="403"/>
      <c r="F1267" s="403">
        <f>BBNTHT!J1307</f>
        <v>0</v>
      </c>
      <c r="G1267" s="403">
        <f t="shared" si="76"/>
        <v>0</v>
      </c>
      <c r="H1267" s="9">
        <v>28324</v>
      </c>
      <c r="I1267" s="404">
        <f t="shared" si="77"/>
        <v>1416200</v>
      </c>
      <c r="J1267" s="403"/>
      <c r="K1267" s="404">
        <f t="shared" si="78"/>
        <v>0</v>
      </c>
      <c r="L1267" s="405">
        <f t="shared" si="79"/>
        <v>0</v>
      </c>
      <c r="M1267" s="403"/>
    </row>
    <row r="1268" spans="1:13" ht="15.75" x14ac:dyDescent="0.25">
      <c r="A1268" s="6" t="s">
        <v>3972</v>
      </c>
      <c r="B1268" s="7" t="s">
        <v>3973</v>
      </c>
      <c r="C1268" s="6" t="s">
        <v>9</v>
      </c>
      <c r="D1268" s="8">
        <v>25</v>
      </c>
      <c r="E1268" s="403"/>
      <c r="F1268" s="403">
        <f>BBNTHT!J1308</f>
        <v>0</v>
      </c>
      <c r="G1268" s="403">
        <f t="shared" si="76"/>
        <v>0</v>
      </c>
      <c r="H1268" s="9">
        <v>30582</v>
      </c>
      <c r="I1268" s="404">
        <f t="shared" si="77"/>
        <v>764550</v>
      </c>
      <c r="J1268" s="403"/>
      <c r="K1268" s="404">
        <f t="shared" si="78"/>
        <v>0</v>
      </c>
      <c r="L1268" s="405">
        <f t="shared" si="79"/>
        <v>0</v>
      </c>
      <c r="M1268" s="403"/>
    </row>
    <row r="1269" spans="1:13" ht="15.75" x14ac:dyDescent="0.25">
      <c r="A1269" s="6" t="s">
        <v>3974</v>
      </c>
      <c r="B1269" s="7" t="s">
        <v>3975</v>
      </c>
      <c r="C1269" s="6" t="s">
        <v>9</v>
      </c>
      <c r="D1269" s="8">
        <v>5</v>
      </c>
      <c r="E1269" s="403"/>
      <c r="F1269" s="403">
        <f>BBNTHT!J1309</f>
        <v>0</v>
      </c>
      <c r="G1269" s="403">
        <f t="shared" si="76"/>
        <v>0</v>
      </c>
      <c r="H1269" s="9">
        <v>59551</v>
      </c>
      <c r="I1269" s="404">
        <f t="shared" si="77"/>
        <v>297755</v>
      </c>
      <c r="J1269" s="403"/>
      <c r="K1269" s="404">
        <f t="shared" si="78"/>
        <v>0</v>
      </c>
      <c r="L1269" s="405">
        <f t="shared" si="79"/>
        <v>0</v>
      </c>
      <c r="M1269" s="403"/>
    </row>
    <row r="1270" spans="1:13" ht="15.75" x14ac:dyDescent="0.25">
      <c r="A1270" s="6" t="s">
        <v>3976</v>
      </c>
      <c r="B1270" s="7" t="s">
        <v>3977</v>
      </c>
      <c r="C1270" s="6" t="s">
        <v>9</v>
      </c>
      <c r="D1270" s="8">
        <v>129</v>
      </c>
      <c r="E1270" s="403"/>
      <c r="F1270" s="403">
        <f>BBNTHT!J1310</f>
        <v>0</v>
      </c>
      <c r="G1270" s="403">
        <f t="shared" si="76"/>
        <v>0</v>
      </c>
      <c r="H1270" s="9">
        <v>16661</v>
      </c>
      <c r="I1270" s="404">
        <f t="shared" si="77"/>
        <v>2149269</v>
      </c>
      <c r="J1270" s="403"/>
      <c r="K1270" s="404">
        <f t="shared" si="78"/>
        <v>0</v>
      </c>
      <c r="L1270" s="405">
        <f t="shared" si="79"/>
        <v>0</v>
      </c>
      <c r="M1270" s="403"/>
    </row>
    <row r="1271" spans="1:13" ht="15.75" x14ac:dyDescent="0.25">
      <c r="A1271" s="6" t="s">
        <v>3978</v>
      </c>
      <c r="B1271" s="7" t="s">
        <v>3979</v>
      </c>
      <c r="C1271" s="6" t="s">
        <v>9</v>
      </c>
      <c r="D1271" s="8">
        <v>100</v>
      </c>
      <c r="E1271" s="403"/>
      <c r="F1271" s="403">
        <f>BBNTHT!J1311</f>
        <v>0</v>
      </c>
      <c r="G1271" s="403">
        <f t="shared" si="76"/>
        <v>0</v>
      </c>
      <c r="H1271" s="9">
        <v>20988</v>
      </c>
      <c r="I1271" s="404">
        <f t="shared" si="77"/>
        <v>2098800</v>
      </c>
      <c r="J1271" s="403"/>
      <c r="K1271" s="404">
        <f t="shared" si="78"/>
        <v>0</v>
      </c>
      <c r="L1271" s="405">
        <f t="shared" si="79"/>
        <v>0</v>
      </c>
      <c r="M1271" s="403"/>
    </row>
    <row r="1272" spans="1:13" ht="15.75" x14ac:dyDescent="0.25">
      <c r="A1272" s="6" t="s">
        <v>3980</v>
      </c>
      <c r="B1272" s="7" t="s">
        <v>3981</v>
      </c>
      <c r="C1272" s="6" t="s">
        <v>9</v>
      </c>
      <c r="D1272" s="8">
        <v>50</v>
      </c>
      <c r="E1272" s="403"/>
      <c r="F1272" s="403">
        <f>BBNTHT!J1312</f>
        <v>0</v>
      </c>
      <c r="G1272" s="403">
        <f t="shared" si="76"/>
        <v>0</v>
      </c>
      <c r="H1272" s="9">
        <v>25879</v>
      </c>
      <c r="I1272" s="404">
        <f t="shared" si="77"/>
        <v>1293950</v>
      </c>
      <c r="J1272" s="403"/>
      <c r="K1272" s="404">
        <f t="shared" si="78"/>
        <v>0</v>
      </c>
      <c r="L1272" s="405">
        <f t="shared" si="79"/>
        <v>0</v>
      </c>
      <c r="M1272" s="403"/>
    </row>
    <row r="1273" spans="1:13" ht="15.75" x14ac:dyDescent="0.25">
      <c r="A1273" s="6" t="s">
        <v>3982</v>
      </c>
      <c r="B1273" s="7" t="s">
        <v>3983</v>
      </c>
      <c r="C1273" s="6" t="s">
        <v>9</v>
      </c>
      <c r="D1273" s="8">
        <v>25</v>
      </c>
      <c r="E1273" s="403"/>
      <c r="F1273" s="403">
        <f>BBNTHT!J1313</f>
        <v>0</v>
      </c>
      <c r="G1273" s="403">
        <f t="shared" si="76"/>
        <v>0</v>
      </c>
      <c r="H1273" s="9">
        <v>27760</v>
      </c>
      <c r="I1273" s="404">
        <f t="shared" si="77"/>
        <v>694000</v>
      </c>
      <c r="J1273" s="403"/>
      <c r="K1273" s="404">
        <f t="shared" si="78"/>
        <v>0</v>
      </c>
      <c r="L1273" s="405">
        <f t="shared" si="79"/>
        <v>0</v>
      </c>
      <c r="M1273" s="403"/>
    </row>
    <row r="1274" spans="1:13" ht="15.75" x14ac:dyDescent="0.25">
      <c r="A1274" s="6" t="s">
        <v>3984</v>
      </c>
      <c r="B1274" s="7" t="s">
        <v>3985</v>
      </c>
      <c r="C1274" s="6" t="s">
        <v>9</v>
      </c>
      <c r="D1274" s="8">
        <v>5</v>
      </c>
      <c r="E1274" s="403"/>
      <c r="F1274" s="403">
        <f>BBNTHT!J1314</f>
        <v>0</v>
      </c>
      <c r="G1274" s="403">
        <f t="shared" si="76"/>
        <v>0</v>
      </c>
      <c r="H1274" s="9">
        <v>51274</v>
      </c>
      <c r="I1274" s="404">
        <f t="shared" si="77"/>
        <v>256370</v>
      </c>
      <c r="J1274" s="403"/>
      <c r="K1274" s="404">
        <f t="shared" si="78"/>
        <v>0</v>
      </c>
      <c r="L1274" s="405">
        <f t="shared" si="79"/>
        <v>0</v>
      </c>
      <c r="M1274" s="403"/>
    </row>
    <row r="1275" spans="1:13" ht="15.75" x14ac:dyDescent="0.25">
      <c r="A1275" s="6" t="s">
        <v>3986</v>
      </c>
      <c r="B1275" s="7" t="s">
        <v>3987</v>
      </c>
      <c r="C1275" s="6" t="s">
        <v>9</v>
      </c>
      <c r="D1275" s="8">
        <v>100</v>
      </c>
      <c r="E1275" s="403"/>
      <c r="F1275" s="403">
        <f>BBNTHT!J1315</f>
        <v>0</v>
      </c>
      <c r="G1275" s="403">
        <f t="shared" si="76"/>
        <v>0</v>
      </c>
      <c r="H1275" s="9">
        <v>17038</v>
      </c>
      <c r="I1275" s="404">
        <f t="shared" si="77"/>
        <v>1703800</v>
      </c>
      <c r="J1275" s="403"/>
      <c r="K1275" s="404">
        <f t="shared" si="78"/>
        <v>0</v>
      </c>
      <c r="L1275" s="405">
        <f t="shared" si="79"/>
        <v>0</v>
      </c>
      <c r="M1275" s="403"/>
    </row>
    <row r="1276" spans="1:13" ht="15.75" x14ac:dyDescent="0.25">
      <c r="A1276" s="6" t="s">
        <v>3988</v>
      </c>
      <c r="B1276" s="7" t="s">
        <v>3989</v>
      </c>
      <c r="C1276" s="6" t="s">
        <v>9</v>
      </c>
      <c r="D1276" s="8">
        <v>50</v>
      </c>
      <c r="E1276" s="403"/>
      <c r="F1276" s="403">
        <f>BBNTHT!J1316</f>
        <v>0</v>
      </c>
      <c r="G1276" s="403">
        <f t="shared" si="76"/>
        <v>0</v>
      </c>
      <c r="H1276" s="9">
        <v>19859</v>
      </c>
      <c r="I1276" s="404">
        <f t="shared" si="77"/>
        <v>992950</v>
      </c>
      <c r="J1276" s="403"/>
      <c r="K1276" s="404">
        <f t="shared" si="78"/>
        <v>0</v>
      </c>
      <c r="L1276" s="405">
        <f t="shared" si="79"/>
        <v>0</v>
      </c>
      <c r="M1276" s="403"/>
    </row>
    <row r="1277" spans="1:13" ht="15.75" x14ac:dyDescent="0.25">
      <c r="A1277" s="6" t="s">
        <v>3990</v>
      </c>
      <c r="B1277" s="7" t="s">
        <v>3991</v>
      </c>
      <c r="C1277" s="6" t="s">
        <v>9</v>
      </c>
      <c r="D1277" s="8">
        <v>50</v>
      </c>
      <c r="E1277" s="403"/>
      <c r="F1277" s="403">
        <f>BBNTHT!J1317</f>
        <v>0</v>
      </c>
      <c r="G1277" s="403">
        <f t="shared" si="76"/>
        <v>0</v>
      </c>
      <c r="H1277" s="9">
        <v>21176</v>
      </c>
      <c r="I1277" s="404">
        <f t="shared" si="77"/>
        <v>1058800</v>
      </c>
      <c r="J1277" s="403"/>
      <c r="K1277" s="404">
        <f t="shared" si="78"/>
        <v>0</v>
      </c>
      <c r="L1277" s="405">
        <f t="shared" si="79"/>
        <v>0</v>
      </c>
      <c r="M1277" s="403"/>
    </row>
    <row r="1278" spans="1:13" ht="15.75" x14ac:dyDescent="0.25">
      <c r="A1278" s="6" t="s">
        <v>3992</v>
      </c>
      <c r="B1278" s="7" t="s">
        <v>3993</v>
      </c>
      <c r="C1278" s="6" t="s">
        <v>9</v>
      </c>
      <c r="D1278" s="8">
        <v>25</v>
      </c>
      <c r="E1278" s="403"/>
      <c r="F1278" s="403">
        <f>BBNTHT!J1318</f>
        <v>0</v>
      </c>
      <c r="G1278" s="403">
        <f t="shared" si="76"/>
        <v>0</v>
      </c>
      <c r="H1278" s="9">
        <v>25879</v>
      </c>
      <c r="I1278" s="404">
        <f t="shared" si="77"/>
        <v>646975</v>
      </c>
      <c r="J1278" s="403"/>
      <c r="K1278" s="404">
        <f t="shared" si="78"/>
        <v>0</v>
      </c>
      <c r="L1278" s="405">
        <f t="shared" si="79"/>
        <v>0</v>
      </c>
      <c r="M1278" s="403"/>
    </row>
    <row r="1279" spans="1:13" ht="15.75" x14ac:dyDescent="0.25">
      <c r="A1279" s="6" t="s">
        <v>3994</v>
      </c>
      <c r="B1279" s="7" t="s">
        <v>3995</v>
      </c>
      <c r="C1279" s="6" t="s">
        <v>9</v>
      </c>
      <c r="D1279" s="8">
        <v>25</v>
      </c>
      <c r="E1279" s="403"/>
      <c r="F1279" s="403">
        <f>BBNTHT!J1319</f>
        <v>0</v>
      </c>
      <c r="G1279" s="403">
        <f t="shared" si="76"/>
        <v>0</v>
      </c>
      <c r="H1279" s="9">
        <v>27007</v>
      </c>
      <c r="I1279" s="404">
        <f t="shared" si="77"/>
        <v>675175</v>
      </c>
      <c r="J1279" s="403"/>
      <c r="K1279" s="404">
        <f t="shared" si="78"/>
        <v>0</v>
      </c>
      <c r="L1279" s="405">
        <f t="shared" si="79"/>
        <v>0</v>
      </c>
      <c r="M1279" s="403"/>
    </row>
    <row r="1280" spans="1:13" ht="15.75" x14ac:dyDescent="0.25">
      <c r="A1280" s="6" t="s">
        <v>3996</v>
      </c>
      <c r="B1280" s="7" t="s">
        <v>3997</v>
      </c>
      <c r="C1280" s="6" t="s">
        <v>9</v>
      </c>
      <c r="D1280" s="8">
        <v>25</v>
      </c>
      <c r="E1280" s="403"/>
      <c r="F1280" s="403">
        <f>BBNTHT!J1320</f>
        <v>0</v>
      </c>
      <c r="G1280" s="403">
        <f t="shared" si="76"/>
        <v>0</v>
      </c>
      <c r="H1280" s="9">
        <v>33968</v>
      </c>
      <c r="I1280" s="404">
        <f t="shared" si="77"/>
        <v>849200</v>
      </c>
      <c r="J1280" s="403"/>
      <c r="K1280" s="404">
        <f t="shared" si="78"/>
        <v>0</v>
      </c>
      <c r="L1280" s="405">
        <f t="shared" si="79"/>
        <v>0</v>
      </c>
      <c r="M1280" s="403"/>
    </row>
    <row r="1281" spans="1:13" ht="15.75" x14ac:dyDescent="0.25">
      <c r="A1281" s="6" t="s">
        <v>3998</v>
      </c>
      <c r="B1281" s="7" t="s">
        <v>3999</v>
      </c>
      <c r="C1281" s="6" t="s">
        <v>9</v>
      </c>
      <c r="D1281" s="8">
        <v>25</v>
      </c>
      <c r="E1281" s="403"/>
      <c r="F1281" s="403">
        <f>BBNTHT!J1321</f>
        <v>0</v>
      </c>
      <c r="G1281" s="403">
        <f t="shared" si="76"/>
        <v>0</v>
      </c>
      <c r="H1281" s="9">
        <v>37354</v>
      </c>
      <c r="I1281" s="404">
        <f t="shared" si="77"/>
        <v>933850</v>
      </c>
      <c r="J1281" s="403"/>
      <c r="K1281" s="404">
        <f t="shared" si="78"/>
        <v>0</v>
      </c>
      <c r="L1281" s="405">
        <f t="shared" si="79"/>
        <v>0</v>
      </c>
      <c r="M1281" s="403"/>
    </row>
    <row r="1282" spans="1:13" ht="15.75" x14ac:dyDescent="0.25">
      <c r="A1282" s="6" t="s">
        <v>4000</v>
      </c>
      <c r="B1282" s="7" t="s">
        <v>4001</v>
      </c>
      <c r="C1282" s="6" t="s">
        <v>9</v>
      </c>
      <c r="D1282" s="8">
        <v>25</v>
      </c>
      <c r="E1282" s="403"/>
      <c r="F1282" s="403">
        <f>BBNTHT!J1322</f>
        <v>0</v>
      </c>
      <c r="G1282" s="403">
        <f t="shared" si="76"/>
        <v>0</v>
      </c>
      <c r="H1282" s="9">
        <v>41116</v>
      </c>
      <c r="I1282" s="404">
        <f t="shared" si="77"/>
        <v>1027900</v>
      </c>
      <c r="J1282" s="403"/>
      <c r="K1282" s="404">
        <f t="shared" si="78"/>
        <v>0</v>
      </c>
      <c r="L1282" s="405">
        <f t="shared" si="79"/>
        <v>0</v>
      </c>
      <c r="M1282" s="403"/>
    </row>
    <row r="1283" spans="1:13" ht="15.75" x14ac:dyDescent="0.25">
      <c r="A1283" s="6" t="s">
        <v>4002</v>
      </c>
      <c r="B1283" s="7" t="s">
        <v>4003</v>
      </c>
      <c r="C1283" s="6" t="s">
        <v>9</v>
      </c>
      <c r="D1283" s="8">
        <v>102</v>
      </c>
      <c r="E1283" s="403"/>
      <c r="F1283" s="403">
        <f>BBNTHT!J1323</f>
        <v>0</v>
      </c>
      <c r="G1283" s="403">
        <f t="shared" si="76"/>
        <v>0</v>
      </c>
      <c r="H1283" s="9">
        <v>28889</v>
      </c>
      <c r="I1283" s="404">
        <f t="shared" si="77"/>
        <v>2946678</v>
      </c>
      <c r="J1283" s="403"/>
      <c r="K1283" s="404">
        <f t="shared" si="78"/>
        <v>0</v>
      </c>
      <c r="L1283" s="405">
        <f t="shared" si="79"/>
        <v>0</v>
      </c>
      <c r="M1283" s="403"/>
    </row>
    <row r="1284" spans="1:13" ht="15.75" x14ac:dyDescent="0.25">
      <c r="A1284" s="6" t="s">
        <v>4004</v>
      </c>
      <c r="B1284" s="7" t="s">
        <v>4005</v>
      </c>
      <c r="C1284" s="6" t="s">
        <v>9</v>
      </c>
      <c r="D1284" s="8">
        <v>50</v>
      </c>
      <c r="E1284" s="403"/>
      <c r="F1284" s="403">
        <f>BBNTHT!J1324</f>
        <v>0</v>
      </c>
      <c r="G1284" s="403">
        <f t="shared" si="76"/>
        <v>0</v>
      </c>
      <c r="H1284" s="9">
        <v>35096</v>
      </c>
      <c r="I1284" s="404">
        <f t="shared" si="77"/>
        <v>1754800</v>
      </c>
      <c r="J1284" s="403"/>
      <c r="K1284" s="404">
        <f t="shared" si="78"/>
        <v>0</v>
      </c>
      <c r="L1284" s="405">
        <f t="shared" si="79"/>
        <v>0</v>
      </c>
      <c r="M1284" s="403"/>
    </row>
    <row r="1285" spans="1:13" ht="15.75" x14ac:dyDescent="0.25">
      <c r="A1285" s="6" t="s">
        <v>4006</v>
      </c>
      <c r="B1285" s="7" t="s">
        <v>4007</v>
      </c>
      <c r="C1285" s="6" t="s">
        <v>9</v>
      </c>
      <c r="D1285" s="8">
        <v>25</v>
      </c>
      <c r="E1285" s="403"/>
      <c r="F1285" s="403">
        <f>BBNTHT!J1325</f>
        <v>0</v>
      </c>
      <c r="G1285" s="403">
        <f t="shared" si="76"/>
        <v>0</v>
      </c>
      <c r="H1285" s="9">
        <v>36601</v>
      </c>
      <c r="I1285" s="404">
        <f t="shared" si="77"/>
        <v>915025</v>
      </c>
      <c r="J1285" s="403"/>
      <c r="K1285" s="404">
        <f t="shared" si="78"/>
        <v>0</v>
      </c>
      <c r="L1285" s="405">
        <f t="shared" si="79"/>
        <v>0</v>
      </c>
      <c r="M1285" s="403"/>
    </row>
    <row r="1286" spans="1:13" ht="15.75" x14ac:dyDescent="0.25">
      <c r="A1286" s="6" t="s">
        <v>4008</v>
      </c>
      <c r="B1286" s="7" t="s">
        <v>4009</v>
      </c>
      <c r="C1286" s="6" t="s">
        <v>9</v>
      </c>
      <c r="D1286" s="8">
        <v>102</v>
      </c>
      <c r="E1286" s="403"/>
      <c r="F1286" s="403">
        <f>BBNTHT!J1326</f>
        <v>0</v>
      </c>
      <c r="G1286" s="403">
        <f t="shared" si="76"/>
        <v>0</v>
      </c>
      <c r="H1286" s="9">
        <v>31146</v>
      </c>
      <c r="I1286" s="404">
        <f t="shared" si="77"/>
        <v>3176892</v>
      </c>
      <c r="J1286" s="403"/>
      <c r="K1286" s="404">
        <f t="shared" si="78"/>
        <v>0</v>
      </c>
      <c r="L1286" s="405">
        <f t="shared" si="79"/>
        <v>0</v>
      </c>
      <c r="M1286" s="403"/>
    </row>
    <row r="1287" spans="1:13" ht="15.75" x14ac:dyDescent="0.25">
      <c r="A1287" s="6" t="s">
        <v>4010</v>
      </c>
      <c r="B1287" s="7" t="s">
        <v>4011</v>
      </c>
      <c r="C1287" s="6" t="s">
        <v>9</v>
      </c>
      <c r="D1287" s="8">
        <v>50</v>
      </c>
      <c r="E1287" s="403"/>
      <c r="F1287" s="403">
        <f>BBNTHT!J1327</f>
        <v>0</v>
      </c>
      <c r="G1287" s="403">
        <f t="shared" si="76"/>
        <v>0</v>
      </c>
      <c r="H1287" s="9">
        <v>25314</v>
      </c>
      <c r="I1287" s="404">
        <f t="shared" si="77"/>
        <v>1265700</v>
      </c>
      <c r="J1287" s="403"/>
      <c r="K1287" s="404">
        <f t="shared" si="78"/>
        <v>0</v>
      </c>
      <c r="L1287" s="405">
        <f t="shared" si="79"/>
        <v>0</v>
      </c>
      <c r="M1287" s="403"/>
    </row>
    <row r="1288" spans="1:13" ht="15.75" x14ac:dyDescent="0.25">
      <c r="A1288" s="6" t="s">
        <v>4012</v>
      </c>
      <c r="B1288" s="7" t="s">
        <v>4013</v>
      </c>
      <c r="C1288" s="6" t="s">
        <v>9</v>
      </c>
      <c r="D1288" s="8">
        <v>25</v>
      </c>
      <c r="E1288" s="403"/>
      <c r="F1288" s="403">
        <f>BBNTHT!J1328</f>
        <v>0</v>
      </c>
      <c r="G1288" s="403">
        <f t="shared" si="76"/>
        <v>0</v>
      </c>
      <c r="H1288" s="9">
        <v>33027</v>
      </c>
      <c r="I1288" s="404">
        <f t="shared" si="77"/>
        <v>825675</v>
      </c>
      <c r="J1288" s="403"/>
      <c r="K1288" s="404">
        <f t="shared" si="78"/>
        <v>0</v>
      </c>
      <c r="L1288" s="405">
        <f t="shared" si="79"/>
        <v>0</v>
      </c>
      <c r="M1288" s="403"/>
    </row>
    <row r="1289" spans="1:13" ht="15.75" x14ac:dyDescent="0.25">
      <c r="A1289" s="6" t="s">
        <v>4014</v>
      </c>
      <c r="B1289" s="7" t="s">
        <v>4015</v>
      </c>
      <c r="C1289" s="6" t="s">
        <v>9</v>
      </c>
      <c r="D1289" s="8">
        <v>25</v>
      </c>
      <c r="E1289" s="403"/>
      <c r="F1289" s="403">
        <f>BBNTHT!J1329</f>
        <v>0</v>
      </c>
      <c r="G1289" s="403">
        <f t="shared" si="76"/>
        <v>0</v>
      </c>
      <c r="H1289" s="9">
        <v>54096</v>
      </c>
      <c r="I1289" s="404">
        <f t="shared" si="77"/>
        <v>1352400</v>
      </c>
      <c r="J1289" s="403"/>
      <c r="K1289" s="404">
        <f t="shared" si="78"/>
        <v>0</v>
      </c>
      <c r="L1289" s="405">
        <f t="shared" si="79"/>
        <v>0</v>
      </c>
      <c r="M1289" s="403"/>
    </row>
    <row r="1290" spans="1:13" ht="15.75" x14ac:dyDescent="0.25">
      <c r="A1290" s="6" t="s">
        <v>4016</v>
      </c>
      <c r="B1290" s="7" t="s">
        <v>4017</v>
      </c>
      <c r="C1290" s="6" t="s">
        <v>9</v>
      </c>
      <c r="D1290" s="8">
        <v>129</v>
      </c>
      <c r="E1290" s="403"/>
      <c r="F1290" s="403">
        <f>BBNTHT!J1330</f>
        <v>0</v>
      </c>
      <c r="G1290" s="403">
        <f t="shared" si="76"/>
        <v>0</v>
      </c>
      <c r="H1290" s="9">
        <v>50414</v>
      </c>
      <c r="I1290" s="404">
        <f t="shared" si="77"/>
        <v>6503406</v>
      </c>
      <c r="J1290" s="403"/>
      <c r="K1290" s="404">
        <f t="shared" si="78"/>
        <v>0</v>
      </c>
      <c r="L1290" s="405">
        <f t="shared" si="79"/>
        <v>0</v>
      </c>
      <c r="M1290" s="403"/>
    </row>
    <row r="1291" spans="1:13" ht="15.75" x14ac:dyDescent="0.25">
      <c r="A1291" s="6" t="s">
        <v>4018</v>
      </c>
      <c r="B1291" s="7" t="s">
        <v>4019</v>
      </c>
      <c r="C1291" s="6" t="s">
        <v>9</v>
      </c>
      <c r="D1291" s="8">
        <v>100</v>
      </c>
      <c r="E1291" s="403"/>
      <c r="F1291" s="403">
        <f>BBNTHT!J1331</f>
        <v>0</v>
      </c>
      <c r="G1291" s="403">
        <f t="shared" si="76"/>
        <v>0</v>
      </c>
      <c r="H1291" s="9">
        <v>54176</v>
      </c>
      <c r="I1291" s="404">
        <f t="shared" si="77"/>
        <v>5417600</v>
      </c>
      <c r="J1291" s="403"/>
      <c r="K1291" s="404">
        <f t="shared" si="78"/>
        <v>0</v>
      </c>
      <c r="L1291" s="405">
        <f t="shared" si="79"/>
        <v>0</v>
      </c>
      <c r="M1291" s="403"/>
    </row>
    <row r="1292" spans="1:13" ht="15.75" x14ac:dyDescent="0.25">
      <c r="A1292" s="6" t="s">
        <v>4020</v>
      </c>
      <c r="B1292" s="7" t="s">
        <v>4021</v>
      </c>
      <c r="C1292" s="6" t="s">
        <v>9</v>
      </c>
      <c r="D1292" s="8">
        <v>50</v>
      </c>
      <c r="E1292" s="403"/>
      <c r="F1292" s="403">
        <f>BBNTHT!J1332</f>
        <v>0</v>
      </c>
      <c r="G1292" s="403">
        <f t="shared" si="76"/>
        <v>0</v>
      </c>
      <c r="H1292" s="9">
        <v>64522</v>
      </c>
      <c r="I1292" s="404">
        <f t="shared" si="77"/>
        <v>3226100</v>
      </c>
      <c r="J1292" s="403"/>
      <c r="K1292" s="404">
        <f t="shared" si="78"/>
        <v>0</v>
      </c>
      <c r="L1292" s="405">
        <f t="shared" si="79"/>
        <v>0</v>
      </c>
      <c r="M1292" s="403"/>
    </row>
    <row r="1293" spans="1:13" ht="15.75" x14ac:dyDescent="0.25">
      <c r="A1293" s="6" t="s">
        <v>4022</v>
      </c>
      <c r="B1293" s="7" t="s">
        <v>4023</v>
      </c>
      <c r="C1293" s="6" t="s">
        <v>9</v>
      </c>
      <c r="D1293" s="8">
        <v>129</v>
      </c>
      <c r="E1293" s="403"/>
      <c r="F1293" s="403">
        <f>BBNTHT!J1333</f>
        <v>0</v>
      </c>
      <c r="G1293" s="403">
        <f t="shared" si="76"/>
        <v>0</v>
      </c>
      <c r="H1293" s="9">
        <v>16930</v>
      </c>
      <c r="I1293" s="404">
        <f t="shared" si="77"/>
        <v>2183970</v>
      </c>
      <c r="J1293" s="403"/>
      <c r="K1293" s="404">
        <f t="shared" si="78"/>
        <v>0</v>
      </c>
      <c r="L1293" s="405">
        <f t="shared" si="79"/>
        <v>0</v>
      </c>
      <c r="M1293" s="403"/>
    </row>
    <row r="1294" spans="1:13" ht="15.75" x14ac:dyDescent="0.25">
      <c r="A1294" s="6" t="s">
        <v>4024</v>
      </c>
      <c r="B1294" s="7" t="s">
        <v>4025</v>
      </c>
      <c r="C1294" s="6" t="s">
        <v>9</v>
      </c>
      <c r="D1294" s="8">
        <v>100</v>
      </c>
      <c r="E1294" s="403"/>
      <c r="F1294" s="403">
        <f>BBNTHT!J1334</f>
        <v>0</v>
      </c>
      <c r="G1294" s="403">
        <f t="shared" si="76"/>
        <v>0</v>
      </c>
      <c r="H1294" s="9">
        <v>21068</v>
      </c>
      <c r="I1294" s="404">
        <f t="shared" si="77"/>
        <v>2106800</v>
      </c>
      <c r="J1294" s="403"/>
      <c r="K1294" s="404">
        <f t="shared" si="78"/>
        <v>0</v>
      </c>
      <c r="L1294" s="405">
        <f t="shared" si="79"/>
        <v>0</v>
      </c>
      <c r="M1294" s="403"/>
    </row>
    <row r="1295" spans="1:13" ht="15.75" x14ac:dyDescent="0.25">
      <c r="A1295" s="6" t="s">
        <v>4026</v>
      </c>
      <c r="B1295" s="7" t="s">
        <v>4027</v>
      </c>
      <c r="C1295" s="6" t="s">
        <v>9</v>
      </c>
      <c r="D1295" s="8">
        <v>50</v>
      </c>
      <c r="E1295" s="403"/>
      <c r="F1295" s="403">
        <f>BBNTHT!J1335</f>
        <v>0</v>
      </c>
      <c r="G1295" s="403">
        <f t="shared" si="76"/>
        <v>0</v>
      </c>
      <c r="H1295" s="9">
        <v>23138</v>
      </c>
      <c r="I1295" s="404">
        <f t="shared" si="77"/>
        <v>1156900</v>
      </c>
      <c r="J1295" s="403"/>
      <c r="K1295" s="404">
        <f t="shared" si="78"/>
        <v>0</v>
      </c>
      <c r="L1295" s="405">
        <f t="shared" si="79"/>
        <v>0</v>
      </c>
      <c r="M1295" s="403"/>
    </row>
    <row r="1296" spans="1:13" ht="15.75" x14ac:dyDescent="0.25">
      <c r="A1296" s="6" t="s">
        <v>4028</v>
      </c>
      <c r="B1296" s="7" t="s">
        <v>4029</v>
      </c>
      <c r="C1296" s="6" t="s">
        <v>248</v>
      </c>
      <c r="D1296" s="8">
        <v>170</v>
      </c>
      <c r="E1296" s="403"/>
      <c r="F1296" s="403">
        <f>BBNTHT!J1336</f>
        <v>0</v>
      </c>
      <c r="G1296" s="403">
        <f t="shared" si="76"/>
        <v>0</v>
      </c>
      <c r="H1296" s="9">
        <v>65634</v>
      </c>
      <c r="I1296" s="404">
        <f t="shared" si="77"/>
        <v>11157780</v>
      </c>
      <c r="J1296" s="403"/>
      <c r="K1296" s="404">
        <f t="shared" si="78"/>
        <v>0</v>
      </c>
      <c r="L1296" s="405">
        <f t="shared" si="79"/>
        <v>0</v>
      </c>
      <c r="M1296" s="403"/>
    </row>
    <row r="1297" spans="1:13" ht="15.75" x14ac:dyDescent="0.25">
      <c r="A1297" s="6" t="s">
        <v>4030</v>
      </c>
      <c r="B1297" s="7" t="s">
        <v>4031</v>
      </c>
      <c r="C1297" s="6" t="s">
        <v>248</v>
      </c>
      <c r="D1297" s="8">
        <v>150</v>
      </c>
      <c r="E1297" s="403"/>
      <c r="F1297" s="403">
        <f>BBNTHT!J1337</f>
        <v>0</v>
      </c>
      <c r="G1297" s="403">
        <f t="shared" si="76"/>
        <v>0</v>
      </c>
      <c r="H1297" s="9">
        <v>66305</v>
      </c>
      <c r="I1297" s="404">
        <f t="shared" si="77"/>
        <v>9945750</v>
      </c>
      <c r="J1297" s="403"/>
      <c r="K1297" s="404">
        <f t="shared" si="78"/>
        <v>0</v>
      </c>
      <c r="L1297" s="405">
        <f t="shared" si="79"/>
        <v>0</v>
      </c>
      <c r="M1297" s="403"/>
    </row>
    <row r="1298" spans="1:13" ht="15.75" x14ac:dyDescent="0.25">
      <c r="A1298" s="6" t="s">
        <v>4032</v>
      </c>
      <c r="B1298" s="7" t="s">
        <v>4033</v>
      </c>
      <c r="C1298" s="6" t="s">
        <v>248</v>
      </c>
      <c r="D1298" s="8">
        <v>75</v>
      </c>
      <c r="E1298" s="403"/>
      <c r="F1298" s="403">
        <f>BBNTHT!J1338</f>
        <v>0</v>
      </c>
      <c r="G1298" s="403">
        <f t="shared" ref="G1298:G1361" si="80">F1298+E1298</f>
        <v>0</v>
      </c>
      <c r="H1298" s="9">
        <v>66784</v>
      </c>
      <c r="I1298" s="404">
        <f t="shared" ref="I1298:I1361" si="81">ROUND(D1298*H1298,0)</f>
        <v>5008800</v>
      </c>
      <c r="J1298" s="403"/>
      <c r="K1298" s="404">
        <f t="shared" ref="K1298:K1361" si="82">ROUND(F1298*H1298,0)</f>
        <v>0</v>
      </c>
      <c r="L1298" s="405">
        <f t="shared" ref="L1298:L1361" si="83">J1298+K1298</f>
        <v>0</v>
      </c>
      <c r="M1298" s="403"/>
    </row>
    <row r="1299" spans="1:13" ht="15.75" x14ac:dyDescent="0.25">
      <c r="A1299" s="6" t="s">
        <v>4034</v>
      </c>
      <c r="B1299" s="7" t="s">
        <v>4035</v>
      </c>
      <c r="C1299" s="6" t="s">
        <v>248</v>
      </c>
      <c r="D1299" s="8">
        <v>50</v>
      </c>
      <c r="E1299" s="403"/>
      <c r="F1299" s="403">
        <f>BBNTHT!J1339</f>
        <v>0</v>
      </c>
      <c r="G1299" s="403">
        <f t="shared" si="80"/>
        <v>0</v>
      </c>
      <c r="H1299" s="9">
        <v>67071</v>
      </c>
      <c r="I1299" s="404">
        <f t="shared" si="81"/>
        <v>3353550</v>
      </c>
      <c r="J1299" s="403"/>
      <c r="K1299" s="404">
        <f t="shared" si="82"/>
        <v>0</v>
      </c>
      <c r="L1299" s="405">
        <f t="shared" si="83"/>
        <v>0</v>
      </c>
      <c r="M1299" s="403"/>
    </row>
    <row r="1300" spans="1:13" ht="15.75" x14ac:dyDescent="0.25">
      <c r="A1300" s="6" t="s">
        <v>4036</v>
      </c>
      <c r="B1300" s="7" t="s">
        <v>4037</v>
      </c>
      <c r="C1300" s="6" t="s">
        <v>248</v>
      </c>
      <c r="D1300" s="8">
        <v>96</v>
      </c>
      <c r="E1300" s="403"/>
      <c r="F1300" s="403">
        <f>BBNTHT!J1340</f>
        <v>0</v>
      </c>
      <c r="G1300" s="403">
        <f t="shared" si="80"/>
        <v>0</v>
      </c>
      <c r="H1300" s="9">
        <v>68412</v>
      </c>
      <c r="I1300" s="404">
        <f t="shared" si="81"/>
        <v>6567552</v>
      </c>
      <c r="J1300" s="403"/>
      <c r="K1300" s="404">
        <f t="shared" si="82"/>
        <v>0</v>
      </c>
      <c r="L1300" s="405">
        <f t="shared" si="83"/>
        <v>0</v>
      </c>
      <c r="M1300" s="403"/>
    </row>
    <row r="1301" spans="1:13" ht="31.5" x14ac:dyDescent="0.25">
      <c r="A1301" s="6" t="s">
        <v>4038</v>
      </c>
      <c r="B1301" s="7" t="s">
        <v>4039</v>
      </c>
      <c r="C1301" s="6" t="s">
        <v>14</v>
      </c>
      <c r="D1301" s="8">
        <v>3.4</v>
      </c>
      <c r="E1301" s="403"/>
      <c r="F1301" s="403">
        <f>BBNTHT!J1341</f>
        <v>0</v>
      </c>
      <c r="G1301" s="403">
        <f t="shared" si="80"/>
        <v>0</v>
      </c>
      <c r="H1301" s="9">
        <v>10134330</v>
      </c>
      <c r="I1301" s="404">
        <f t="shared" si="81"/>
        <v>34456722</v>
      </c>
      <c r="J1301" s="403"/>
      <c r="K1301" s="404">
        <f t="shared" si="82"/>
        <v>0</v>
      </c>
      <c r="L1301" s="405">
        <f t="shared" si="83"/>
        <v>0</v>
      </c>
      <c r="M1301" s="403"/>
    </row>
    <row r="1302" spans="1:13" ht="31.5" x14ac:dyDescent="0.25">
      <c r="A1302" s="6" t="s">
        <v>4040</v>
      </c>
      <c r="B1302" s="7" t="s">
        <v>4041</v>
      </c>
      <c r="C1302" s="6" t="s">
        <v>14</v>
      </c>
      <c r="D1302" s="8">
        <v>3</v>
      </c>
      <c r="E1302" s="403"/>
      <c r="F1302" s="403">
        <f>BBNTHT!J1342</f>
        <v>0</v>
      </c>
      <c r="G1302" s="403">
        <f t="shared" si="80"/>
        <v>0</v>
      </c>
      <c r="H1302" s="9">
        <v>11696656</v>
      </c>
      <c r="I1302" s="404">
        <f t="shared" si="81"/>
        <v>35089968</v>
      </c>
      <c r="J1302" s="403"/>
      <c r="K1302" s="404">
        <f t="shared" si="82"/>
        <v>0</v>
      </c>
      <c r="L1302" s="405">
        <f t="shared" si="83"/>
        <v>0</v>
      </c>
      <c r="M1302" s="403"/>
    </row>
    <row r="1303" spans="1:13" ht="31.5" x14ac:dyDescent="0.25">
      <c r="A1303" s="6" t="s">
        <v>4042</v>
      </c>
      <c r="B1303" s="7" t="s">
        <v>4043</v>
      </c>
      <c r="C1303" s="6" t="s">
        <v>14</v>
      </c>
      <c r="D1303" s="8">
        <v>1.5</v>
      </c>
      <c r="E1303" s="403"/>
      <c r="F1303" s="403">
        <f>BBNTHT!J1343</f>
        <v>0</v>
      </c>
      <c r="G1303" s="403">
        <f t="shared" si="80"/>
        <v>0</v>
      </c>
      <c r="H1303" s="9">
        <v>14555125</v>
      </c>
      <c r="I1303" s="404">
        <f t="shared" si="81"/>
        <v>21832688</v>
      </c>
      <c r="J1303" s="403"/>
      <c r="K1303" s="404">
        <f t="shared" si="82"/>
        <v>0</v>
      </c>
      <c r="L1303" s="405">
        <f t="shared" si="83"/>
        <v>0</v>
      </c>
      <c r="M1303" s="403"/>
    </row>
    <row r="1304" spans="1:13" ht="31.5" x14ac:dyDescent="0.25">
      <c r="A1304" s="6" t="s">
        <v>4044</v>
      </c>
      <c r="B1304" s="7" t="s">
        <v>4045</v>
      </c>
      <c r="C1304" s="6" t="s">
        <v>14</v>
      </c>
      <c r="D1304" s="8">
        <v>1</v>
      </c>
      <c r="E1304" s="403"/>
      <c r="F1304" s="403">
        <f>BBNTHT!J1344</f>
        <v>0</v>
      </c>
      <c r="G1304" s="403">
        <f t="shared" si="80"/>
        <v>0</v>
      </c>
      <c r="H1304" s="9">
        <v>15982721</v>
      </c>
      <c r="I1304" s="404">
        <f t="shared" si="81"/>
        <v>15982721</v>
      </c>
      <c r="J1304" s="403"/>
      <c r="K1304" s="404">
        <f t="shared" si="82"/>
        <v>0</v>
      </c>
      <c r="L1304" s="405">
        <f t="shared" si="83"/>
        <v>0</v>
      </c>
      <c r="M1304" s="403"/>
    </row>
    <row r="1305" spans="1:13" ht="31.5" x14ac:dyDescent="0.25">
      <c r="A1305" s="6" t="s">
        <v>4046</v>
      </c>
      <c r="B1305" s="7" t="s">
        <v>4047</v>
      </c>
      <c r="C1305" s="6" t="s">
        <v>14</v>
      </c>
      <c r="D1305" s="8">
        <v>1</v>
      </c>
      <c r="E1305" s="403"/>
      <c r="F1305" s="403">
        <f>BBNTHT!J1345</f>
        <v>0</v>
      </c>
      <c r="G1305" s="403">
        <f t="shared" si="80"/>
        <v>0</v>
      </c>
      <c r="H1305" s="9">
        <v>22578498</v>
      </c>
      <c r="I1305" s="404">
        <f t="shared" si="81"/>
        <v>22578498</v>
      </c>
      <c r="J1305" s="403"/>
      <c r="K1305" s="404">
        <f t="shared" si="82"/>
        <v>0</v>
      </c>
      <c r="L1305" s="405">
        <f t="shared" si="83"/>
        <v>0</v>
      </c>
      <c r="M1305" s="403"/>
    </row>
    <row r="1306" spans="1:13" ht="31.5" x14ac:dyDescent="0.25">
      <c r="A1306" s="6" t="s">
        <v>4048</v>
      </c>
      <c r="B1306" s="7" t="s">
        <v>4049</v>
      </c>
      <c r="C1306" s="6" t="s">
        <v>14</v>
      </c>
      <c r="D1306" s="8">
        <v>0.92</v>
      </c>
      <c r="E1306" s="403"/>
      <c r="F1306" s="403">
        <f>BBNTHT!J1346</f>
        <v>0</v>
      </c>
      <c r="G1306" s="403">
        <f t="shared" si="80"/>
        <v>0</v>
      </c>
      <c r="H1306" s="9">
        <v>30537845</v>
      </c>
      <c r="I1306" s="404">
        <f t="shared" si="81"/>
        <v>28094817</v>
      </c>
      <c r="J1306" s="403"/>
      <c r="K1306" s="404">
        <f t="shared" si="82"/>
        <v>0</v>
      </c>
      <c r="L1306" s="405">
        <f t="shared" si="83"/>
        <v>0</v>
      </c>
      <c r="M1306" s="403"/>
    </row>
    <row r="1307" spans="1:13" ht="15.75" x14ac:dyDescent="0.25">
      <c r="A1307" s="2" t="s">
        <v>4050</v>
      </c>
      <c r="B1307" s="3" t="s">
        <v>4051</v>
      </c>
      <c r="C1307" s="2"/>
      <c r="D1307" s="4" t="s">
        <v>3</v>
      </c>
      <c r="E1307" s="403"/>
      <c r="F1307" s="403">
        <f>BBNTHT!J1347</f>
        <v>0</v>
      </c>
      <c r="G1307" s="403">
        <f t="shared" si="80"/>
        <v>0</v>
      </c>
      <c r="H1307" s="5"/>
      <c r="I1307" s="404"/>
      <c r="J1307" s="403"/>
      <c r="K1307" s="404">
        <f t="shared" si="82"/>
        <v>0</v>
      </c>
      <c r="L1307" s="405">
        <f t="shared" si="83"/>
        <v>0</v>
      </c>
      <c r="M1307" s="403"/>
    </row>
    <row r="1308" spans="1:13" ht="47.25" x14ac:dyDescent="0.25">
      <c r="A1308" s="6" t="s">
        <v>4052</v>
      </c>
      <c r="B1308" s="7" t="s">
        <v>4053</v>
      </c>
      <c r="C1308" s="6" t="s">
        <v>14</v>
      </c>
      <c r="D1308" s="8">
        <v>35.57</v>
      </c>
      <c r="E1308" s="403"/>
      <c r="F1308" s="403">
        <f>BBNTHT!J1348</f>
        <v>0</v>
      </c>
      <c r="G1308" s="403">
        <f t="shared" si="80"/>
        <v>0</v>
      </c>
      <c r="H1308" s="9">
        <v>21676835</v>
      </c>
      <c r="I1308" s="404">
        <f t="shared" si="81"/>
        <v>771045021</v>
      </c>
      <c r="J1308" s="403"/>
      <c r="K1308" s="404">
        <f t="shared" si="82"/>
        <v>0</v>
      </c>
      <c r="L1308" s="405">
        <f t="shared" si="83"/>
        <v>0</v>
      </c>
      <c r="M1308" s="403"/>
    </row>
    <row r="1309" spans="1:13" ht="47.25" x14ac:dyDescent="0.25">
      <c r="A1309" s="6" t="s">
        <v>4054</v>
      </c>
      <c r="B1309" s="7" t="s">
        <v>4055</v>
      </c>
      <c r="C1309" s="6" t="s">
        <v>14</v>
      </c>
      <c r="D1309" s="8">
        <v>0.26</v>
      </c>
      <c r="E1309" s="403"/>
      <c r="F1309" s="403">
        <f>BBNTHT!J1349</f>
        <v>0</v>
      </c>
      <c r="G1309" s="403">
        <f t="shared" si="80"/>
        <v>0</v>
      </c>
      <c r="H1309" s="9">
        <v>26504937</v>
      </c>
      <c r="I1309" s="404">
        <f t="shared" si="81"/>
        <v>6891284</v>
      </c>
      <c r="J1309" s="403"/>
      <c r="K1309" s="404">
        <f t="shared" si="82"/>
        <v>0</v>
      </c>
      <c r="L1309" s="405">
        <f t="shared" si="83"/>
        <v>0</v>
      </c>
      <c r="M1309" s="403"/>
    </row>
    <row r="1310" spans="1:13" ht="47.25" x14ac:dyDescent="0.25">
      <c r="A1310" s="6" t="s">
        <v>4056</v>
      </c>
      <c r="B1310" s="7" t="s">
        <v>4057</v>
      </c>
      <c r="C1310" s="6" t="s">
        <v>14</v>
      </c>
      <c r="D1310" s="8">
        <v>35.86</v>
      </c>
      <c r="E1310" s="403"/>
      <c r="F1310" s="403">
        <f>BBNTHT!J1350</f>
        <v>0</v>
      </c>
      <c r="G1310" s="403">
        <f t="shared" si="80"/>
        <v>0</v>
      </c>
      <c r="H1310" s="9">
        <v>29504996</v>
      </c>
      <c r="I1310" s="404">
        <f t="shared" si="81"/>
        <v>1058049157</v>
      </c>
      <c r="J1310" s="403"/>
      <c r="K1310" s="404">
        <f t="shared" si="82"/>
        <v>0</v>
      </c>
      <c r="L1310" s="405">
        <f t="shared" si="83"/>
        <v>0</v>
      </c>
      <c r="M1310" s="403"/>
    </row>
    <row r="1311" spans="1:13" ht="47.25" x14ac:dyDescent="0.25">
      <c r="A1311" s="6" t="s">
        <v>4058</v>
      </c>
      <c r="B1311" s="7" t="s">
        <v>4059</v>
      </c>
      <c r="C1311" s="6" t="s">
        <v>14</v>
      </c>
      <c r="D1311" s="8">
        <v>11.79</v>
      </c>
      <c r="E1311" s="403"/>
      <c r="F1311" s="403">
        <f>BBNTHT!J1351</f>
        <v>0</v>
      </c>
      <c r="G1311" s="403">
        <f t="shared" si="80"/>
        <v>0</v>
      </c>
      <c r="H1311" s="9">
        <v>44172355</v>
      </c>
      <c r="I1311" s="404">
        <f t="shared" si="81"/>
        <v>520792065</v>
      </c>
      <c r="J1311" s="403"/>
      <c r="K1311" s="404">
        <f t="shared" si="82"/>
        <v>0</v>
      </c>
      <c r="L1311" s="405">
        <f t="shared" si="83"/>
        <v>0</v>
      </c>
      <c r="M1311" s="403"/>
    </row>
    <row r="1312" spans="1:13" ht="47.25" x14ac:dyDescent="0.25">
      <c r="A1312" s="6" t="s">
        <v>4060</v>
      </c>
      <c r="B1312" s="7" t="s">
        <v>4061</v>
      </c>
      <c r="C1312" s="6" t="s">
        <v>14</v>
      </c>
      <c r="D1312" s="8">
        <v>21.73</v>
      </c>
      <c r="E1312" s="403"/>
      <c r="F1312" s="403">
        <f>BBNTHT!J1352</f>
        <v>0</v>
      </c>
      <c r="G1312" s="403">
        <f t="shared" si="80"/>
        <v>0</v>
      </c>
      <c r="H1312" s="9">
        <v>46456805</v>
      </c>
      <c r="I1312" s="404">
        <f t="shared" si="81"/>
        <v>1009506373</v>
      </c>
      <c r="J1312" s="403"/>
      <c r="K1312" s="404">
        <f t="shared" si="82"/>
        <v>0</v>
      </c>
      <c r="L1312" s="405">
        <f t="shared" si="83"/>
        <v>0</v>
      </c>
      <c r="M1312" s="403"/>
    </row>
    <row r="1313" spans="1:13" ht="47.25" x14ac:dyDescent="0.25">
      <c r="A1313" s="6" t="s">
        <v>4062</v>
      </c>
      <c r="B1313" s="7" t="s">
        <v>4063</v>
      </c>
      <c r="C1313" s="6" t="s">
        <v>14</v>
      </c>
      <c r="D1313" s="8">
        <v>3.61</v>
      </c>
      <c r="E1313" s="403"/>
      <c r="F1313" s="403">
        <f>BBNTHT!J1353</f>
        <v>0</v>
      </c>
      <c r="G1313" s="403">
        <f t="shared" si="80"/>
        <v>0</v>
      </c>
      <c r="H1313" s="9">
        <v>63882422</v>
      </c>
      <c r="I1313" s="404">
        <f t="shared" si="81"/>
        <v>230615543</v>
      </c>
      <c r="J1313" s="403"/>
      <c r="K1313" s="404">
        <f t="shared" si="82"/>
        <v>0</v>
      </c>
      <c r="L1313" s="405">
        <f t="shared" si="83"/>
        <v>0</v>
      </c>
      <c r="M1313" s="403"/>
    </row>
    <row r="1314" spans="1:13" ht="47.25" x14ac:dyDescent="0.25">
      <c r="A1314" s="6" t="s">
        <v>4064</v>
      </c>
      <c r="B1314" s="7" t="s">
        <v>4065</v>
      </c>
      <c r="C1314" s="6" t="s">
        <v>14</v>
      </c>
      <c r="D1314" s="8">
        <v>5.58</v>
      </c>
      <c r="E1314" s="403"/>
      <c r="F1314" s="403">
        <f>BBNTHT!J1354</f>
        <v>0</v>
      </c>
      <c r="G1314" s="403">
        <f t="shared" si="80"/>
        <v>0</v>
      </c>
      <c r="H1314" s="9">
        <v>81170231</v>
      </c>
      <c r="I1314" s="404">
        <f t="shared" si="81"/>
        <v>452929889</v>
      </c>
      <c r="J1314" s="403"/>
      <c r="K1314" s="404">
        <f t="shared" si="82"/>
        <v>0</v>
      </c>
      <c r="L1314" s="405">
        <f t="shared" si="83"/>
        <v>0</v>
      </c>
      <c r="M1314" s="403"/>
    </row>
    <row r="1315" spans="1:13" ht="47.25" x14ac:dyDescent="0.25">
      <c r="A1315" s="6" t="s">
        <v>4066</v>
      </c>
      <c r="B1315" s="7" t="s">
        <v>4067</v>
      </c>
      <c r="C1315" s="6" t="s">
        <v>14</v>
      </c>
      <c r="D1315" s="8">
        <v>11.2</v>
      </c>
      <c r="E1315" s="403"/>
      <c r="F1315" s="403">
        <f>BBNTHT!J1355</f>
        <v>0</v>
      </c>
      <c r="G1315" s="403">
        <f t="shared" si="80"/>
        <v>0</v>
      </c>
      <c r="H1315" s="9">
        <v>86278169</v>
      </c>
      <c r="I1315" s="404">
        <f t="shared" si="81"/>
        <v>966315493</v>
      </c>
      <c r="J1315" s="403"/>
      <c r="K1315" s="404">
        <f t="shared" si="82"/>
        <v>0</v>
      </c>
      <c r="L1315" s="405">
        <f t="shared" si="83"/>
        <v>0</v>
      </c>
      <c r="M1315" s="403"/>
    </row>
    <row r="1316" spans="1:13" ht="47.25" x14ac:dyDescent="0.25">
      <c r="A1316" s="6" t="s">
        <v>4068</v>
      </c>
      <c r="B1316" s="7" t="s">
        <v>4069</v>
      </c>
      <c r="C1316" s="6" t="s">
        <v>14</v>
      </c>
      <c r="D1316" s="8">
        <v>9.3699999999999992</v>
      </c>
      <c r="E1316" s="403"/>
      <c r="F1316" s="403">
        <f>BBNTHT!J1356</f>
        <v>0</v>
      </c>
      <c r="G1316" s="403">
        <f t="shared" si="80"/>
        <v>0</v>
      </c>
      <c r="H1316" s="9">
        <v>89984683</v>
      </c>
      <c r="I1316" s="404">
        <f t="shared" si="81"/>
        <v>843156480</v>
      </c>
      <c r="J1316" s="403"/>
      <c r="K1316" s="404">
        <f t="shared" si="82"/>
        <v>0</v>
      </c>
      <c r="L1316" s="405">
        <f t="shared" si="83"/>
        <v>0</v>
      </c>
      <c r="M1316" s="403"/>
    </row>
    <row r="1317" spans="1:13" ht="15.75" x14ac:dyDescent="0.25">
      <c r="A1317" s="6" t="s">
        <v>4070</v>
      </c>
      <c r="B1317" s="7" t="s">
        <v>4071</v>
      </c>
      <c r="C1317" s="6" t="s">
        <v>1898</v>
      </c>
      <c r="D1317" s="8">
        <v>1</v>
      </c>
      <c r="E1317" s="403"/>
      <c r="F1317" s="403">
        <f>BBNTHT!J1357</f>
        <v>0</v>
      </c>
      <c r="G1317" s="403">
        <f t="shared" si="80"/>
        <v>0</v>
      </c>
      <c r="H1317" s="9">
        <v>157098060</v>
      </c>
      <c r="I1317" s="404">
        <f t="shared" si="81"/>
        <v>157098060</v>
      </c>
      <c r="J1317" s="403"/>
      <c r="K1317" s="404">
        <f t="shared" si="82"/>
        <v>0</v>
      </c>
      <c r="L1317" s="405">
        <f t="shared" si="83"/>
        <v>0</v>
      </c>
      <c r="M1317" s="403"/>
    </row>
    <row r="1318" spans="1:13" ht="15.75" x14ac:dyDescent="0.25">
      <c r="A1318" s="2" t="s">
        <v>4072</v>
      </c>
      <c r="B1318" s="3" t="s">
        <v>4073</v>
      </c>
      <c r="C1318" s="2"/>
      <c r="D1318" s="4" t="s">
        <v>3</v>
      </c>
      <c r="E1318" s="403"/>
      <c r="F1318" s="403">
        <f>BBNTHT!J1358</f>
        <v>0</v>
      </c>
      <c r="G1318" s="403">
        <f t="shared" si="80"/>
        <v>0</v>
      </c>
      <c r="H1318" s="5"/>
      <c r="I1318" s="404"/>
      <c r="J1318" s="403"/>
      <c r="K1318" s="404">
        <f t="shared" si="82"/>
        <v>0</v>
      </c>
      <c r="L1318" s="405">
        <f t="shared" si="83"/>
        <v>0</v>
      </c>
      <c r="M1318" s="403"/>
    </row>
    <row r="1319" spans="1:13" ht="31.5" x14ac:dyDescent="0.25">
      <c r="A1319" s="6" t="s">
        <v>4074</v>
      </c>
      <c r="B1319" s="7" t="s">
        <v>4075</v>
      </c>
      <c r="C1319" s="6" t="s">
        <v>6</v>
      </c>
      <c r="D1319" s="8">
        <v>1160</v>
      </c>
      <c r="E1319" s="403"/>
      <c r="F1319" s="403">
        <f>BBNTHT!J1359</f>
        <v>0</v>
      </c>
      <c r="G1319" s="403">
        <f t="shared" si="80"/>
        <v>0</v>
      </c>
      <c r="H1319" s="9">
        <v>255221</v>
      </c>
      <c r="I1319" s="404">
        <f t="shared" si="81"/>
        <v>296056360</v>
      </c>
      <c r="J1319" s="403"/>
      <c r="K1319" s="404">
        <f t="shared" si="82"/>
        <v>0</v>
      </c>
      <c r="L1319" s="405">
        <f t="shared" si="83"/>
        <v>0</v>
      </c>
      <c r="M1319" s="403"/>
    </row>
    <row r="1320" spans="1:13" ht="31.5" x14ac:dyDescent="0.25">
      <c r="A1320" s="6" t="s">
        <v>4076</v>
      </c>
      <c r="B1320" s="7" t="s">
        <v>4077</v>
      </c>
      <c r="C1320" s="6" t="s">
        <v>6</v>
      </c>
      <c r="D1320" s="8">
        <v>3586</v>
      </c>
      <c r="E1320" s="403"/>
      <c r="F1320" s="403">
        <f>BBNTHT!J1360</f>
        <v>0</v>
      </c>
      <c r="G1320" s="403">
        <f t="shared" si="80"/>
        <v>0</v>
      </c>
      <c r="H1320" s="9">
        <v>62941</v>
      </c>
      <c r="I1320" s="404">
        <f t="shared" si="81"/>
        <v>225706426</v>
      </c>
      <c r="J1320" s="403"/>
      <c r="K1320" s="404">
        <f t="shared" si="82"/>
        <v>0</v>
      </c>
      <c r="L1320" s="405">
        <f t="shared" si="83"/>
        <v>0</v>
      </c>
      <c r="M1320" s="403"/>
    </row>
    <row r="1321" spans="1:13" ht="15.75" x14ac:dyDescent="0.25">
      <c r="A1321" s="6" t="s">
        <v>4078</v>
      </c>
      <c r="B1321" s="7" t="s">
        <v>4079</v>
      </c>
      <c r="C1321" s="6" t="s">
        <v>6</v>
      </c>
      <c r="D1321" s="8">
        <v>5600</v>
      </c>
      <c r="E1321" s="403"/>
      <c r="F1321" s="403">
        <f>BBNTHT!J1361</f>
        <v>0</v>
      </c>
      <c r="G1321" s="403">
        <f t="shared" si="80"/>
        <v>0</v>
      </c>
      <c r="H1321" s="9">
        <v>18685</v>
      </c>
      <c r="I1321" s="404">
        <f t="shared" si="81"/>
        <v>104636000</v>
      </c>
      <c r="J1321" s="403"/>
      <c r="K1321" s="404">
        <f t="shared" si="82"/>
        <v>0</v>
      </c>
      <c r="L1321" s="405">
        <f t="shared" si="83"/>
        <v>0</v>
      </c>
      <c r="M1321" s="403"/>
    </row>
    <row r="1322" spans="1:13" ht="31.5" x14ac:dyDescent="0.25">
      <c r="A1322" s="6" t="s">
        <v>4080</v>
      </c>
      <c r="B1322" s="7" t="s">
        <v>4081</v>
      </c>
      <c r="C1322" s="6" t="s">
        <v>6</v>
      </c>
      <c r="D1322" s="8">
        <v>2500</v>
      </c>
      <c r="E1322" s="403"/>
      <c r="F1322" s="403">
        <f>BBNTHT!J1362</f>
        <v>0</v>
      </c>
      <c r="G1322" s="403">
        <f t="shared" si="80"/>
        <v>0</v>
      </c>
      <c r="H1322" s="9">
        <v>18610</v>
      </c>
      <c r="I1322" s="404">
        <f t="shared" si="81"/>
        <v>46525000</v>
      </c>
      <c r="J1322" s="403"/>
      <c r="K1322" s="404">
        <f t="shared" si="82"/>
        <v>0</v>
      </c>
      <c r="L1322" s="405">
        <f t="shared" si="83"/>
        <v>0</v>
      </c>
      <c r="M1322" s="403"/>
    </row>
    <row r="1323" spans="1:13" ht="15.75" x14ac:dyDescent="0.25">
      <c r="A1323" s="6" t="s">
        <v>4082</v>
      </c>
      <c r="B1323" s="7" t="s">
        <v>4083</v>
      </c>
      <c r="C1323" s="6" t="s">
        <v>6</v>
      </c>
      <c r="D1323" s="8">
        <v>2080</v>
      </c>
      <c r="E1323" s="403"/>
      <c r="F1323" s="403">
        <f>BBNTHT!J1363</f>
        <v>0</v>
      </c>
      <c r="G1323" s="403">
        <f t="shared" si="80"/>
        <v>0</v>
      </c>
      <c r="H1323" s="9">
        <v>15912</v>
      </c>
      <c r="I1323" s="404">
        <f t="shared" si="81"/>
        <v>33096960</v>
      </c>
      <c r="J1323" s="403"/>
      <c r="K1323" s="404">
        <f t="shared" si="82"/>
        <v>0</v>
      </c>
      <c r="L1323" s="405">
        <f t="shared" si="83"/>
        <v>0</v>
      </c>
      <c r="M1323" s="403"/>
    </row>
    <row r="1324" spans="1:13" ht="15.75" x14ac:dyDescent="0.25">
      <c r="A1324" s="6" t="s">
        <v>4084</v>
      </c>
      <c r="B1324" s="7" t="s">
        <v>4085</v>
      </c>
      <c r="C1324" s="6" t="s">
        <v>6</v>
      </c>
      <c r="D1324" s="8">
        <v>4580</v>
      </c>
      <c r="E1324" s="403"/>
      <c r="F1324" s="403">
        <f>BBNTHT!J1364</f>
        <v>0</v>
      </c>
      <c r="G1324" s="403">
        <f t="shared" si="80"/>
        <v>0</v>
      </c>
      <c r="H1324" s="9">
        <v>24571</v>
      </c>
      <c r="I1324" s="404">
        <f t="shared" si="81"/>
        <v>112535180</v>
      </c>
      <c r="J1324" s="403"/>
      <c r="K1324" s="404">
        <f t="shared" si="82"/>
        <v>0</v>
      </c>
      <c r="L1324" s="405">
        <f t="shared" si="83"/>
        <v>0</v>
      </c>
      <c r="M1324" s="403"/>
    </row>
    <row r="1325" spans="1:13" ht="15.75" x14ac:dyDescent="0.25">
      <c r="A1325" s="6" t="s">
        <v>4086</v>
      </c>
      <c r="B1325" s="7" t="s">
        <v>4087</v>
      </c>
      <c r="C1325" s="6" t="s">
        <v>6</v>
      </c>
      <c r="D1325" s="8">
        <v>650</v>
      </c>
      <c r="E1325" s="403"/>
      <c r="F1325" s="403">
        <f>BBNTHT!J1365</f>
        <v>0</v>
      </c>
      <c r="G1325" s="403">
        <f t="shared" si="80"/>
        <v>0</v>
      </c>
      <c r="H1325" s="9">
        <v>8868</v>
      </c>
      <c r="I1325" s="404">
        <f t="shared" si="81"/>
        <v>5764200</v>
      </c>
      <c r="J1325" s="403"/>
      <c r="K1325" s="404">
        <f t="shared" si="82"/>
        <v>0</v>
      </c>
      <c r="L1325" s="405">
        <f t="shared" si="83"/>
        <v>0</v>
      </c>
      <c r="M1325" s="403"/>
    </row>
    <row r="1326" spans="1:13" ht="31.5" x14ac:dyDescent="0.25">
      <c r="A1326" s="6" t="s">
        <v>4088</v>
      </c>
      <c r="B1326" s="7" t="s">
        <v>4089</v>
      </c>
      <c r="C1326" s="6" t="s">
        <v>6</v>
      </c>
      <c r="D1326" s="8">
        <v>7171</v>
      </c>
      <c r="E1326" s="403"/>
      <c r="F1326" s="403">
        <f>BBNTHT!J1366</f>
        <v>0</v>
      </c>
      <c r="G1326" s="403">
        <f t="shared" si="80"/>
        <v>0</v>
      </c>
      <c r="H1326" s="9">
        <v>29746</v>
      </c>
      <c r="I1326" s="404">
        <f t="shared" si="81"/>
        <v>213308566</v>
      </c>
      <c r="J1326" s="403"/>
      <c r="K1326" s="404">
        <f t="shared" si="82"/>
        <v>0</v>
      </c>
      <c r="L1326" s="405">
        <f t="shared" si="83"/>
        <v>0</v>
      </c>
      <c r="M1326" s="403"/>
    </row>
    <row r="1327" spans="1:13" ht="15.75" x14ac:dyDescent="0.25">
      <c r="A1327" s="2" t="s">
        <v>4503</v>
      </c>
      <c r="B1327" s="3" t="s">
        <v>4504</v>
      </c>
      <c r="C1327" s="2"/>
      <c r="D1327" s="4" t="s">
        <v>3</v>
      </c>
      <c r="E1327" s="403"/>
      <c r="F1327" s="403">
        <f>BBNTHT!J1367</f>
        <v>0</v>
      </c>
      <c r="G1327" s="403">
        <f t="shared" si="80"/>
        <v>0</v>
      </c>
      <c r="H1327" s="5"/>
      <c r="I1327" s="404"/>
      <c r="J1327" s="403"/>
      <c r="K1327" s="404">
        <f t="shared" si="82"/>
        <v>0</v>
      </c>
      <c r="L1327" s="405">
        <f t="shared" si="83"/>
        <v>0</v>
      </c>
      <c r="M1327" s="403"/>
    </row>
    <row r="1328" spans="1:13" ht="15.75" x14ac:dyDescent="0.25">
      <c r="A1328" s="2" t="s">
        <v>4505</v>
      </c>
      <c r="B1328" s="3" t="s">
        <v>4506</v>
      </c>
      <c r="C1328" s="2"/>
      <c r="D1328" s="4" t="s">
        <v>3</v>
      </c>
      <c r="E1328" s="403"/>
      <c r="F1328" s="403">
        <f>BBNTHT!J1368</f>
        <v>0</v>
      </c>
      <c r="G1328" s="403">
        <f t="shared" si="80"/>
        <v>0</v>
      </c>
      <c r="H1328" s="5"/>
      <c r="I1328" s="404"/>
      <c r="J1328" s="403"/>
      <c r="K1328" s="404">
        <f t="shared" si="82"/>
        <v>0</v>
      </c>
      <c r="L1328" s="405">
        <f t="shared" si="83"/>
        <v>0</v>
      </c>
      <c r="M1328" s="403"/>
    </row>
    <row r="1329" spans="1:13" ht="15.75" x14ac:dyDescent="0.25">
      <c r="A1329" s="6" t="s">
        <v>4507</v>
      </c>
      <c r="B1329" s="7" t="s">
        <v>4508</v>
      </c>
      <c r="C1329" s="6" t="s">
        <v>499</v>
      </c>
      <c r="D1329" s="8">
        <v>2</v>
      </c>
      <c r="E1329" s="403"/>
      <c r="F1329" s="403">
        <f>BBNTHT!J1369</f>
        <v>0</v>
      </c>
      <c r="G1329" s="403">
        <f t="shared" si="80"/>
        <v>0</v>
      </c>
      <c r="H1329" s="9">
        <v>8858165</v>
      </c>
      <c r="I1329" s="404">
        <f t="shared" si="81"/>
        <v>17716330</v>
      </c>
      <c r="J1329" s="403"/>
      <c r="K1329" s="404">
        <f t="shared" si="82"/>
        <v>0</v>
      </c>
      <c r="L1329" s="405">
        <f t="shared" si="83"/>
        <v>0</v>
      </c>
      <c r="M1329" s="403"/>
    </row>
    <row r="1330" spans="1:13" ht="15.75" x14ac:dyDescent="0.25">
      <c r="A1330" s="6" t="s">
        <v>4509</v>
      </c>
      <c r="B1330" s="7" t="s">
        <v>4510</v>
      </c>
      <c r="C1330" s="6" t="s">
        <v>4714</v>
      </c>
      <c r="D1330" s="8">
        <v>11.8</v>
      </c>
      <c r="E1330" s="403"/>
      <c r="F1330" s="403">
        <f>BBNTHT!J1370</f>
        <v>0</v>
      </c>
      <c r="G1330" s="403">
        <f t="shared" si="80"/>
        <v>0</v>
      </c>
      <c r="H1330" s="9">
        <v>3890860</v>
      </c>
      <c r="I1330" s="404">
        <f t="shared" si="81"/>
        <v>45912148</v>
      </c>
      <c r="J1330" s="403"/>
      <c r="K1330" s="404">
        <f t="shared" si="82"/>
        <v>0</v>
      </c>
      <c r="L1330" s="405">
        <f t="shared" si="83"/>
        <v>0</v>
      </c>
      <c r="M1330" s="403"/>
    </row>
    <row r="1331" spans="1:13" ht="15.75" x14ac:dyDescent="0.25">
      <c r="A1331" s="6" t="s">
        <v>4511</v>
      </c>
      <c r="B1331" s="7" t="s">
        <v>4512</v>
      </c>
      <c r="C1331" s="6" t="s">
        <v>4714</v>
      </c>
      <c r="D1331" s="8">
        <v>92.9</v>
      </c>
      <c r="E1331" s="403"/>
      <c r="F1331" s="403">
        <f>BBNTHT!J1371</f>
        <v>0</v>
      </c>
      <c r="G1331" s="403">
        <f t="shared" si="80"/>
        <v>0</v>
      </c>
      <c r="H1331" s="9">
        <v>2450257</v>
      </c>
      <c r="I1331" s="404">
        <f t="shared" si="81"/>
        <v>227628875</v>
      </c>
      <c r="J1331" s="403"/>
      <c r="K1331" s="404">
        <f t="shared" si="82"/>
        <v>0</v>
      </c>
      <c r="L1331" s="405">
        <f t="shared" si="83"/>
        <v>0</v>
      </c>
      <c r="M1331" s="403"/>
    </row>
    <row r="1332" spans="1:13" ht="15.75" x14ac:dyDescent="0.25">
      <c r="A1332" s="6" t="s">
        <v>4513</v>
      </c>
      <c r="B1332" s="7" t="s">
        <v>4514</v>
      </c>
      <c r="C1332" s="6" t="s">
        <v>4714</v>
      </c>
      <c r="D1332" s="8">
        <v>57.9</v>
      </c>
      <c r="E1332" s="403"/>
      <c r="F1332" s="403">
        <f>BBNTHT!J1372</f>
        <v>0</v>
      </c>
      <c r="G1332" s="403">
        <f t="shared" si="80"/>
        <v>0</v>
      </c>
      <c r="H1332" s="9">
        <v>4297184</v>
      </c>
      <c r="I1332" s="404">
        <f t="shared" si="81"/>
        <v>248806954</v>
      </c>
      <c r="J1332" s="403"/>
      <c r="K1332" s="404">
        <f t="shared" si="82"/>
        <v>0</v>
      </c>
      <c r="L1332" s="405">
        <f t="shared" si="83"/>
        <v>0</v>
      </c>
      <c r="M1332" s="403"/>
    </row>
    <row r="1333" spans="1:13" ht="15.75" x14ac:dyDescent="0.25">
      <c r="A1333" s="6" t="s">
        <v>4515</v>
      </c>
      <c r="B1333" s="7" t="s">
        <v>4516</v>
      </c>
      <c r="C1333" s="6" t="s">
        <v>4715</v>
      </c>
      <c r="D1333" s="8">
        <v>8</v>
      </c>
      <c r="E1333" s="403"/>
      <c r="F1333" s="403">
        <f>BBNTHT!J1373</f>
        <v>0</v>
      </c>
      <c r="G1333" s="403">
        <f t="shared" si="80"/>
        <v>0</v>
      </c>
      <c r="H1333" s="9">
        <v>2899676</v>
      </c>
      <c r="I1333" s="404">
        <f t="shared" si="81"/>
        <v>23197408</v>
      </c>
      <c r="J1333" s="403"/>
      <c r="K1333" s="404">
        <f t="shared" si="82"/>
        <v>0</v>
      </c>
      <c r="L1333" s="405">
        <f t="shared" si="83"/>
        <v>0</v>
      </c>
      <c r="M1333" s="403"/>
    </row>
    <row r="1334" spans="1:13" ht="15.75" x14ac:dyDescent="0.25">
      <c r="A1334" s="6" t="s">
        <v>4517</v>
      </c>
      <c r="B1334" s="7" t="s">
        <v>4518</v>
      </c>
      <c r="C1334" s="6" t="s">
        <v>4716</v>
      </c>
      <c r="D1334" s="8">
        <v>8</v>
      </c>
      <c r="E1334" s="403"/>
      <c r="F1334" s="403">
        <f>BBNTHT!J1374</f>
        <v>0</v>
      </c>
      <c r="G1334" s="403">
        <f t="shared" si="80"/>
        <v>0</v>
      </c>
      <c r="H1334" s="9">
        <v>3613822</v>
      </c>
      <c r="I1334" s="404">
        <f t="shared" si="81"/>
        <v>28910576</v>
      </c>
      <c r="J1334" s="403"/>
      <c r="K1334" s="404">
        <f t="shared" si="82"/>
        <v>0</v>
      </c>
      <c r="L1334" s="405">
        <f t="shared" si="83"/>
        <v>0</v>
      </c>
      <c r="M1334" s="403"/>
    </row>
    <row r="1335" spans="1:13" ht="15.75" x14ac:dyDescent="0.25">
      <c r="A1335" s="6" t="s">
        <v>4519</v>
      </c>
      <c r="B1335" s="7" t="s">
        <v>4520</v>
      </c>
      <c r="C1335" s="6" t="s">
        <v>4716</v>
      </c>
      <c r="D1335" s="8">
        <v>72</v>
      </c>
      <c r="E1335" s="403"/>
      <c r="F1335" s="403">
        <f>BBNTHT!J1375</f>
        <v>0</v>
      </c>
      <c r="G1335" s="403">
        <f t="shared" si="80"/>
        <v>0</v>
      </c>
      <c r="H1335" s="9">
        <v>2868894</v>
      </c>
      <c r="I1335" s="404">
        <f t="shared" si="81"/>
        <v>206560368</v>
      </c>
      <c r="J1335" s="403"/>
      <c r="K1335" s="404">
        <f t="shared" si="82"/>
        <v>0</v>
      </c>
      <c r="L1335" s="405">
        <f t="shared" si="83"/>
        <v>0</v>
      </c>
      <c r="M1335" s="403"/>
    </row>
    <row r="1336" spans="1:13" ht="15.75" x14ac:dyDescent="0.25">
      <c r="A1336" s="6" t="s">
        <v>4521</v>
      </c>
      <c r="B1336" s="7" t="s">
        <v>4522</v>
      </c>
      <c r="C1336" s="6" t="s">
        <v>4714</v>
      </c>
      <c r="D1336" s="8">
        <v>4</v>
      </c>
      <c r="E1336" s="403"/>
      <c r="F1336" s="403">
        <f>BBNTHT!J1376</f>
        <v>0</v>
      </c>
      <c r="G1336" s="403">
        <f t="shared" si="80"/>
        <v>0</v>
      </c>
      <c r="H1336" s="9">
        <v>5109832</v>
      </c>
      <c r="I1336" s="404">
        <f t="shared" si="81"/>
        <v>20439328</v>
      </c>
      <c r="J1336" s="403"/>
      <c r="K1336" s="404">
        <f t="shared" si="82"/>
        <v>0</v>
      </c>
      <c r="L1336" s="405">
        <f t="shared" si="83"/>
        <v>0</v>
      </c>
      <c r="M1336" s="403"/>
    </row>
    <row r="1337" spans="1:13" ht="15.75" x14ac:dyDescent="0.25">
      <c r="A1337" s="6" t="s">
        <v>4523</v>
      </c>
      <c r="B1337" s="7" t="s">
        <v>4524</v>
      </c>
      <c r="C1337" s="6" t="s">
        <v>4714</v>
      </c>
      <c r="D1337" s="8">
        <v>9.1</v>
      </c>
      <c r="E1337" s="403"/>
      <c r="F1337" s="403">
        <f>BBNTHT!J1377</f>
        <v>0</v>
      </c>
      <c r="G1337" s="403">
        <f t="shared" si="80"/>
        <v>0</v>
      </c>
      <c r="H1337" s="9">
        <v>5614659</v>
      </c>
      <c r="I1337" s="404">
        <f t="shared" si="81"/>
        <v>51093397</v>
      </c>
      <c r="J1337" s="403"/>
      <c r="K1337" s="404">
        <f t="shared" si="82"/>
        <v>0</v>
      </c>
      <c r="L1337" s="405">
        <f t="shared" si="83"/>
        <v>0</v>
      </c>
      <c r="M1337" s="403"/>
    </row>
    <row r="1338" spans="1:13" ht="15.75" x14ac:dyDescent="0.25">
      <c r="A1338" s="6" t="s">
        <v>4525</v>
      </c>
      <c r="B1338" s="7" t="s">
        <v>4526</v>
      </c>
      <c r="C1338" s="6" t="s">
        <v>4714</v>
      </c>
      <c r="D1338" s="8">
        <v>2</v>
      </c>
      <c r="E1338" s="403"/>
      <c r="F1338" s="403">
        <f>BBNTHT!J1378</f>
        <v>0</v>
      </c>
      <c r="G1338" s="403">
        <f t="shared" si="80"/>
        <v>0</v>
      </c>
      <c r="H1338" s="9">
        <v>4962078</v>
      </c>
      <c r="I1338" s="404">
        <f t="shared" si="81"/>
        <v>9924156</v>
      </c>
      <c r="J1338" s="403"/>
      <c r="K1338" s="404">
        <f t="shared" si="82"/>
        <v>0</v>
      </c>
      <c r="L1338" s="405">
        <f t="shared" si="83"/>
        <v>0</v>
      </c>
      <c r="M1338" s="403"/>
    </row>
    <row r="1339" spans="1:13" ht="15.75" x14ac:dyDescent="0.25">
      <c r="A1339" s="6" t="s">
        <v>4527</v>
      </c>
      <c r="B1339" s="7" t="s">
        <v>4528</v>
      </c>
      <c r="C1339" s="6" t="s">
        <v>4714</v>
      </c>
      <c r="D1339" s="8">
        <v>3.6</v>
      </c>
      <c r="E1339" s="403"/>
      <c r="F1339" s="403">
        <f>BBNTHT!J1379</f>
        <v>0</v>
      </c>
      <c r="G1339" s="403">
        <f t="shared" si="80"/>
        <v>0</v>
      </c>
      <c r="H1339" s="9">
        <v>5614659</v>
      </c>
      <c r="I1339" s="404">
        <f t="shared" si="81"/>
        <v>20212772</v>
      </c>
      <c r="J1339" s="403"/>
      <c r="K1339" s="404">
        <f t="shared" si="82"/>
        <v>0</v>
      </c>
      <c r="L1339" s="405">
        <f t="shared" si="83"/>
        <v>0</v>
      </c>
      <c r="M1339" s="403"/>
    </row>
    <row r="1340" spans="1:13" ht="15.75" x14ac:dyDescent="0.25">
      <c r="A1340" s="6" t="s">
        <v>4529</v>
      </c>
      <c r="B1340" s="7" t="s">
        <v>4530</v>
      </c>
      <c r="C1340" s="6" t="s">
        <v>4714</v>
      </c>
      <c r="D1340" s="8">
        <v>7.6</v>
      </c>
      <c r="E1340" s="403"/>
      <c r="F1340" s="403">
        <f>BBNTHT!J1380</f>
        <v>0</v>
      </c>
      <c r="G1340" s="403">
        <f t="shared" si="80"/>
        <v>0</v>
      </c>
      <c r="H1340" s="9">
        <v>5208335</v>
      </c>
      <c r="I1340" s="404">
        <f t="shared" si="81"/>
        <v>39583346</v>
      </c>
      <c r="J1340" s="403"/>
      <c r="K1340" s="404">
        <f t="shared" si="82"/>
        <v>0</v>
      </c>
      <c r="L1340" s="405">
        <f t="shared" si="83"/>
        <v>0</v>
      </c>
      <c r="M1340" s="403"/>
    </row>
    <row r="1341" spans="1:13" ht="31.5" x14ac:dyDescent="0.25">
      <c r="A1341" s="6" t="s">
        <v>4531</v>
      </c>
      <c r="B1341" s="7" t="s">
        <v>4532</v>
      </c>
      <c r="C1341" s="6" t="s">
        <v>6</v>
      </c>
      <c r="D1341" s="8">
        <v>9410</v>
      </c>
      <c r="E1341" s="403"/>
      <c r="F1341" s="403">
        <f>BBNTHT!J1381</f>
        <v>0</v>
      </c>
      <c r="G1341" s="403">
        <f t="shared" si="80"/>
        <v>0</v>
      </c>
      <c r="H1341" s="9">
        <v>51714</v>
      </c>
      <c r="I1341" s="404">
        <f t="shared" si="81"/>
        <v>486628740</v>
      </c>
      <c r="J1341" s="403"/>
      <c r="K1341" s="404">
        <f t="shared" si="82"/>
        <v>0</v>
      </c>
      <c r="L1341" s="405">
        <f t="shared" si="83"/>
        <v>0</v>
      </c>
      <c r="M1341" s="403"/>
    </row>
    <row r="1342" spans="1:13" ht="15.75" x14ac:dyDescent="0.25">
      <c r="A1342" s="6" t="s">
        <v>4533</v>
      </c>
      <c r="B1342" s="7" t="s">
        <v>4534</v>
      </c>
      <c r="C1342" s="6" t="s">
        <v>6</v>
      </c>
      <c r="D1342" s="8">
        <v>2171</v>
      </c>
      <c r="E1342" s="403"/>
      <c r="F1342" s="403">
        <f>BBNTHT!J1382</f>
        <v>0</v>
      </c>
      <c r="G1342" s="403">
        <f t="shared" si="80"/>
        <v>0</v>
      </c>
      <c r="H1342" s="9">
        <v>34476</v>
      </c>
      <c r="I1342" s="404">
        <f t="shared" si="81"/>
        <v>74847396</v>
      </c>
      <c r="J1342" s="403"/>
      <c r="K1342" s="404">
        <f t="shared" si="82"/>
        <v>0</v>
      </c>
      <c r="L1342" s="405">
        <f t="shared" si="83"/>
        <v>0</v>
      </c>
      <c r="M1342" s="403"/>
    </row>
    <row r="1343" spans="1:13" ht="31.5" x14ac:dyDescent="0.25">
      <c r="A1343" s="6" t="s">
        <v>4535</v>
      </c>
      <c r="B1343" s="7" t="s">
        <v>4536</v>
      </c>
      <c r="C1343" s="6" t="s">
        <v>6</v>
      </c>
      <c r="D1343" s="8">
        <v>9030</v>
      </c>
      <c r="E1343" s="403"/>
      <c r="F1343" s="403">
        <f>BBNTHT!J1383</f>
        <v>0</v>
      </c>
      <c r="G1343" s="403">
        <f t="shared" si="80"/>
        <v>0</v>
      </c>
      <c r="H1343" s="9">
        <v>17077</v>
      </c>
      <c r="I1343" s="404">
        <f t="shared" si="81"/>
        <v>154205310</v>
      </c>
      <c r="J1343" s="403"/>
      <c r="K1343" s="404">
        <f t="shared" si="82"/>
        <v>0</v>
      </c>
      <c r="L1343" s="405">
        <f t="shared" si="83"/>
        <v>0</v>
      </c>
      <c r="M1343" s="403"/>
    </row>
    <row r="1344" spans="1:13" ht="31.5" x14ac:dyDescent="0.25">
      <c r="A1344" s="6" t="s">
        <v>4537</v>
      </c>
      <c r="B1344" s="7" t="s">
        <v>4538</v>
      </c>
      <c r="C1344" s="6" t="s">
        <v>6</v>
      </c>
      <c r="D1344" s="8">
        <v>1600</v>
      </c>
      <c r="E1344" s="403"/>
      <c r="F1344" s="403">
        <f>BBNTHT!J1384</f>
        <v>0</v>
      </c>
      <c r="G1344" s="403">
        <f t="shared" si="80"/>
        <v>0</v>
      </c>
      <c r="H1344" s="9">
        <v>8034</v>
      </c>
      <c r="I1344" s="404">
        <f t="shared" si="81"/>
        <v>12854400</v>
      </c>
      <c r="J1344" s="403"/>
      <c r="K1344" s="404">
        <f t="shared" si="82"/>
        <v>0</v>
      </c>
      <c r="L1344" s="405">
        <f t="shared" si="83"/>
        <v>0</v>
      </c>
      <c r="M1344" s="403"/>
    </row>
    <row r="1345" spans="1:13" ht="15.75" x14ac:dyDescent="0.25">
      <c r="A1345" s="6" t="s">
        <v>4539</v>
      </c>
      <c r="B1345" s="7" t="s">
        <v>4540</v>
      </c>
      <c r="C1345" s="6" t="s">
        <v>9</v>
      </c>
      <c r="D1345" s="8">
        <v>3620</v>
      </c>
      <c r="E1345" s="403"/>
      <c r="F1345" s="403">
        <f>BBNTHT!J1385</f>
        <v>0</v>
      </c>
      <c r="G1345" s="403">
        <f t="shared" si="80"/>
        <v>0</v>
      </c>
      <c r="H1345" s="9">
        <v>1970</v>
      </c>
      <c r="I1345" s="404">
        <f t="shared" si="81"/>
        <v>7131400</v>
      </c>
      <c r="J1345" s="403"/>
      <c r="K1345" s="404">
        <f t="shared" si="82"/>
        <v>0</v>
      </c>
      <c r="L1345" s="405">
        <f t="shared" si="83"/>
        <v>0</v>
      </c>
      <c r="M1345" s="403"/>
    </row>
    <row r="1346" spans="1:13" ht="15.75" x14ac:dyDescent="0.25">
      <c r="A1346" s="6" t="s">
        <v>4541</v>
      </c>
      <c r="B1346" s="7" t="s">
        <v>4542</v>
      </c>
      <c r="C1346" s="6" t="s">
        <v>1429</v>
      </c>
      <c r="D1346" s="8">
        <v>1603</v>
      </c>
      <c r="E1346" s="403"/>
      <c r="F1346" s="403">
        <f>BBNTHT!J1386</f>
        <v>0</v>
      </c>
      <c r="G1346" s="403">
        <f t="shared" si="80"/>
        <v>0</v>
      </c>
      <c r="H1346" s="9">
        <v>8803</v>
      </c>
      <c r="I1346" s="404">
        <f t="shared" si="81"/>
        <v>14111209</v>
      </c>
      <c r="J1346" s="403"/>
      <c r="K1346" s="404">
        <f t="shared" si="82"/>
        <v>0</v>
      </c>
      <c r="L1346" s="405">
        <f t="shared" si="83"/>
        <v>0</v>
      </c>
      <c r="M1346" s="403"/>
    </row>
    <row r="1347" spans="1:13" ht="15.75" x14ac:dyDescent="0.25">
      <c r="A1347" s="6" t="s">
        <v>4543</v>
      </c>
      <c r="B1347" s="7" t="s">
        <v>4544</v>
      </c>
      <c r="C1347" s="6" t="s">
        <v>9</v>
      </c>
      <c r="D1347" s="8">
        <v>1430</v>
      </c>
      <c r="E1347" s="403"/>
      <c r="F1347" s="403">
        <f>BBNTHT!J1387</f>
        <v>0</v>
      </c>
      <c r="G1347" s="403">
        <f t="shared" si="80"/>
        <v>0</v>
      </c>
      <c r="H1347" s="9">
        <v>8619</v>
      </c>
      <c r="I1347" s="404">
        <f t="shared" si="81"/>
        <v>12325170</v>
      </c>
      <c r="J1347" s="403"/>
      <c r="K1347" s="404">
        <f t="shared" si="82"/>
        <v>0</v>
      </c>
      <c r="L1347" s="405">
        <f t="shared" si="83"/>
        <v>0</v>
      </c>
      <c r="M1347" s="403"/>
    </row>
    <row r="1348" spans="1:13" ht="31.5" x14ac:dyDescent="0.25">
      <c r="A1348" s="2" t="s">
        <v>4545</v>
      </c>
      <c r="B1348" s="3" t="s">
        <v>4546</v>
      </c>
      <c r="C1348" s="2"/>
      <c r="D1348" s="4" t="s">
        <v>3</v>
      </c>
      <c r="E1348" s="403"/>
      <c r="F1348" s="403">
        <f>BBNTHT!J1388</f>
        <v>0</v>
      </c>
      <c r="G1348" s="403">
        <f t="shared" si="80"/>
        <v>0</v>
      </c>
      <c r="H1348" s="5"/>
      <c r="I1348" s="404"/>
      <c r="J1348" s="403"/>
      <c r="K1348" s="404">
        <f t="shared" si="82"/>
        <v>0</v>
      </c>
      <c r="L1348" s="405">
        <f t="shared" si="83"/>
        <v>0</v>
      </c>
      <c r="M1348" s="403"/>
    </row>
    <row r="1349" spans="1:13" ht="31.5" x14ac:dyDescent="0.25">
      <c r="A1349" s="6" t="s">
        <v>4547</v>
      </c>
      <c r="B1349" s="7" t="s">
        <v>4548</v>
      </c>
      <c r="C1349" s="6" t="s">
        <v>4717</v>
      </c>
      <c r="D1349" s="8">
        <v>58.4</v>
      </c>
      <c r="E1349" s="403"/>
      <c r="F1349" s="403">
        <f>BBNTHT!J1389</f>
        <v>0</v>
      </c>
      <c r="G1349" s="403">
        <f t="shared" si="80"/>
        <v>0</v>
      </c>
      <c r="H1349" s="9">
        <v>4457251</v>
      </c>
      <c r="I1349" s="404">
        <f t="shared" si="81"/>
        <v>260303458</v>
      </c>
      <c r="J1349" s="403"/>
      <c r="K1349" s="404">
        <f t="shared" si="82"/>
        <v>0</v>
      </c>
      <c r="L1349" s="405">
        <f t="shared" si="83"/>
        <v>0</v>
      </c>
      <c r="M1349" s="403"/>
    </row>
    <row r="1350" spans="1:13" ht="15.75" x14ac:dyDescent="0.25">
      <c r="A1350" s="6" t="s">
        <v>4549</v>
      </c>
      <c r="B1350" s="7" t="s">
        <v>4550</v>
      </c>
      <c r="C1350" s="6" t="s">
        <v>4717</v>
      </c>
      <c r="D1350" s="8">
        <v>22</v>
      </c>
      <c r="E1350" s="403"/>
      <c r="F1350" s="403">
        <f>BBNTHT!J1390</f>
        <v>0</v>
      </c>
      <c r="G1350" s="403">
        <f t="shared" si="80"/>
        <v>0</v>
      </c>
      <c r="H1350" s="9">
        <v>7166078</v>
      </c>
      <c r="I1350" s="404">
        <f t="shared" si="81"/>
        <v>157653716</v>
      </c>
      <c r="J1350" s="403"/>
      <c r="K1350" s="404">
        <f t="shared" si="82"/>
        <v>0</v>
      </c>
      <c r="L1350" s="405">
        <f t="shared" si="83"/>
        <v>0</v>
      </c>
      <c r="M1350" s="403"/>
    </row>
    <row r="1351" spans="1:13" ht="31.5" x14ac:dyDescent="0.25">
      <c r="A1351" s="6" t="s">
        <v>4551</v>
      </c>
      <c r="B1351" s="7" t="s">
        <v>4552</v>
      </c>
      <c r="C1351" s="6" t="s">
        <v>4717</v>
      </c>
      <c r="D1351" s="8">
        <v>22</v>
      </c>
      <c r="E1351" s="403"/>
      <c r="F1351" s="403">
        <f>BBNTHT!J1391</f>
        <v>0</v>
      </c>
      <c r="G1351" s="403">
        <f t="shared" si="80"/>
        <v>0</v>
      </c>
      <c r="H1351" s="9">
        <v>3361408</v>
      </c>
      <c r="I1351" s="404">
        <f t="shared" si="81"/>
        <v>73950976</v>
      </c>
      <c r="J1351" s="403"/>
      <c r="K1351" s="404">
        <f t="shared" si="82"/>
        <v>0</v>
      </c>
      <c r="L1351" s="405">
        <f t="shared" si="83"/>
        <v>0</v>
      </c>
      <c r="M1351" s="403"/>
    </row>
    <row r="1352" spans="1:13" ht="31.5" x14ac:dyDescent="0.25">
      <c r="A1352" s="6" t="s">
        <v>4553</v>
      </c>
      <c r="B1352" s="7" t="s">
        <v>4554</v>
      </c>
      <c r="C1352" s="6" t="s">
        <v>4717</v>
      </c>
      <c r="D1352" s="8">
        <v>14</v>
      </c>
      <c r="E1352" s="403"/>
      <c r="F1352" s="403">
        <f>BBNTHT!J1392</f>
        <v>0</v>
      </c>
      <c r="G1352" s="403">
        <f t="shared" si="80"/>
        <v>0</v>
      </c>
      <c r="H1352" s="9">
        <v>3361408</v>
      </c>
      <c r="I1352" s="404">
        <f t="shared" si="81"/>
        <v>47059712</v>
      </c>
      <c r="J1352" s="403"/>
      <c r="K1352" s="404">
        <f t="shared" si="82"/>
        <v>0</v>
      </c>
      <c r="L1352" s="405">
        <f t="shared" si="83"/>
        <v>0</v>
      </c>
      <c r="M1352" s="403"/>
    </row>
    <row r="1353" spans="1:13" ht="15.75" x14ac:dyDescent="0.25">
      <c r="A1353" s="6" t="s">
        <v>4555</v>
      </c>
      <c r="B1353" s="7" t="s">
        <v>4556</v>
      </c>
      <c r="C1353" s="6" t="s">
        <v>1867</v>
      </c>
      <c r="D1353" s="8">
        <v>86</v>
      </c>
      <c r="E1353" s="403"/>
      <c r="F1353" s="403">
        <f>BBNTHT!J1393</f>
        <v>0</v>
      </c>
      <c r="G1353" s="403">
        <f t="shared" si="80"/>
        <v>0</v>
      </c>
      <c r="H1353" s="9">
        <v>672282</v>
      </c>
      <c r="I1353" s="404">
        <f t="shared" si="81"/>
        <v>57816252</v>
      </c>
      <c r="J1353" s="403"/>
      <c r="K1353" s="404">
        <f t="shared" si="82"/>
        <v>0</v>
      </c>
      <c r="L1353" s="405">
        <f t="shared" si="83"/>
        <v>0</v>
      </c>
      <c r="M1353" s="403"/>
    </row>
    <row r="1354" spans="1:13" ht="15.75" x14ac:dyDescent="0.25">
      <c r="A1354" s="6" t="s">
        <v>4557</v>
      </c>
      <c r="B1354" s="7" t="s">
        <v>4558</v>
      </c>
      <c r="C1354" s="6" t="s">
        <v>4717</v>
      </c>
      <c r="D1354" s="8">
        <v>0.4</v>
      </c>
      <c r="E1354" s="403"/>
      <c r="F1354" s="403">
        <f>BBNTHT!J1394</f>
        <v>0</v>
      </c>
      <c r="G1354" s="403">
        <f t="shared" si="80"/>
        <v>0</v>
      </c>
      <c r="H1354" s="9">
        <v>3361408</v>
      </c>
      <c r="I1354" s="404">
        <f t="shared" si="81"/>
        <v>1344563</v>
      </c>
      <c r="J1354" s="403"/>
      <c r="K1354" s="404">
        <f t="shared" si="82"/>
        <v>0</v>
      </c>
      <c r="L1354" s="405">
        <f t="shared" si="83"/>
        <v>0</v>
      </c>
      <c r="M1354" s="403"/>
    </row>
    <row r="1355" spans="1:13" ht="15.75" x14ac:dyDescent="0.25">
      <c r="A1355" s="6" t="s">
        <v>4559</v>
      </c>
      <c r="B1355" s="7" t="s">
        <v>4534</v>
      </c>
      <c r="C1355" s="6" t="s">
        <v>6</v>
      </c>
      <c r="D1355" s="8">
        <v>2840</v>
      </c>
      <c r="E1355" s="403"/>
      <c r="F1355" s="403">
        <f>BBNTHT!J1395</f>
        <v>0</v>
      </c>
      <c r="G1355" s="403">
        <f t="shared" si="80"/>
        <v>0</v>
      </c>
      <c r="H1355" s="9">
        <v>34476</v>
      </c>
      <c r="I1355" s="404">
        <f t="shared" si="81"/>
        <v>97911840</v>
      </c>
      <c r="J1355" s="403"/>
      <c r="K1355" s="404">
        <f t="shared" si="82"/>
        <v>0</v>
      </c>
      <c r="L1355" s="405">
        <f t="shared" si="83"/>
        <v>0</v>
      </c>
      <c r="M1355" s="403"/>
    </row>
    <row r="1356" spans="1:13" ht="31.5" x14ac:dyDescent="0.25">
      <c r="A1356" s="6" t="s">
        <v>4560</v>
      </c>
      <c r="B1356" s="7" t="s">
        <v>4536</v>
      </c>
      <c r="C1356" s="6" t="s">
        <v>6</v>
      </c>
      <c r="D1356" s="8">
        <v>2840</v>
      </c>
      <c r="E1356" s="403"/>
      <c r="F1356" s="403">
        <f>BBNTHT!J1396</f>
        <v>0</v>
      </c>
      <c r="G1356" s="403">
        <f t="shared" si="80"/>
        <v>0</v>
      </c>
      <c r="H1356" s="9">
        <v>17078</v>
      </c>
      <c r="I1356" s="404">
        <f t="shared" si="81"/>
        <v>48501520</v>
      </c>
      <c r="J1356" s="403"/>
      <c r="K1356" s="404">
        <f t="shared" si="82"/>
        <v>0</v>
      </c>
      <c r="L1356" s="405">
        <f t="shared" si="83"/>
        <v>0</v>
      </c>
      <c r="M1356" s="403"/>
    </row>
    <row r="1357" spans="1:13" ht="31.5" x14ac:dyDescent="0.25">
      <c r="A1357" s="6" t="s">
        <v>4561</v>
      </c>
      <c r="B1357" s="7" t="s">
        <v>4538</v>
      </c>
      <c r="C1357" s="6" t="s">
        <v>6</v>
      </c>
      <c r="D1357" s="8">
        <v>210</v>
      </c>
      <c r="E1357" s="403"/>
      <c r="F1357" s="403">
        <f>BBNTHT!J1397</f>
        <v>0</v>
      </c>
      <c r="G1357" s="403">
        <f t="shared" si="80"/>
        <v>0</v>
      </c>
      <c r="H1357" s="9">
        <v>8034</v>
      </c>
      <c r="I1357" s="404">
        <f t="shared" si="81"/>
        <v>1687140</v>
      </c>
      <c r="J1357" s="403"/>
      <c r="K1357" s="404">
        <f t="shared" si="82"/>
        <v>0</v>
      </c>
      <c r="L1357" s="405">
        <f t="shared" si="83"/>
        <v>0</v>
      </c>
      <c r="M1357" s="403"/>
    </row>
    <row r="1358" spans="1:13" ht="15.75" x14ac:dyDescent="0.25">
      <c r="A1358" s="6" t="s">
        <v>4562</v>
      </c>
      <c r="B1358" s="7" t="s">
        <v>4540</v>
      </c>
      <c r="C1358" s="6" t="s">
        <v>9</v>
      </c>
      <c r="D1358" s="8">
        <v>1550</v>
      </c>
      <c r="E1358" s="403"/>
      <c r="F1358" s="403">
        <f>BBNTHT!J1398</f>
        <v>0</v>
      </c>
      <c r="G1358" s="403">
        <f t="shared" si="80"/>
        <v>0</v>
      </c>
      <c r="H1358" s="9">
        <v>1970</v>
      </c>
      <c r="I1358" s="404">
        <f t="shared" si="81"/>
        <v>3053500</v>
      </c>
      <c r="J1358" s="403"/>
      <c r="K1358" s="404">
        <f t="shared" si="82"/>
        <v>0</v>
      </c>
      <c r="L1358" s="405">
        <f t="shared" si="83"/>
        <v>0</v>
      </c>
      <c r="M1358" s="403"/>
    </row>
    <row r="1359" spans="1:13" ht="15.75" x14ac:dyDescent="0.25">
      <c r="A1359" s="2" t="s">
        <v>4563</v>
      </c>
      <c r="B1359" s="3" t="s">
        <v>4564</v>
      </c>
      <c r="C1359" s="2"/>
      <c r="D1359" s="4" t="s">
        <v>3</v>
      </c>
      <c r="E1359" s="403"/>
      <c r="F1359" s="403">
        <f>BBNTHT!J1399</f>
        <v>0</v>
      </c>
      <c r="G1359" s="403">
        <f t="shared" si="80"/>
        <v>0</v>
      </c>
      <c r="H1359" s="5"/>
      <c r="I1359" s="404"/>
      <c r="J1359" s="403"/>
      <c r="K1359" s="404">
        <f t="shared" si="82"/>
        <v>0</v>
      </c>
      <c r="L1359" s="405">
        <f t="shared" si="83"/>
        <v>0</v>
      </c>
      <c r="M1359" s="403"/>
    </row>
    <row r="1360" spans="1:13" ht="15.75" x14ac:dyDescent="0.25">
      <c r="A1360" s="6" t="s">
        <v>4565</v>
      </c>
      <c r="B1360" s="7" t="s">
        <v>4566</v>
      </c>
      <c r="C1360" s="6" t="s">
        <v>6</v>
      </c>
      <c r="D1360" s="8">
        <v>9</v>
      </c>
      <c r="E1360" s="403"/>
      <c r="F1360" s="403">
        <f>BBNTHT!J1400</f>
        <v>0</v>
      </c>
      <c r="G1360" s="403">
        <f t="shared" si="80"/>
        <v>0</v>
      </c>
      <c r="H1360" s="9">
        <v>3398346</v>
      </c>
      <c r="I1360" s="404">
        <f t="shared" si="81"/>
        <v>30585114</v>
      </c>
      <c r="J1360" s="403"/>
      <c r="K1360" s="404">
        <f t="shared" si="82"/>
        <v>0</v>
      </c>
      <c r="L1360" s="405">
        <f t="shared" si="83"/>
        <v>0</v>
      </c>
      <c r="M1360" s="403"/>
    </row>
    <row r="1361" spans="1:13" ht="15.75" x14ac:dyDescent="0.25">
      <c r="A1361" s="6" t="s">
        <v>4567</v>
      </c>
      <c r="B1361" s="7" t="s">
        <v>4568</v>
      </c>
      <c r="C1361" s="6" t="s">
        <v>6</v>
      </c>
      <c r="D1361" s="8">
        <v>90</v>
      </c>
      <c r="E1361" s="403"/>
      <c r="F1361" s="403">
        <f>BBNTHT!J1401</f>
        <v>0</v>
      </c>
      <c r="G1361" s="403">
        <f t="shared" si="80"/>
        <v>0</v>
      </c>
      <c r="H1361" s="9">
        <v>3171790</v>
      </c>
      <c r="I1361" s="404">
        <f t="shared" si="81"/>
        <v>285461100</v>
      </c>
      <c r="J1361" s="403"/>
      <c r="K1361" s="404">
        <f t="shared" si="82"/>
        <v>0</v>
      </c>
      <c r="L1361" s="405">
        <f t="shared" si="83"/>
        <v>0</v>
      </c>
      <c r="M1361" s="403"/>
    </row>
    <row r="1362" spans="1:13" ht="15.75" x14ac:dyDescent="0.25">
      <c r="A1362" s="6" t="s">
        <v>4569</v>
      </c>
      <c r="B1362" s="7" t="s">
        <v>4570</v>
      </c>
      <c r="C1362" s="6" t="s">
        <v>6</v>
      </c>
      <c r="D1362" s="8">
        <v>75</v>
      </c>
      <c r="E1362" s="403"/>
      <c r="F1362" s="403">
        <f>BBNTHT!J1402</f>
        <v>0</v>
      </c>
      <c r="G1362" s="403">
        <f t="shared" ref="G1362:G1425" si="84">F1362+E1362</f>
        <v>0</v>
      </c>
      <c r="H1362" s="9">
        <v>3058511</v>
      </c>
      <c r="I1362" s="404">
        <f t="shared" ref="I1362:I1425" si="85">ROUND(D1362*H1362,0)</f>
        <v>229388325</v>
      </c>
      <c r="J1362" s="403"/>
      <c r="K1362" s="404">
        <f t="shared" ref="K1362:K1425" si="86">ROUND(F1362*H1362,0)</f>
        <v>0</v>
      </c>
      <c r="L1362" s="405">
        <f t="shared" ref="L1362:L1425" si="87">J1362+K1362</f>
        <v>0</v>
      </c>
      <c r="M1362" s="403"/>
    </row>
    <row r="1363" spans="1:13" ht="15.75" x14ac:dyDescent="0.25">
      <c r="A1363" s="6" t="s">
        <v>4571</v>
      </c>
      <c r="B1363" s="7" t="s">
        <v>4572</v>
      </c>
      <c r="C1363" s="6" t="s">
        <v>6</v>
      </c>
      <c r="D1363" s="8">
        <v>52</v>
      </c>
      <c r="E1363" s="403"/>
      <c r="F1363" s="403">
        <f>BBNTHT!J1403</f>
        <v>0</v>
      </c>
      <c r="G1363" s="403">
        <f t="shared" si="84"/>
        <v>0</v>
      </c>
      <c r="H1363" s="9">
        <v>2831955</v>
      </c>
      <c r="I1363" s="404">
        <f t="shared" si="85"/>
        <v>147261660</v>
      </c>
      <c r="J1363" s="403"/>
      <c r="K1363" s="404">
        <f t="shared" si="86"/>
        <v>0</v>
      </c>
      <c r="L1363" s="405">
        <f t="shared" si="87"/>
        <v>0</v>
      </c>
      <c r="M1363" s="403"/>
    </row>
    <row r="1364" spans="1:13" ht="15.75" x14ac:dyDescent="0.25">
      <c r="A1364" s="6" t="s">
        <v>4573</v>
      </c>
      <c r="B1364" s="7" t="s">
        <v>4574</v>
      </c>
      <c r="C1364" s="6" t="s">
        <v>6</v>
      </c>
      <c r="D1364" s="8">
        <v>5</v>
      </c>
      <c r="E1364" s="403"/>
      <c r="F1364" s="403">
        <f>BBNTHT!J1404</f>
        <v>0</v>
      </c>
      <c r="G1364" s="403">
        <f t="shared" si="84"/>
        <v>0</v>
      </c>
      <c r="H1364" s="9">
        <v>3171790</v>
      </c>
      <c r="I1364" s="404">
        <f t="shared" si="85"/>
        <v>15858950</v>
      </c>
      <c r="J1364" s="403"/>
      <c r="K1364" s="404">
        <f t="shared" si="86"/>
        <v>0</v>
      </c>
      <c r="L1364" s="405">
        <f t="shared" si="87"/>
        <v>0</v>
      </c>
      <c r="M1364" s="403"/>
    </row>
    <row r="1365" spans="1:13" ht="15.75" x14ac:dyDescent="0.25">
      <c r="A1365" s="6" t="s">
        <v>4575</v>
      </c>
      <c r="B1365" s="7" t="s">
        <v>4576</v>
      </c>
      <c r="C1365" s="6" t="s">
        <v>6</v>
      </c>
      <c r="D1365" s="8">
        <v>47</v>
      </c>
      <c r="E1365" s="403"/>
      <c r="F1365" s="403">
        <f>BBNTHT!J1405</f>
        <v>0</v>
      </c>
      <c r="G1365" s="403">
        <f t="shared" si="84"/>
        <v>0</v>
      </c>
      <c r="H1365" s="9">
        <v>2945233</v>
      </c>
      <c r="I1365" s="404">
        <f t="shared" si="85"/>
        <v>138425951</v>
      </c>
      <c r="J1365" s="403"/>
      <c r="K1365" s="404">
        <f t="shared" si="86"/>
        <v>0</v>
      </c>
      <c r="L1365" s="405">
        <f t="shared" si="87"/>
        <v>0</v>
      </c>
      <c r="M1365" s="403"/>
    </row>
    <row r="1366" spans="1:13" ht="15.75" x14ac:dyDescent="0.25">
      <c r="A1366" s="6" t="s">
        <v>4577</v>
      </c>
      <c r="B1366" s="7" t="s">
        <v>4578</v>
      </c>
      <c r="C1366" s="6" t="s">
        <v>6</v>
      </c>
      <c r="D1366" s="8">
        <v>51</v>
      </c>
      <c r="E1366" s="403"/>
      <c r="F1366" s="403">
        <f>BBNTHT!J1406</f>
        <v>0</v>
      </c>
      <c r="G1366" s="403">
        <f t="shared" si="84"/>
        <v>0</v>
      </c>
      <c r="H1366" s="9">
        <v>2605399</v>
      </c>
      <c r="I1366" s="404">
        <f t="shared" si="85"/>
        <v>132875349</v>
      </c>
      <c r="J1366" s="403"/>
      <c r="K1366" s="404">
        <f t="shared" si="86"/>
        <v>0</v>
      </c>
      <c r="L1366" s="405">
        <f t="shared" si="87"/>
        <v>0</v>
      </c>
      <c r="M1366" s="403"/>
    </row>
    <row r="1367" spans="1:13" ht="15.75" x14ac:dyDescent="0.25">
      <c r="A1367" s="6" t="s">
        <v>4579</v>
      </c>
      <c r="B1367" s="7" t="s">
        <v>4580</v>
      </c>
      <c r="C1367" s="6" t="s">
        <v>6</v>
      </c>
      <c r="D1367" s="8">
        <v>556</v>
      </c>
      <c r="E1367" s="403"/>
      <c r="F1367" s="403">
        <f>BBNTHT!J1407</f>
        <v>0</v>
      </c>
      <c r="G1367" s="403">
        <f t="shared" si="84"/>
        <v>0</v>
      </c>
      <c r="H1367" s="9">
        <v>2378842</v>
      </c>
      <c r="I1367" s="404">
        <f t="shared" si="85"/>
        <v>1322636152</v>
      </c>
      <c r="J1367" s="403"/>
      <c r="K1367" s="404">
        <f t="shared" si="86"/>
        <v>0</v>
      </c>
      <c r="L1367" s="405">
        <f t="shared" si="87"/>
        <v>0</v>
      </c>
      <c r="M1367" s="403"/>
    </row>
    <row r="1368" spans="1:13" ht="15.75" x14ac:dyDescent="0.25">
      <c r="A1368" s="6" t="s">
        <v>4581</v>
      </c>
      <c r="B1368" s="7" t="s">
        <v>4582</v>
      </c>
      <c r="C1368" s="6" t="s">
        <v>6</v>
      </c>
      <c r="D1368" s="8">
        <v>36</v>
      </c>
      <c r="E1368" s="403"/>
      <c r="F1368" s="403">
        <f>BBNTHT!J1408</f>
        <v>0</v>
      </c>
      <c r="G1368" s="403">
        <f t="shared" si="84"/>
        <v>0</v>
      </c>
      <c r="H1368" s="9">
        <v>2039008</v>
      </c>
      <c r="I1368" s="404">
        <f t="shared" si="85"/>
        <v>73404288</v>
      </c>
      <c r="J1368" s="403"/>
      <c r="K1368" s="404">
        <f t="shared" si="86"/>
        <v>0</v>
      </c>
      <c r="L1368" s="405">
        <f t="shared" si="87"/>
        <v>0</v>
      </c>
      <c r="M1368" s="403"/>
    </row>
    <row r="1369" spans="1:13" ht="15.75" x14ac:dyDescent="0.25">
      <c r="A1369" s="6" t="s">
        <v>4583</v>
      </c>
      <c r="B1369" s="7" t="s">
        <v>4584</v>
      </c>
      <c r="C1369" s="6" t="s">
        <v>6</v>
      </c>
      <c r="D1369" s="8">
        <v>10</v>
      </c>
      <c r="E1369" s="403"/>
      <c r="F1369" s="403">
        <f>BBNTHT!J1409</f>
        <v>0</v>
      </c>
      <c r="G1369" s="403">
        <f t="shared" si="84"/>
        <v>0</v>
      </c>
      <c r="H1369" s="9">
        <v>1585895</v>
      </c>
      <c r="I1369" s="404">
        <f t="shared" si="85"/>
        <v>15858950</v>
      </c>
      <c r="J1369" s="403"/>
      <c r="K1369" s="404">
        <f t="shared" si="86"/>
        <v>0</v>
      </c>
      <c r="L1369" s="405">
        <f t="shared" si="87"/>
        <v>0</v>
      </c>
      <c r="M1369" s="403"/>
    </row>
    <row r="1370" spans="1:13" ht="15.75" x14ac:dyDescent="0.25">
      <c r="A1370" s="6" t="s">
        <v>4585</v>
      </c>
      <c r="B1370" s="7" t="s">
        <v>4586</v>
      </c>
      <c r="C1370" s="6" t="s">
        <v>6</v>
      </c>
      <c r="D1370" s="8">
        <v>63</v>
      </c>
      <c r="E1370" s="403"/>
      <c r="F1370" s="403">
        <f>BBNTHT!J1410</f>
        <v>0</v>
      </c>
      <c r="G1370" s="403">
        <f t="shared" si="84"/>
        <v>0</v>
      </c>
      <c r="H1370" s="9">
        <v>709221</v>
      </c>
      <c r="I1370" s="404">
        <f t="shared" si="85"/>
        <v>44680923</v>
      </c>
      <c r="J1370" s="403"/>
      <c r="K1370" s="404">
        <f t="shared" si="86"/>
        <v>0</v>
      </c>
      <c r="L1370" s="405">
        <f t="shared" si="87"/>
        <v>0</v>
      </c>
      <c r="M1370" s="403"/>
    </row>
    <row r="1371" spans="1:13" ht="15.75" x14ac:dyDescent="0.25">
      <c r="A1371" s="6" t="s">
        <v>4587</v>
      </c>
      <c r="B1371" s="7" t="s">
        <v>4588</v>
      </c>
      <c r="C1371" s="6" t="s">
        <v>6</v>
      </c>
      <c r="D1371" s="8">
        <v>62</v>
      </c>
      <c r="E1371" s="403"/>
      <c r="F1371" s="403">
        <f>BBNTHT!J1411</f>
        <v>0</v>
      </c>
      <c r="G1371" s="403">
        <f t="shared" si="84"/>
        <v>0</v>
      </c>
      <c r="H1371" s="9">
        <v>827423</v>
      </c>
      <c r="I1371" s="404">
        <f t="shared" si="85"/>
        <v>51300226</v>
      </c>
      <c r="J1371" s="403"/>
      <c r="K1371" s="404">
        <f t="shared" si="86"/>
        <v>0</v>
      </c>
      <c r="L1371" s="405">
        <f t="shared" si="87"/>
        <v>0</v>
      </c>
      <c r="M1371" s="403"/>
    </row>
    <row r="1372" spans="1:13" ht="15.75" x14ac:dyDescent="0.25">
      <c r="A1372" s="6" t="s">
        <v>4589</v>
      </c>
      <c r="B1372" s="7" t="s">
        <v>4590</v>
      </c>
      <c r="C1372" s="6" t="s">
        <v>6</v>
      </c>
      <c r="D1372" s="8">
        <v>158</v>
      </c>
      <c r="E1372" s="403"/>
      <c r="F1372" s="403">
        <f>BBNTHT!J1412</f>
        <v>0</v>
      </c>
      <c r="G1372" s="403">
        <f t="shared" si="84"/>
        <v>0</v>
      </c>
      <c r="H1372" s="9">
        <v>827423</v>
      </c>
      <c r="I1372" s="404">
        <f t="shared" si="85"/>
        <v>130732834</v>
      </c>
      <c r="J1372" s="403"/>
      <c r="K1372" s="404">
        <f t="shared" si="86"/>
        <v>0</v>
      </c>
      <c r="L1372" s="405">
        <f t="shared" si="87"/>
        <v>0</v>
      </c>
      <c r="M1372" s="403"/>
    </row>
    <row r="1373" spans="1:13" ht="15.75" x14ac:dyDescent="0.25">
      <c r="A1373" s="6" t="s">
        <v>4591</v>
      </c>
      <c r="B1373" s="7" t="s">
        <v>4592</v>
      </c>
      <c r="C1373" s="6" t="s">
        <v>6</v>
      </c>
      <c r="D1373" s="8">
        <v>144</v>
      </c>
      <c r="E1373" s="403"/>
      <c r="F1373" s="403">
        <f>BBNTHT!J1413</f>
        <v>0</v>
      </c>
      <c r="G1373" s="403">
        <f t="shared" si="84"/>
        <v>0</v>
      </c>
      <c r="H1373" s="9">
        <v>827423</v>
      </c>
      <c r="I1373" s="404">
        <f t="shared" si="85"/>
        <v>119148912</v>
      </c>
      <c r="J1373" s="403"/>
      <c r="K1373" s="404">
        <f t="shared" si="86"/>
        <v>0</v>
      </c>
      <c r="L1373" s="405">
        <f t="shared" si="87"/>
        <v>0</v>
      </c>
      <c r="M1373" s="403"/>
    </row>
    <row r="1374" spans="1:13" ht="15.75" x14ac:dyDescent="0.25">
      <c r="A1374" s="6" t="s">
        <v>4593</v>
      </c>
      <c r="B1374" s="7" t="s">
        <v>4594</v>
      </c>
      <c r="C1374" s="6" t="s">
        <v>6</v>
      </c>
      <c r="D1374" s="8">
        <v>22</v>
      </c>
      <c r="E1374" s="403"/>
      <c r="F1374" s="403">
        <f>BBNTHT!J1414</f>
        <v>0</v>
      </c>
      <c r="G1374" s="403">
        <f t="shared" si="84"/>
        <v>0</v>
      </c>
      <c r="H1374" s="9">
        <v>561466</v>
      </c>
      <c r="I1374" s="404">
        <f t="shared" si="85"/>
        <v>12352252</v>
      </c>
      <c r="J1374" s="403"/>
      <c r="K1374" s="404">
        <f t="shared" si="86"/>
        <v>0</v>
      </c>
      <c r="L1374" s="405">
        <f t="shared" si="87"/>
        <v>0</v>
      </c>
      <c r="M1374" s="403"/>
    </row>
    <row r="1375" spans="1:13" ht="15.75" x14ac:dyDescent="0.25">
      <c r="A1375" s="6" t="s">
        <v>4595</v>
      </c>
      <c r="B1375" s="7" t="s">
        <v>4596</v>
      </c>
      <c r="C1375" s="6" t="s">
        <v>9</v>
      </c>
      <c r="D1375" s="8">
        <v>2</v>
      </c>
      <c r="E1375" s="403"/>
      <c r="F1375" s="403">
        <f>BBNTHT!J1415</f>
        <v>0</v>
      </c>
      <c r="G1375" s="403">
        <f t="shared" si="84"/>
        <v>0</v>
      </c>
      <c r="H1375" s="9">
        <v>6672086</v>
      </c>
      <c r="I1375" s="404">
        <f t="shared" si="85"/>
        <v>13344172</v>
      </c>
      <c r="J1375" s="403"/>
      <c r="K1375" s="404">
        <f t="shared" si="86"/>
        <v>0</v>
      </c>
      <c r="L1375" s="405">
        <f t="shared" si="87"/>
        <v>0</v>
      </c>
      <c r="M1375" s="403"/>
    </row>
    <row r="1376" spans="1:13" ht="15.75" x14ac:dyDescent="0.25">
      <c r="A1376" s="6" t="s">
        <v>4597</v>
      </c>
      <c r="B1376" s="7" t="s">
        <v>4598</v>
      </c>
      <c r="C1376" s="6" t="s">
        <v>9</v>
      </c>
      <c r="D1376" s="8">
        <v>4</v>
      </c>
      <c r="E1376" s="403"/>
      <c r="F1376" s="403">
        <f>BBNTHT!J1416</f>
        <v>0</v>
      </c>
      <c r="G1376" s="403">
        <f t="shared" si="84"/>
        <v>0</v>
      </c>
      <c r="H1376" s="9">
        <v>5867812</v>
      </c>
      <c r="I1376" s="404">
        <f t="shared" si="85"/>
        <v>23471248</v>
      </c>
      <c r="J1376" s="403"/>
      <c r="K1376" s="404">
        <f t="shared" si="86"/>
        <v>0</v>
      </c>
      <c r="L1376" s="405">
        <f t="shared" si="87"/>
        <v>0</v>
      </c>
      <c r="M1376" s="403"/>
    </row>
    <row r="1377" spans="1:13" ht="15.75" x14ac:dyDescent="0.25">
      <c r="A1377" s="6" t="s">
        <v>4599</v>
      </c>
      <c r="B1377" s="7" t="s">
        <v>4600</v>
      </c>
      <c r="C1377" s="6" t="s">
        <v>9</v>
      </c>
      <c r="D1377" s="8">
        <v>2</v>
      </c>
      <c r="E1377" s="403"/>
      <c r="F1377" s="403">
        <f>BBNTHT!J1417</f>
        <v>0</v>
      </c>
      <c r="G1377" s="403">
        <f t="shared" si="84"/>
        <v>0</v>
      </c>
      <c r="H1377" s="9">
        <v>7306444</v>
      </c>
      <c r="I1377" s="404">
        <f t="shared" si="85"/>
        <v>14612888</v>
      </c>
      <c r="J1377" s="403"/>
      <c r="K1377" s="404">
        <f t="shared" si="86"/>
        <v>0</v>
      </c>
      <c r="L1377" s="405">
        <f t="shared" si="87"/>
        <v>0</v>
      </c>
      <c r="M1377" s="403"/>
    </row>
    <row r="1378" spans="1:13" ht="15.75" x14ac:dyDescent="0.25">
      <c r="A1378" s="6" t="s">
        <v>4601</v>
      </c>
      <c r="B1378" s="7" t="s">
        <v>4602</v>
      </c>
      <c r="C1378" s="6" t="s">
        <v>9</v>
      </c>
      <c r="D1378" s="8">
        <v>7</v>
      </c>
      <c r="E1378" s="403"/>
      <c r="F1378" s="403">
        <f>BBNTHT!J1418</f>
        <v>0</v>
      </c>
      <c r="G1378" s="403">
        <f t="shared" si="84"/>
        <v>0</v>
      </c>
      <c r="H1378" s="9">
        <v>5539304</v>
      </c>
      <c r="I1378" s="404">
        <f t="shared" si="85"/>
        <v>38775128</v>
      </c>
      <c r="J1378" s="403"/>
      <c r="K1378" s="404">
        <f t="shared" si="86"/>
        <v>0</v>
      </c>
      <c r="L1378" s="405">
        <f t="shared" si="87"/>
        <v>0</v>
      </c>
      <c r="M1378" s="403"/>
    </row>
    <row r="1379" spans="1:13" ht="15.75" x14ac:dyDescent="0.25">
      <c r="A1379" s="6" t="s">
        <v>4603</v>
      </c>
      <c r="B1379" s="7" t="s">
        <v>4604</v>
      </c>
      <c r="C1379" s="6" t="s">
        <v>9</v>
      </c>
      <c r="D1379" s="8">
        <v>3</v>
      </c>
      <c r="E1379" s="403"/>
      <c r="F1379" s="403">
        <f>BBNTHT!J1419</f>
        <v>0</v>
      </c>
      <c r="G1379" s="403">
        <f t="shared" si="84"/>
        <v>0</v>
      </c>
      <c r="H1379" s="9">
        <v>6139679</v>
      </c>
      <c r="I1379" s="404">
        <f t="shared" si="85"/>
        <v>18419037</v>
      </c>
      <c r="J1379" s="403"/>
      <c r="K1379" s="404">
        <f t="shared" si="86"/>
        <v>0</v>
      </c>
      <c r="L1379" s="405">
        <f t="shared" si="87"/>
        <v>0</v>
      </c>
      <c r="M1379" s="403"/>
    </row>
    <row r="1380" spans="1:13" ht="15.75" x14ac:dyDescent="0.25">
      <c r="A1380" s="6" t="s">
        <v>4605</v>
      </c>
      <c r="B1380" s="7" t="s">
        <v>4606</v>
      </c>
      <c r="C1380" s="6" t="s">
        <v>9</v>
      </c>
      <c r="D1380" s="8">
        <v>3</v>
      </c>
      <c r="E1380" s="403"/>
      <c r="F1380" s="403">
        <f>BBNTHT!J1420</f>
        <v>0</v>
      </c>
      <c r="G1380" s="403">
        <f t="shared" si="84"/>
        <v>0</v>
      </c>
      <c r="H1380" s="9">
        <v>5063536</v>
      </c>
      <c r="I1380" s="404">
        <f t="shared" si="85"/>
        <v>15190608</v>
      </c>
      <c r="J1380" s="403"/>
      <c r="K1380" s="404">
        <f t="shared" si="86"/>
        <v>0</v>
      </c>
      <c r="L1380" s="405">
        <f t="shared" si="87"/>
        <v>0</v>
      </c>
      <c r="M1380" s="403"/>
    </row>
    <row r="1381" spans="1:13" ht="15.75" x14ac:dyDescent="0.25">
      <c r="A1381" s="6" t="s">
        <v>4607</v>
      </c>
      <c r="B1381" s="7" t="s">
        <v>4608</v>
      </c>
      <c r="C1381" s="6" t="s">
        <v>9</v>
      </c>
      <c r="D1381" s="8">
        <v>24</v>
      </c>
      <c r="E1381" s="403"/>
      <c r="F1381" s="403">
        <f>BBNTHT!J1421</f>
        <v>0</v>
      </c>
      <c r="G1381" s="403">
        <f t="shared" si="84"/>
        <v>0</v>
      </c>
      <c r="H1381" s="9">
        <v>4089344</v>
      </c>
      <c r="I1381" s="404">
        <f t="shared" si="85"/>
        <v>98144256</v>
      </c>
      <c r="J1381" s="403"/>
      <c r="K1381" s="404">
        <f t="shared" si="86"/>
        <v>0</v>
      </c>
      <c r="L1381" s="405">
        <f t="shared" si="87"/>
        <v>0</v>
      </c>
      <c r="M1381" s="403"/>
    </row>
    <row r="1382" spans="1:13" ht="15.75" x14ac:dyDescent="0.25">
      <c r="A1382" s="6" t="s">
        <v>4609</v>
      </c>
      <c r="B1382" s="7" t="s">
        <v>4608</v>
      </c>
      <c r="C1382" s="6" t="s">
        <v>9</v>
      </c>
      <c r="D1382" s="8">
        <v>3</v>
      </c>
      <c r="E1382" s="403"/>
      <c r="F1382" s="403">
        <f>BBNTHT!J1422</f>
        <v>0</v>
      </c>
      <c r="G1382" s="403">
        <f t="shared" si="84"/>
        <v>0</v>
      </c>
      <c r="H1382" s="9">
        <v>4089344</v>
      </c>
      <c r="I1382" s="404">
        <f t="shared" si="85"/>
        <v>12268032</v>
      </c>
      <c r="J1382" s="403"/>
      <c r="K1382" s="404">
        <f t="shared" si="86"/>
        <v>0</v>
      </c>
      <c r="L1382" s="405">
        <f t="shared" si="87"/>
        <v>0</v>
      </c>
      <c r="M1382" s="403"/>
    </row>
    <row r="1383" spans="1:13" ht="15.75" x14ac:dyDescent="0.25">
      <c r="A1383" s="6" t="s">
        <v>4610</v>
      </c>
      <c r="B1383" s="7" t="s">
        <v>4611</v>
      </c>
      <c r="C1383" s="6" t="s">
        <v>9</v>
      </c>
      <c r="D1383" s="8">
        <v>1</v>
      </c>
      <c r="E1383" s="403"/>
      <c r="F1383" s="403">
        <f>BBNTHT!J1423</f>
        <v>0</v>
      </c>
      <c r="G1383" s="403">
        <f t="shared" si="84"/>
        <v>0</v>
      </c>
      <c r="H1383" s="9">
        <v>1642534</v>
      </c>
      <c r="I1383" s="404">
        <f t="shared" si="85"/>
        <v>1642534</v>
      </c>
      <c r="J1383" s="403"/>
      <c r="K1383" s="404">
        <f t="shared" si="86"/>
        <v>0</v>
      </c>
      <c r="L1383" s="405">
        <f t="shared" si="87"/>
        <v>0</v>
      </c>
      <c r="M1383" s="403"/>
    </row>
    <row r="1384" spans="1:13" ht="15.75" x14ac:dyDescent="0.25">
      <c r="A1384" s="6" t="s">
        <v>4612</v>
      </c>
      <c r="B1384" s="7" t="s">
        <v>4613</v>
      </c>
      <c r="C1384" s="6" t="s">
        <v>9</v>
      </c>
      <c r="D1384" s="8">
        <v>3</v>
      </c>
      <c r="E1384" s="403"/>
      <c r="F1384" s="403">
        <f>BBNTHT!J1424</f>
        <v>0</v>
      </c>
      <c r="G1384" s="403">
        <f t="shared" si="84"/>
        <v>0</v>
      </c>
      <c r="H1384" s="9">
        <v>1529256</v>
      </c>
      <c r="I1384" s="404">
        <f t="shared" si="85"/>
        <v>4587768</v>
      </c>
      <c r="J1384" s="403"/>
      <c r="K1384" s="404">
        <f t="shared" si="86"/>
        <v>0</v>
      </c>
      <c r="L1384" s="405">
        <f t="shared" si="87"/>
        <v>0</v>
      </c>
      <c r="M1384" s="403"/>
    </row>
    <row r="1385" spans="1:13" ht="15.75" x14ac:dyDescent="0.25">
      <c r="A1385" s="6" t="s">
        <v>4614</v>
      </c>
      <c r="B1385" s="7" t="s">
        <v>4615</v>
      </c>
      <c r="C1385" s="6" t="s">
        <v>9</v>
      </c>
      <c r="D1385" s="8">
        <v>1</v>
      </c>
      <c r="E1385" s="403"/>
      <c r="F1385" s="403">
        <f>BBNTHT!J1425</f>
        <v>0</v>
      </c>
      <c r="G1385" s="403">
        <f t="shared" si="84"/>
        <v>0</v>
      </c>
      <c r="H1385" s="9">
        <v>1472617</v>
      </c>
      <c r="I1385" s="404">
        <f t="shared" si="85"/>
        <v>1472617</v>
      </c>
      <c r="J1385" s="403"/>
      <c r="K1385" s="404">
        <f t="shared" si="86"/>
        <v>0</v>
      </c>
      <c r="L1385" s="405">
        <f t="shared" si="87"/>
        <v>0</v>
      </c>
      <c r="M1385" s="403"/>
    </row>
    <row r="1386" spans="1:13" ht="15.75" x14ac:dyDescent="0.25">
      <c r="A1386" s="6" t="s">
        <v>4616</v>
      </c>
      <c r="B1386" s="7" t="s">
        <v>4615</v>
      </c>
      <c r="C1386" s="6" t="s">
        <v>9</v>
      </c>
      <c r="D1386" s="8">
        <v>2</v>
      </c>
      <c r="E1386" s="403"/>
      <c r="F1386" s="403">
        <f>BBNTHT!J1426</f>
        <v>0</v>
      </c>
      <c r="G1386" s="403">
        <f t="shared" si="84"/>
        <v>0</v>
      </c>
      <c r="H1386" s="9">
        <v>1472617</v>
      </c>
      <c r="I1386" s="404">
        <f t="shared" si="85"/>
        <v>2945234</v>
      </c>
      <c r="J1386" s="403"/>
      <c r="K1386" s="404">
        <f t="shared" si="86"/>
        <v>0</v>
      </c>
      <c r="L1386" s="405">
        <f t="shared" si="87"/>
        <v>0</v>
      </c>
      <c r="M1386" s="403"/>
    </row>
    <row r="1387" spans="1:13" ht="15.75" x14ac:dyDescent="0.25">
      <c r="A1387" s="6" t="s">
        <v>4617</v>
      </c>
      <c r="B1387" s="7" t="s">
        <v>4618</v>
      </c>
      <c r="C1387" s="6" t="s">
        <v>9</v>
      </c>
      <c r="D1387" s="8">
        <v>1</v>
      </c>
      <c r="E1387" s="403"/>
      <c r="F1387" s="403">
        <f>BBNTHT!J1427</f>
        <v>0</v>
      </c>
      <c r="G1387" s="403">
        <f t="shared" si="84"/>
        <v>0</v>
      </c>
      <c r="H1387" s="9">
        <v>679669</v>
      </c>
      <c r="I1387" s="404">
        <f t="shared" si="85"/>
        <v>679669</v>
      </c>
      <c r="J1387" s="403"/>
      <c r="K1387" s="404">
        <f t="shared" si="86"/>
        <v>0</v>
      </c>
      <c r="L1387" s="405">
        <f t="shared" si="87"/>
        <v>0</v>
      </c>
      <c r="M1387" s="403"/>
    </row>
    <row r="1388" spans="1:13" ht="15.75" x14ac:dyDescent="0.25">
      <c r="A1388" s="6" t="s">
        <v>4619</v>
      </c>
      <c r="B1388" s="7" t="s">
        <v>4620</v>
      </c>
      <c r="C1388" s="6" t="s">
        <v>9</v>
      </c>
      <c r="D1388" s="8">
        <v>46</v>
      </c>
      <c r="E1388" s="403"/>
      <c r="F1388" s="403">
        <f>BBNTHT!J1428</f>
        <v>0</v>
      </c>
      <c r="G1388" s="403">
        <f t="shared" si="84"/>
        <v>0</v>
      </c>
      <c r="H1388" s="9">
        <v>543735</v>
      </c>
      <c r="I1388" s="404">
        <f t="shared" si="85"/>
        <v>25011810</v>
      </c>
      <c r="J1388" s="403"/>
      <c r="K1388" s="404">
        <f t="shared" si="86"/>
        <v>0</v>
      </c>
      <c r="L1388" s="405">
        <f t="shared" si="87"/>
        <v>0</v>
      </c>
      <c r="M1388" s="403"/>
    </row>
    <row r="1389" spans="1:13" ht="15.75" x14ac:dyDescent="0.25">
      <c r="A1389" s="6" t="s">
        <v>4621</v>
      </c>
      <c r="B1389" s="7" t="s">
        <v>4622</v>
      </c>
      <c r="C1389" s="6" t="s">
        <v>9</v>
      </c>
      <c r="D1389" s="8">
        <v>1</v>
      </c>
      <c r="E1389" s="403"/>
      <c r="F1389" s="403">
        <f>BBNTHT!J1429</f>
        <v>0</v>
      </c>
      <c r="G1389" s="403">
        <f t="shared" si="84"/>
        <v>0</v>
      </c>
      <c r="H1389" s="9">
        <v>498424</v>
      </c>
      <c r="I1389" s="404">
        <f t="shared" si="85"/>
        <v>498424</v>
      </c>
      <c r="J1389" s="403"/>
      <c r="K1389" s="404">
        <f t="shared" si="86"/>
        <v>0</v>
      </c>
      <c r="L1389" s="405">
        <f t="shared" si="87"/>
        <v>0</v>
      </c>
      <c r="M1389" s="403"/>
    </row>
    <row r="1390" spans="1:13" ht="15.75" x14ac:dyDescent="0.25">
      <c r="A1390" s="6" t="s">
        <v>4623</v>
      </c>
      <c r="B1390" s="7" t="s">
        <v>4624</v>
      </c>
      <c r="C1390" s="6" t="s">
        <v>9</v>
      </c>
      <c r="D1390" s="8">
        <v>2</v>
      </c>
      <c r="E1390" s="403"/>
      <c r="F1390" s="403">
        <f>BBNTHT!J1430</f>
        <v>0</v>
      </c>
      <c r="G1390" s="403">
        <f t="shared" si="84"/>
        <v>0</v>
      </c>
      <c r="H1390" s="9">
        <v>918539</v>
      </c>
      <c r="I1390" s="404">
        <f t="shared" si="85"/>
        <v>1837078</v>
      </c>
      <c r="J1390" s="403"/>
      <c r="K1390" s="404">
        <f t="shared" si="86"/>
        <v>0</v>
      </c>
      <c r="L1390" s="405">
        <f t="shared" si="87"/>
        <v>0</v>
      </c>
      <c r="M1390" s="403"/>
    </row>
    <row r="1391" spans="1:13" ht="15.75" x14ac:dyDescent="0.25">
      <c r="A1391" s="6" t="s">
        <v>4625</v>
      </c>
      <c r="B1391" s="7" t="s">
        <v>4626</v>
      </c>
      <c r="C1391" s="6" t="s">
        <v>9</v>
      </c>
      <c r="D1391" s="8">
        <v>4</v>
      </c>
      <c r="E1391" s="403"/>
      <c r="F1391" s="403">
        <f>BBNTHT!J1431</f>
        <v>0</v>
      </c>
      <c r="G1391" s="403">
        <f t="shared" si="84"/>
        <v>0</v>
      </c>
      <c r="H1391" s="9">
        <v>831118</v>
      </c>
      <c r="I1391" s="404">
        <f t="shared" si="85"/>
        <v>3324472</v>
      </c>
      <c r="J1391" s="403"/>
      <c r="K1391" s="404">
        <f t="shared" si="86"/>
        <v>0</v>
      </c>
      <c r="L1391" s="405">
        <f t="shared" si="87"/>
        <v>0</v>
      </c>
      <c r="M1391" s="403"/>
    </row>
    <row r="1392" spans="1:13" ht="15.75" x14ac:dyDescent="0.25">
      <c r="A1392" s="6" t="s">
        <v>4627</v>
      </c>
      <c r="B1392" s="7" t="s">
        <v>4628</v>
      </c>
      <c r="C1392" s="6" t="s">
        <v>9</v>
      </c>
      <c r="D1392" s="8">
        <v>4</v>
      </c>
      <c r="E1392" s="403"/>
      <c r="F1392" s="403">
        <f>BBNTHT!J1432</f>
        <v>0</v>
      </c>
      <c r="G1392" s="403">
        <f t="shared" si="84"/>
        <v>0</v>
      </c>
      <c r="H1392" s="9">
        <v>730152</v>
      </c>
      <c r="I1392" s="404">
        <f t="shared" si="85"/>
        <v>2920608</v>
      </c>
      <c r="J1392" s="403"/>
      <c r="K1392" s="404">
        <f t="shared" si="86"/>
        <v>0</v>
      </c>
      <c r="L1392" s="405">
        <f t="shared" si="87"/>
        <v>0</v>
      </c>
      <c r="M1392" s="403"/>
    </row>
    <row r="1393" spans="1:13" ht="15.75" x14ac:dyDescent="0.25">
      <c r="A1393" s="6" t="s">
        <v>4629</v>
      </c>
      <c r="B1393" s="7" t="s">
        <v>4630</v>
      </c>
      <c r="C1393" s="6" t="s">
        <v>9</v>
      </c>
      <c r="D1393" s="8">
        <v>4</v>
      </c>
      <c r="E1393" s="403"/>
      <c r="F1393" s="403">
        <f>BBNTHT!J1433</f>
        <v>0</v>
      </c>
      <c r="G1393" s="403">
        <f t="shared" si="84"/>
        <v>0</v>
      </c>
      <c r="H1393" s="9">
        <v>661200</v>
      </c>
      <c r="I1393" s="404">
        <f t="shared" si="85"/>
        <v>2644800</v>
      </c>
      <c r="J1393" s="403"/>
      <c r="K1393" s="404">
        <f t="shared" si="86"/>
        <v>0</v>
      </c>
      <c r="L1393" s="405">
        <f t="shared" si="87"/>
        <v>0</v>
      </c>
      <c r="M1393" s="403"/>
    </row>
    <row r="1394" spans="1:13" ht="15.75" x14ac:dyDescent="0.25">
      <c r="A1394" s="6" t="s">
        <v>4631</v>
      </c>
      <c r="B1394" s="7" t="s">
        <v>4632</v>
      </c>
      <c r="C1394" s="6" t="s">
        <v>9</v>
      </c>
      <c r="D1394" s="8">
        <v>2</v>
      </c>
      <c r="E1394" s="403"/>
      <c r="F1394" s="403">
        <f>BBNTHT!J1434</f>
        <v>0</v>
      </c>
      <c r="G1394" s="403">
        <f t="shared" si="84"/>
        <v>0</v>
      </c>
      <c r="H1394" s="9">
        <v>2340673</v>
      </c>
      <c r="I1394" s="404">
        <f t="shared" si="85"/>
        <v>4681346</v>
      </c>
      <c r="J1394" s="403"/>
      <c r="K1394" s="404">
        <f t="shared" si="86"/>
        <v>0</v>
      </c>
      <c r="L1394" s="405">
        <f t="shared" si="87"/>
        <v>0</v>
      </c>
      <c r="M1394" s="403"/>
    </row>
    <row r="1395" spans="1:13" ht="15.75" x14ac:dyDescent="0.25">
      <c r="A1395" s="6" t="s">
        <v>4633</v>
      </c>
      <c r="B1395" s="7" t="s">
        <v>4634</v>
      </c>
      <c r="C1395" s="6" t="s">
        <v>9</v>
      </c>
      <c r="D1395" s="8">
        <v>2</v>
      </c>
      <c r="E1395" s="403"/>
      <c r="F1395" s="403">
        <f>BBNTHT!J1435</f>
        <v>0</v>
      </c>
      <c r="G1395" s="403">
        <f t="shared" si="84"/>
        <v>0</v>
      </c>
      <c r="H1395" s="9">
        <v>4198682</v>
      </c>
      <c r="I1395" s="404">
        <f t="shared" si="85"/>
        <v>8397364</v>
      </c>
      <c r="J1395" s="403"/>
      <c r="K1395" s="404">
        <f t="shared" si="86"/>
        <v>0</v>
      </c>
      <c r="L1395" s="405">
        <f t="shared" si="87"/>
        <v>0</v>
      </c>
      <c r="M1395" s="403"/>
    </row>
    <row r="1396" spans="1:13" ht="31.5" x14ac:dyDescent="0.25">
      <c r="A1396" s="6" t="s">
        <v>4635</v>
      </c>
      <c r="B1396" s="7" t="s">
        <v>4636</v>
      </c>
      <c r="C1396" s="6" t="s">
        <v>9</v>
      </c>
      <c r="D1396" s="8">
        <v>72</v>
      </c>
      <c r="E1396" s="403"/>
      <c r="F1396" s="403">
        <f>BBNTHT!J1436</f>
        <v>0</v>
      </c>
      <c r="G1396" s="403">
        <f t="shared" si="84"/>
        <v>0</v>
      </c>
      <c r="H1396" s="9">
        <v>726458</v>
      </c>
      <c r="I1396" s="404">
        <f t="shared" si="85"/>
        <v>52304976</v>
      </c>
      <c r="J1396" s="403"/>
      <c r="K1396" s="404">
        <f t="shared" si="86"/>
        <v>0</v>
      </c>
      <c r="L1396" s="405">
        <f t="shared" si="87"/>
        <v>0</v>
      </c>
      <c r="M1396" s="403"/>
    </row>
    <row r="1397" spans="1:13" ht="31.5" x14ac:dyDescent="0.25">
      <c r="A1397" s="6" t="s">
        <v>4637</v>
      </c>
      <c r="B1397" s="7" t="s">
        <v>4638</v>
      </c>
      <c r="C1397" s="6" t="s">
        <v>9</v>
      </c>
      <c r="D1397" s="8">
        <v>76</v>
      </c>
      <c r="E1397" s="403"/>
      <c r="F1397" s="403">
        <f>BBNTHT!J1437</f>
        <v>0</v>
      </c>
      <c r="G1397" s="403">
        <f t="shared" si="84"/>
        <v>0</v>
      </c>
      <c r="H1397" s="9">
        <v>316441</v>
      </c>
      <c r="I1397" s="404">
        <f t="shared" si="85"/>
        <v>24049516</v>
      </c>
      <c r="J1397" s="403"/>
      <c r="K1397" s="404">
        <f t="shared" si="86"/>
        <v>0</v>
      </c>
      <c r="L1397" s="405">
        <f t="shared" si="87"/>
        <v>0</v>
      </c>
      <c r="M1397" s="403"/>
    </row>
    <row r="1398" spans="1:13" ht="47.25" x14ac:dyDescent="0.25">
      <c r="A1398" s="6" t="s">
        <v>4639</v>
      </c>
      <c r="B1398" s="7" t="s">
        <v>4447</v>
      </c>
      <c r="C1398" s="6" t="s">
        <v>9</v>
      </c>
      <c r="D1398" s="8">
        <v>1</v>
      </c>
      <c r="E1398" s="403"/>
      <c r="F1398" s="403">
        <f>BBNTHT!J1438</f>
        <v>0</v>
      </c>
      <c r="G1398" s="403">
        <f t="shared" si="84"/>
        <v>0</v>
      </c>
      <c r="H1398" s="9">
        <v>9301073</v>
      </c>
      <c r="I1398" s="404">
        <f t="shared" si="85"/>
        <v>9301073</v>
      </c>
      <c r="J1398" s="403"/>
      <c r="K1398" s="404">
        <f t="shared" si="86"/>
        <v>0</v>
      </c>
      <c r="L1398" s="405">
        <f t="shared" si="87"/>
        <v>0</v>
      </c>
      <c r="M1398" s="403"/>
    </row>
    <row r="1399" spans="1:13" ht="47.25" x14ac:dyDescent="0.25">
      <c r="A1399" s="6" t="s">
        <v>4640</v>
      </c>
      <c r="B1399" s="7" t="s">
        <v>4449</v>
      </c>
      <c r="C1399" s="6" t="s">
        <v>9</v>
      </c>
      <c r="D1399" s="8">
        <v>1</v>
      </c>
      <c r="E1399" s="403"/>
      <c r="F1399" s="403">
        <f>BBNTHT!J1439</f>
        <v>0</v>
      </c>
      <c r="G1399" s="403">
        <f t="shared" si="84"/>
        <v>0</v>
      </c>
      <c r="H1399" s="9">
        <v>9743981</v>
      </c>
      <c r="I1399" s="404">
        <f t="shared" si="85"/>
        <v>9743981</v>
      </c>
      <c r="J1399" s="403"/>
      <c r="K1399" s="404">
        <f t="shared" si="86"/>
        <v>0</v>
      </c>
      <c r="L1399" s="405">
        <f t="shared" si="87"/>
        <v>0</v>
      </c>
      <c r="M1399" s="403"/>
    </row>
    <row r="1400" spans="1:13" ht="47.25" x14ac:dyDescent="0.25">
      <c r="A1400" s="6" t="s">
        <v>4641</v>
      </c>
      <c r="B1400" s="7" t="s">
        <v>4451</v>
      </c>
      <c r="C1400" s="6" t="s">
        <v>9</v>
      </c>
      <c r="D1400" s="8">
        <v>1</v>
      </c>
      <c r="E1400" s="403"/>
      <c r="F1400" s="403">
        <f>BBNTHT!J1440</f>
        <v>0</v>
      </c>
      <c r="G1400" s="403">
        <f t="shared" si="84"/>
        <v>0</v>
      </c>
      <c r="H1400" s="9">
        <v>13287247</v>
      </c>
      <c r="I1400" s="404">
        <f t="shared" si="85"/>
        <v>13287247</v>
      </c>
      <c r="J1400" s="403"/>
      <c r="K1400" s="404">
        <f t="shared" si="86"/>
        <v>0</v>
      </c>
      <c r="L1400" s="405">
        <f t="shared" si="87"/>
        <v>0</v>
      </c>
      <c r="M1400" s="403"/>
    </row>
    <row r="1401" spans="1:13" ht="47.25" x14ac:dyDescent="0.25">
      <c r="A1401" s="6" t="s">
        <v>4642</v>
      </c>
      <c r="B1401" s="7" t="s">
        <v>4453</v>
      </c>
      <c r="C1401" s="6" t="s">
        <v>9</v>
      </c>
      <c r="D1401" s="8">
        <v>2</v>
      </c>
      <c r="E1401" s="403"/>
      <c r="F1401" s="403">
        <f>BBNTHT!J1441</f>
        <v>0</v>
      </c>
      <c r="G1401" s="403">
        <f t="shared" si="84"/>
        <v>0</v>
      </c>
      <c r="H1401" s="9">
        <v>12401431</v>
      </c>
      <c r="I1401" s="404">
        <f t="shared" si="85"/>
        <v>24802862</v>
      </c>
      <c r="J1401" s="403"/>
      <c r="K1401" s="404">
        <f t="shared" si="86"/>
        <v>0</v>
      </c>
      <c r="L1401" s="405">
        <f t="shared" si="87"/>
        <v>0</v>
      </c>
      <c r="M1401" s="403"/>
    </row>
    <row r="1402" spans="1:13" ht="47.25" x14ac:dyDescent="0.25">
      <c r="A1402" s="6" t="s">
        <v>4643</v>
      </c>
      <c r="B1402" s="7" t="s">
        <v>4455</v>
      </c>
      <c r="C1402" s="6" t="s">
        <v>9</v>
      </c>
      <c r="D1402" s="8">
        <v>1</v>
      </c>
      <c r="E1402" s="403"/>
      <c r="F1402" s="403">
        <f>BBNTHT!J1442</f>
        <v>0</v>
      </c>
      <c r="G1402" s="403">
        <f t="shared" si="84"/>
        <v>0</v>
      </c>
      <c r="H1402" s="9">
        <v>13287247</v>
      </c>
      <c r="I1402" s="404">
        <f t="shared" si="85"/>
        <v>13287247</v>
      </c>
      <c r="J1402" s="403"/>
      <c r="K1402" s="404">
        <f t="shared" si="86"/>
        <v>0</v>
      </c>
      <c r="L1402" s="405">
        <f t="shared" si="87"/>
        <v>0</v>
      </c>
      <c r="M1402" s="403"/>
    </row>
    <row r="1403" spans="1:13" ht="47.25" x14ac:dyDescent="0.25">
      <c r="A1403" s="6" t="s">
        <v>4644</v>
      </c>
      <c r="B1403" s="7" t="s">
        <v>4457</v>
      </c>
      <c r="C1403" s="6" t="s">
        <v>9</v>
      </c>
      <c r="D1403" s="8">
        <v>1</v>
      </c>
      <c r="E1403" s="403"/>
      <c r="F1403" s="403">
        <f>BBNTHT!J1443</f>
        <v>0</v>
      </c>
      <c r="G1403" s="403">
        <f t="shared" si="84"/>
        <v>0</v>
      </c>
      <c r="H1403" s="9">
        <v>13287247</v>
      </c>
      <c r="I1403" s="404">
        <f t="shared" si="85"/>
        <v>13287247</v>
      </c>
      <c r="J1403" s="403"/>
      <c r="K1403" s="404">
        <f t="shared" si="86"/>
        <v>0</v>
      </c>
      <c r="L1403" s="405">
        <f t="shared" si="87"/>
        <v>0</v>
      </c>
      <c r="M1403" s="403"/>
    </row>
    <row r="1404" spans="1:13" ht="47.25" x14ac:dyDescent="0.25">
      <c r="A1404" s="6" t="s">
        <v>4645</v>
      </c>
      <c r="B1404" s="7" t="s">
        <v>4459</v>
      </c>
      <c r="C1404" s="6" t="s">
        <v>9</v>
      </c>
      <c r="D1404" s="8">
        <v>2</v>
      </c>
      <c r="E1404" s="403"/>
      <c r="F1404" s="403">
        <f>BBNTHT!J1444</f>
        <v>0</v>
      </c>
      <c r="G1404" s="403">
        <f t="shared" si="84"/>
        <v>0</v>
      </c>
      <c r="H1404" s="9">
        <v>10629798</v>
      </c>
      <c r="I1404" s="404">
        <f t="shared" si="85"/>
        <v>21259596</v>
      </c>
      <c r="J1404" s="403"/>
      <c r="K1404" s="404">
        <f t="shared" si="86"/>
        <v>0</v>
      </c>
      <c r="L1404" s="405">
        <f t="shared" si="87"/>
        <v>0</v>
      </c>
      <c r="M1404" s="403"/>
    </row>
    <row r="1405" spans="1:13" ht="47.25" x14ac:dyDescent="0.25">
      <c r="A1405" s="6" t="s">
        <v>4646</v>
      </c>
      <c r="B1405" s="7" t="s">
        <v>4461</v>
      </c>
      <c r="C1405" s="6" t="s">
        <v>9</v>
      </c>
      <c r="D1405" s="8">
        <v>1</v>
      </c>
      <c r="E1405" s="403"/>
      <c r="F1405" s="403">
        <f>BBNTHT!J1445</f>
        <v>0</v>
      </c>
      <c r="G1405" s="403">
        <f t="shared" si="84"/>
        <v>0</v>
      </c>
      <c r="H1405" s="9">
        <v>10629798</v>
      </c>
      <c r="I1405" s="404">
        <f t="shared" si="85"/>
        <v>10629798</v>
      </c>
      <c r="J1405" s="403"/>
      <c r="K1405" s="404">
        <f t="shared" si="86"/>
        <v>0</v>
      </c>
      <c r="L1405" s="405">
        <f t="shared" si="87"/>
        <v>0</v>
      </c>
      <c r="M1405" s="403"/>
    </row>
    <row r="1406" spans="1:13" ht="47.25" x14ac:dyDescent="0.25">
      <c r="A1406" s="6" t="s">
        <v>4647</v>
      </c>
      <c r="B1406" s="7" t="s">
        <v>4463</v>
      </c>
      <c r="C1406" s="6" t="s">
        <v>9</v>
      </c>
      <c r="D1406" s="8">
        <v>1</v>
      </c>
      <c r="E1406" s="403"/>
      <c r="F1406" s="403">
        <f>BBNTHT!J1446</f>
        <v>0</v>
      </c>
      <c r="G1406" s="403">
        <f t="shared" si="84"/>
        <v>0</v>
      </c>
      <c r="H1406" s="9">
        <v>10629798</v>
      </c>
      <c r="I1406" s="404">
        <f t="shared" si="85"/>
        <v>10629798</v>
      </c>
      <c r="J1406" s="403"/>
      <c r="K1406" s="404">
        <f t="shared" si="86"/>
        <v>0</v>
      </c>
      <c r="L1406" s="405">
        <f t="shared" si="87"/>
        <v>0</v>
      </c>
      <c r="M1406" s="403"/>
    </row>
    <row r="1407" spans="1:13" ht="47.25" x14ac:dyDescent="0.25">
      <c r="A1407" s="6" t="s">
        <v>4648</v>
      </c>
      <c r="B1407" s="7" t="s">
        <v>4465</v>
      </c>
      <c r="C1407" s="6" t="s">
        <v>9</v>
      </c>
      <c r="D1407" s="8">
        <v>1</v>
      </c>
      <c r="E1407" s="403"/>
      <c r="F1407" s="403">
        <f>BBNTHT!J1447</f>
        <v>0</v>
      </c>
      <c r="G1407" s="403">
        <f t="shared" si="84"/>
        <v>0</v>
      </c>
      <c r="H1407" s="9">
        <v>10629798</v>
      </c>
      <c r="I1407" s="404">
        <f t="shared" si="85"/>
        <v>10629798</v>
      </c>
      <c r="J1407" s="403"/>
      <c r="K1407" s="404">
        <f t="shared" si="86"/>
        <v>0</v>
      </c>
      <c r="L1407" s="405">
        <f t="shared" si="87"/>
        <v>0</v>
      </c>
      <c r="M1407" s="403"/>
    </row>
    <row r="1408" spans="1:13" ht="47.25" x14ac:dyDescent="0.25">
      <c r="A1408" s="6" t="s">
        <v>4649</v>
      </c>
      <c r="B1408" s="7" t="s">
        <v>4467</v>
      </c>
      <c r="C1408" s="6" t="s">
        <v>9</v>
      </c>
      <c r="D1408" s="8">
        <v>1</v>
      </c>
      <c r="E1408" s="403"/>
      <c r="F1408" s="403">
        <f>BBNTHT!J1448</f>
        <v>0</v>
      </c>
      <c r="G1408" s="403">
        <f t="shared" si="84"/>
        <v>0</v>
      </c>
      <c r="H1408" s="9">
        <v>12401431</v>
      </c>
      <c r="I1408" s="404">
        <f t="shared" si="85"/>
        <v>12401431</v>
      </c>
      <c r="J1408" s="403"/>
      <c r="K1408" s="404">
        <f t="shared" si="86"/>
        <v>0</v>
      </c>
      <c r="L1408" s="405">
        <f t="shared" si="87"/>
        <v>0</v>
      </c>
      <c r="M1408" s="403"/>
    </row>
    <row r="1409" spans="1:13" ht="47.25" x14ac:dyDescent="0.25">
      <c r="A1409" s="6" t="s">
        <v>4650</v>
      </c>
      <c r="B1409" s="7" t="s">
        <v>4469</v>
      </c>
      <c r="C1409" s="6" t="s">
        <v>9</v>
      </c>
      <c r="D1409" s="8">
        <v>2</v>
      </c>
      <c r="E1409" s="403"/>
      <c r="F1409" s="403">
        <f>BBNTHT!J1449</f>
        <v>0</v>
      </c>
      <c r="G1409" s="403">
        <f t="shared" si="84"/>
        <v>0</v>
      </c>
      <c r="H1409" s="9">
        <v>12401431</v>
      </c>
      <c r="I1409" s="404">
        <f t="shared" si="85"/>
        <v>24802862</v>
      </c>
      <c r="J1409" s="403"/>
      <c r="K1409" s="404">
        <f t="shared" si="86"/>
        <v>0</v>
      </c>
      <c r="L1409" s="405">
        <f t="shared" si="87"/>
        <v>0</v>
      </c>
      <c r="M1409" s="403"/>
    </row>
    <row r="1410" spans="1:13" ht="47.25" x14ac:dyDescent="0.25">
      <c r="A1410" s="6" t="s">
        <v>4651</v>
      </c>
      <c r="B1410" s="7" t="s">
        <v>4471</v>
      </c>
      <c r="C1410" s="6" t="s">
        <v>9</v>
      </c>
      <c r="D1410" s="8">
        <v>3</v>
      </c>
      <c r="E1410" s="403"/>
      <c r="F1410" s="403">
        <f>BBNTHT!J1450</f>
        <v>0</v>
      </c>
      <c r="G1410" s="403">
        <f t="shared" si="84"/>
        <v>0</v>
      </c>
      <c r="H1410" s="9">
        <v>12401431</v>
      </c>
      <c r="I1410" s="404">
        <f t="shared" si="85"/>
        <v>37204293</v>
      </c>
      <c r="J1410" s="403"/>
      <c r="K1410" s="404">
        <f t="shared" si="86"/>
        <v>0</v>
      </c>
      <c r="L1410" s="405">
        <f t="shared" si="87"/>
        <v>0</v>
      </c>
      <c r="M1410" s="403"/>
    </row>
    <row r="1411" spans="1:13" ht="47.25" x14ac:dyDescent="0.25">
      <c r="A1411" s="6" t="s">
        <v>4652</v>
      </c>
      <c r="B1411" s="7" t="s">
        <v>4473</v>
      </c>
      <c r="C1411" s="6" t="s">
        <v>9</v>
      </c>
      <c r="D1411" s="8">
        <v>1</v>
      </c>
      <c r="E1411" s="403"/>
      <c r="F1411" s="403">
        <f>BBNTHT!J1451</f>
        <v>0</v>
      </c>
      <c r="G1411" s="403">
        <f t="shared" si="84"/>
        <v>0</v>
      </c>
      <c r="H1411" s="9">
        <v>12401431</v>
      </c>
      <c r="I1411" s="404">
        <f t="shared" si="85"/>
        <v>12401431</v>
      </c>
      <c r="J1411" s="403"/>
      <c r="K1411" s="404">
        <f t="shared" si="86"/>
        <v>0</v>
      </c>
      <c r="L1411" s="405">
        <f t="shared" si="87"/>
        <v>0</v>
      </c>
      <c r="M1411" s="403"/>
    </row>
    <row r="1412" spans="1:13" ht="47.25" x14ac:dyDescent="0.25">
      <c r="A1412" s="6" t="s">
        <v>4653</v>
      </c>
      <c r="B1412" s="7" t="s">
        <v>4475</v>
      </c>
      <c r="C1412" s="6" t="s">
        <v>9</v>
      </c>
      <c r="D1412" s="8">
        <v>2</v>
      </c>
      <c r="E1412" s="403"/>
      <c r="F1412" s="403">
        <f>BBNTHT!J1452</f>
        <v>0</v>
      </c>
      <c r="G1412" s="403">
        <f t="shared" si="84"/>
        <v>0</v>
      </c>
      <c r="H1412" s="9">
        <v>13287247</v>
      </c>
      <c r="I1412" s="404">
        <f t="shared" si="85"/>
        <v>26574494</v>
      </c>
      <c r="J1412" s="403"/>
      <c r="K1412" s="404">
        <f t="shared" si="86"/>
        <v>0</v>
      </c>
      <c r="L1412" s="405">
        <f t="shared" si="87"/>
        <v>0</v>
      </c>
      <c r="M1412" s="403"/>
    </row>
    <row r="1413" spans="1:13" ht="47.25" x14ac:dyDescent="0.25">
      <c r="A1413" s="6" t="s">
        <v>4654</v>
      </c>
      <c r="B1413" s="7" t="s">
        <v>4477</v>
      </c>
      <c r="C1413" s="6" t="s">
        <v>9</v>
      </c>
      <c r="D1413" s="8">
        <v>1</v>
      </c>
      <c r="E1413" s="403"/>
      <c r="F1413" s="403">
        <f>BBNTHT!J1453</f>
        <v>0</v>
      </c>
      <c r="G1413" s="403">
        <f t="shared" si="84"/>
        <v>0</v>
      </c>
      <c r="H1413" s="9">
        <v>13287247</v>
      </c>
      <c r="I1413" s="404">
        <f t="shared" si="85"/>
        <v>13287247</v>
      </c>
      <c r="J1413" s="403"/>
      <c r="K1413" s="404">
        <f t="shared" si="86"/>
        <v>0</v>
      </c>
      <c r="L1413" s="405">
        <f t="shared" si="87"/>
        <v>0</v>
      </c>
      <c r="M1413" s="403"/>
    </row>
    <row r="1414" spans="1:13" ht="47.25" x14ac:dyDescent="0.25">
      <c r="A1414" s="6" t="s">
        <v>4655</v>
      </c>
      <c r="B1414" s="7" t="s">
        <v>4479</v>
      </c>
      <c r="C1414" s="6" t="s">
        <v>9</v>
      </c>
      <c r="D1414" s="8">
        <v>1</v>
      </c>
      <c r="E1414" s="403"/>
      <c r="F1414" s="403">
        <f>BBNTHT!J1454</f>
        <v>0</v>
      </c>
      <c r="G1414" s="403">
        <f t="shared" si="84"/>
        <v>0</v>
      </c>
      <c r="H1414" s="9">
        <v>13287247</v>
      </c>
      <c r="I1414" s="404">
        <f t="shared" si="85"/>
        <v>13287247</v>
      </c>
      <c r="J1414" s="403"/>
      <c r="K1414" s="404">
        <f t="shared" si="86"/>
        <v>0</v>
      </c>
      <c r="L1414" s="405">
        <f t="shared" si="87"/>
        <v>0</v>
      </c>
      <c r="M1414" s="403"/>
    </row>
    <row r="1415" spans="1:13" ht="47.25" x14ac:dyDescent="0.25">
      <c r="A1415" s="6" t="s">
        <v>4656</v>
      </c>
      <c r="B1415" s="7" t="s">
        <v>4481</v>
      </c>
      <c r="C1415" s="6" t="s">
        <v>9</v>
      </c>
      <c r="D1415" s="8">
        <v>2</v>
      </c>
      <c r="E1415" s="403"/>
      <c r="F1415" s="403">
        <f>BBNTHT!J1455</f>
        <v>0</v>
      </c>
      <c r="G1415" s="403">
        <f t="shared" si="84"/>
        <v>0</v>
      </c>
      <c r="H1415" s="9">
        <v>13287247</v>
      </c>
      <c r="I1415" s="404">
        <f t="shared" si="85"/>
        <v>26574494</v>
      </c>
      <c r="J1415" s="403"/>
      <c r="K1415" s="404">
        <f t="shared" si="86"/>
        <v>0</v>
      </c>
      <c r="L1415" s="405">
        <f t="shared" si="87"/>
        <v>0</v>
      </c>
      <c r="M1415" s="403"/>
    </row>
    <row r="1416" spans="1:13" ht="31.5" x14ac:dyDescent="0.25">
      <c r="A1416" s="6" t="s">
        <v>4657</v>
      </c>
      <c r="B1416" s="7" t="s">
        <v>4658</v>
      </c>
      <c r="C1416" s="6" t="s">
        <v>9</v>
      </c>
      <c r="D1416" s="8">
        <v>3</v>
      </c>
      <c r="E1416" s="403"/>
      <c r="F1416" s="403">
        <f>BBNTHT!J1456</f>
        <v>0</v>
      </c>
      <c r="G1416" s="403">
        <f t="shared" si="84"/>
        <v>0</v>
      </c>
      <c r="H1416" s="9">
        <v>4137117</v>
      </c>
      <c r="I1416" s="404">
        <f t="shared" si="85"/>
        <v>12411351</v>
      </c>
      <c r="J1416" s="403"/>
      <c r="K1416" s="404">
        <f t="shared" si="86"/>
        <v>0</v>
      </c>
      <c r="L1416" s="405">
        <f t="shared" si="87"/>
        <v>0</v>
      </c>
      <c r="M1416" s="403"/>
    </row>
    <row r="1417" spans="1:13" ht="31.5" x14ac:dyDescent="0.25">
      <c r="A1417" s="6" t="s">
        <v>4659</v>
      </c>
      <c r="B1417" s="7" t="s">
        <v>4660</v>
      </c>
      <c r="C1417" s="6" t="s">
        <v>9</v>
      </c>
      <c r="D1417" s="8">
        <v>18</v>
      </c>
      <c r="E1417" s="403"/>
      <c r="F1417" s="403">
        <f>BBNTHT!J1457</f>
        <v>0</v>
      </c>
      <c r="G1417" s="403">
        <f t="shared" si="84"/>
        <v>0</v>
      </c>
      <c r="H1417" s="9">
        <v>7092201</v>
      </c>
      <c r="I1417" s="404">
        <f t="shared" si="85"/>
        <v>127659618</v>
      </c>
      <c r="J1417" s="403"/>
      <c r="K1417" s="404">
        <f t="shared" si="86"/>
        <v>0</v>
      </c>
      <c r="L1417" s="405">
        <f t="shared" si="87"/>
        <v>0</v>
      </c>
      <c r="M1417" s="403"/>
    </row>
    <row r="1418" spans="1:13" ht="31.5" x14ac:dyDescent="0.25">
      <c r="A1418" s="6" t="s">
        <v>4661</v>
      </c>
      <c r="B1418" s="7" t="s">
        <v>4662</v>
      </c>
      <c r="C1418" s="6" t="s">
        <v>9</v>
      </c>
      <c r="D1418" s="8">
        <v>4</v>
      </c>
      <c r="E1418" s="403"/>
      <c r="F1418" s="403">
        <f>BBNTHT!J1458</f>
        <v>0</v>
      </c>
      <c r="G1418" s="403">
        <f t="shared" si="84"/>
        <v>0</v>
      </c>
      <c r="H1418" s="9">
        <v>7683218</v>
      </c>
      <c r="I1418" s="404">
        <f t="shared" si="85"/>
        <v>30732872</v>
      </c>
      <c r="J1418" s="403"/>
      <c r="K1418" s="404">
        <f t="shared" si="86"/>
        <v>0</v>
      </c>
      <c r="L1418" s="405">
        <f t="shared" si="87"/>
        <v>0</v>
      </c>
      <c r="M1418" s="403"/>
    </row>
    <row r="1419" spans="1:13" ht="31.5" x14ac:dyDescent="0.25">
      <c r="A1419" s="6" t="s">
        <v>4663</v>
      </c>
      <c r="B1419" s="7" t="s">
        <v>4664</v>
      </c>
      <c r="C1419" s="6" t="s">
        <v>9</v>
      </c>
      <c r="D1419" s="8">
        <v>3</v>
      </c>
      <c r="E1419" s="403"/>
      <c r="F1419" s="403">
        <f>BBNTHT!J1459</f>
        <v>0</v>
      </c>
      <c r="G1419" s="403">
        <f t="shared" si="84"/>
        <v>0</v>
      </c>
      <c r="H1419" s="9">
        <v>8274235</v>
      </c>
      <c r="I1419" s="404">
        <f t="shared" si="85"/>
        <v>24822705</v>
      </c>
      <c r="J1419" s="403"/>
      <c r="K1419" s="404">
        <f t="shared" si="86"/>
        <v>0</v>
      </c>
      <c r="L1419" s="405">
        <f t="shared" si="87"/>
        <v>0</v>
      </c>
      <c r="M1419" s="403"/>
    </row>
    <row r="1420" spans="1:13" ht="31.5" x14ac:dyDescent="0.25">
      <c r="A1420" s="6" t="s">
        <v>4665</v>
      </c>
      <c r="B1420" s="7" t="s">
        <v>4666</v>
      </c>
      <c r="C1420" s="6" t="s">
        <v>9</v>
      </c>
      <c r="D1420" s="8">
        <v>1</v>
      </c>
      <c r="E1420" s="403"/>
      <c r="F1420" s="403">
        <f>BBNTHT!J1460</f>
        <v>0</v>
      </c>
      <c r="G1420" s="403">
        <f t="shared" si="84"/>
        <v>0</v>
      </c>
      <c r="H1420" s="9">
        <v>8495866</v>
      </c>
      <c r="I1420" s="404">
        <f t="shared" si="85"/>
        <v>8495866</v>
      </c>
      <c r="J1420" s="403"/>
      <c r="K1420" s="404">
        <f t="shared" si="86"/>
        <v>0</v>
      </c>
      <c r="L1420" s="405">
        <f t="shared" si="87"/>
        <v>0</v>
      </c>
      <c r="M1420" s="403"/>
    </row>
    <row r="1421" spans="1:13" ht="31.5" x14ac:dyDescent="0.25">
      <c r="A1421" s="6" t="s">
        <v>4667</v>
      </c>
      <c r="B1421" s="7" t="s">
        <v>4668</v>
      </c>
      <c r="C1421" s="6" t="s">
        <v>9</v>
      </c>
      <c r="D1421" s="8">
        <v>18</v>
      </c>
      <c r="E1421" s="403"/>
      <c r="F1421" s="403">
        <f>BBNTHT!J1461</f>
        <v>0</v>
      </c>
      <c r="G1421" s="403">
        <f t="shared" si="84"/>
        <v>0</v>
      </c>
      <c r="H1421" s="9">
        <v>9751777</v>
      </c>
      <c r="I1421" s="404">
        <f t="shared" si="85"/>
        <v>175531986</v>
      </c>
      <c r="J1421" s="403"/>
      <c r="K1421" s="404">
        <f t="shared" si="86"/>
        <v>0</v>
      </c>
      <c r="L1421" s="405">
        <f t="shared" si="87"/>
        <v>0</v>
      </c>
      <c r="M1421" s="403"/>
    </row>
    <row r="1422" spans="1:13" ht="31.5" x14ac:dyDescent="0.25">
      <c r="A1422" s="6" t="s">
        <v>4669</v>
      </c>
      <c r="B1422" s="7" t="s">
        <v>4670</v>
      </c>
      <c r="C1422" s="6" t="s">
        <v>9</v>
      </c>
      <c r="D1422" s="8">
        <v>1</v>
      </c>
      <c r="E1422" s="403"/>
      <c r="F1422" s="403">
        <f>BBNTHT!J1462</f>
        <v>0</v>
      </c>
      <c r="G1422" s="403">
        <f t="shared" si="84"/>
        <v>0</v>
      </c>
      <c r="H1422" s="9">
        <v>11524827</v>
      </c>
      <c r="I1422" s="404">
        <f t="shared" si="85"/>
        <v>11524827</v>
      </c>
      <c r="J1422" s="403"/>
      <c r="K1422" s="404">
        <f t="shared" si="86"/>
        <v>0</v>
      </c>
      <c r="L1422" s="405">
        <f t="shared" si="87"/>
        <v>0</v>
      </c>
      <c r="M1422" s="403"/>
    </row>
    <row r="1423" spans="1:13" ht="31.5" x14ac:dyDescent="0.25">
      <c r="A1423" s="6" t="s">
        <v>4671</v>
      </c>
      <c r="B1423" s="7" t="s">
        <v>4672</v>
      </c>
      <c r="C1423" s="6" t="s">
        <v>9</v>
      </c>
      <c r="D1423" s="8">
        <v>3</v>
      </c>
      <c r="E1423" s="403"/>
      <c r="F1423" s="403">
        <f>BBNTHT!J1463</f>
        <v>0</v>
      </c>
      <c r="G1423" s="403">
        <f t="shared" si="84"/>
        <v>0</v>
      </c>
      <c r="H1423" s="9">
        <v>11081564</v>
      </c>
      <c r="I1423" s="404">
        <f t="shared" si="85"/>
        <v>33244692</v>
      </c>
      <c r="J1423" s="403"/>
      <c r="K1423" s="404">
        <f t="shared" si="86"/>
        <v>0</v>
      </c>
      <c r="L1423" s="405">
        <f t="shared" si="87"/>
        <v>0</v>
      </c>
      <c r="M1423" s="403"/>
    </row>
    <row r="1424" spans="1:13" ht="31.5" x14ac:dyDescent="0.25">
      <c r="A1424" s="6" t="s">
        <v>4673</v>
      </c>
      <c r="B1424" s="7" t="s">
        <v>4674</v>
      </c>
      <c r="C1424" s="6" t="s">
        <v>9</v>
      </c>
      <c r="D1424" s="8">
        <v>4</v>
      </c>
      <c r="E1424" s="403"/>
      <c r="F1424" s="403">
        <f>BBNTHT!J1464</f>
        <v>0</v>
      </c>
      <c r="G1424" s="403">
        <f t="shared" si="84"/>
        <v>0</v>
      </c>
      <c r="H1424" s="9">
        <v>12411352</v>
      </c>
      <c r="I1424" s="404">
        <f t="shared" si="85"/>
        <v>49645408</v>
      </c>
      <c r="J1424" s="403"/>
      <c r="K1424" s="404">
        <f t="shared" si="86"/>
        <v>0</v>
      </c>
      <c r="L1424" s="405">
        <f t="shared" si="87"/>
        <v>0</v>
      </c>
      <c r="M1424" s="403"/>
    </row>
    <row r="1425" spans="1:13" ht="31.5" x14ac:dyDescent="0.25">
      <c r="A1425" s="6" t="s">
        <v>4675</v>
      </c>
      <c r="B1425" s="7" t="s">
        <v>4676</v>
      </c>
      <c r="C1425" s="6" t="s">
        <v>9</v>
      </c>
      <c r="D1425" s="8">
        <v>1</v>
      </c>
      <c r="E1425" s="403"/>
      <c r="F1425" s="403">
        <f>BBNTHT!J1465</f>
        <v>0</v>
      </c>
      <c r="G1425" s="403">
        <f t="shared" si="84"/>
        <v>0</v>
      </c>
      <c r="H1425" s="9">
        <v>11968089</v>
      </c>
      <c r="I1425" s="404">
        <f t="shared" si="85"/>
        <v>11968089</v>
      </c>
      <c r="J1425" s="403"/>
      <c r="K1425" s="404">
        <f t="shared" si="86"/>
        <v>0</v>
      </c>
      <c r="L1425" s="405">
        <f t="shared" si="87"/>
        <v>0</v>
      </c>
      <c r="M1425" s="403"/>
    </row>
    <row r="1426" spans="1:13" ht="31.5" x14ac:dyDescent="0.25">
      <c r="A1426" s="6" t="s">
        <v>4677</v>
      </c>
      <c r="B1426" s="7" t="s">
        <v>4483</v>
      </c>
      <c r="C1426" s="6" t="s">
        <v>499</v>
      </c>
      <c r="D1426" s="8">
        <v>1</v>
      </c>
      <c r="E1426" s="403"/>
      <c r="F1426" s="403">
        <f>BBNTHT!J1466</f>
        <v>0</v>
      </c>
      <c r="G1426" s="403">
        <f t="shared" ref="G1426:G1489" si="88">F1426+E1426</f>
        <v>0</v>
      </c>
      <c r="H1426" s="9">
        <v>14173064</v>
      </c>
      <c r="I1426" s="404">
        <f t="shared" ref="I1426:I1489" si="89">ROUND(D1426*H1426,0)</f>
        <v>14173064</v>
      </c>
      <c r="J1426" s="403"/>
      <c r="K1426" s="404">
        <f t="shared" ref="K1426:K1489" si="90">ROUND(F1426*H1426,0)</f>
        <v>0</v>
      </c>
      <c r="L1426" s="405">
        <f t="shared" ref="L1426:L1489" si="91">J1426+K1426</f>
        <v>0</v>
      </c>
      <c r="M1426" s="403"/>
    </row>
    <row r="1427" spans="1:13" ht="31.5" x14ac:dyDescent="0.25">
      <c r="A1427" s="6" t="s">
        <v>4678</v>
      </c>
      <c r="B1427" s="7" t="s">
        <v>4679</v>
      </c>
      <c r="C1427" s="6" t="s">
        <v>499</v>
      </c>
      <c r="D1427" s="8">
        <v>1</v>
      </c>
      <c r="E1427" s="403"/>
      <c r="F1427" s="403">
        <f>BBNTHT!J1467</f>
        <v>0</v>
      </c>
      <c r="G1427" s="403">
        <f t="shared" si="88"/>
        <v>0</v>
      </c>
      <c r="H1427" s="9">
        <v>15944697</v>
      </c>
      <c r="I1427" s="404">
        <f t="shared" si="89"/>
        <v>15944697</v>
      </c>
      <c r="J1427" s="403"/>
      <c r="K1427" s="404">
        <f t="shared" si="90"/>
        <v>0</v>
      </c>
      <c r="L1427" s="405">
        <f t="shared" si="91"/>
        <v>0</v>
      </c>
      <c r="M1427" s="403"/>
    </row>
    <row r="1428" spans="1:13" ht="31.5" x14ac:dyDescent="0.25">
      <c r="A1428" s="6" t="s">
        <v>4680</v>
      </c>
      <c r="B1428" s="7" t="s">
        <v>4681</v>
      </c>
      <c r="C1428" s="6" t="s">
        <v>499</v>
      </c>
      <c r="D1428" s="8">
        <v>1</v>
      </c>
      <c r="E1428" s="403"/>
      <c r="F1428" s="403">
        <f>BBNTHT!J1468</f>
        <v>0</v>
      </c>
      <c r="G1428" s="403">
        <f t="shared" si="88"/>
        <v>0</v>
      </c>
      <c r="H1428" s="9">
        <v>12401431</v>
      </c>
      <c r="I1428" s="404">
        <f t="shared" si="89"/>
        <v>12401431</v>
      </c>
      <c r="J1428" s="403"/>
      <c r="K1428" s="404">
        <f t="shared" si="90"/>
        <v>0</v>
      </c>
      <c r="L1428" s="405">
        <f t="shared" si="91"/>
        <v>0</v>
      </c>
      <c r="M1428" s="403"/>
    </row>
    <row r="1429" spans="1:13" ht="31.5" x14ac:dyDescent="0.25">
      <c r="A1429" s="6" t="s">
        <v>4682</v>
      </c>
      <c r="B1429" s="7" t="s">
        <v>4683</v>
      </c>
      <c r="C1429" s="6" t="s">
        <v>499</v>
      </c>
      <c r="D1429" s="8">
        <v>1</v>
      </c>
      <c r="E1429" s="403"/>
      <c r="F1429" s="403">
        <f>BBNTHT!J1469</f>
        <v>0</v>
      </c>
      <c r="G1429" s="403">
        <f t="shared" si="88"/>
        <v>0</v>
      </c>
      <c r="H1429" s="9">
        <v>17716330</v>
      </c>
      <c r="I1429" s="404">
        <f t="shared" si="89"/>
        <v>17716330</v>
      </c>
      <c r="J1429" s="403"/>
      <c r="K1429" s="404">
        <f t="shared" si="90"/>
        <v>0</v>
      </c>
      <c r="L1429" s="405">
        <f t="shared" si="91"/>
        <v>0</v>
      </c>
      <c r="M1429" s="403"/>
    </row>
    <row r="1430" spans="1:13" ht="31.5" x14ac:dyDescent="0.25">
      <c r="A1430" s="6" t="s">
        <v>4684</v>
      </c>
      <c r="B1430" s="7" t="s">
        <v>4685</v>
      </c>
      <c r="C1430" s="6" t="s">
        <v>499</v>
      </c>
      <c r="D1430" s="8">
        <v>1</v>
      </c>
      <c r="E1430" s="403"/>
      <c r="F1430" s="403">
        <f>BBNTHT!J1470</f>
        <v>0</v>
      </c>
      <c r="G1430" s="403">
        <f t="shared" si="88"/>
        <v>0</v>
      </c>
      <c r="H1430" s="9">
        <v>22145412</v>
      </c>
      <c r="I1430" s="404">
        <f t="shared" si="89"/>
        <v>22145412</v>
      </c>
      <c r="J1430" s="403"/>
      <c r="K1430" s="404">
        <f t="shared" si="90"/>
        <v>0</v>
      </c>
      <c r="L1430" s="405">
        <f t="shared" si="91"/>
        <v>0</v>
      </c>
      <c r="M1430" s="403"/>
    </row>
    <row r="1431" spans="1:13" ht="31.5" x14ac:dyDescent="0.25">
      <c r="A1431" s="6" t="s">
        <v>4686</v>
      </c>
      <c r="B1431" s="7" t="s">
        <v>4687</v>
      </c>
      <c r="C1431" s="6" t="s">
        <v>6</v>
      </c>
      <c r="D1431" s="8">
        <v>345</v>
      </c>
      <c r="E1431" s="403"/>
      <c r="F1431" s="403">
        <f>BBNTHT!J1471</f>
        <v>0</v>
      </c>
      <c r="G1431" s="403">
        <f t="shared" si="88"/>
        <v>0</v>
      </c>
      <c r="H1431" s="9">
        <v>246257</v>
      </c>
      <c r="I1431" s="404">
        <f t="shared" si="89"/>
        <v>84958665</v>
      </c>
      <c r="J1431" s="403"/>
      <c r="K1431" s="404">
        <f t="shared" si="90"/>
        <v>0</v>
      </c>
      <c r="L1431" s="405">
        <f t="shared" si="91"/>
        <v>0</v>
      </c>
      <c r="M1431" s="403"/>
    </row>
    <row r="1432" spans="1:13" ht="47.25" x14ac:dyDescent="0.25">
      <c r="A1432" s="6" t="s">
        <v>4688</v>
      </c>
      <c r="B1432" s="7" t="s">
        <v>4689</v>
      </c>
      <c r="C1432" s="6" t="s">
        <v>6</v>
      </c>
      <c r="D1432" s="8">
        <v>1000</v>
      </c>
      <c r="E1432" s="403"/>
      <c r="F1432" s="403">
        <f>BBNTHT!J1472</f>
        <v>0</v>
      </c>
      <c r="G1432" s="403">
        <f t="shared" si="88"/>
        <v>0</v>
      </c>
      <c r="H1432" s="9">
        <v>36939</v>
      </c>
      <c r="I1432" s="404">
        <f t="shared" si="89"/>
        <v>36939000</v>
      </c>
      <c r="J1432" s="403"/>
      <c r="K1432" s="404">
        <f t="shared" si="90"/>
        <v>0</v>
      </c>
      <c r="L1432" s="405">
        <f t="shared" si="91"/>
        <v>0</v>
      </c>
      <c r="M1432" s="403"/>
    </row>
    <row r="1433" spans="1:13" ht="15.75" x14ac:dyDescent="0.25">
      <c r="A1433" s="6" t="s">
        <v>4690</v>
      </c>
      <c r="B1433" s="7" t="s">
        <v>4691</v>
      </c>
      <c r="C1433" s="6" t="s">
        <v>6</v>
      </c>
      <c r="D1433" s="8">
        <v>1000</v>
      </c>
      <c r="E1433" s="403"/>
      <c r="F1433" s="403">
        <f>BBNTHT!J1473</f>
        <v>0</v>
      </c>
      <c r="G1433" s="403">
        <f t="shared" si="88"/>
        <v>0</v>
      </c>
      <c r="H1433" s="9">
        <v>105546</v>
      </c>
      <c r="I1433" s="404">
        <f t="shared" si="89"/>
        <v>105546000</v>
      </c>
      <c r="J1433" s="403"/>
      <c r="K1433" s="404">
        <f t="shared" si="90"/>
        <v>0</v>
      </c>
      <c r="L1433" s="405">
        <f t="shared" si="91"/>
        <v>0</v>
      </c>
      <c r="M1433" s="403"/>
    </row>
    <row r="1434" spans="1:13" ht="15.75" x14ac:dyDescent="0.25">
      <c r="A1434" s="6" t="s">
        <v>4692</v>
      </c>
      <c r="B1434" s="7" t="s">
        <v>4693</v>
      </c>
      <c r="C1434" s="6" t="s">
        <v>6</v>
      </c>
      <c r="D1434" s="8">
        <v>1800</v>
      </c>
      <c r="E1434" s="403"/>
      <c r="F1434" s="403">
        <f>BBNTHT!J1474</f>
        <v>0</v>
      </c>
      <c r="G1434" s="403">
        <f t="shared" si="88"/>
        <v>0</v>
      </c>
      <c r="H1434" s="9">
        <v>34476</v>
      </c>
      <c r="I1434" s="404">
        <f t="shared" si="89"/>
        <v>62056800</v>
      </c>
      <c r="J1434" s="403"/>
      <c r="K1434" s="404">
        <f t="shared" si="90"/>
        <v>0</v>
      </c>
      <c r="L1434" s="405">
        <f t="shared" si="91"/>
        <v>0</v>
      </c>
      <c r="M1434" s="403"/>
    </row>
    <row r="1435" spans="1:13" ht="15.75" x14ac:dyDescent="0.25">
      <c r="A1435" s="6" t="s">
        <v>4694</v>
      </c>
      <c r="B1435" s="7" t="s">
        <v>4695</v>
      </c>
      <c r="C1435" s="6" t="s">
        <v>248</v>
      </c>
      <c r="D1435" s="8">
        <v>1</v>
      </c>
      <c r="E1435" s="403"/>
      <c r="F1435" s="403">
        <f>BBNTHT!J1475</f>
        <v>0</v>
      </c>
      <c r="G1435" s="403">
        <f t="shared" si="88"/>
        <v>0</v>
      </c>
      <c r="H1435" s="9">
        <v>123128491</v>
      </c>
      <c r="I1435" s="404">
        <f t="shared" si="89"/>
        <v>123128491</v>
      </c>
      <c r="J1435" s="403"/>
      <c r="K1435" s="404">
        <f t="shared" si="90"/>
        <v>0</v>
      </c>
      <c r="L1435" s="405">
        <f t="shared" si="91"/>
        <v>0</v>
      </c>
      <c r="M1435" s="403"/>
    </row>
    <row r="1436" spans="1:13" ht="15.75" x14ac:dyDescent="0.25">
      <c r="A1436" s="2" t="s">
        <v>4090</v>
      </c>
      <c r="B1436" s="3" t="s">
        <v>4091</v>
      </c>
      <c r="C1436" s="2"/>
      <c r="D1436" s="4" t="s">
        <v>3</v>
      </c>
      <c r="E1436" s="403"/>
      <c r="F1436" s="403">
        <f>BBNTHT!J1476</f>
        <v>0</v>
      </c>
      <c r="G1436" s="403">
        <f t="shared" si="88"/>
        <v>0</v>
      </c>
      <c r="H1436" s="5"/>
      <c r="I1436" s="404"/>
      <c r="J1436" s="403"/>
      <c r="K1436" s="404">
        <f t="shared" si="90"/>
        <v>0</v>
      </c>
      <c r="L1436" s="405">
        <f t="shared" si="91"/>
        <v>0</v>
      </c>
      <c r="M1436" s="403"/>
    </row>
    <row r="1437" spans="1:13" ht="47.25" x14ac:dyDescent="0.25">
      <c r="A1437" s="6" t="s">
        <v>4092</v>
      </c>
      <c r="B1437" s="7" t="s">
        <v>4093</v>
      </c>
      <c r="C1437" s="6" t="s">
        <v>1911</v>
      </c>
      <c r="D1437" s="8">
        <v>1</v>
      </c>
      <c r="E1437" s="403"/>
      <c r="F1437" s="403">
        <f>BBNTHT!J1477</f>
        <v>0</v>
      </c>
      <c r="G1437" s="403">
        <f t="shared" si="88"/>
        <v>0</v>
      </c>
      <c r="H1437" s="9">
        <v>44290824</v>
      </c>
      <c r="I1437" s="404">
        <f t="shared" si="89"/>
        <v>44290824</v>
      </c>
      <c r="J1437" s="403"/>
      <c r="K1437" s="404">
        <f t="shared" si="90"/>
        <v>0</v>
      </c>
      <c r="L1437" s="405">
        <f t="shared" si="91"/>
        <v>0</v>
      </c>
      <c r="M1437" s="403"/>
    </row>
    <row r="1438" spans="1:13" ht="47.25" x14ac:dyDescent="0.25">
      <c r="A1438" s="6" t="s">
        <v>4094</v>
      </c>
      <c r="B1438" s="7" t="s">
        <v>4095</v>
      </c>
      <c r="C1438" s="6" t="s">
        <v>1911</v>
      </c>
      <c r="D1438" s="8">
        <v>1</v>
      </c>
      <c r="E1438" s="403"/>
      <c r="F1438" s="403">
        <f>BBNTHT!J1478</f>
        <v>0</v>
      </c>
      <c r="G1438" s="403">
        <f t="shared" si="88"/>
        <v>0</v>
      </c>
      <c r="H1438" s="9">
        <v>44290824</v>
      </c>
      <c r="I1438" s="404">
        <f t="shared" si="89"/>
        <v>44290824</v>
      </c>
      <c r="J1438" s="403"/>
      <c r="K1438" s="404">
        <f t="shared" si="90"/>
        <v>0</v>
      </c>
      <c r="L1438" s="405">
        <f t="shared" si="91"/>
        <v>0</v>
      </c>
      <c r="M1438" s="403"/>
    </row>
    <row r="1439" spans="1:13" ht="47.25" x14ac:dyDescent="0.25">
      <c r="A1439" s="6" t="s">
        <v>4096</v>
      </c>
      <c r="B1439" s="7" t="s">
        <v>4097</v>
      </c>
      <c r="C1439" s="6" t="s">
        <v>1911</v>
      </c>
      <c r="D1439" s="8">
        <v>1</v>
      </c>
      <c r="E1439" s="403"/>
      <c r="F1439" s="403">
        <f>BBNTHT!J1479</f>
        <v>0</v>
      </c>
      <c r="G1439" s="403">
        <f t="shared" si="88"/>
        <v>0</v>
      </c>
      <c r="H1439" s="9">
        <v>22145412</v>
      </c>
      <c r="I1439" s="404">
        <f t="shared" si="89"/>
        <v>22145412</v>
      </c>
      <c r="J1439" s="403"/>
      <c r="K1439" s="404">
        <f t="shared" si="90"/>
        <v>0</v>
      </c>
      <c r="L1439" s="405">
        <f t="shared" si="91"/>
        <v>0</v>
      </c>
      <c r="M1439" s="403"/>
    </row>
    <row r="1440" spans="1:13" ht="31.5" x14ac:dyDescent="0.25">
      <c r="A1440" s="6" t="s">
        <v>4098</v>
      </c>
      <c r="B1440" s="7" t="s">
        <v>4099</v>
      </c>
      <c r="C1440" s="6" t="s">
        <v>499</v>
      </c>
      <c r="D1440" s="8">
        <v>1</v>
      </c>
      <c r="E1440" s="403"/>
      <c r="F1440" s="403">
        <f>BBNTHT!J1480</f>
        <v>0</v>
      </c>
      <c r="G1440" s="403">
        <f t="shared" si="88"/>
        <v>0</v>
      </c>
      <c r="H1440" s="9">
        <v>13287247</v>
      </c>
      <c r="I1440" s="404">
        <f t="shared" si="89"/>
        <v>13287247</v>
      </c>
      <c r="J1440" s="403"/>
      <c r="K1440" s="404">
        <f t="shared" si="90"/>
        <v>0</v>
      </c>
      <c r="L1440" s="405">
        <f t="shared" si="91"/>
        <v>0</v>
      </c>
      <c r="M1440" s="403"/>
    </row>
    <row r="1441" spans="1:13" ht="31.5" x14ac:dyDescent="0.25">
      <c r="A1441" s="6" t="s">
        <v>4100</v>
      </c>
      <c r="B1441" s="7" t="s">
        <v>4101</v>
      </c>
      <c r="C1441" s="6" t="s">
        <v>499</v>
      </c>
      <c r="D1441" s="8">
        <v>1</v>
      </c>
      <c r="E1441" s="403"/>
      <c r="F1441" s="403">
        <f>BBNTHT!J1481</f>
        <v>0</v>
      </c>
      <c r="G1441" s="403">
        <f t="shared" si="88"/>
        <v>0</v>
      </c>
      <c r="H1441" s="9">
        <v>13287247</v>
      </c>
      <c r="I1441" s="404">
        <f t="shared" si="89"/>
        <v>13287247</v>
      </c>
      <c r="J1441" s="403"/>
      <c r="K1441" s="404">
        <f t="shared" si="90"/>
        <v>0</v>
      </c>
      <c r="L1441" s="405">
        <f t="shared" si="91"/>
        <v>0</v>
      </c>
      <c r="M1441" s="403"/>
    </row>
    <row r="1442" spans="1:13" ht="31.5" x14ac:dyDescent="0.25">
      <c r="A1442" s="6" t="s">
        <v>4102</v>
      </c>
      <c r="B1442" s="7" t="s">
        <v>4103</v>
      </c>
      <c r="C1442" s="6" t="s">
        <v>499</v>
      </c>
      <c r="D1442" s="8">
        <v>1</v>
      </c>
      <c r="E1442" s="403"/>
      <c r="F1442" s="403">
        <f>BBNTHT!J1482</f>
        <v>0</v>
      </c>
      <c r="G1442" s="403">
        <f t="shared" si="88"/>
        <v>0</v>
      </c>
      <c r="H1442" s="9">
        <v>8858165</v>
      </c>
      <c r="I1442" s="404">
        <f t="shared" si="89"/>
        <v>8858165</v>
      </c>
      <c r="J1442" s="403"/>
      <c r="K1442" s="404">
        <f t="shared" si="90"/>
        <v>0</v>
      </c>
      <c r="L1442" s="405">
        <f t="shared" si="91"/>
        <v>0</v>
      </c>
      <c r="M1442" s="403"/>
    </row>
    <row r="1443" spans="1:13" ht="15.75" x14ac:dyDescent="0.25">
      <c r="A1443" s="6" t="s">
        <v>4104</v>
      </c>
      <c r="B1443" s="7" t="s">
        <v>4105</v>
      </c>
      <c r="C1443" s="6" t="s">
        <v>9</v>
      </c>
      <c r="D1443" s="8">
        <v>1</v>
      </c>
      <c r="E1443" s="403"/>
      <c r="F1443" s="403">
        <f>BBNTHT!J1483</f>
        <v>0</v>
      </c>
      <c r="G1443" s="403">
        <f t="shared" si="88"/>
        <v>0</v>
      </c>
      <c r="H1443" s="9">
        <v>37492626</v>
      </c>
      <c r="I1443" s="404">
        <f t="shared" si="89"/>
        <v>37492626</v>
      </c>
      <c r="J1443" s="403"/>
      <c r="K1443" s="404">
        <f t="shared" si="90"/>
        <v>0</v>
      </c>
      <c r="L1443" s="405">
        <f t="shared" si="91"/>
        <v>0</v>
      </c>
      <c r="M1443" s="403"/>
    </row>
    <row r="1444" spans="1:13" ht="15.75" x14ac:dyDescent="0.25">
      <c r="A1444" s="6" t="s">
        <v>4106</v>
      </c>
      <c r="B1444" s="7" t="s">
        <v>4107</v>
      </c>
      <c r="C1444" s="6" t="s">
        <v>9</v>
      </c>
      <c r="D1444" s="8">
        <v>1</v>
      </c>
      <c r="E1444" s="403"/>
      <c r="F1444" s="403">
        <f>BBNTHT!J1484</f>
        <v>0</v>
      </c>
      <c r="G1444" s="403">
        <f t="shared" si="88"/>
        <v>0</v>
      </c>
      <c r="H1444" s="9">
        <v>4050927</v>
      </c>
      <c r="I1444" s="404">
        <f t="shared" si="89"/>
        <v>4050927</v>
      </c>
      <c r="J1444" s="403"/>
      <c r="K1444" s="404">
        <f t="shared" si="90"/>
        <v>0</v>
      </c>
      <c r="L1444" s="405">
        <f t="shared" si="91"/>
        <v>0</v>
      </c>
      <c r="M1444" s="403"/>
    </row>
    <row r="1445" spans="1:13" ht="15.75" x14ac:dyDescent="0.25">
      <c r="A1445" s="6" t="s">
        <v>4108</v>
      </c>
      <c r="B1445" s="7" t="s">
        <v>4109</v>
      </c>
      <c r="C1445" s="6" t="s">
        <v>9</v>
      </c>
      <c r="D1445" s="8">
        <v>3</v>
      </c>
      <c r="E1445" s="403"/>
      <c r="F1445" s="403">
        <f>BBNTHT!J1485</f>
        <v>0</v>
      </c>
      <c r="G1445" s="403">
        <f t="shared" si="88"/>
        <v>0</v>
      </c>
      <c r="H1445" s="9">
        <v>18246411</v>
      </c>
      <c r="I1445" s="404">
        <f t="shared" si="89"/>
        <v>54739233</v>
      </c>
      <c r="J1445" s="403"/>
      <c r="K1445" s="404">
        <f t="shared" si="90"/>
        <v>0</v>
      </c>
      <c r="L1445" s="405">
        <f t="shared" si="91"/>
        <v>0</v>
      </c>
      <c r="M1445" s="403"/>
    </row>
    <row r="1446" spans="1:13" ht="15.75" x14ac:dyDescent="0.25">
      <c r="A1446" s="6" t="s">
        <v>4110</v>
      </c>
      <c r="B1446" s="7" t="s">
        <v>4111</v>
      </c>
      <c r="C1446" s="6" t="s">
        <v>9</v>
      </c>
      <c r="D1446" s="8">
        <v>2</v>
      </c>
      <c r="E1446" s="403"/>
      <c r="F1446" s="403">
        <f>BBNTHT!J1486</f>
        <v>0</v>
      </c>
      <c r="G1446" s="403">
        <f t="shared" si="88"/>
        <v>0</v>
      </c>
      <c r="H1446" s="9">
        <v>12397561</v>
      </c>
      <c r="I1446" s="404">
        <f t="shared" si="89"/>
        <v>24795122</v>
      </c>
      <c r="J1446" s="403"/>
      <c r="K1446" s="404">
        <f t="shared" si="90"/>
        <v>0</v>
      </c>
      <c r="L1446" s="405">
        <f t="shared" si="91"/>
        <v>0</v>
      </c>
      <c r="M1446" s="403"/>
    </row>
    <row r="1447" spans="1:13" ht="15.75" x14ac:dyDescent="0.25">
      <c r="A1447" s="6" t="s">
        <v>4112</v>
      </c>
      <c r="B1447" s="7" t="s">
        <v>4113</v>
      </c>
      <c r="C1447" s="6" t="s">
        <v>9</v>
      </c>
      <c r="D1447" s="8">
        <v>2</v>
      </c>
      <c r="E1447" s="403"/>
      <c r="F1447" s="403">
        <f>BBNTHT!J1487</f>
        <v>0</v>
      </c>
      <c r="G1447" s="403">
        <f t="shared" si="88"/>
        <v>0</v>
      </c>
      <c r="H1447" s="9">
        <v>6984833</v>
      </c>
      <c r="I1447" s="404">
        <f t="shared" si="89"/>
        <v>13969666</v>
      </c>
      <c r="J1447" s="403"/>
      <c r="K1447" s="404">
        <f t="shared" si="90"/>
        <v>0</v>
      </c>
      <c r="L1447" s="405">
        <f t="shared" si="91"/>
        <v>0</v>
      </c>
      <c r="M1447" s="403"/>
    </row>
    <row r="1448" spans="1:13" ht="15.75" x14ac:dyDescent="0.25">
      <c r="A1448" s="6" t="s">
        <v>4114</v>
      </c>
      <c r="B1448" s="7" t="s">
        <v>4115</v>
      </c>
      <c r="C1448" s="6" t="s">
        <v>9</v>
      </c>
      <c r="D1448" s="8">
        <v>2</v>
      </c>
      <c r="E1448" s="403"/>
      <c r="F1448" s="403">
        <f>BBNTHT!J1488</f>
        <v>0</v>
      </c>
      <c r="G1448" s="403">
        <f t="shared" si="88"/>
        <v>0</v>
      </c>
      <c r="H1448" s="9">
        <v>6791768</v>
      </c>
      <c r="I1448" s="404">
        <f t="shared" si="89"/>
        <v>13583536</v>
      </c>
      <c r="J1448" s="403"/>
      <c r="K1448" s="404">
        <f t="shared" si="90"/>
        <v>0</v>
      </c>
      <c r="L1448" s="405">
        <f t="shared" si="91"/>
        <v>0</v>
      </c>
      <c r="M1448" s="403"/>
    </row>
    <row r="1449" spans="1:13" ht="15.75" x14ac:dyDescent="0.25">
      <c r="A1449" s="6" t="s">
        <v>4116</v>
      </c>
      <c r="B1449" s="7" t="s">
        <v>4117</v>
      </c>
      <c r="C1449" s="6" t="s">
        <v>9</v>
      </c>
      <c r="D1449" s="8">
        <v>3</v>
      </c>
      <c r="E1449" s="403"/>
      <c r="F1449" s="403">
        <f>BBNTHT!J1489</f>
        <v>0</v>
      </c>
      <c r="G1449" s="403">
        <f t="shared" si="88"/>
        <v>0</v>
      </c>
      <c r="H1449" s="9">
        <v>6353923</v>
      </c>
      <c r="I1449" s="404">
        <f t="shared" si="89"/>
        <v>19061769</v>
      </c>
      <c r="J1449" s="403"/>
      <c r="K1449" s="404">
        <f t="shared" si="90"/>
        <v>0</v>
      </c>
      <c r="L1449" s="405">
        <f t="shared" si="91"/>
        <v>0</v>
      </c>
      <c r="M1449" s="403"/>
    </row>
    <row r="1450" spans="1:13" ht="15.75" x14ac:dyDescent="0.25">
      <c r="A1450" s="6" t="s">
        <v>4118</v>
      </c>
      <c r="B1450" s="7" t="s">
        <v>4119</v>
      </c>
      <c r="C1450" s="6" t="s">
        <v>9</v>
      </c>
      <c r="D1450" s="8">
        <v>2</v>
      </c>
      <c r="E1450" s="403"/>
      <c r="F1450" s="403">
        <f>BBNTHT!J1490</f>
        <v>0</v>
      </c>
      <c r="G1450" s="403">
        <f t="shared" si="88"/>
        <v>0</v>
      </c>
      <c r="H1450" s="9">
        <v>5540289</v>
      </c>
      <c r="I1450" s="404">
        <f t="shared" si="89"/>
        <v>11080578</v>
      </c>
      <c r="J1450" s="403"/>
      <c r="K1450" s="404">
        <f t="shared" si="90"/>
        <v>0</v>
      </c>
      <c r="L1450" s="405">
        <f t="shared" si="91"/>
        <v>0</v>
      </c>
      <c r="M1450" s="403"/>
    </row>
    <row r="1451" spans="1:13" ht="15.75" x14ac:dyDescent="0.25">
      <c r="A1451" s="6" t="s">
        <v>4120</v>
      </c>
      <c r="B1451" s="7" t="s">
        <v>4121</v>
      </c>
      <c r="C1451" s="6" t="s">
        <v>9</v>
      </c>
      <c r="D1451" s="8">
        <v>2</v>
      </c>
      <c r="E1451" s="403"/>
      <c r="F1451" s="403">
        <f>BBNTHT!J1491</f>
        <v>0</v>
      </c>
      <c r="G1451" s="403">
        <f t="shared" si="88"/>
        <v>0</v>
      </c>
      <c r="H1451" s="9">
        <v>21406135</v>
      </c>
      <c r="I1451" s="404">
        <f t="shared" si="89"/>
        <v>42812270</v>
      </c>
      <c r="J1451" s="403"/>
      <c r="K1451" s="404">
        <f t="shared" si="90"/>
        <v>0</v>
      </c>
      <c r="L1451" s="405">
        <f t="shared" si="91"/>
        <v>0</v>
      </c>
      <c r="M1451" s="403"/>
    </row>
    <row r="1452" spans="1:13" ht="15.75" x14ac:dyDescent="0.25">
      <c r="A1452" s="6" t="s">
        <v>4122</v>
      </c>
      <c r="B1452" s="7" t="s">
        <v>4123</v>
      </c>
      <c r="C1452" s="6" t="s">
        <v>9</v>
      </c>
      <c r="D1452" s="8">
        <v>1</v>
      </c>
      <c r="E1452" s="403"/>
      <c r="F1452" s="403">
        <f>BBNTHT!J1492</f>
        <v>0</v>
      </c>
      <c r="G1452" s="403">
        <f t="shared" si="88"/>
        <v>0</v>
      </c>
      <c r="H1452" s="9">
        <v>2768421</v>
      </c>
      <c r="I1452" s="404">
        <f t="shared" si="89"/>
        <v>2768421</v>
      </c>
      <c r="J1452" s="403"/>
      <c r="K1452" s="404">
        <f t="shared" si="90"/>
        <v>0</v>
      </c>
      <c r="L1452" s="405">
        <f t="shared" si="91"/>
        <v>0</v>
      </c>
      <c r="M1452" s="403"/>
    </row>
    <row r="1453" spans="1:13" ht="15.75" x14ac:dyDescent="0.25">
      <c r="A1453" s="6" t="s">
        <v>4124</v>
      </c>
      <c r="B1453" s="7" t="s">
        <v>4125</v>
      </c>
      <c r="C1453" s="6" t="s">
        <v>9</v>
      </c>
      <c r="D1453" s="8">
        <v>2</v>
      </c>
      <c r="E1453" s="403"/>
      <c r="F1453" s="403">
        <f>BBNTHT!J1493</f>
        <v>0</v>
      </c>
      <c r="G1453" s="403">
        <f t="shared" si="88"/>
        <v>0</v>
      </c>
      <c r="H1453" s="9">
        <v>15360771</v>
      </c>
      <c r="I1453" s="404">
        <f t="shared" si="89"/>
        <v>30721542</v>
      </c>
      <c r="J1453" s="403"/>
      <c r="K1453" s="404">
        <f t="shared" si="90"/>
        <v>0</v>
      </c>
      <c r="L1453" s="405">
        <f t="shared" si="91"/>
        <v>0</v>
      </c>
      <c r="M1453" s="403"/>
    </row>
    <row r="1454" spans="1:13" ht="15.75" x14ac:dyDescent="0.25">
      <c r="A1454" s="6" t="s">
        <v>4126</v>
      </c>
      <c r="B1454" s="7" t="s">
        <v>4127</v>
      </c>
      <c r="C1454" s="6" t="s">
        <v>9</v>
      </c>
      <c r="D1454" s="8">
        <v>1</v>
      </c>
      <c r="E1454" s="403"/>
      <c r="F1454" s="403">
        <f>BBNTHT!J1494</f>
        <v>0</v>
      </c>
      <c r="G1454" s="403">
        <f t="shared" si="88"/>
        <v>0</v>
      </c>
      <c r="H1454" s="9">
        <v>1803093</v>
      </c>
      <c r="I1454" s="404">
        <f t="shared" si="89"/>
        <v>1803093</v>
      </c>
      <c r="J1454" s="403"/>
      <c r="K1454" s="404">
        <f t="shared" si="90"/>
        <v>0</v>
      </c>
      <c r="L1454" s="405">
        <f t="shared" si="91"/>
        <v>0</v>
      </c>
      <c r="M1454" s="403"/>
    </row>
    <row r="1455" spans="1:13" ht="15.75" x14ac:dyDescent="0.25">
      <c r="A1455" s="6" t="s">
        <v>4128</v>
      </c>
      <c r="B1455" s="7" t="s">
        <v>4129</v>
      </c>
      <c r="C1455" s="6" t="s">
        <v>9</v>
      </c>
      <c r="D1455" s="8">
        <v>2</v>
      </c>
      <c r="E1455" s="403"/>
      <c r="F1455" s="403">
        <f>BBNTHT!J1495</f>
        <v>0</v>
      </c>
      <c r="G1455" s="403">
        <f t="shared" si="88"/>
        <v>0</v>
      </c>
      <c r="H1455" s="9">
        <v>6191885</v>
      </c>
      <c r="I1455" s="404">
        <f t="shared" si="89"/>
        <v>12383770</v>
      </c>
      <c r="J1455" s="403"/>
      <c r="K1455" s="404">
        <f t="shared" si="90"/>
        <v>0</v>
      </c>
      <c r="L1455" s="405">
        <f t="shared" si="91"/>
        <v>0</v>
      </c>
      <c r="M1455" s="403"/>
    </row>
    <row r="1456" spans="1:13" ht="15.75" x14ac:dyDescent="0.25">
      <c r="A1456" s="6" t="s">
        <v>4130</v>
      </c>
      <c r="B1456" s="7" t="s">
        <v>4131</v>
      </c>
      <c r="C1456" s="6" t="s">
        <v>9</v>
      </c>
      <c r="D1456" s="8">
        <v>2</v>
      </c>
      <c r="E1456" s="403"/>
      <c r="F1456" s="403">
        <f>BBNTHT!J1496</f>
        <v>0</v>
      </c>
      <c r="G1456" s="403">
        <f t="shared" si="88"/>
        <v>0</v>
      </c>
      <c r="H1456" s="9">
        <v>4064718</v>
      </c>
      <c r="I1456" s="404">
        <f t="shared" si="89"/>
        <v>8129436</v>
      </c>
      <c r="J1456" s="403"/>
      <c r="K1456" s="404">
        <f t="shared" si="90"/>
        <v>0</v>
      </c>
      <c r="L1456" s="405">
        <f t="shared" si="91"/>
        <v>0</v>
      </c>
      <c r="M1456" s="403"/>
    </row>
    <row r="1457" spans="1:13" ht="15.75" x14ac:dyDescent="0.25">
      <c r="A1457" s="6" t="s">
        <v>4132</v>
      </c>
      <c r="B1457" s="7" t="s">
        <v>4133</v>
      </c>
      <c r="C1457" s="6" t="s">
        <v>9</v>
      </c>
      <c r="D1457" s="8">
        <v>2</v>
      </c>
      <c r="E1457" s="403"/>
      <c r="F1457" s="403">
        <f>BBNTHT!J1497</f>
        <v>0</v>
      </c>
      <c r="G1457" s="403">
        <f t="shared" si="88"/>
        <v>0</v>
      </c>
      <c r="H1457" s="9">
        <v>1701390</v>
      </c>
      <c r="I1457" s="404">
        <f t="shared" si="89"/>
        <v>3402780</v>
      </c>
      <c r="J1457" s="403"/>
      <c r="K1457" s="404">
        <f t="shared" si="90"/>
        <v>0</v>
      </c>
      <c r="L1457" s="405">
        <f t="shared" si="91"/>
        <v>0</v>
      </c>
      <c r="M1457" s="403"/>
    </row>
    <row r="1458" spans="1:13" ht="15.75" x14ac:dyDescent="0.25">
      <c r="A1458" s="6" t="s">
        <v>4134</v>
      </c>
      <c r="B1458" s="7" t="s">
        <v>4135</v>
      </c>
      <c r="C1458" s="6" t="s">
        <v>9</v>
      </c>
      <c r="D1458" s="8">
        <v>3</v>
      </c>
      <c r="E1458" s="403"/>
      <c r="F1458" s="403">
        <f>BBNTHT!J1498</f>
        <v>0</v>
      </c>
      <c r="G1458" s="403">
        <f t="shared" si="88"/>
        <v>0</v>
      </c>
      <c r="H1458" s="9">
        <v>1482467</v>
      </c>
      <c r="I1458" s="404">
        <f t="shared" si="89"/>
        <v>4447401</v>
      </c>
      <c r="J1458" s="403"/>
      <c r="K1458" s="404">
        <f t="shared" si="90"/>
        <v>0</v>
      </c>
      <c r="L1458" s="405">
        <f t="shared" si="91"/>
        <v>0</v>
      </c>
      <c r="M1458" s="403"/>
    </row>
    <row r="1459" spans="1:13" ht="15.75" x14ac:dyDescent="0.25">
      <c r="A1459" s="6" t="s">
        <v>4136</v>
      </c>
      <c r="B1459" s="7" t="s">
        <v>4137</v>
      </c>
      <c r="C1459" s="6" t="s">
        <v>9</v>
      </c>
      <c r="D1459" s="8">
        <v>9</v>
      </c>
      <c r="E1459" s="403"/>
      <c r="F1459" s="403">
        <f>BBNTHT!J1499</f>
        <v>0</v>
      </c>
      <c r="G1459" s="403">
        <f t="shared" si="88"/>
        <v>0</v>
      </c>
      <c r="H1459" s="9">
        <v>294770</v>
      </c>
      <c r="I1459" s="404">
        <f t="shared" si="89"/>
        <v>2652930</v>
      </c>
      <c r="J1459" s="403"/>
      <c r="K1459" s="404">
        <f t="shared" si="90"/>
        <v>0</v>
      </c>
      <c r="L1459" s="405">
        <f t="shared" si="91"/>
        <v>0</v>
      </c>
      <c r="M1459" s="403"/>
    </row>
    <row r="1460" spans="1:13" ht="15.75" x14ac:dyDescent="0.25">
      <c r="A1460" s="6" t="s">
        <v>4138</v>
      </c>
      <c r="B1460" s="7" t="s">
        <v>4139</v>
      </c>
      <c r="C1460" s="6" t="s">
        <v>9</v>
      </c>
      <c r="D1460" s="8">
        <v>1</v>
      </c>
      <c r="E1460" s="403"/>
      <c r="F1460" s="403">
        <f>BBNTHT!J1500</f>
        <v>0</v>
      </c>
      <c r="G1460" s="403">
        <f t="shared" si="88"/>
        <v>0</v>
      </c>
      <c r="H1460" s="9">
        <v>26786111</v>
      </c>
      <c r="I1460" s="404">
        <f t="shared" si="89"/>
        <v>26786111</v>
      </c>
      <c r="J1460" s="403"/>
      <c r="K1460" s="404">
        <f t="shared" si="90"/>
        <v>0</v>
      </c>
      <c r="L1460" s="405">
        <f t="shared" si="91"/>
        <v>0</v>
      </c>
      <c r="M1460" s="403"/>
    </row>
    <row r="1461" spans="1:13" ht="15.75" x14ac:dyDescent="0.25">
      <c r="A1461" s="6" t="s">
        <v>4140</v>
      </c>
      <c r="B1461" s="7" t="s">
        <v>4141</v>
      </c>
      <c r="C1461" s="6" t="s">
        <v>9</v>
      </c>
      <c r="D1461" s="8">
        <v>1</v>
      </c>
      <c r="E1461" s="403"/>
      <c r="F1461" s="403">
        <f>BBNTHT!J1501</f>
        <v>0</v>
      </c>
      <c r="G1461" s="403">
        <f t="shared" si="88"/>
        <v>0</v>
      </c>
      <c r="H1461" s="9">
        <v>6353923</v>
      </c>
      <c r="I1461" s="404">
        <f t="shared" si="89"/>
        <v>6353923</v>
      </c>
      <c r="J1461" s="403"/>
      <c r="K1461" s="404">
        <f t="shared" si="90"/>
        <v>0</v>
      </c>
      <c r="L1461" s="405">
        <f t="shared" si="91"/>
        <v>0</v>
      </c>
      <c r="M1461" s="403"/>
    </row>
    <row r="1462" spans="1:13" ht="15.75" x14ac:dyDescent="0.25">
      <c r="A1462" s="6" t="s">
        <v>4142</v>
      </c>
      <c r="B1462" s="7" t="s">
        <v>4143</v>
      </c>
      <c r="C1462" s="6" t="s">
        <v>9</v>
      </c>
      <c r="D1462" s="8">
        <v>2</v>
      </c>
      <c r="E1462" s="403"/>
      <c r="F1462" s="403">
        <f>BBNTHT!J1502</f>
        <v>0</v>
      </c>
      <c r="G1462" s="403">
        <f t="shared" si="88"/>
        <v>0</v>
      </c>
      <c r="H1462" s="9">
        <v>15255620</v>
      </c>
      <c r="I1462" s="404">
        <f t="shared" si="89"/>
        <v>30511240</v>
      </c>
      <c r="J1462" s="403"/>
      <c r="K1462" s="404">
        <f t="shared" si="90"/>
        <v>0</v>
      </c>
      <c r="L1462" s="405">
        <f t="shared" si="91"/>
        <v>0</v>
      </c>
      <c r="M1462" s="403"/>
    </row>
    <row r="1463" spans="1:13" ht="15.75" x14ac:dyDescent="0.25">
      <c r="A1463" s="6" t="s">
        <v>4144</v>
      </c>
      <c r="B1463" s="7" t="s">
        <v>4145</v>
      </c>
      <c r="C1463" s="6" t="s">
        <v>9</v>
      </c>
      <c r="D1463" s="8">
        <v>1</v>
      </c>
      <c r="E1463" s="403"/>
      <c r="F1463" s="403">
        <f>BBNTHT!J1503</f>
        <v>0</v>
      </c>
      <c r="G1463" s="403">
        <f t="shared" si="88"/>
        <v>0</v>
      </c>
      <c r="H1463" s="9">
        <v>708481</v>
      </c>
      <c r="I1463" s="404">
        <f t="shared" si="89"/>
        <v>708481</v>
      </c>
      <c r="J1463" s="403"/>
      <c r="K1463" s="404">
        <f t="shared" si="90"/>
        <v>0</v>
      </c>
      <c r="L1463" s="405">
        <f t="shared" si="91"/>
        <v>0</v>
      </c>
      <c r="M1463" s="403"/>
    </row>
    <row r="1464" spans="1:13" ht="15.75" x14ac:dyDescent="0.25">
      <c r="A1464" s="6" t="s">
        <v>4146</v>
      </c>
      <c r="B1464" s="7" t="s">
        <v>4147</v>
      </c>
      <c r="C1464" s="6" t="s">
        <v>9</v>
      </c>
      <c r="D1464" s="8">
        <v>6</v>
      </c>
      <c r="E1464" s="403"/>
      <c r="F1464" s="403">
        <f>BBNTHT!J1504</f>
        <v>0</v>
      </c>
      <c r="G1464" s="403">
        <f t="shared" si="88"/>
        <v>0</v>
      </c>
      <c r="H1464" s="9">
        <v>367169</v>
      </c>
      <c r="I1464" s="404">
        <f t="shared" si="89"/>
        <v>2203014</v>
      </c>
      <c r="J1464" s="403"/>
      <c r="K1464" s="404">
        <f t="shared" si="90"/>
        <v>0</v>
      </c>
      <c r="L1464" s="405">
        <f t="shared" si="91"/>
        <v>0</v>
      </c>
      <c r="M1464" s="403"/>
    </row>
    <row r="1465" spans="1:13" ht="15.75" x14ac:dyDescent="0.25">
      <c r="A1465" s="6" t="s">
        <v>4148</v>
      </c>
      <c r="B1465" s="7" t="s">
        <v>4149</v>
      </c>
      <c r="C1465" s="6" t="s">
        <v>9</v>
      </c>
      <c r="D1465" s="8">
        <v>3</v>
      </c>
      <c r="E1465" s="403"/>
      <c r="F1465" s="403">
        <f>BBNTHT!J1505</f>
        <v>0</v>
      </c>
      <c r="G1465" s="403">
        <f t="shared" si="88"/>
        <v>0</v>
      </c>
      <c r="H1465" s="9">
        <v>13502517</v>
      </c>
      <c r="I1465" s="404">
        <f t="shared" si="89"/>
        <v>40507551</v>
      </c>
      <c r="J1465" s="403"/>
      <c r="K1465" s="404">
        <f t="shared" si="90"/>
        <v>0</v>
      </c>
      <c r="L1465" s="405">
        <f t="shared" si="91"/>
        <v>0</v>
      </c>
      <c r="M1465" s="403"/>
    </row>
    <row r="1466" spans="1:13" ht="15.75" x14ac:dyDescent="0.25">
      <c r="A1466" s="6" t="s">
        <v>4150</v>
      </c>
      <c r="B1466" s="7" t="s">
        <v>4151</v>
      </c>
      <c r="C1466" s="6" t="s">
        <v>9</v>
      </c>
      <c r="D1466" s="8">
        <v>1</v>
      </c>
      <c r="E1466" s="403"/>
      <c r="F1466" s="403">
        <f>BBNTHT!J1506</f>
        <v>0</v>
      </c>
      <c r="G1466" s="403">
        <f t="shared" si="88"/>
        <v>0</v>
      </c>
      <c r="H1466" s="9">
        <v>19144511</v>
      </c>
      <c r="I1466" s="404">
        <f t="shared" si="89"/>
        <v>19144511</v>
      </c>
      <c r="J1466" s="403"/>
      <c r="K1466" s="404">
        <f t="shared" si="90"/>
        <v>0</v>
      </c>
      <c r="L1466" s="405">
        <f t="shared" si="91"/>
        <v>0</v>
      </c>
      <c r="M1466" s="403"/>
    </row>
    <row r="1467" spans="1:13" ht="15.75" x14ac:dyDescent="0.25">
      <c r="A1467" s="6" t="s">
        <v>4152</v>
      </c>
      <c r="B1467" s="7" t="s">
        <v>4153</v>
      </c>
      <c r="C1467" s="6" t="s">
        <v>9</v>
      </c>
      <c r="D1467" s="8">
        <v>1</v>
      </c>
      <c r="E1467" s="403"/>
      <c r="F1467" s="403">
        <f>BBNTHT!J1507</f>
        <v>0</v>
      </c>
      <c r="G1467" s="403">
        <f t="shared" si="88"/>
        <v>0</v>
      </c>
      <c r="H1467" s="9">
        <v>14316150</v>
      </c>
      <c r="I1467" s="404">
        <f t="shared" si="89"/>
        <v>14316150</v>
      </c>
      <c r="J1467" s="403"/>
      <c r="K1467" s="404">
        <f t="shared" si="90"/>
        <v>0</v>
      </c>
      <c r="L1467" s="405">
        <f t="shared" si="91"/>
        <v>0</v>
      </c>
      <c r="M1467" s="403"/>
    </row>
    <row r="1468" spans="1:13" ht="15.75" x14ac:dyDescent="0.25">
      <c r="A1468" s="6" t="s">
        <v>4154</v>
      </c>
      <c r="B1468" s="7" t="s">
        <v>4155</v>
      </c>
      <c r="C1468" s="6" t="s">
        <v>9</v>
      </c>
      <c r="D1468" s="8">
        <v>19</v>
      </c>
      <c r="E1468" s="403"/>
      <c r="F1468" s="403">
        <f>BBNTHT!J1508</f>
        <v>0</v>
      </c>
      <c r="G1468" s="403">
        <f t="shared" si="88"/>
        <v>0</v>
      </c>
      <c r="H1468" s="9">
        <v>263741</v>
      </c>
      <c r="I1468" s="404">
        <f t="shared" si="89"/>
        <v>5011079</v>
      </c>
      <c r="J1468" s="403"/>
      <c r="K1468" s="404">
        <f t="shared" si="90"/>
        <v>0</v>
      </c>
      <c r="L1468" s="405">
        <f t="shared" si="91"/>
        <v>0</v>
      </c>
      <c r="M1468" s="403"/>
    </row>
    <row r="1469" spans="1:13" ht="15.75" x14ac:dyDescent="0.25">
      <c r="A1469" s="6" t="s">
        <v>4156</v>
      </c>
      <c r="B1469" s="7" t="s">
        <v>4157</v>
      </c>
      <c r="C1469" s="6" t="s">
        <v>9</v>
      </c>
      <c r="D1469" s="8">
        <v>1</v>
      </c>
      <c r="E1469" s="403"/>
      <c r="F1469" s="403">
        <f>BBNTHT!J1509</f>
        <v>0</v>
      </c>
      <c r="G1469" s="403">
        <f t="shared" si="88"/>
        <v>0</v>
      </c>
      <c r="H1469" s="9">
        <v>656767</v>
      </c>
      <c r="I1469" s="404">
        <f t="shared" si="89"/>
        <v>656767</v>
      </c>
      <c r="J1469" s="403"/>
      <c r="K1469" s="404">
        <f t="shared" si="90"/>
        <v>0</v>
      </c>
      <c r="L1469" s="405">
        <f t="shared" si="91"/>
        <v>0</v>
      </c>
      <c r="M1469" s="403"/>
    </row>
    <row r="1470" spans="1:13" ht="15.75" x14ac:dyDescent="0.25">
      <c r="A1470" s="6" t="s">
        <v>4158</v>
      </c>
      <c r="B1470" s="7" t="s">
        <v>4159</v>
      </c>
      <c r="C1470" s="6" t="s">
        <v>9</v>
      </c>
      <c r="D1470" s="8">
        <v>2</v>
      </c>
      <c r="E1470" s="403"/>
      <c r="F1470" s="403">
        <f>BBNTHT!J1510</f>
        <v>0</v>
      </c>
      <c r="G1470" s="403">
        <f t="shared" si="88"/>
        <v>0</v>
      </c>
      <c r="H1470" s="9">
        <v>1554005</v>
      </c>
      <c r="I1470" s="404">
        <f t="shared" si="89"/>
        <v>3108010</v>
      </c>
      <c r="J1470" s="403"/>
      <c r="K1470" s="404">
        <f t="shared" si="90"/>
        <v>0</v>
      </c>
      <c r="L1470" s="405">
        <f t="shared" si="91"/>
        <v>0</v>
      </c>
      <c r="M1470" s="403"/>
    </row>
    <row r="1471" spans="1:13" ht="15.75" x14ac:dyDescent="0.25">
      <c r="A1471" s="6" t="s">
        <v>4160</v>
      </c>
      <c r="B1471" s="7" t="s">
        <v>4161</v>
      </c>
      <c r="C1471" s="6" t="s">
        <v>9</v>
      </c>
      <c r="D1471" s="8">
        <v>2</v>
      </c>
      <c r="E1471" s="403"/>
      <c r="F1471" s="403">
        <f>BBNTHT!J1511</f>
        <v>0</v>
      </c>
      <c r="G1471" s="403">
        <f t="shared" si="88"/>
        <v>0</v>
      </c>
      <c r="H1471" s="9">
        <v>735200</v>
      </c>
      <c r="I1471" s="404">
        <f t="shared" si="89"/>
        <v>1470400</v>
      </c>
      <c r="J1471" s="403"/>
      <c r="K1471" s="404">
        <f t="shared" si="90"/>
        <v>0</v>
      </c>
      <c r="L1471" s="405">
        <f t="shared" si="91"/>
        <v>0</v>
      </c>
      <c r="M1471" s="403"/>
    </row>
    <row r="1472" spans="1:13" ht="15.75" x14ac:dyDescent="0.25">
      <c r="A1472" s="6" t="s">
        <v>4162</v>
      </c>
      <c r="B1472" s="7" t="s">
        <v>4163</v>
      </c>
      <c r="C1472" s="6" t="s">
        <v>9</v>
      </c>
      <c r="D1472" s="8">
        <v>4</v>
      </c>
      <c r="E1472" s="403"/>
      <c r="F1472" s="403">
        <f>BBNTHT!J1512</f>
        <v>0</v>
      </c>
      <c r="G1472" s="403">
        <f t="shared" si="88"/>
        <v>0</v>
      </c>
      <c r="H1472" s="9">
        <v>280117</v>
      </c>
      <c r="I1472" s="404">
        <f t="shared" si="89"/>
        <v>1120468</v>
      </c>
      <c r="J1472" s="403"/>
      <c r="K1472" s="404">
        <f t="shared" si="90"/>
        <v>0</v>
      </c>
      <c r="L1472" s="405">
        <f t="shared" si="91"/>
        <v>0</v>
      </c>
      <c r="M1472" s="403"/>
    </row>
    <row r="1473" spans="1:13" ht="15.75" x14ac:dyDescent="0.25">
      <c r="A1473" s="6" t="s">
        <v>4164</v>
      </c>
      <c r="B1473" s="7" t="s">
        <v>4165</v>
      </c>
      <c r="C1473" s="6" t="s">
        <v>9</v>
      </c>
      <c r="D1473" s="8">
        <v>2</v>
      </c>
      <c r="E1473" s="403"/>
      <c r="F1473" s="403">
        <f>BBNTHT!J1513</f>
        <v>0</v>
      </c>
      <c r="G1473" s="403">
        <f t="shared" si="88"/>
        <v>0</v>
      </c>
      <c r="H1473" s="9">
        <v>85328</v>
      </c>
      <c r="I1473" s="404">
        <f t="shared" si="89"/>
        <v>170656</v>
      </c>
      <c r="J1473" s="403"/>
      <c r="K1473" s="404">
        <f t="shared" si="90"/>
        <v>0</v>
      </c>
      <c r="L1473" s="405">
        <f t="shared" si="91"/>
        <v>0</v>
      </c>
      <c r="M1473" s="403"/>
    </row>
    <row r="1474" spans="1:13" ht="15.75" x14ac:dyDescent="0.25">
      <c r="A1474" s="6" t="s">
        <v>4166</v>
      </c>
      <c r="B1474" s="7" t="s">
        <v>4167</v>
      </c>
      <c r="C1474" s="6" t="s">
        <v>9</v>
      </c>
      <c r="D1474" s="8">
        <v>3</v>
      </c>
      <c r="E1474" s="403"/>
      <c r="F1474" s="403">
        <f>BBNTHT!J1514</f>
        <v>0</v>
      </c>
      <c r="G1474" s="403">
        <f t="shared" si="88"/>
        <v>0</v>
      </c>
      <c r="H1474" s="9">
        <v>43956</v>
      </c>
      <c r="I1474" s="404">
        <f t="shared" si="89"/>
        <v>131868</v>
      </c>
      <c r="J1474" s="403"/>
      <c r="K1474" s="404">
        <f t="shared" si="90"/>
        <v>0</v>
      </c>
      <c r="L1474" s="405">
        <f t="shared" si="91"/>
        <v>0</v>
      </c>
      <c r="M1474" s="403"/>
    </row>
    <row r="1475" spans="1:13" ht="15.75" x14ac:dyDescent="0.25">
      <c r="A1475" s="6" t="s">
        <v>4168</v>
      </c>
      <c r="B1475" s="7" t="s">
        <v>4169</v>
      </c>
      <c r="C1475" s="6" t="s">
        <v>9</v>
      </c>
      <c r="D1475" s="8">
        <v>3</v>
      </c>
      <c r="E1475" s="403"/>
      <c r="F1475" s="403">
        <f>BBNTHT!J1515</f>
        <v>0</v>
      </c>
      <c r="G1475" s="403">
        <f t="shared" si="88"/>
        <v>0</v>
      </c>
      <c r="H1475" s="9">
        <v>27925</v>
      </c>
      <c r="I1475" s="404">
        <f t="shared" si="89"/>
        <v>83775</v>
      </c>
      <c r="J1475" s="403"/>
      <c r="K1475" s="404">
        <f t="shared" si="90"/>
        <v>0</v>
      </c>
      <c r="L1475" s="405">
        <f t="shared" si="91"/>
        <v>0</v>
      </c>
      <c r="M1475" s="403"/>
    </row>
    <row r="1476" spans="1:13" ht="15.75" x14ac:dyDescent="0.25">
      <c r="A1476" s="6" t="s">
        <v>4170</v>
      </c>
      <c r="B1476" s="7" t="s">
        <v>4171</v>
      </c>
      <c r="C1476" s="6" t="s">
        <v>9</v>
      </c>
      <c r="D1476" s="8">
        <v>2</v>
      </c>
      <c r="E1476" s="403"/>
      <c r="F1476" s="403">
        <f>BBNTHT!J1516</f>
        <v>0</v>
      </c>
      <c r="G1476" s="403">
        <f t="shared" si="88"/>
        <v>0</v>
      </c>
      <c r="H1476" s="9">
        <v>2096139</v>
      </c>
      <c r="I1476" s="404">
        <f t="shared" si="89"/>
        <v>4192278</v>
      </c>
      <c r="J1476" s="403"/>
      <c r="K1476" s="404">
        <f t="shared" si="90"/>
        <v>0</v>
      </c>
      <c r="L1476" s="405">
        <f t="shared" si="91"/>
        <v>0</v>
      </c>
      <c r="M1476" s="403"/>
    </row>
    <row r="1477" spans="1:13" ht="15.75" x14ac:dyDescent="0.25">
      <c r="A1477" s="6" t="s">
        <v>4172</v>
      </c>
      <c r="B1477" s="7" t="s">
        <v>4173</v>
      </c>
      <c r="C1477" s="6" t="s">
        <v>9</v>
      </c>
      <c r="D1477" s="8">
        <v>3</v>
      </c>
      <c r="E1477" s="403"/>
      <c r="F1477" s="403">
        <f>BBNTHT!J1517</f>
        <v>0</v>
      </c>
      <c r="G1477" s="403">
        <f t="shared" si="88"/>
        <v>0</v>
      </c>
      <c r="H1477" s="9">
        <v>1130812</v>
      </c>
      <c r="I1477" s="404">
        <f t="shared" si="89"/>
        <v>3392436</v>
      </c>
      <c r="J1477" s="403"/>
      <c r="K1477" s="404">
        <f t="shared" si="90"/>
        <v>0</v>
      </c>
      <c r="L1477" s="405">
        <f t="shared" si="91"/>
        <v>0</v>
      </c>
      <c r="M1477" s="403"/>
    </row>
    <row r="1478" spans="1:13" ht="15.75" x14ac:dyDescent="0.25">
      <c r="A1478" s="6" t="s">
        <v>4174</v>
      </c>
      <c r="B1478" s="7" t="s">
        <v>4175</v>
      </c>
      <c r="C1478" s="6" t="s">
        <v>9</v>
      </c>
      <c r="D1478" s="8">
        <v>3</v>
      </c>
      <c r="E1478" s="403"/>
      <c r="F1478" s="403">
        <f>BBNTHT!J1518</f>
        <v>0</v>
      </c>
      <c r="G1478" s="403">
        <f t="shared" si="88"/>
        <v>0</v>
      </c>
      <c r="H1478" s="9">
        <v>1287678</v>
      </c>
      <c r="I1478" s="404">
        <f t="shared" si="89"/>
        <v>3863034</v>
      </c>
      <c r="J1478" s="403"/>
      <c r="K1478" s="404">
        <f t="shared" si="90"/>
        <v>0</v>
      </c>
      <c r="L1478" s="405">
        <f t="shared" si="91"/>
        <v>0</v>
      </c>
      <c r="M1478" s="403"/>
    </row>
    <row r="1479" spans="1:13" ht="15.75" x14ac:dyDescent="0.25">
      <c r="A1479" s="6" t="s">
        <v>4176</v>
      </c>
      <c r="B1479" s="7" t="s">
        <v>4177</v>
      </c>
      <c r="C1479" s="6" t="s">
        <v>9</v>
      </c>
      <c r="D1479" s="8">
        <v>1</v>
      </c>
      <c r="E1479" s="403"/>
      <c r="F1479" s="403">
        <f>BBNTHT!J1519</f>
        <v>0</v>
      </c>
      <c r="G1479" s="403">
        <f t="shared" si="88"/>
        <v>0</v>
      </c>
      <c r="H1479" s="9">
        <v>1287678</v>
      </c>
      <c r="I1479" s="404">
        <f t="shared" si="89"/>
        <v>1287678</v>
      </c>
      <c r="J1479" s="403"/>
      <c r="K1479" s="404">
        <f t="shared" si="90"/>
        <v>0</v>
      </c>
      <c r="L1479" s="405">
        <f t="shared" si="91"/>
        <v>0</v>
      </c>
      <c r="M1479" s="403"/>
    </row>
    <row r="1480" spans="1:13" ht="15.75" x14ac:dyDescent="0.25">
      <c r="A1480" s="6" t="s">
        <v>4178</v>
      </c>
      <c r="B1480" s="7" t="s">
        <v>4179</v>
      </c>
      <c r="C1480" s="6" t="s">
        <v>9</v>
      </c>
      <c r="D1480" s="8">
        <v>2</v>
      </c>
      <c r="E1480" s="403"/>
      <c r="F1480" s="403">
        <f>BBNTHT!J1520</f>
        <v>0</v>
      </c>
      <c r="G1480" s="403">
        <f t="shared" si="88"/>
        <v>0</v>
      </c>
      <c r="H1480" s="9">
        <v>436121</v>
      </c>
      <c r="I1480" s="404">
        <f t="shared" si="89"/>
        <v>872242</v>
      </c>
      <c r="J1480" s="403"/>
      <c r="K1480" s="404">
        <f t="shared" si="90"/>
        <v>0</v>
      </c>
      <c r="L1480" s="405">
        <f t="shared" si="91"/>
        <v>0</v>
      </c>
      <c r="M1480" s="403"/>
    </row>
    <row r="1481" spans="1:13" ht="15.75" x14ac:dyDescent="0.25">
      <c r="A1481" s="6" t="s">
        <v>4180</v>
      </c>
      <c r="B1481" s="7" t="s">
        <v>4181</v>
      </c>
      <c r="C1481" s="6" t="s">
        <v>9</v>
      </c>
      <c r="D1481" s="8">
        <v>6</v>
      </c>
      <c r="E1481" s="403"/>
      <c r="F1481" s="403">
        <f>BBNTHT!J1521</f>
        <v>0</v>
      </c>
      <c r="G1481" s="403">
        <f t="shared" si="88"/>
        <v>0</v>
      </c>
      <c r="H1481" s="9">
        <v>86190</v>
      </c>
      <c r="I1481" s="404">
        <f t="shared" si="89"/>
        <v>517140</v>
      </c>
      <c r="J1481" s="403"/>
      <c r="K1481" s="404">
        <f t="shared" si="90"/>
        <v>0</v>
      </c>
      <c r="L1481" s="405">
        <f t="shared" si="91"/>
        <v>0</v>
      </c>
      <c r="M1481" s="403"/>
    </row>
    <row r="1482" spans="1:13" ht="15.75" x14ac:dyDescent="0.25">
      <c r="A1482" s="6" t="s">
        <v>4182</v>
      </c>
      <c r="B1482" s="7" t="s">
        <v>4183</v>
      </c>
      <c r="C1482" s="6" t="s">
        <v>4184</v>
      </c>
      <c r="D1482" s="8">
        <v>8</v>
      </c>
      <c r="E1482" s="403"/>
      <c r="F1482" s="403">
        <f>BBNTHT!J1522</f>
        <v>0</v>
      </c>
      <c r="G1482" s="403">
        <f t="shared" si="88"/>
        <v>0</v>
      </c>
      <c r="H1482" s="9">
        <v>941194</v>
      </c>
      <c r="I1482" s="404">
        <f t="shared" si="89"/>
        <v>7529552</v>
      </c>
      <c r="J1482" s="403"/>
      <c r="K1482" s="404">
        <f t="shared" si="90"/>
        <v>0</v>
      </c>
      <c r="L1482" s="405">
        <f t="shared" si="91"/>
        <v>0</v>
      </c>
      <c r="M1482" s="403"/>
    </row>
    <row r="1483" spans="1:13" ht="15.75" x14ac:dyDescent="0.25">
      <c r="A1483" s="6" t="s">
        <v>4185</v>
      </c>
      <c r="B1483" s="7" t="s">
        <v>4186</v>
      </c>
      <c r="C1483" s="6" t="s">
        <v>4184</v>
      </c>
      <c r="D1483" s="8">
        <v>11</v>
      </c>
      <c r="E1483" s="403"/>
      <c r="F1483" s="403">
        <f>BBNTHT!J1523</f>
        <v>0</v>
      </c>
      <c r="G1483" s="403">
        <f t="shared" si="88"/>
        <v>0</v>
      </c>
      <c r="H1483" s="9">
        <v>658491</v>
      </c>
      <c r="I1483" s="404">
        <f t="shared" si="89"/>
        <v>7243401</v>
      </c>
      <c r="J1483" s="403"/>
      <c r="K1483" s="404">
        <f t="shared" si="90"/>
        <v>0</v>
      </c>
      <c r="L1483" s="405">
        <f t="shared" si="91"/>
        <v>0</v>
      </c>
      <c r="M1483" s="403"/>
    </row>
    <row r="1484" spans="1:13" ht="15.75" x14ac:dyDescent="0.25">
      <c r="A1484" s="6" t="s">
        <v>4187</v>
      </c>
      <c r="B1484" s="7" t="s">
        <v>4188</v>
      </c>
      <c r="C1484" s="6" t="s">
        <v>4184</v>
      </c>
      <c r="D1484" s="8">
        <v>4</v>
      </c>
      <c r="E1484" s="403"/>
      <c r="F1484" s="403">
        <f>BBNTHT!J1524</f>
        <v>0</v>
      </c>
      <c r="G1484" s="403">
        <f t="shared" si="88"/>
        <v>0</v>
      </c>
      <c r="H1484" s="9">
        <v>510244</v>
      </c>
      <c r="I1484" s="404">
        <f t="shared" si="89"/>
        <v>2040976</v>
      </c>
      <c r="J1484" s="403"/>
      <c r="K1484" s="404">
        <f t="shared" si="90"/>
        <v>0</v>
      </c>
      <c r="L1484" s="405">
        <f t="shared" si="91"/>
        <v>0</v>
      </c>
      <c r="M1484" s="403"/>
    </row>
    <row r="1485" spans="1:13" ht="15.75" x14ac:dyDescent="0.25">
      <c r="A1485" s="6" t="s">
        <v>4189</v>
      </c>
      <c r="B1485" s="7" t="s">
        <v>4190</v>
      </c>
      <c r="C1485" s="6" t="s">
        <v>4184</v>
      </c>
      <c r="D1485" s="8">
        <v>3</v>
      </c>
      <c r="E1485" s="403"/>
      <c r="F1485" s="403">
        <f>BBNTHT!J1525</f>
        <v>0</v>
      </c>
      <c r="G1485" s="403">
        <f t="shared" si="88"/>
        <v>0</v>
      </c>
      <c r="H1485" s="9">
        <v>393026</v>
      </c>
      <c r="I1485" s="404">
        <f t="shared" si="89"/>
        <v>1179078</v>
      </c>
      <c r="J1485" s="403"/>
      <c r="K1485" s="404">
        <f t="shared" si="90"/>
        <v>0</v>
      </c>
      <c r="L1485" s="405">
        <f t="shared" si="91"/>
        <v>0</v>
      </c>
      <c r="M1485" s="403"/>
    </row>
    <row r="1486" spans="1:13" ht="15.75" x14ac:dyDescent="0.25">
      <c r="A1486" s="6" t="s">
        <v>4191</v>
      </c>
      <c r="B1486" s="7" t="s">
        <v>4192</v>
      </c>
      <c r="C1486" s="6" t="s">
        <v>14</v>
      </c>
      <c r="D1486" s="8">
        <v>0.12</v>
      </c>
      <c r="E1486" s="403"/>
      <c r="F1486" s="403">
        <f>BBNTHT!J1526</f>
        <v>0</v>
      </c>
      <c r="G1486" s="403">
        <f t="shared" si="88"/>
        <v>0</v>
      </c>
      <c r="H1486" s="9">
        <v>258569832</v>
      </c>
      <c r="I1486" s="404">
        <f t="shared" si="89"/>
        <v>31028380</v>
      </c>
      <c r="J1486" s="403"/>
      <c r="K1486" s="404">
        <f t="shared" si="90"/>
        <v>0</v>
      </c>
      <c r="L1486" s="405">
        <f t="shared" si="91"/>
        <v>0</v>
      </c>
      <c r="M1486" s="403"/>
    </row>
    <row r="1487" spans="1:13" ht="15.75" x14ac:dyDescent="0.25">
      <c r="A1487" s="6" t="s">
        <v>4193</v>
      </c>
      <c r="B1487" s="7" t="s">
        <v>4194</v>
      </c>
      <c r="C1487" s="6" t="s">
        <v>14</v>
      </c>
      <c r="D1487" s="8">
        <v>0.12</v>
      </c>
      <c r="E1487" s="403"/>
      <c r="F1487" s="403">
        <f>BBNTHT!J1527</f>
        <v>0</v>
      </c>
      <c r="G1487" s="403">
        <f t="shared" si="88"/>
        <v>0</v>
      </c>
      <c r="H1487" s="9">
        <v>172379888</v>
      </c>
      <c r="I1487" s="404">
        <f t="shared" si="89"/>
        <v>20685587</v>
      </c>
      <c r="J1487" s="403"/>
      <c r="K1487" s="404">
        <f t="shared" si="90"/>
        <v>0</v>
      </c>
      <c r="L1487" s="405">
        <f t="shared" si="91"/>
        <v>0</v>
      </c>
      <c r="M1487" s="403"/>
    </row>
    <row r="1488" spans="1:13" ht="15.75" x14ac:dyDescent="0.25">
      <c r="A1488" s="6" t="s">
        <v>4195</v>
      </c>
      <c r="B1488" s="7" t="s">
        <v>4196</v>
      </c>
      <c r="C1488" s="6" t="s">
        <v>14</v>
      </c>
      <c r="D1488" s="8">
        <v>0.06</v>
      </c>
      <c r="E1488" s="403"/>
      <c r="F1488" s="403">
        <f>BBNTHT!J1528</f>
        <v>0</v>
      </c>
      <c r="G1488" s="403">
        <f t="shared" si="88"/>
        <v>0</v>
      </c>
      <c r="H1488" s="9">
        <v>77570949</v>
      </c>
      <c r="I1488" s="404">
        <f t="shared" si="89"/>
        <v>4654257</v>
      </c>
      <c r="J1488" s="403"/>
      <c r="K1488" s="404">
        <f t="shared" si="90"/>
        <v>0</v>
      </c>
      <c r="L1488" s="405">
        <f t="shared" si="91"/>
        <v>0</v>
      </c>
      <c r="M1488" s="403"/>
    </row>
    <row r="1489" spans="1:13" ht="15.75" x14ac:dyDescent="0.25">
      <c r="A1489" s="6" t="s">
        <v>4197</v>
      </c>
      <c r="B1489" s="7" t="s">
        <v>4198</v>
      </c>
      <c r="C1489" s="6" t="s">
        <v>14</v>
      </c>
      <c r="D1489" s="8">
        <v>0.12</v>
      </c>
      <c r="E1489" s="403"/>
      <c r="F1489" s="403">
        <f>BBNTHT!J1529</f>
        <v>0</v>
      </c>
      <c r="G1489" s="403">
        <f t="shared" si="88"/>
        <v>0</v>
      </c>
      <c r="H1489" s="9">
        <v>34475978</v>
      </c>
      <c r="I1489" s="404">
        <f t="shared" si="89"/>
        <v>4137117</v>
      </c>
      <c r="J1489" s="403"/>
      <c r="K1489" s="404">
        <f t="shared" si="90"/>
        <v>0</v>
      </c>
      <c r="L1489" s="405">
        <f t="shared" si="91"/>
        <v>0</v>
      </c>
      <c r="M1489" s="403"/>
    </row>
    <row r="1490" spans="1:13" ht="15.75" x14ac:dyDescent="0.25">
      <c r="A1490" s="6" t="s">
        <v>4199</v>
      </c>
      <c r="B1490" s="7" t="s">
        <v>4200</v>
      </c>
      <c r="C1490" s="6" t="s">
        <v>14</v>
      </c>
      <c r="D1490" s="8">
        <v>0.12</v>
      </c>
      <c r="E1490" s="403"/>
      <c r="F1490" s="403">
        <f>BBNTHT!J1530</f>
        <v>0</v>
      </c>
      <c r="G1490" s="403">
        <f t="shared" ref="G1490:G1553" si="92">F1490+E1490</f>
        <v>0</v>
      </c>
      <c r="H1490" s="9">
        <v>17237989</v>
      </c>
      <c r="I1490" s="404">
        <f t="shared" ref="I1490:I1553" si="93">ROUND(D1490*H1490,0)</f>
        <v>2068559</v>
      </c>
      <c r="J1490" s="403"/>
      <c r="K1490" s="404">
        <f t="shared" ref="K1490:K1553" si="94">ROUND(F1490*H1490,0)</f>
        <v>0</v>
      </c>
      <c r="L1490" s="405">
        <f t="shared" ref="L1490:L1553" si="95">J1490+K1490</f>
        <v>0</v>
      </c>
      <c r="M1490" s="403"/>
    </row>
    <row r="1491" spans="1:13" ht="31.5" x14ac:dyDescent="0.25">
      <c r="A1491" s="6" t="s">
        <v>4201</v>
      </c>
      <c r="B1491" s="7" t="s">
        <v>4202</v>
      </c>
      <c r="C1491" s="6" t="s">
        <v>6</v>
      </c>
      <c r="D1491" s="8">
        <v>20</v>
      </c>
      <c r="E1491" s="403"/>
      <c r="F1491" s="403">
        <f>BBNTHT!J1531</f>
        <v>0</v>
      </c>
      <c r="G1491" s="403">
        <f t="shared" si="92"/>
        <v>0</v>
      </c>
      <c r="H1491" s="9">
        <v>177551</v>
      </c>
      <c r="I1491" s="404">
        <f t="shared" si="93"/>
        <v>3551020</v>
      </c>
      <c r="J1491" s="403"/>
      <c r="K1491" s="404">
        <f t="shared" si="94"/>
        <v>0</v>
      </c>
      <c r="L1491" s="405">
        <f t="shared" si="95"/>
        <v>0</v>
      </c>
      <c r="M1491" s="403"/>
    </row>
    <row r="1492" spans="1:13" ht="31.5" x14ac:dyDescent="0.25">
      <c r="A1492" s="6" t="s">
        <v>4203</v>
      </c>
      <c r="B1492" s="7" t="s">
        <v>4204</v>
      </c>
      <c r="C1492" s="6" t="s">
        <v>6</v>
      </c>
      <c r="D1492" s="8">
        <v>30</v>
      </c>
      <c r="E1492" s="403"/>
      <c r="F1492" s="403">
        <f>BBNTHT!J1532</f>
        <v>0</v>
      </c>
      <c r="G1492" s="403">
        <f t="shared" si="92"/>
        <v>0</v>
      </c>
      <c r="H1492" s="9">
        <v>1723799</v>
      </c>
      <c r="I1492" s="404">
        <f t="shared" si="93"/>
        <v>51713970</v>
      </c>
      <c r="J1492" s="403"/>
      <c r="K1492" s="404">
        <f t="shared" si="94"/>
        <v>0</v>
      </c>
      <c r="L1492" s="405">
        <f t="shared" si="95"/>
        <v>0</v>
      </c>
      <c r="M1492" s="403"/>
    </row>
    <row r="1493" spans="1:13" ht="31.5" x14ac:dyDescent="0.25">
      <c r="A1493" s="6" t="s">
        <v>4205</v>
      </c>
      <c r="B1493" s="7" t="s">
        <v>4206</v>
      </c>
      <c r="C1493" s="6" t="s">
        <v>6</v>
      </c>
      <c r="D1493" s="8">
        <v>20</v>
      </c>
      <c r="E1493" s="403"/>
      <c r="F1493" s="403">
        <f>BBNTHT!J1533</f>
        <v>0</v>
      </c>
      <c r="G1493" s="403">
        <f t="shared" si="92"/>
        <v>0</v>
      </c>
      <c r="H1493" s="9">
        <v>861899</v>
      </c>
      <c r="I1493" s="404">
        <f t="shared" si="93"/>
        <v>17237980</v>
      </c>
      <c r="J1493" s="403"/>
      <c r="K1493" s="404">
        <f t="shared" si="94"/>
        <v>0</v>
      </c>
      <c r="L1493" s="405">
        <f t="shared" si="95"/>
        <v>0</v>
      </c>
      <c r="M1493" s="403"/>
    </row>
    <row r="1494" spans="1:13" ht="31.5" x14ac:dyDescent="0.25">
      <c r="A1494" s="6" t="s">
        <v>4207</v>
      </c>
      <c r="B1494" s="7" t="s">
        <v>4208</v>
      </c>
      <c r="C1494" s="6" t="s">
        <v>6</v>
      </c>
      <c r="D1494" s="8">
        <v>20</v>
      </c>
      <c r="E1494" s="403"/>
      <c r="F1494" s="403">
        <f>BBNTHT!J1534</f>
        <v>0</v>
      </c>
      <c r="G1494" s="403">
        <f t="shared" si="92"/>
        <v>0</v>
      </c>
      <c r="H1494" s="9">
        <v>120666</v>
      </c>
      <c r="I1494" s="404">
        <f t="shared" si="93"/>
        <v>2413320</v>
      </c>
      <c r="J1494" s="403"/>
      <c r="K1494" s="404">
        <f t="shared" si="94"/>
        <v>0</v>
      </c>
      <c r="L1494" s="405">
        <f t="shared" si="95"/>
        <v>0</v>
      </c>
      <c r="M1494" s="403"/>
    </row>
    <row r="1495" spans="1:13" ht="31.5" x14ac:dyDescent="0.25">
      <c r="A1495" s="6" t="s">
        <v>4209</v>
      </c>
      <c r="B1495" s="7" t="s">
        <v>4210</v>
      </c>
      <c r="C1495" s="6" t="s">
        <v>6</v>
      </c>
      <c r="D1495" s="8">
        <v>50</v>
      </c>
      <c r="E1495" s="403"/>
      <c r="F1495" s="403">
        <f>BBNTHT!J1535</f>
        <v>0</v>
      </c>
      <c r="G1495" s="403">
        <f t="shared" si="92"/>
        <v>0</v>
      </c>
      <c r="H1495" s="9">
        <v>72399</v>
      </c>
      <c r="I1495" s="404">
        <f t="shared" si="93"/>
        <v>3619950</v>
      </c>
      <c r="J1495" s="403"/>
      <c r="K1495" s="404">
        <f t="shared" si="94"/>
        <v>0</v>
      </c>
      <c r="L1495" s="405">
        <f t="shared" si="95"/>
        <v>0</v>
      </c>
      <c r="M1495" s="403"/>
    </row>
    <row r="1496" spans="1:13" ht="15.75" x14ac:dyDescent="0.25">
      <c r="A1496" s="6" t="s">
        <v>4211</v>
      </c>
      <c r="B1496" s="7" t="s">
        <v>4212</v>
      </c>
      <c r="C1496" s="6" t="s">
        <v>6</v>
      </c>
      <c r="D1496" s="8">
        <v>20</v>
      </c>
      <c r="E1496" s="403"/>
      <c r="F1496" s="403">
        <f>BBNTHT!J1536</f>
        <v>0</v>
      </c>
      <c r="G1496" s="403">
        <f t="shared" si="92"/>
        <v>0</v>
      </c>
      <c r="H1496" s="9">
        <v>84466</v>
      </c>
      <c r="I1496" s="404">
        <f t="shared" si="93"/>
        <v>1689320</v>
      </c>
      <c r="J1496" s="403"/>
      <c r="K1496" s="404">
        <f t="shared" si="94"/>
        <v>0</v>
      </c>
      <c r="L1496" s="405">
        <f t="shared" si="95"/>
        <v>0</v>
      </c>
      <c r="M1496" s="403"/>
    </row>
    <row r="1497" spans="1:13" ht="31.5" x14ac:dyDescent="0.25">
      <c r="A1497" s="6" t="s">
        <v>4213</v>
      </c>
      <c r="B1497" s="7" t="s">
        <v>4214</v>
      </c>
      <c r="C1497" s="6" t="s">
        <v>6</v>
      </c>
      <c r="D1497" s="8">
        <v>50</v>
      </c>
      <c r="E1497" s="403"/>
      <c r="F1497" s="403">
        <f>BBNTHT!J1537</f>
        <v>0</v>
      </c>
      <c r="G1497" s="403">
        <f t="shared" si="92"/>
        <v>0</v>
      </c>
      <c r="H1497" s="9">
        <v>25857</v>
      </c>
      <c r="I1497" s="404">
        <f t="shared" si="93"/>
        <v>1292850</v>
      </c>
      <c r="J1497" s="403"/>
      <c r="K1497" s="404">
        <f t="shared" si="94"/>
        <v>0</v>
      </c>
      <c r="L1497" s="405">
        <f t="shared" si="95"/>
        <v>0</v>
      </c>
      <c r="M1497" s="403"/>
    </row>
    <row r="1498" spans="1:13" ht="31.5" x14ac:dyDescent="0.25">
      <c r="A1498" s="6" t="s">
        <v>4215</v>
      </c>
      <c r="B1498" s="7" t="s">
        <v>4216</v>
      </c>
      <c r="C1498" s="6" t="s">
        <v>6</v>
      </c>
      <c r="D1498" s="8">
        <v>50</v>
      </c>
      <c r="E1498" s="403"/>
      <c r="F1498" s="403">
        <f>BBNTHT!J1538</f>
        <v>0</v>
      </c>
      <c r="G1498" s="403">
        <f t="shared" si="92"/>
        <v>0</v>
      </c>
      <c r="H1498" s="9">
        <v>8619</v>
      </c>
      <c r="I1498" s="404">
        <f t="shared" si="93"/>
        <v>430950</v>
      </c>
      <c r="J1498" s="403"/>
      <c r="K1498" s="404">
        <f t="shared" si="94"/>
        <v>0</v>
      </c>
      <c r="L1498" s="405">
        <f t="shared" si="95"/>
        <v>0</v>
      </c>
      <c r="M1498" s="403"/>
    </row>
    <row r="1499" spans="1:13" ht="47.25" x14ac:dyDescent="0.25">
      <c r="A1499" s="6" t="s">
        <v>4217</v>
      </c>
      <c r="B1499" s="7" t="s">
        <v>4218</v>
      </c>
      <c r="C1499" s="6" t="s">
        <v>1911</v>
      </c>
      <c r="D1499" s="8">
        <v>1</v>
      </c>
      <c r="E1499" s="403"/>
      <c r="F1499" s="403">
        <f>BBNTHT!J1539</f>
        <v>0</v>
      </c>
      <c r="G1499" s="403">
        <f t="shared" si="92"/>
        <v>0</v>
      </c>
      <c r="H1499" s="9">
        <v>44290824</v>
      </c>
      <c r="I1499" s="404">
        <f t="shared" si="93"/>
        <v>44290824</v>
      </c>
      <c r="J1499" s="403"/>
      <c r="K1499" s="404">
        <f t="shared" si="94"/>
        <v>0</v>
      </c>
      <c r="L1499" s="405">
        <f t="shared" si="95"/>
        <v>0</v>
      </c>
      <c r="M1499" s="403"/>
    </row>
    <row r="1500" spans="1:13" ht="47.25" x14ac:dyDescent="0.25">
      <c r="A1500" s="6" t="s">
        <v>4219</v>
      </c>
      <c r="B1500" s="7" t="s">
        <v>4220</v>
      </c>
      <c r="C1500" s="6" t="s">
        <v>1911</v>
      </c>
      <c r="D1500" s="8">
        <v>1</v>
      </c>
      <c r="E1500" s="403"/>
      <c r="F1500" s="403">
        <f>BBNTHT!J1540</f>
        <v>0</v>
      </c>
      <c r="G1500" s="403">
        <f t="shared" si="92"/>
        <v>0</v>
      </c>
      <c r="H1500" s="9">
        <v>44290824</v>
      </c>
      <c r="I1500" s="404">
        <f t="shared" si="93"/>
        <v>44290824</v>
      </c>
      <c r="J1500" s="403"/>
      <c r="K1500" s="404">
        <f t="shared" si="94"/>
        <v>0</v>
      </c>
      <c r="L1500" s="405">
        <f t="shared" si="95"/>
        <v>0</v>
      </c>
      <c r="M1500" s="403"/>
    </row>
    <row r="1501" spans="1:13" ht="47.25" x14ac:dyDescent="0.25">
      <c r="A1501" s="6" t="s">
        <v>4221</v>
      </c>
      <c r="B1501" s="7" t="s">
        <v>4222</v>
      </c>
      <c r="C1501" s="6" t="s">
        <v>1911</v>
      </c>
      <c r="D1501" s="8">
        <v>1</v>
      </c>
      <c r="E1501" s="403"/>
      <c r="F1501" s="403">
        <f>BBNTHT!J1541</f>
        <v>0</v>
      </c>
      <c r="G1501" s="403">
        <f t="shared" si="92"/>
        <v>0</v>
      </c>
      <c r="H1501" s="9">
        <v>22145412</v>
      </c>
      <c r="I1501" s="404">
        <f t="shared" si="93"/>
        <v>22145412</v>
      </c>
      <c r="J1501" s="403"/>
      <c r="K1501" s="404">
        <f t="shared" si="94"/>
        <v>0</v>
      </c>
      <c r="L1501" s="405">
        <f t="shared" si="95"/>
        <v>0</v>
      </c>
      <c r="M1501" s="403"/>
    </row>
    <row r="1502" spans="1:13" ht="31.5" x14ac:dyDescent="0.25">
      <c r="A1502" s="6" t="s">
        <v>4223</v>
      </c>
      <c r="B1502" s="7" t="s">
        <v>4099</v>
      </c>
      <c r="C1502" s="6" t="s">
        <v>499</v>
      </c>
      <c r="D1502" s="8">
        <v>1</v>
      </c>
      <c r="E1502" s="403"/>
      <c r="F1502" s="403">
        <f>BBNTHT!J1542</f>
        <v>0</v>
      </c>
      <c r="G1502" s="403">
        <f t="shared" si="92"/>
        <v>0</v>
      </c>
      <c r="H1502" s="9">
        <v>13287247</v>
      </c>
      <c r="I1502" s="404">
        <f t="shared" si="93"/>
        <v>13287247</v>
      </c>
      <c r="J1502" s="403"/>
      <c r="K1502" s="404">
        <f t="shared" si="94"/>
        <v>0</v>
      </c>
      <c r="L1502" s="405">
        <f t="shared" si="95"/>
        <v>0</v>
      </c>
      <c r="M1502" s="403"/>
    </row>
    <row r="1503" spans="1:13" ht="31.5" x14ac:dyDescent="0.25">
      <c r="A1503" s="6" t="s">
        <v>4224</v>
      </c>
      <c r="B1503" s="7" t="s">
        <v>4101</v>
      </c>
      <c r="C1503" s="6" t="s">
        <v>499</v>
      </c>
      <c r="D1503" s="8">
        <v>1</v>
      </c>
      <c r="E1503" s="403"/>
      <c r="F1503" s="403">
        <f>BBNTHT!J1543</f>
        <v>0</v>
      </c>
      <c r="G1503" s="403">
        <f t="shared" si="92"/>
        <v>0</v>
      </c>
      <c r="H1503" s="9">
        <v>13287247</v>
      </c>
      <c r="I1503" s="404">
        <f t="shared" si="93"/>
        <v>13287247</v>
      </c>
      <c r="J1503" s="403"/>
      <c r="K1503" s="404">
        <f t="shared" si="94"/>
        <v>0</v>
      </c>
      <c r="L1503" s="405">
        <f t="shared" si="95"/>
        <v>0</v>
      </c>
      <c r="M1503" s="403"/>
    </row>
    <row r="1504" spans="1:13" ht="31.5" x14ac:dyDescent="0.25">
      <c r="A1504" s="6" t="s">
        <v>4225</v>
      </c>
      <c r="B1504" s="7" t="s">
        <v>4103</v>
      </c>
      <c r="C1504" s="6" t="s">
        <v>499</v>
      </c>
      <c r="D1504" s="8">
        <v>1</v>
      </c>
      <c r="E1504" s="403"/>
      <c r="F1504" s="403">
        <f>BBNTHT!J1544</f>
        <v>0</v>
      </c>
      <c r="G1504" s="403">
        <f t="shared" si="92"/>
        <v>0</v>
      </c>
      <c r="H1504" s="9">
        <v>8858165</v>
      </c>
      <c r="I1504" s="404">
        <f t="shared" si="93"/>
        <v>8858165</v>
      </c>
      <c r="J1504" s="403"/>
      <c r="K1504" s="404">
        <f t="shared" si="94"/>
        <v>0</v>
      </c>
      <c r="L1504" s="405">
        <f t="shared" si="95"/>
        <v>0</v>
      </c>
      <c r="M1504" s="403"/>
    </row>
    <row r="1505" spans="1:13" ht="15.75" x14ac:dyDescent="0.25">
      <c r="A1505" s="6" t="s">
        <v>4226</v>
      </c>
      <c r="B1505" s="7" t="s">
        <v>4105</v>
      </c>
      <c r="C1505" s="6" t="s">
        <v>9</v>
      </c>
      <c r="D1505" s="8">
        <v>1</v>
      </c>
      <c r="E1505" s="403"/>
      <c r="F1505" s="403">
        <f>BBNTHT!J1545</f>
        <v>0</v>
      </c>
      <c r="G1505" s="403">
        <f t="shared" si="92"/>
        <v>0</v>
      </c>
      <c r="H1505" s="9">
        <v>37492626</v>
      </c>
      <c r="I1505" s="404">
        <f t="shared" si="93"/>
        <v>37492626</v>
      </c>
      <c r="J1505" s="403"/>
      <c r="K1505" s="404">
        <f t="shared" si="94"/>
        <v>0</v>
      </c>
      <c r="L1505" s="405">
        <f t="shared" si="95"/>
        <v>0</v>
      </c>
      <c r="M1505" s="403"/>
    </row>
    <row r="1506" spans="1:13" ht="15.75" x14ac:dyDescent="0.25">
      <c r="A1506" s="6" t="s">
        <v>4227</v>
      </c>
      <c r="B1506" s="7" t="s">
        <v>4107</v>
      </c>
      <c r="C1506" s="6" t="s">
        <v>9</v>
      </c>
      <c r="D1506" s="8">
        <v>1</v>
      </c>
      <c r="E1506" s="403"/>
      <c r="F1506" s="403">
        <f>BBNTHT!J1546</f>
        <v>0</v>
      </c>
      <c r="G1506" s="403">
        <f t="shared" si="92"/>
        <v>0</v>
      </c>
      <c r="H1506" s="9">
        <v>4050927</v>
      </c>
      <c r="I1506" s="404">
        <f t="shared" si="93"/>
        <v>4050927</v>
      </c>
      <c r="J1506" s="403"/>
      <c r="K1506" s="404">
        <f t="shared" si="94"/>
        <v>0</v>
      </c>
      <c r="L1506" s="405">
        <f t="shared" si="95"/>
        <v>0</v>
      </c>
      <c r="M1506" s="403"/>
    </row>
    <row r="1507" spans="1:13" ht="15.75" x14ac:dyDescent="0.25">
      <c r="A1507" s="6" t="s">
        <v>4228</v>
      </c>
      <c r="B1507" s="7" t="s">
        <v>4229</v>
      </c>
      <c r="C1507" s="6" t="s">
        <v>9</v>
      </c>
      <c r="D1507" s="8">
        <v>5</v>
      </c>
      <c r="E1507" s="403"/>
      <c r="F1507" s="403">
        <f>BBNTHT!J1547</f>
        <v>0</v>
      </c>
      <c r="G1507" s="403">
        <f t="shared" si="92"/>
        <v>0</v>
      </c>
      <c r="H1507" s="9">
        <v>11208140</v>
      </c>
      <c r="I1507" s="404">
        <f t="shared" si="93"/>
        <v>56040700</v>
      </c>
      <c r="J1507" s="403"/>
      <c r="K1507" s="404">
        <f t="shared" si="94"/>
        <v>0</v>
      </c>
      <c r="L1507" s="405">
        <f t="shared" si="95"/>
        <v>0</v>
      </c>
      <c r="M1507" s="403"/>
    </row>
    <row r="1508" spans="1:13" ht="15.75" x14ac:dyDescent="0.25">
      <c r="A1508" s="6" t="s">
        <v>4230</v>
      </c>
      <c r="B1508" s="7" t="s">
        <v>4231</v>
      </c>
      <c r="C1508" s="6" t="s">
        <v>9</v>
      </c>
      <c r="D1508" s="8">
        <v>2</v>
      </c>
      <c r="E1508" s="403"/>
      <c r="F1508" s="403">
        <f>BBNTHT!J1548</f>
        <v>0</v>
      </c>
      <c r="G1508" s="403">
        <f t="shared" si="92"/>
        <v>0</v>
      </c>
      <c r="H1508" s="9">
        <v>7417507</v>
      </c>
      <c r="I1508" s="404">
        <f t="shared" si="93"/>
        <v>14835014</v>
      </c>
      <c r="J1508" s="403"/>
      <c r="K1508" s="404">
        <f t="shared" si="94"/>
        <v>0</v>
      </c>
      <c r="L1508" s="405">
        <f t="shared" si="95"/>
        <v>0</v>
      </c>
      <c r="M1508" s="403"/>
    </row>
    <row r="1509" spans="1:13" ht="15.75" x14ac:dyDescent="0.25">
      <c r="A1509" s="6" t="s">
        <v>4232</v>
      </c>
      <c r="B1509" s="7" t="s">
        <v>4117</v>
      </c>
      <c r="C1509" s="6" t="s">
        <v>9</v>
      </c>
      <c r="D1509" s="8">
        <v>4</v>
      </c>
      <c r="E1509" s="403"/>
      <c r="F1509" s="403">
        <f>BBNTHT!J1549</f>
        <v>0</v>
      </c>
      <c r="G1509" s="403">
        <f t="shared" si="92"/>
        <v>0</v>
      </c>
      <c r="H1509" s="9">
        <v>11208140</v>
      </c>
      <c r="I1509" s="404">
        <f t="shared" si="93"/>
        <v>44832560</v>
      </c>
      <c r="J1509" s="403"/>
      <c r="K1509" s="404">
        <f t="shared" si="94"/>
        <v>0</v>
      </c>
      <c r="L1509" s="405">
        <f t="shared" si="95"/>
        <v>0</v>
      </c>
      <c r="M1509" s="403"/>
    </row>
    <row r="1510" spans="1:13" ht="15.75" x14ac:dyDescent="0.25">
      <c r="A1510" s="6" t="s">
        <v>4233</v>
      </c>
      <c r="B1510" s="7" t="s">
        <v>4119</v>
      </c>
      <c r="C1510" s="6" t="s">
        <v>9</v>
      </c>
      <c r="D1510" s="8">
        <v>4</v>
      </c>
      <c r="E1510" s="403"/>
      <c r="F1510" s="403">
        <f>BBNTHT!J1550</f>
        <v>0</v>
      </c>
      <c r="G1510" s="403">
        <f t="shared" si="92"/>
        <v>0</v>
      </c>
      <c r="H1510" s="9">
        <v>8827574</v>
      </c>
      <c r="I1510" s="404">
        <f t="shared" si="93"/>
        <v>35310296</v>
      </c>
      <c r="J1510" s="403"/>
      <c r="K1510" s="404">
        <f t="shared" si="94"/>
        <v>0</v>
      </c>
      <c r="L1510" s="405">
        <f t="shared" si="95"/>
        <v>0</v>
      </c>
      <c r="M1510" s="403"/>
    </row>
    <row r="1511" spans="1:13" ht="15.75" x14ac:dyDescent="0.25">
      <c r="A1511" s="6" t="s">
        <v>4234</v>
      </c>
      <c r="B1511" s="7" t="s">
        <v>4235</v>
      </c>
      <c r="C1511" s="6" t="s">
        <v>9</v>
      </c>
      <c r="D1511" s="8">
        <v>2</v>
      </c>
      <c r="E1511" s="403"/>
      <c r="F1511" s="403">
        <f>BBNTHT!J1551</f>
        <v>0</v>
      </c>
      <c r="G1511" s="403">
        <f t="shared" si="92"/>
        <v>0</v>
      </c>
      <c r="H1511" s="9">
        <v>10634115</v>
      </c>
      <c r="I1511" s="404">
        <f t="shared" si="93"/>
        <v>21268230</v>
      </c>
      <c r="J1511" s="403"/>
      <c r="K1511" s="404">
        <f t="shared" si="94"/>
        <v>0</v>
      </c>
      <c r="L1511" s="405">
        <f t="shared" si="95"/>
        <v>0</v>
      </c>
      <c r="M1511" s="403"/>
    </row>
    <row r="1512" spans="1:13" ht="15.75" x14ac:dyDescent="0.25">
      <c r="A1512" s="6" t="s">
        <v>4236</v>
      </c>
      <c r="B1512" s="7" t="s">
        <v>4123</v>
      </c>
      <c r="C1512" s="6" t="s">
        <v>9</v>
      </c>
      <c r="D1512" s="8">
        <v>1</v>
      </c>
      <c r="E1512" s="403"/>
      <c r="F1512" s="403">
        <f>BBNTHT!J1552</f>
        <v>0</v>
      </c>
      <c r="G1512" s="403">
        <f t="shared" si="92"/>
        <v>0</v>
      </c>
      <c r="H1512" s="9">
        <v>2768421</v>
      </c>
      <c r="I1512" s="404">
        <f t="shared" si="93"/>
        <v>2768421</v>
      </c>
      <c r="J1512" s="403"/>
      <c r="K1512" s="404">
        <f t="shared" si="94"/>
        <v>0</v>
      </c>
      <c r="L1512" s="405">
        <f t="shared" si="95"/>
        <v>0</v>
      </c>
      <c r="M1512" s="403"/>
    </row>
    <row r="1513" spans="1:13" ht="15.75" x14ac:dyDescent="0.25">
      <c r="A1513" s="6" t="s">
        <v>4237</v>
      </c>
      <c r="B1513" s="7" t="s">
        <v>4238</v>
      </c>
      <c r="C1513" s="6" t="s">
        <v>9</v>
      </c>
      <c r="D1513" s="8">
        <v>2</v>
      </c>
      <c r="E1513" s="403"/>
      <c r="F1513" s="403">
        <f>BBNTHT!J1553</f>
        <v>0</v>
      </c>
      <c r="G1513" s="403">
        <f t="shared" si="92"/>
        <v>0</v>
      </c>
      <c r="H1513" s="9">
        <v>6636626</v>
      </c>
      <c r="I1513" s="404">
        <f t="shared" si="93"/>
        <v>13273252</v>
      </c>
      <c r="J1513" s="403"/>
      <c r="K1513" s="404">
        <f t="shared" si="94"/>
        <v>0</v>
      </c>
      <c r="L1513" s="405">
        <f t="shared" si="95"/>
        <v>0</v>
      </c>
      <c r="M1513" s="403"/>
    </row>
    <row r="1514" spans="1:13" ht="15.75" x14ac:dyDescent="0.25">
      <c r="A1514" s="6" t="s">
        <v>4239</v>
      </c>
      <c r="B1514" s="7" t="s">
        <v>4127</v>
      </c>
      <c r="C1514" s="6" t="s">
        <v>9</v>
      </c>
      <c r="D1514" s="8">
        <v>1</v>
      </c>
      <c r="E1514" s="403"/>
      <c r="F1514" s="403">
        <f>BBNTHT!J1554</f>
        <v>0</v>
      </c>
      <c r="G1514" s="403">
        <f t="shared" si="92"/>
        <v>0</v>
      </c>
      <c r="H1514" s="9">
        <v>1803093</v>
      </c>
      <c r="I1514" s="404">
        <f t="shared" si="93"/>
        <v>1803093</v>
      </c>
      <c r="J1514" s="403"/>
      <c r="K1514" s="404">
        <f t="shared" si="94"/>
        <v>0</v>
      </c>
      <c r="L1514" s="405">
        <f t="shared" si="95"/>
        <v>0</v>
      </c>
      <c r="M1514" s="403"/>
    </row>
    <row r="1515" spans="1:13" ht="15.75" x14ac:dyDescent="0.25">
      <c r="A1515" s="6" t="s">
        <v>4240</v>
      </c>
      <c r="B1515" s="7" t="s">
        <v>4241</v>
      </c>
      <c r="C1515" s="6" t="s">
        <v>9</v>
      </c>
      <c r="D1515" s="8">
        <v>4</v>
      </c>
      <c r="E1515" s="403"/>
      <c r="F1515" s="403">
        <f>BBNTHT!J1555</f>
        <v>0</v>
      </c>
      <c r="G1515" s="403">
        <f t="shared" si="92"/>
        <v>0</v>
      </c>
      <c r="H1515" s="9">
        <v>3259704</v>
      </c>
      <c r="I1515" s="404">
        <f t="shared" si="93"/>
        <v>13038816</v>
      </c>
      <c r="J1515" s="403"/>
      <c r="K1515" s="404">
        <f t="shared" si="94"/>
        <v>0</v>
      </c>
      <c r="L1515" s="405">
        <f t="shared" si="95"/>
        <v>0</v>
      </c>
      <c r="M1515" s="403"/>
    </row>
    <row r="1516" spans="1:13" ht="15.75" x14ac:dyDescent="0.25">
      <c r="A1516" s="6" t="s">
        <v>4242</v>
      </c>
      <c r="B1516" s="7" t="s">
        <v>4133</v>
      </c>
      <c r="C1516" s="6" t="s">
        <v>9</v>
      </c>
      <c r="D1516" s="8">
        <v>2</v>
      </c>
      <c r="E1516" s="403"/>
      <c r="F1516" s="403">
        <f>BBNTHT!J1556</f>
        <v>0</v>
      </c>
      <c r="G1516" s="403">
        <f t="shared" si="92"/>
        <v>0</v>
      </c>
      <c r="H1516" s="9">
        <v>1701390</v>
      </c>
      <c r="I1516" s="404">
        <f t="shared" si="93"/>
        <v>3402780</v>
      </c>
      <c r="J1516" s="403"/>
      <c r="K1516" s="404">
        <f t="shared" si="94"/>
        <v>0</v>
      </c>
      <c r="L1516" s="405">
        <f t="shared" si="95"/>
        <v>0</v>
      </c>
      <c r="M1516" s="403"/>
    </row>
    <row r="1517" spans="1:13" ht="15.75" x14ac:dyDescent="0.25">
      <c r="A1517" s="6" t="s">
        <v>4243</v>
      </c>
      <c r="B1517" s="7" t="s">
        <v>4135</v>
      </c>
      <c r="C1517" s="6" t="s">
        <v>9</v>
      </c>
      <c r="D1517" s="8">
        <v>3</v>
      </c>
      <c r="E1517" s="403"/>
      <c r="F1517" s="403">
        <f>BBNTHT!J1557</f>
        <v>0</v>
      </c>
      <c r="G1517" s="403">
        <f t="shared" si="92"/>
        <v>0</v>
      </c>
      <c r="H1517" s="9">
        <v>1482467</v>
      </c>
      <c r="I1517" s="404">
        <f t="shared" si="93"/>
        <v>4447401</v>
      </c>
      <c r="J1517" s="403"/>
      <c r="K1517" s="404">
        <f t="shared" si="94"/>
        <v>0</v>
      </c>
      <c r="L1517" s="405">
        <f t="shared" si="95"/>
        <v>0</v>
      </c>
      <c r="M1517" s="403"/>
    </row>
    <row r="1518" spans="1:13" ht="15.75" x14ac:dyDescent="0.25">
      <c r="A1518" s="6" t="s">
        <v>4244</v>
      </c>
      <c r="B1518" s="7" t="s">
        <v>4137</v>
      </c>
      <c r="C1518" s="6" t="s">
        <v>9</v>
      </c>
      <c r="D1518" s="8">
        <v>9</v>
      </c>
      <c r="E1518" s="403"/>
      <c r="F1518" s="403">
        <f>BBNTHT!J1558</f>
        <v>0</v>
      </c>
      <c r="G1518" s="403">
        <f t="shared" si="92"/>
        <v>0</v>
      </c>
      <c r="H1518" s="9">
        <v>294770</v>
      </c>
      <c r="I1518" s="404">
        <f t="shared" si="93"/>
        <v>2652930</v>
      </c>
      <c r="J1518" s="403"/>
      <c r="K1518" s="404">
        <f t="shared" si="94"/>
        <v>0</v>
      </c>
      <c r="L1518" s="405">
        <f t="shared" si="95"/>
        <v>0</v>
      </c>
      <c r="M1518" s="403"/>
    </row>
    <row r="1519" spans="1:13" ht="15.75" x14ac:dyDescent="0.25">
      <c r="A1519" s="6" t="s">
        <v>4245</v>
      </c>
      <c r="B1519" s="7" t="s">
        <v>4246</v>
      </c>
      <c r="C1519" s="6" t="s">
        <v>9</v>
      </c>
      <c r="D1519" s="8">
        <v>1</v>
      </c>
      <c r="E1519" s="403"/>
      <c r="F1519" s="403">
        <f>BBNTHT!J1559</f>
        <v>0</v>
      </c>
      <c r="G1519" s="403">
        <f t="shared" si="92"/>
        <v>0</v>
      </c>
      <c r="H1519" s="9">
        <v>26786111</v>
      </c>
      <c r="I1519" s="404">
        <f t="shared" si="93"/>
        <v>26786111</v>
      </c>
      <c r="J1519" s="403"/>
      <c r="K1519" s="404">
        <f t="shared" si="94"/>
        <v>0</v>
      </c>
      <c r="L1519" s="405">
        <f t="shared" si="95"/>
        <v>0</v>
      </c>
      <c r="M1519" s="403"/>
    </row>
    <row r="1520" spans="1:13" ht="15.75" x14ac:dyDescent="0.25">
      <c r="A1520" s="6" t="s">
        <v>4247</v>
      </c>
      <c r="B1520" s="7" t="s">
        <v>4141</v>
      </c>
      <c r="C1520" s="6" t="s">
        <v>9</v>
      </c>
      <c r="D1520" s="8">
        <v>2</v>
      </c>
      <c r="E1520" s="403"/>
      <c r="F1520" s="403">
        <f>BBNTHT!J1560</f>
        <v>0</v>
      </c>
      <c r="G1520" s="403">
        <f t="shared" si="92"/>
        <v>0</v>
      </c>
      <c r="H1520" s="9">
        <v>31028380</v>
      </c>
      <c r="I1520" s="404">
        <f t="shared" si="93"/>
        <v>62056760</v>
      </c>
      <c r="J1520" s="403"/>
      <c r="K1520" s="404">
        <f t="shared" si="94"/>
        <v>0</v>
      </c>
      <c r="L1520" s="405">
        <f t="shared" si="95"/>
        <v>0</v>
      </c>
      <c r="M1520" s="403"/>
    </row>
    <row r="1521" spans="1:13" ht="15.75" x14ac:dyDescent="0.25">
      <c r="A1521" s="6" t="s">
        <v>4248</v>
      </c>
      <c r="B1521" s="7" t="s">
        <v>4249</v>
      </c>
      <c r="C1521" s="6" t="s">
        <v>9</v>
      </c>
      <c r="D1521" s="8">
        <v>2</v>
      </c>
      <c r="E1521" s="403"/>
      <c r="F1521" s="403">
        <f>BBNTHT!J1561</f>
        <v>0</v>
      </c>
      <c r="G1521" s="403">
        <f t="shared" si="92"/>
        <v>0</v>
      </c>
      <c r="H1521" s="9">
        <v>14285122</v>
      </c>
      <c r="I1521" s="404">
        <f t="shared" si="93"/>
        <v>28570244</v>
      </c>
      <c r="J1521" s="403"/>
      <c r="K1521" s="404">
        <f t="shared" si="94"/>
        <v>0</v>
      </c>
      <c r="L1521" s="405">
        <f t="shared" si="95"/>
        <v>0</v>
      </c>
      <c r="M1521" s="403"/>
    </row>
    <row r="1522" spans="1:13" ht="15.75" x14ac:dyDescent="0.25">
      <c r="A1522" s="6" t="s">
        <v>4250</v>
      </c>
      <c r="B1522" s="7" t="s">
        <v>4145</v>
      </c>
      <c r="C1522" s="6" t="s">
        <v>9</v>
      </c>
      <c r="D1522" s="8">
        <v>1</v>
      </c>
      <c r="E1522" s="403"/>
      <c r="F1522" s="403">
        <f>BBNTHT!J1562</f>
        <v>0</v>
      </c>
      <c r="G1522" s="403">
        <f t="shared" si="92"/>
        <v>0</v>
      </c>
      <c r="H1522" s="9">
        <v>710205</v>
      </c>
      <c r="I1522" s="404">
        <f t="shared" si="93"/>
        <v>710205</v>
      </c>
      <c r="J1522" s="403"/>
      <c r="K1522" s="404">
        <f t="shared" si="94"/>
        <v>0</v>
      </c>
      <c r="L1522" s="405">
        <f t="shared" si="95"/>
        <v>0</v>
      </c>
      <c r="M1522" s="403"/>
    </row>
    <row r="1523" spans="1:13" ht="15.75" x14ac:dyDescent="0.25">
      <c r="A1523" s="6" t="s">
        <v>4251</v>
      </c>
      <c r="B1523" s="7" t="s">
        <v>4147</v>
      </c>
      <c r="C1523" s="6" t="s">
        <v>9</v>
      </c>
      <c r="D1523" s="8">
        <v>6</v>
      </c>
      <c r="E1523" s="403"/>
      <c r="F1523" s="403">
        <f>BBNTHT!J1563</f>
        <v>0</v>
      </c>
      <c r="G1523" s="403">
        <f t="shared" si="92"/>
        <v>0</v>
      </c>
      <c r="H1523" s="9">
        <v>370617</v>
      </c>
      <c r="I1523" s="404">
        <f t="shared" si="93"/>
        <v>2223702</v>
      </c>
      <c r="J1523" s="403"/>
      <c r="K1523" s="404">
        <f t="shared" si="94"/>
        <v>0</v>
      </c>
      <c r="L1523" s="405">
        <f t="shared" si="95"/>
        <v>0</v>
      </c>
      <c r="M1523" s="403"/>
    </row>
    <row r="1524" spans="1:13" ht="15.75" x14ac:dyDescent="0.25">
      <c r="A1524" s="6" t="s">
        <v>4252</v>
      </c>
      <c r="B1524" s="7" t="s">
        <v>4151</v>
      </c>
      <c r="C1524" s="6" t="s">
        <v>9</v>
      </c>
      <c r="D1524" s="8">
        <v>1</v>
      </c>
      <c r="E1524" s="403"/>
      <c r="F1524" s="403">
        <f>BBNTHT!J1564</f>
        <v>0</v>
      </c>
      <c r="G1524" s="403">
        <f t="shared" si="92"/>
        <v>0</v>
      </c>
      <c r="H1524" s="9">
        <v>20685587</v>
      </c>
      <c r="I1524" s="404">
        <f t="shared" si="93"/>
        <v>20685587</v>
      </c>
      <c r="J1524" s="403"/>
      <c r="K1524" s="404">
        <f t="shared" si="94"/>
        <v>0</v>
      </c>
      <c r="L1524" s="405">
        <f t="shared" si="95"/>
        <v>0</v>
      </c>
      <c r="M1524" s="403"/>
    </row>
    <row r="1525" spans="1:13" ht="15.75" x14ac:dyDescent="0.25">
      <c r="A1525" s="6" t="s">
        <v>4253</v>
      </c>
      <c r="B1525" s="7" t="s">
        <v>4155</v>
      </c>
      <c r="C1525" s="6" t="s">
        <v>9</v>
      </c>
      <c r="D1525" s="8">
        <v>19</v>
      </c>
      <c r="E1525" s="403"/>
      <c r="F1525" s="403">
        <f>BBNTHT!J1565</f>
        <v>0</v>
      </c>
      <c r="G1525" s="403">
        <f t="shared" si="92"/>
        <v>0</v>
      </c>
      <c r="H1525" s="9">
        <v>263741</v>
      </c>
      <c r="I1525" s="404">
        <f t="shared" si="93"/>
        <v>5011079</v>
      </c>
      <c r="J1525" s="403"/>
      <c r="K1525" s="404">
        <f t="shared" si="94"/>
        <v>0</v>
      </c>
      <c r="L1525" s="405">
        <f t="shared" si="95"/>
        <v>0</v>
      </c>
      <c r="M1525" s="403"/>
    </row>
    <row r="1526" spans="1:13" ht="15.75" x14ac:dyDescent="0.25">
      <c r="A1526" s="6" t="s">
        <v>4254</v>
      </c>
      <c r="B1526" s="7" t="s">
        <v>4255</v>
      </c>
      <c r="C1526" s="6" t="s">
        <v>9</v>
      </c>
      <c r="D1526" s="8">
        <v>1</v>
      </c>
      <c r="E1526" s="403"/>
      <c r="F1526" s="403">
        <f>BBNTHT!J1566</f>
        <v>0</v>
      </c>
      <c r="G1526" s="403">
        <f t="shared" si="92"/>
        <v>0</v>
      </c>
      <c r="H1526" s="9">
        <v>482663</v>
      </c>
      <c r="I1526" s="404">
        <f t="shared" si="93"/>
        <v>482663</v>
      </c>
      <c r="J1526" s="403"/>
      <c r="K1526" s="404">
        <f t="shared" si="94"/>
        <v>0</v>
      </c>
      <c r="L1526" s="405">
        <f t="shared" si="95"/>
        <v>0</v>
      </c>
      <c r="M1526" s="403"/>
    </row>
    <row r="1527" spans="1:13" ht="15.75" x14ac:dyDescent="0.25">
      <c r="A1527" s="6" t="s">
        <v>4256</v>
      </c>
      <c r="B1527" s="7" t="s">
        <v>4257</v>
      </c>
      <c r="C1527" s="6" t="s">
        <v>9</v>
      </c>
      <c r="D1527" s="8">
        <v>5</v>
      </c>
      <c r="E1527" s="403"/>
      <c r="F1527" s="403">
        <f>BBNTHT!J1567</f>
        <v>0</v>
      </c>
      <c r="G1527" s="403">
        <f t="shared" si="92"/>
        <v>0</v>
      </c>
      <c r="H1527" s="9">
        <v>517140</v>
      </c>
      <c r="I1527" s="404">
        <f t="shared" si="93"/>
        <v>2585700</v>
      </c>
      <c r="J1527" s="403"/>
      <c r="K1527" s="404">
        <f t="shared" si="94"/>
        <v>0</v>
      </c>
      <c r="L1527" s="405">
        <f t="shared" si="95"/>
        <v>0</v>
      </c>
      <c r="M1527" s="403"/>
    </row>
    <row r="1528" spans="1:13" ht="15.75" x14ac:dyDescent="0.25">
      <c r="A1528" s="6" t="s">
        <v>4258</v>
      </c>
      <c r="B1528" s="7" t="s">
        <v>4163</v>
      </c>
      <c r="C1528" s="6" t="s">
        <v>9</v>
      </c>
      <c r="D1528" s="8">
        <v>8</v>
      </c>
      <c r="E1528" s="403"/>
      <c r="F1528" s="403">
        <f>BBNTHT!J1568</f>
        <v>0</v>
      </c>
      <c r="G1528" s="403">
        <f t="shared" si="92"/>
        <v>0</v>
      </c>
      <c r="H1528" s="9">
        <v>284427</v>
      </c>
      <c r="I1528" s="404">
        <f t="shared" si="93"/>
        <v>2275416</v>
      </c>
      <c r="J1528" s="403"/>
      <c r="K1528" s="404">
        <f t="shared" si="94"/>
        <v>0</v>
      </c>
      <c r="L1528" s="405">
        <f t="shared" si="95"/>
        <v>0</v>
      </c>
      <c r="M1528" s="403"/>
    </row>
    <row r="1529" spans="1:13" ht="15.75" x14ac:dyDescent="0.25">
      <c r="A1529" s="6" t="s">
        <v>4259</v>
      </c>
      <c r="B1529" s="7" t="s">
        <v>4165</v>
      </c>
      <c r="C1529" s="6" t="s">
        <v>9</v>
      </c>
      <c r="D1529" s="8">
        <v>2</v>
      </c>
      <c r="E1529" s="403"/>
      <c r="F1529" s="403">
        <f>BBNTHT!J1569</f>
        <v>0</v>
      </c>
      <c r="G1529" s="403">
        <f t="shared" si="92"/>
        <v>0</v>
      </c>
      <c r="H1529" s="9">
        <v>86190</v>
      </c>
      <c r="I1529" s="404">
        <f t="shared" si="93"/>
        <v>172380</v>
      </c>
      <c r="J1529" s="403"/>
      <c r="K1529" s="404">
        <f t="shared" si="94"/>
        <v>0</v>
      </c>
      <c r="L1529" s="405">
        <f t="shared" si="95"/>
        <v>0</v>
      </c>
      <c r="M1529" s="403"/>
    </row>
    <row r="1530" spans="1:13" ht="15.75" x14ac:dyDescent="0.25">
      <c r="A1530" s="6" t="s">
        <v>4260</v>
      </c>
      <c r="B1530" s="7" t="s">
        <v>4167</v>
      </c>
      <c r="C1530" s="6" t="s">
        <v>9</v>
      </c>
      <c r="D1530" s="8">
        <v>3</v>
      </c>
      <c r="E1530" s="403"/>
      <c r="F1530" s="403">
        <f>BBNTHT!J1570</f>
        <v>0</v>
      </c>
      <c r="G1530" s="403">
        <f t="shared" si="92"/>
        <v>0</v>
      </c>
      <c r="H1530" s="9">
        <v>44818</v>
      </c>
      <c r="I1530" s="404">
        <f t="shared" si="93"/>
        <v>134454</v>
      </c>
      <c r="J1530" s="403"/>
      <c r="K1530" s="404">
        <f t="shared" si="94"/>
        <v>0</v>
      </c>
      <c r="L1530" s="405">
        <f t="shared" si="95"/>
        <v>0</v>
      </c>
      <c r="M1530" s="403"/>
    </row>
    <row r="1531" spans="1:13" ht="15.75" x14ac:dyDescent="0.25">
      <c r="A1531" s="6" t="s">
        <v>4261</v>
      </c>
      <c r="B1531" s="7" t="s">
        <v>4169</v>
      </c>
      <c r="C1531" s="6" t="s">
        <v>9</v>
      </c>
      <c r="D1531" s="8">
        <v>3</v>
      </c>
      <c r="E1531" s="403"/>
      <c r="F1531" s="403">
        <f>BBNTHT!J1571</f>
        <v>0</v>
      </c>
      <c r="G1531" s="403">
        <f t="shared" si="92"/>
        <v>0</v>
      </c>
      <c r="H1531" s="9">
        <v>29305</v>
      </c>
      <c r="I1531" s="404">
        <f t="shared" si="93"/>
        <v>87915</v>
      </c>
      <c r="J1531" s="403"/>
      <c r="K1531" s="404">
        <f t="shared" si="94"/>
        <v>0</v>
      </c>
      <c r="L1531" s="405">
        <f t="shared" si="95"/>
        <v>0</v>
      </c>
      <c r="M1531" s="403"/>
    </row>
    <row r="1532" spans="1:13" ht="15.75" x14ac:dyDescent="0.25">
      <c r="A1532" s="6" t="s">
        <v>4262</v>
      </c>
      <c r="B1532" s="7" t="s">
        <v>4263</v>
      </c>
      <c r="C1532" s="6" t="s">
        <v>9</v>
      </c>
      <c r="D1532" s="8">
        <v>7</v>
      </c>
      <c r="E1532" s="403"/>
      <c r="F1532" s="403">
        <f>BBNTHT!J1572</f>
        <v>0</v>
      </c>
      <c r="G1532" s="403">
        <f t="shared" si="92"/>
        <v>0</v>
      </c>
      <c r="H1532" s="9">
        <v>870519</v>
      </c>
      <c r="I1532" s="404">
        <f t="shared" si="93"/>
        <v>6093633</v>
      </c>
      <c r="J1532" s="403"/>
      <c r="K1532" s="404">
        <f t="shared" si="94"/>
        <v>0</v>
      </c>
      <c r="L1532" s="405">
        <f t="shared" si="95"/>
        <v>0</v>
      </c>
      <c r="M1532" s="403"/>
    </row>
    <row r="1533" spans="1:13" ht="15.75" x14ac:dyDescent="0.25">
      <c r="A1533" s="6" t="s">
        <v>4264</v>
      </c>
      <c r="B1533" s="7" t="s">
        <v>4265</v>
      </c>
      <c r="C1533" s="6" t="s">
        <v>9</v>
      </c>
      <c r="D1533" s="8">
        <v>2</v>
      </c>
      <c r="E1533" s="403"/>
      <c r="F1533" s="403">
        <f>BBNTHT!J1573</f>
        <v>0</v>
      </c>
      <c r="G1533" s="403">
        <f t="shared" si="92"/>
        <v>0</v>
      </c>
      <c r="H1533" s="9">
        <v>991185</v>
      </c>
      <c r="I1533" s="404">
        <f t="shared" si="93"/>
        <v>1982370</v>
      </c>
      <c r="J1533" s="403"/>
      <c r="K1533" s="404">
        <f t="shared" si="94"/>
        <v>0</v>
      </c>
      <c r="L1533" s="405">
        <f t="shared" si="95"/>
        <v>0</v>
      </c>
      <c r="M1533" s="403"/>
    </row>
    <row r="1534" spans="1:13" ht="15.75" x14ac:dyDescent="0.25">
      <c r="A1534" s="6" t="s">
        <v>4266</v>
      </c>
      <c r="B1534" s="7" t="s">
        <v>4179</v>
      </c>
      <c r="C1534" s="6" t="s">
        <v>9</v>
      </c>
      <c r="D1534" s="8">
        <v>4</v>
      </c>
      <c r="E1534" s="403"/>
      <c r="F1534" s="403">
        <f>BBNTHT!J1574</f>
        <v>0</v>
      </c>
      <c r="G1534" s="403">
        <f t="shared" si="92"/>
        <v>0</v>
      </c>
      <c r="H1534" s="9">
        <v>436121</v>
      </c>
      <c r="I1534" s="404">
        <f t="shared" si="93"/>
        <v>1744484</v>
      </c>
      <c r="J1534" s="403"/>
      <c r="K1534" s="404">
        <f t="shared" si="94"/>
        <v>0</v>
      </c>
      <c r="L1534" s="405">
        <f t="shared" si="95"/>
        <v>0</v>
      </c>
      <c r="M1534" s="403"/>
    </row>
    <row r="1535" spans="1:13" ht="15.75" x14ac:dyDescent="0.25">
      <c r="A1535" s="6" t="s">
        <v>4267</v>
      </c>
      <c r="B1535" s="7" t="s">
        <v>4181</v>
      </c>
      <c r="C1535" s="6" t="s">
        <v>9</v>
      </c>
      <c r="D1535" s="8">
        <v>6</v>
      </c>
      <c r="E1535" s="403"/>
      <c r="F1535" s="403">
        <f>BBNTHT!J1575</f>
        <v>0</v>
      </c>
      <c r="G1535" s="403">
        <f t="shared" si="92"/>
        <v>0</v>
      </c>
      <c r="H1535" s="9">
        <v>86190</v>
      </c>
      <c r="I1535" s="404">
        <f t="shared" si="93"/>
        <v>517140</v>
      </c>
      <c r="J1535" s="403"/>
      <c r="K1535" s="404">
        <f t="shared" si="94"/>
        <v>0</v>
      </c>
      <c r="L1535" s="405">
        <f t="shared" si="95"/>
        <v>0</v>
      </c>
      <c r="M1535" s="403"/>
    </row>
    <row r="1536" spans="1:13" ht="15.75" x14ac:dyDescent="0.25">
      <c r="A1536" s="6" t="s">
        <v>4268</v>
      </c>
      <c r="B1536" s="7" t="s">
        <v>4186</v>
      </c>
      <c r="C1536" s="6" t="s">
        <v>4184</v>
      </c>
      <c r="D1536" s="8">
        <v>17</v>
      </c>
      <c r="E1536" s="403"/>
      <c r="F1536" s="403">
        <f>BBNTHT!J1576</f>
        <v>0</v>
      </c>
      <c r="G1536" s="403">
        <f t="shared" si="92"/>
        <v>0</v>
      </c>
      <c r="H1536" s="9">
        <v>663663</v>
      </c>
      <c r="I1536" s="404">
        <f t="shared" si="93"/>
        <v>11282271</v>
      </c>
      <c r="J1536" s="403"/>
      <c r="K1536" s="404">
        <f t="shared" si="94"/>
        <v>0</v>
      </c>
      <c r="L1536" s="405">
        <f t="shared" si="95"/>
        <v>0</v>
      </c>
      <c r="M1536" s="403"/>
    </row>
    <row r="1537" spans="1:13" ht="15.75" x14ac:dyDescent="0.25">
      <c r="A1537" s="6" t="s">
        <v>4269</v>
      </c>
      <c r="B1537" s="7" t="s">
        <v>4190</v>
      </c>
      <c r="C1537" s="6" t="s">
        <v>4184</v>
      </c>
      <c r="D1537" s="8">
        <v>3</v>
      </c>
      <c r="E1537" s="403"/>
      <c r="F1537" s="403">
        <f>BBNTHT!J1577</f>
        <v>0</v>
      </c>
      <c r="G1537" s="403">
        <f t="shared" si="92"/>
        <v>0</v>
      </c>
      <c r="H1537" s="9">
        <v>430950</v>
      </c>
      <c r="I1537" s="404">
        <f t="shared" si="93"/>
        <v>1292850</v>
      </c>
      <c r="J1537" s="403"/>
      <c r="K1537" s="404">
        <f t="shared" si="94"/>
        <v>0</v>
      </c>
      <c r="L1537" s="405">
        <f t="shared" si="95"/>
        <v>0</v>
      </c>
      <c r="M1537" s="403"/>
    </row>
    <row r="1538" spans="1:13" ht="15.75" x14ac:dyDescent="0.25">
      <c r="A1538" s="6" t="s">
        <v>4270</v>
      </c>
      <c r="B1538" s="7" t="s">
        <v>4271</v>
      </c>
      <c r="C1538" s="6" t="s">
        <v>14</v>
      </c>
      <c r="D1538" s="8">
        <v>0.3</v>
      </c>
      <c r="E1538" s="403"/>
      <c r="F1538" s="403">
        <f>BBNTHT!J1578</f>
        <v>0</v>
      </c>
      <c r="G1538" s="403">
        <f t="shared" si="92"/>
        <v>0</v>
      </c>
      <c r="H1538" s="9">
        <v>131353474</v>
      </c>
      <c r="I1538" s="404">
        <f t="shared" si="93"/>
        <v>39406042</v>
      </c>
      <c r="J1538" s="403"/>
      <c r="K1538" s="404">
        <f t="shared" si="94"/>
        <v>0</v>
      </c>
      <c r="L1538" s="405">
        <f t="shared" si="95"/>
        <v>0</v>
      </c>
      <c r="M1538" s="403"/>
    </row>
    <row r="1539" spans="1:13" ht="15.75" x14ac:dyDescent="0.25">
      <c r="A1539" s="6" t="s">
        <v>4272</v>
      </c>
      <c r="B1539" s="7" t="s">
        <v>4196</v>
      </c>
      <c r="C1539" s="6" t="s">
        <v>14</v>
      </c>
      <c r="D1539" s="8">
        <v>0.12</v>
      </c>
      <c r="E1539" s="403"/>
      <c r="F1539" s="403">
        <f>BBNTHT!J1579</f>
        <v>0</v>
      </c>
      <c r="G1539" s="403">
        <f t="shared" si="92"/>
        <v>0</v>
      </c>
      <c r="H1539" s="9">
        <v>77570949</v>
      </c>
      <c r="I1539" s="404">
        <f t="shared" si="93"/>
        <v>9308514</v>
      </c>
      <c r="J1539" s="403"/>
      <c r="K1539" s="404">
        <f t="shared" si="94"/>
        <v>0</v>
      </c>
      <c r="L1539" s="405">
        <f t="shared" si="95"/>
        <v>0</v>
      </c>
      <c r="M1539" s="403"/>
    </row>
    <row r="1540" spans="1:13" ht="15.75" x14ac:dyDescent="0.25">
      <c r="A1540" s="6" t="s">
        <v>4273</v>
      </c>
      <c r="B1540" s="7" t="s">
        <v>4198</v>
      </c>
      <c r="C1540" s="6" t="s">
        <v>14</v>
      </c>
      <c r="D1540" s="8">
        <v>0.12</v>
      </c>
      <c r="E1540" s="403"/>
      <c r="F1540" s="403">
        <f>BBNTHT!J1580</f>
        <v>0</v>
      </c>
      <c r="G1540" s="403">
        <f t="shared" si="92"/>
        <v>0</v>
      </c>
      <c r="H1540" s="9">
        <v>30511240</v>
      </c>
      <c r="I1540" s="404">
        <f t="shared" si="93"/>
        <v>3661349</v>
      </c>
      <c r="J1540" s="403"/>
      <c r="K1540" s="404">
        <f t="shared" si="94"/>
        <v>0</v>
      </c>
      <c r="L1540" s="405">
        <f t="shared" si="95"/>
        <v>0</v>
      </c>
      <c r="M1540" s="403"/>
    </row>
    <row r="1541" spans="1:13" ht="15.75" x14ac:dyDescent="0.25">
      <c r="A1541" s="6" t="s">
        <v>4274</v>
      </c>
      <c r="B1541" s="7" t="s">
        <v>4275</v>
      </c>
      <c r="C1541" s="6" t="s">
        <v>14</v>
      </c>
      <c r="D1541" s="8">
        <v>0.02</v>
      </c>
      <c r="E1541" s="403"/>
      <c r="F1541" s="403">
        <f>BBNTHT!J1581</f>
        <v>0</v>
      </c>
      <c r="G1541" s="403">
        <f t="shared" si="92"/>
        <v>0</v>
      </c>
      <c r="H1541" s="9">
        <v>18789408</v>
      </c>
      <c r="I1541" s="404">
        <f t="shared" si="93"/>
        <v>375788</v>
      </c>
      <c r="J1541" s="403"/>
      <c r="K1541" s="404">
        <f t="shared" si="94"/>
        <v>0</v>
      </c>
      <c r="L1541" s="405">
        <f t="shared" si="95"/>
        <v>0</v>
      </c>
      <c r="M1541" s="403"/>
    </row>
    <row r="1542" spans="1:13" ht="15.75" x14ac:dyDescent="0.25">
      <c r="A1542" s="6" t="s">
        <v>4276</v>
      </c>
      <c r="B1542" s="7" t="s">
        <v>4200</v>
      </c>
      <c r="C1542" s="6" t="s">
        <v>14</v>
      </c>
      <c r="D1542" s="8">
        <v>0.12</v>
      </c>
      <c r="E1542" s="403"/>
      <c r="F1542" s="403">
        <f>BBNTHT!J1582</f>
        <v>0</v>
      </c>
      <c r="G1542" s="403">
        <f t="shared" si="92"/>
        <v>0</v>
      </c>
      <c r="H1542" s="9">
        <v>17237989</v>
      </c>
      <c r="I1542" s="404">
        <f t="shared" si="93"/>
        <v>2068559</v>
      </c>
      <c r="J1542" s="403"/>
      <c r="K1542" s="404">
        <f t="shared" si="94"/>
        <v>0</v>
      </c>
      <c r="L1542" s="405">
        <f t="shared" si="95"/>
        <v>0</v>
      </c>
      <c r="M1542" s="403"/>
    </row>
    <row r="1543" spans="1:13" ht="31.5" x14ac:dyDescent="0.25">
      <c r="A1543" s="6" t="s">
        <v>4277</v>
      </c>
      <c r="B1543" s="7" t="s">
        <v>4202</v>
      </c>
      <c r="C1543" s="6" t="s">
        <v>6</v>
      </c>
      <c r="D1543" s="8">
        <v>20</v>
      </c>
      <c r="E1543" s="403"/>
      <c r="F1543" s="403">
        <f>BBNTHT!J1583</f>
        <v>0</v>
      </c>
      <c r="G1543" s="403">
        <f t="shared" si="92"/>
        <v>0</v>
      </c>
      <c r="H1543" s="9">
        <v>177551</v>
      </c>
      <c r="I1543" s="404">
        <f t="shared" si="93"/>
        <v>3551020</v>
      </c>
      <c r="J1543" s="403"/>
      <c r="K1543" s="404">
        <f t="shared" si="94"/>
        <v>0</v>
      </c>
      <c r="L1543" s="405">
        <f t="shared" si="95"/>
        <v>0</v>
      </c>
      <c r="M1543" s="403"/>
    </row>
    <row r="1544" spans="1:13" ht="31.5" x14ac:dyDescent="0.25">
      <c r="A1544" s="6" t="s">
        <v>4278</v>
      </c>
      <c r="B1544" s="7" t="s">
        <v>4204</v>
      </c>
      <c r="C1544" s="6" t="s">
        <v>6</v>
      </c>
      <c r="D1544" s="8">
        <v>30</v>
      </c>
      <c r="E1544" s="403"/>
      <c r="F1544" s="403">
        <f>BBNTHT!J1584</f>
        <v>0</v>
      </c>
      <c r="G1544" s="403">
        <f t="shared" si="92"/>
        <v>0</v>
      </c>
      <c r="H1544" s="9">
        <v>1565210</v>
      </c>
      <c r="I1544" s="404">
        <f t="shared" si="93"/>
        <v>46956300</v>
      </c>
      <c r="J1544" s="403"/>
      <c r="K1544" s="404">
        <f t="shared" si="94"/>
        <v>0</v>
      </c>
      <c r="L1544" s="405">
        <f t="shared" si="95"/>
        <v>0</v>
      </c>
      <c r="M1544" s="403"/>
    </row>
    <row r="1545" spans="1:13" ht="31.5" x14ac:dyDescent="0.25">
      <c r="A1545" s="6" t="s">
        <v>4279</v>
      </c>
      <c r="B1545" s="7" t="s">
        <v>4206</v>
      </c>
      <c r="C1545" s="6" t="s">
        <v>6</v>
      </c>
      <c r="D1545" s="8">
        <v>20</v>
      </c>
      <c r="E1545" s="403"/>
      <c r="F1545" s="403">
        <f>BBNTHT!J1585</f>
        <v>0</v>
      </c>
      <c r="G1545" s="403">
        <f t="shared" si="92"/>
        <v>0</v>
      </c>
      <c r="H1545" s="9">
        <v>39648</v>
      </c>
      <c r="I1545" s="404">
        <f t="shared" si="93"/>
        <v>792960</v>
      </c>
      <c r="J1545" s="403"/>
      <c r="K1545" s="404">
        <f t="shared" si="94"/>
        <v>0</v>
      </c>
      <c r="L1545" s="405">
        <f t="shared" si="95"/>
        <v>0</v>
      </c>
      <c r="M1545" s="403"/>
    </row>
    <row r="1546" spans="1:13" ht="31.5" x14ac:dyDescent="0.25">
      <c r="A1546" s="6" t="s">
        <v>4280</v>
      </c>
      <c r="B1546" s="7" t="s">
        <v>4208</v>
      </c>
      <c r="C1546" s="6" t="s">
        <v>6</v>
      </c>
      <c r="D1546" s="8">
        <v>20</v>
      </c>
      <c r="E1546" s="403"/>
      <c r="F1546" s="403">
        <f>BBNTHT!J1586</f>
        <v>0</v>
      </c>
      <c r="G1546" s="403">
        <f t="shared" si="92"/>
        <v>0</v>
      </c>
      <c r="H1546" s="9">
        <v>65505</v>
      </c>
      <c r="I1546" s="404">
        <f t="shared" si="93"/>
        <v>1310100</v>
      </c>
      <c r="J1546" s="403"/>
      <c r="K1546" s="404">
        <f t="shared" si="94"/>
        <v>0</v>
      </c>
      <c r="L1546" s="405">
        <f t="shared" si="95"/>
        <v>0</v>
      </c>
      <c r="M1546" s="403"/>
    </row>
    <row r="1547" spans="1:13" ht="31.5" x14ac:dyDescent="0.25">
      <c r="A1547" s="6" t="s">
        <v>4281</v>
      </c>
      <c r="B1547" s="7" t="s">
        <v>4210</v>
      </c>
      <c r="C1547" s="6" t="s">
        <v>6</v>
      </c>
      <c r="D1547" s="8">
        <v>100</v>
      </c>
      <c r="E1547" s="403"/>
      <c r="F1547" s="403">
        <f>BBNTHT!J1587</f>
        <v>0</v>
      </c>
      <c r="G1547" s="403">
        <f t="shared" si="92"/>
        <v>0</v>
      </c>
      <c r="H1547" s="9">
        <v>72399</v>
      </c>
      <c r="I1547" s="404">
        <f t="shared" si="93"/>
        <v>7239900</v>
      </c>
      <c r="J1547" s="403"/>
      <c r="K1547" s="404">
        <f t="shared" si="94"/>
        <v>0</v>
      </c>
      <c r="L1547" s="405">
        <f t="shared" si="95"/>
        <v>0</v>
      </c>
      <c r="M1547" s="403"/>
    </row>
    <row r="1548" spans="1:13" ht="15.75" x14ac:dyDescent="0.25">
      <c r="A1548" s="6" t="s">
        <v>4282</v>
      </c>
      <c r="B1548" s="7" t="s">
        <v>4212</v>
      </c>
      <c r="C1548" s="6" t="s">
        <v>6</v>
      </c>
      <c r="D1548" s="8">
        <v>20</v>
      </c>
      <c r="E1548" s="403"/>
      <c r="F1548" s="403">
        <f>BBNTHT!J1588</f>
        <v>0</v>
      </c>
      <c r="G1548" s="403">
        <f t="shared" si="92"/>
        <v>0</v>
      </c>
      <c r="H1548" s="9">
        <v>84466</v>
      </c>
      <c r="I1548" s="404">
        <f t="shared" si="93"/>
        <v>1689320</v>
      </c>
      <c r="J1548" s="403"/>
      <c r="K1548" s="404">
        <f t="shared" si="94"/>
        <v>0</v>
      </c>
      <c r="L1548" s="405">
        <f t="shared" si="95"/>
        <v>0</v>
      </c>
      <c r="M1548" s="403"/>
    </row>
    <row r="1549" spans="1:13" ht="31.5" x14ac:dyDescent="0.25">
      <c r="A1549" s="6" t="s">
        <v>4283</v>
      </c>
      <c r="B1549" s="7" t="s">
        <v>4214</v>
      </c>
      <c r="C1549" s="6" t="s">
        <v>6</v>
      </c>
      <c r="D1549" s="8">
        <v>50</v>
      </c>
      <c r="E1549" s="403"/>
      <c r="F1549" s="403">
        <f>BBNTHT!J1589</f>
        <v>0</v>
      </c>
      <c r="G1549" s="403">
        <f t="shared" si="92"/>
        <v>0</v>
      </c>
      <c r="H1549" s="9">
        <v>25857</v>
      </c>
      <c r="I1549" s="404">
        <f t="shared" si="93"/>
        <v>1292850</v>
      </c>
      <c r="J1549" s="403"/>
      <c r="K1549" s="404">
        <f t="shared" si="94"/>
        <v>0</v>
      </c>
      <c r="L1549" s="405">
        <f t="shared" si="95"/>
        <v>0</v>
      </c>
      <c r="M1549" s="403"/>
    </row>
    <row r="1550" spans="1:13" ht="31.5" x14ac:dyDescent="0.25">
      <c r="A1550" s="6" t="s">
        <v>4284</v>
      </c>
      <c r="B1550" s="7" t="s">
        <v>4216</v>
      </c>
      <c r="C1550" s="6" t="s">
        <v>6</v>
      </c>
      <c r="D1550" s="8">
        <v>100</v>
      </c>
      <c r="E1550" s="403"/>
      <c r="F1550" s="403">
        <f>BBNTHT!J1590</f>
        <v>0</v>
      </c>
      <c r="G1550" s="403">
        <f t="shared" si="92"/>
        <v>0</v>
      </c>
      <c r="H1550" s="9">
        <v>8619</v>
      </c>
      <c r="I1550" s="404">
        <f t="shared" si="93"/>
        <v>861900</v>
      </c>
      <c r="J1550" s="403"/>
      <c r="K1550" s="404">
        <f t="shared" si="94"/>
        <v>0</v>
      </c>
      <c r="L1550" s="405">
        <f t="shared" si="95"/>
        <v>0</v>
      </c>
      <c r="M1550" s="403"/>
    </row>
    <row r="1551" spans="1:13" ht="31.5" x14ac:dyDescent="0.25">
      <c r="A1551" s="6" t="s">
        <v>4285</v>
      </c>
      <c r="B1551" s="7" t="s">
        <v>4286</v>
      </c>
      <c r="C1551" s="6" t="s">
        <v>9</v>
      </c>
      <c r="D1551" s="8">
        <v>108</v>
      </c>
      <c r="E1551" s="403"/>
      <c r="F1551" s="403">
        <f>BBNTHT!J1591</f>
        <v>0</v>
      </c>
      <c r="G1551" s="403">
        <f t="shared" si="92"/>
        <v>0</v>
      </c>
      <c r="H1551" s="9">
        <v>293046</v>
      </c>
      <c r="I1551" s="404">
        <f t="shared" si="93"/>
        <v>31648968</v>
      </c>
      <c r="J1551" s="403"/>
      <c r="K1551" s="404">
        <f t="shared" si="94"/>
        <v>0</v>
      </c>
      <c r="L1551" s="405">
        <f t="shared" si="95"/>
        <v>0</v>
      </c>
      <c r="M1551" s="403"/>
    </row>
    <row r="1552" spans="1:13" ht="31.5" x14ac:dyDescent="0.25">
      <c r="A1552" s="6" t="s">
        <v>4287</v>
      </c>
      <c r="B1552" s="7" t="s">
        <v>4288</v>
      </c>
      <c r="C1552" s="6" t="s">
        <v>9</v>
      </c>
      <c r="D1552" s="8">
        <v>1284</v>
      </c>
      <c r="E1552" s="403"/>
      <c r="F1552" s="403">
        <f>BBNTHT!J1592</f>
        <v>0</v>
      </c>
      <c r="G1552" s="403">
        <f t="shared" si="92"/>
        <v>0</v>
      </c>
      <c r="H1552" s="9">
        <v>129285</v>
      </c>
      <c r="I1552" s="404">
        <f t="shared" si="93"/>
        <v>166001940</v>
      </c>
      <c r="J1552" s="403"/>
      <c r="K1552" s="404">
        <f t="shared" si="94"/>
        <v>0</v>
      </c>
      <c r="L1552" s="405">
        <f t="shared" si="95"/>
        <v>0</v>
      </c>
      <c r="M1552" s="403"/>
    </row>
    <row r="1553" spans="1:13" ht="31.5" x14ac:dyDescent="0.25">
      <c r="A1553" s="6" t="s">
        <v>4289</v>
      </c>
      <c r="B1553" s="7" t="s">
        <v>4290</v>
      </c>
      <c r="C1553" s="6" t="s">
        <v>9</v>
      </c>
      <c r="D1553" s="8">
        <v>1261</v>
      </c>
      <c r="E1553" s="403"/>
      <c r="F1553" s="403">
        <f>BBNTHT!J1593</f>
        <v>0</v>
      </c>
      <c r="G1553" s="403">
        <f t="shared" si="92"/>
        <v>0</v>
      </c>
      <c r="H1553" s="9">
        <v>180999</v>
      </c>
      <c r="I1553" s="404">
        <f t="shared" si="93"/>
        <v>228239739</v>
      </c>
      <c r="J1553" s="403"/>
      <c r="K1553" s="404">
        <f t="shared" si="94"/>
        <v>0</v>
      </c>
      <c r="L1553" s="405">
        <f t="shared" si="95"/>
        <v>0</v>
      </c>
      <c r="M1553" s="403"/>
    </row>
    <row r="1554" spans="1:13" ht="31.5" x14ac:dyDescent="0.25">
      <c r="A1554" s="6" t="s">
        <v>4291</v>
      </c>
      <c r="B1554" s="7" t="s">
        <v>4292</v>
      </c>
      <c r="C1554" s="6" t="s">
        <v>9</v>
      </c>
      <c r="D1554" s="8">
        <v>22</v>
      </c>
      <c r="E1554" s="403"/>
      <c r="F1554" s="403">
        <f>BBNTHT!J1594</f>
        <v>0</v>
      </c>
      <c r="G1554" s="403">
        <f t="shared" ref="G1554:G1617" si="96">F1554+E1554</f>
        <v>0</v>
      </c>
      <c r="H1554" s="9">
        <v>180999</v>
      </c>
      <c r="I1554" s="404">
        <f t="shared" ref="I1554:I1617" si="97">ROUND(D1554*H1554,0)</f>
        <v>3981978</v>
      </c>
      <c r="J1554" s="403"/>
      <c r="K1554" s="404">
        <f t="shared" ref="K1554:K1617" si="98">ROUND(F1554*H1554,0)</f>
        <v>0</v>
      </c>
      <c r="L1554" s="405">
        <f t="shared" ref="L1554:L1617" si="99">J1554+K1554</f>
        <v>0</v>
      </c>
      <c r="M1554" s="403"/>
    </row>
    <row r="1555" spans="1:13" ht="15.75" x14ac:dyDescent="0.25">
      <c r="A1555" s="6" t="s">
        <v>4293</v>
      </c>
      <c r="B1555" s="7" t="s">
        <v>4271</v>
      </c>
      <c r="C1555" s="6" t="s">
        <v>14</v>
      </c>
      <c r="D1555" s="8">
        <v>22.05</v>
      </c>
      <c r="E1555" s="403"/>
      <c r="F1555" s="403">
        <f>BBNTHT!J1595</f>
        <v>0</v>
      </c>
      <c r="G1555" s="403">
        <f t="shared" si="96"/>
        <v>0</v>
      </c>
      <c r="H1555" s="9">
        <v>131181095</v>
      </c>
      <c r="I1555" s="404">
        <f t="shared" si="97"/>
        <v>2892543145</v>
      </c>
      <c r="J1555" s="403"/>
      <c r="K1555" s="404">
        <f t="shared" si="98"/>
        <v>0</v>
      </c>
      <c r="L1555" s="405">
        <f t="shared" si="99"/>
        <v>0</v>
      </c>
      <c r="M1555" s="403"/>
    </row>
    <row r="1556" spans="1:13" ht="15.75" x14ac:dyDescent="0.25">
      <c r="A1556" s="6" t="s">
        <v>4294</v>
      </c>
      <c r="B1556" s="7" t="s">
        <v>4196</v>
      </c>
      <c r="C1556" s="6" t="s">
        <v>14</v>
      </c>
      <c r="D1556" s="8">
        <v>2.6</v>
      </c>
      <c r="E1556" s="403"/>
      <c r="F1556" s="403">
        <f>BBNTHT!J1596</f>
        <v>0</v>
      </c>
      <c r="G1556" s="403">
        <f t="shared" si="96"/>
        <v>0</v>
      </c>
      <c r="H1556" s="9">
        <v>73606212</v>
      </c>
      <c r="I1556" s="404">
        <f t="shared" si="97"/>
        <v>191376151</v>
      </c>
      <c r="J1556" s="403"/>
      <c r="K1556" s="404">
        <f t="shared" si="98"/>
        <v>0</v>
      </c>
      <c r="L1556" s="405">
        <f t="shared" si="99"/>
        <v>0</v>
      </c>
      <c r="M1556" s="403"/>
    </row>
    <row r="1557" spans="1:13" ht="15.75" x14ac:dyDescent="0.25">
      <c r="A1557" s="6" t="s">
        <v>4295</v>
      </c>
      <c r="B1557" s="7" t="s">
        <v>4296</v>
      </c>
      <c r="C1557" s="6" t="s">
        <v>14</v>
      </c>
      <c r="D1557" s="8">
        <v>0.12</v>
      </c>
      <c r="E1557" s="403"/>
      <c r="F1557" s="403">
        <f>BBNTHT!J1597</f>
        <v>0</v>
      </c>
      <c r="G1557" s="403">
        <f t="shared" si="96"/>
        <v>0</v>
      </c>
      <c r="H1557" s="9">
        <v>38785475</v>
      </c>
      <c r="I1557" s="404">
        <f t="shared" si="97"/>
        <v>4654257</v>
      </c>
      <c r="J1557" s="403"/>
      <c r="K1557" s="404">
        <f t="shared" si="98"/>
        <v>0</v>
      </c>
      <c r="L1557" s="405">
        <f t="shared" si="99"/>
        <v>0</v>
      </c>
      <c r="M1557" s="403"/>
    </row>
    <row r="1558" spans="1:13" ht="15.75" x14ac:dyDescent="0.25">
      <c r="A1558" s="6" t="s">
        <v>4297</v>
      </c>
      <c r="B1558" s="7" t="s">
        <v>4198</v>
      </c>
      <c r="C1558" s="6" t="s">
        <v>14</v>
      </c>
      <c r="D1558" s="8">
        <v>13.016</v>
      </c>
      <c r="E1558" s="403"/>
      <c r="F1558" s="403">
        <f>BBNTHT!J1598</f>
        <v>0</v>
      </c>
      <c r="G1558" s="403">
        <f t="shared" si="96"/>
        <v>0</v>
      </c>
      <c r="H1558" s="9">
        <v>30338860</v>
      </c>
      <c r="I1558" s="404">
        <f t="shared" si="97"/>
        <v>394890602</v>
      </c>
      <c r="J1558" s="403"/>
      <c r="K1558" s="404">
        <f t="shared" si="98"/>
        <v>0</v>
      </c>
      <c r="L1558" s="405">
        <f t="shared" si="99"/>
        <v>0</v>
      </c>
      <c r="M1558" s="403"/>
    </row>
    <row r="1559" spans="1:13" ht="15.75" x14ac:dyDescent="0.25">
      <c r="A1559" s="6" t="s">
        <v>4298</v>
      </c>
      <c r="B1559" s="7" t="s">
        <v>4299</v>
      </c>
      <c r="C1559" s="6" t="s">
        <v>14</v>
      </c>
      <c r="D1559" s="8">
        <v>15.006</v>
      </c>
      <c r="E1559" s="403"/>
      <c r="F1559" s="403">
        <f>BBNTHT!J1599</f>
        <v>0</v>
      </c>
      <c r="G1559" s="403">
        <f t="shared" si="96"/>
        <v>0</v>
      </c>
      <c r="H1559" s="9">
        <v>21375106</v>
      </c>
      <c r="I1559" s="404">
        <f t="shared" si="97"/>
        <v>320754841</v>
      </c>
      <c r="J1559" s="403"/>
      <c r="K1559" s="404">
        <f t="shared" si="98"/>
        <v>0</v>
      </c>
      <c r="L1559" s="405">
        <f t="shared" si="99"/>
        <v>0</v>
      </c>
      <c r="M1559" s="403"/>
    </row>
    <row r="1560" spans="1:13" ht="15.75" x14ac:dyDescent="0.25">
      <c r="A1560" s="6" t="s">
        <v>4300</v>
      </c>
      <c r="B1560" s="7" t="s">
        <v>4275</v>
      </c>
      <c r="C1560" s="6" t="s">
        <v>14</v>
      </c>
      <c r="D1560" s="8">
        <v>18.257999999999999</v>
      </c>
      <c r="E1560" s="403"/>
      <c r="F1560" s="403">
        <f>BBNTHT!J1600</f>
        <v>0</v>
      </c>
      <c r="G1560" s="403">
        <f t="shared" si="96"/>
        <v>0</v>
      </c>
      <c r="H1560" s="9">
        <v>18789408</v>
      </c>
      <c r="I1560" s="404">
        <f t="shared" si="97"/>
        <v>343057011</v>
      </c>
      <c r="J1560" s="403"/>
      <c r="K1560" s="404">
        <f t="shared" si="98"/>
        <v>0</v>
      </c>
      <c r="L1560" s="405">
        <f t="shared" si="99"/>
        <v>0</v>
      </c>
      <c r="M1560" s="403"/>
    </row>
    <row r="1561" spans="1:13" ht="15.75" x14ac:dyDescent="0.25">
      <c r="A1561" s="6" t="s">
        <v>4301</v>
      </c>
      <c r="B1561" s="7" t="s">
        <v>4200</v>
      </c>
      <c r="C1561" s="6" t="s">
        <v>14</v>
      </c>
      <c r="D1561" s="8">
        <v>10.5</v>
      </c>
      <c r="E1561" s="403"/>
      <c r="F1561" s="403">
        <f>BBNTHT!J1601</f>
        <v>0</v>
      </c>
      <c r="G1561" s="403">
        <f t="shared" si="96"/>
        <v>0</v>
      </c>
      <c r="H1561" s="9">
        <v>14479911</v>
      </c>
      <c r="I1561" s="404">
        <f t="shared" si="97"/>
        <v>152039066</v>
      </c>
      <c r="J1561" s="403"/>
      <c r="K1561" s="404">
        <f t="shared" si="98"/>
        <v>0</v>
      </c>
      <c r="L1561" s="405">
        <f t="shared" si="99"/>
        <v>0</v>
      </c>
      <c r="M1561" s="403"/>
    </row>
    <row r="1562" spans="1:13" ht="15.75" x14ac:dyDescent="0.25">
      <c r="A1562" s="6" t="s">
        <v>4302</v>
      </c>
      <c r="B1562" s="7" t="s">
        <v>4303</v>
      </c>
      <c r="C1562" s="6" t="s">
        <v>9</v>
      </c>
      <c r="D1562" s="8">
        <v>208</v>
      </c>
      <c r="E1562" s="403"/>
      <c r="F1562" s="403">
        <f>BBNTHT!J1602</f>
        <v>0</v>
      </c>
      <c r="G1562" s="403">
        <f t="shared" si="96"/>
        <v>0</v>
      </c>
      <c r="H1562" s="9">
        <v>62919</v>
      </c>
      <c r="I1562" s="404">
        <f t="shared" si="97"/>
        <v>13087152</v>
      </c>
      <c r="J1562" s="403"/>
      <c r="K1562" s="404">
        <f t="shared" si="98"/>
        <v>0</v>
      </c>
      <c r="L1562" s="405">
        <f t="shared" si="99"/>
        <v>0</v>
      </c>
      <c r="M1562" s="403"/>
    </row>
    <row r="1563" spans="1:13" ht="15.75" x14ac:dyDescent="0.25">
      <c r="A1563" s="6" t="s">
        <v>4304</v>
      </c>
      <c r="B1563" s="7" t="s">
        <v>4305</v>
      </c>
      <c r="C1563" s="6" t="s">
        <v>9</v>
      </c>
      <c r="D1563" s="8">
        <v>17</v>
      </c>
      <c r="E1563" s="403"/>
      <c r="F1563" s="403">
        <f>BBNTHT!J1603</f>
        <v>0</v>
      </c>
      <c r="G1563" s="403">
        <f t="shared" si="96"/>
        <v>0</v>
      </c>
      <c r="H1563" s="9">
        <v>62919</v>
      </c>
      <c r="I1563" s="404">
        <f t="shared" si="97"/>
        <v>1069623</v>
      </c>
      <c r="J1563" s="403"/>
      <c r="K1563" s="404">
        <f t="shared" si="98"/>
        <v>0</v>
      </c>
      <c r="L1563" s="405">
        <f t="shared" si="99"/>
        <v>0</v>
      </c>
      <c r="M1563" s="403"/>
    </row>
    <row r="1564" spans="1:13" ht="15.75" x14ac:dyDescent="0.25">
      <c r="A1564" s="6" t="s">
        <v>4306</v>
      </c>
      <c r="B1564" s="7" t="s">
        <v>4307</v>
      </c>
      <c r="C1564" s="6" t="s">
        <v>9</v>
      </c>
      <c r="D1564" s="8">
        <v>59</v>
      </c>
      <c r="E1564" s="403"/>
      <c r="F1564" s="403">
        <f>BBNTHT!J1604</f>
        <v>0</v>
      </c>
      <c r="G1564" s="403">
        <f t="shared" si="96"/>
        <v>0</v>
      </c>
      <c r="H1564" s="9">
        <v>62919</v>
      </c>
      <c r="I1564" s="404">
        <f t="shared" si="97"/>
        <v>3712221</v>
      </c>
      <c r="J1564" s="403"/>
      <c r="K1564" s="404">
        <f t="shared" si="98"/>
        <v>0</v>
      </c>
      <c r="L1564" s="405">
        <f t="shared" si="99"/>
        <v>0</v>
      </c>
      <c r="M1564" s="403"/>
    </row>
    <row r="1565" spans="1:13" ht="15.75" x14ac:dyDescent="0.25">
      <c r="A1565" s="6" t="s">
        <v>4308</v>
      </c>
      <c r="B1565" s="7" t="s">
        <v>4309</v>
      </c>
      <c r="C1565" s="6" t="s">
        <v>9</v>
      </c>
      <c r="D1565" s="8">
        <v>299</v>
      </c>
      <c r="E1565" s="403"/>
      <c r="F1565" s="403">
        <f>BBNTHT!J1605</f>
        <v>0</v>
      </c>
      <c r="G1565" s="403">
        <f t="shared" si="96"/>
        <v>0</v>
      </c>
      <c r="H1565" s="9">
        <v>42750</v>
      </c>
      <c r="I1565" s="404">
        <f t="shared" si="97"/>
        <v>12782250</v>
      </c>
      <c r="J1565" s="403"/>
      <c r="K1565" s="404">
        <f t="shared" si="98"/>
        <v>0</v>
      </c>
      <c r="L1565" s="405">
        <f t="shared" si="99"/>
        <v>0</v>
      </c>
      <c r="M1565" s="403"/>
    </row>
    <row r="1566" spans="1:13" ht="15.75" x14ac:dyDescent="0.25">
      <c r="A1566" s="6" t="s">
        <v>4310</v>
      </c>
      <c r="B1566" s="7" t="s">
        <v>4311</v>
      </c>
      <c r="C1566" s="6" t="s">
        <v>9</v>
      </c>
      <c r="D1566" s="8">
        <v>140</v>
      </c>
      <c r="E1566" s="403"/>
      <c r="F1566" s="403">
        <f>BBNTHT!J1606</f>
        <v>0</v>
      </c>
      <c r="G1566" s="403">
        <f t="shared" si="96"/>
        <v>0</v>
      </c>
      <c r="H1566" s="9">
        <v>42750</v>
      </c>
      <c r="I1566" s="404">
        <f t="shared" si="97"/>
        <v>5985000</v>
      </c>
      <c r="J1566" s="403"/>
      <c r="K1566" s="404">
        <f t="shared" si="98"/>
        <v>0</v>
      </c>
      <c r="L1566" s="405">
        <f t="shared" si="99"/>
        <v>0</v>
      </c>
      <c r="M1566" s="403"/>
    </row>
    <row r="1567" spans="1:13" ht="15.75" x14ac:dyDescent="0.25">
      <c r="A1567" s="6" t="s">
        <v>4312</v>
      </c>
      <c r="B1567" s="7" t="s">
        <v>4313</v>
      </c>
      <c r="C1567" s="6" t="s">
        <v>9</v>
      </c>
      <c r="D1567" s="8">
        <v>1199</v>
      </c>
      <c r="E1567" s="403"/>
      <c r="F1567" s="403">
        <f>BBNTHT!J1607</f>
        <v>0</v>
      </c>
      <c r="G1567" s="403">
        <f t="shared" si="96"/>
        <v>0</v>
      </c>
      <c r="H1567" s="9">
        <v>33614</v>
      </c>
      <c r="I1567" s="404">
        <f t="shared" si="97"/>
        <v>40303186</v>
      </c>
      <c r="J1567" s="403"/>
      <c r="K1567" s="404">
        <f t="shared" si="98"/>
        <v>0</v>
      </c>
      <c r="L1567" s="405">
        <f t="shared" si="99"/>
        <v>0</v>
      </c>
      <c r="M1567" s="403"/>
    </row>
    <row r="1568" spans="1:13" ht="15.75" x14ac:dyDescent="0.25">
      <c r="A1568" s="6" t="s">
        <v>4314</v>
      </c>
      <c r="B1568" s="7" t="s">
        <v>4315</v>
      </c>
      <c r="C1568" s="6" t="s">
        <v>9</v>
      </c>
      <c r="D1568" s="8">
        <v>109</v>
      </c>
      <c r="E1568" s="403"/>
      <c r="F1568" s="403">
        <f>BBNTHT!J1608</f>
        <v>0</v>
      </c>
      <c r="G1568" s="403">
        <f t="shared" si="96"/>
        <v>0</v>
      </c>
      <c r="H1568" s="9">
        <v>33614</v>
      </c>
      <c r="I1568" s="404">
        <f t="shared" si="97"/>
        <v>3663926</v>
      </c>
      <c r="J1568" s="403"/>
      <c r="K1568" s="404">
        <f t="shared" si="98"/>
        <v>0</v>
      </c>
      <c r="L1568" s="405">
        <f t="shared" si="99"/>
        <v>0</v>
      </c>
      <c r="M1568" s="403"/>
    </row>
    <row r="1569" spans="1:13" ht="15.75" x14ac:dyDescent="0.25">
      <c r="A1569" s="6" t="s">
        <v>4316</v>
      </c>
      <c r="B1569" s="7" t="s">
        <v>4317</v>
      </c>
      <c r="C1569" s="6" t="s">
        <v>9</v>
      </c>
      <c r="D1569" s="8">
        <v>1690</v>
      </c>
      <c r="E1569" s="403"/>
      <c r="F1569" s="403">
        <f>BBNTHT!J1609</f>
        <v>0</v>
      </c>
      <c r="G1569" s="403">
        <f t="shared" si="96"/>
        <v>0</v>
      </c>
      <c r="H1569" s="9">
        <v>20685</v>
      </c>
      <c r="I1569" s="404">
        <f t="shared" si="97"/>
        <v>34957650</v>
      </c>
      <c r="J1569" s="403"/>
      <c r="K1569" s="404">
        <f t="shared" si="98"/>
        <v>0</v>
      </c>
      <c r="L1569" s="405">
        <f t="shared" si="99"/>
        <v>0</v>
      </c>
      <c r="M1569" s="403"/>
    </row>
    <row r="1570" spans="1:13" ht="15.75" x14ac:dyDescent="0.25">
      <c r="A1570" s="6" t="s">
        <v>4318</v>
      </c>
      <c r="B1570" s="7" t="s">
        <v>4319</v>
      </c>
      <c r="C1570" s="6" t="s">
        <v>9</v>
      </c>
      <c r="D1570" s="8">
        <v>156</v>
      </c>
      <c r="E1570" s="403"/>
      <c r="F1570" s="403">
        <f>BBNTHT!J1610</f>
        <v>0</v>
      </c>
      <c r="G1570" s="403">
        <f t="shared" si="96"/>
        <v>0</v>
      </c>
      <c r="H1570" s="9">
        <v>472838</v>
      </c>
      <c r="I1570" s="404">
        <f t="shared" si="97"/>
        <v>73762728</v>
      </c>
      <c r="J1570" s="403"/>
      <c r="K1570" s="404">
        <f t="shared" si="98"/>
        <v>0</v>
      </c>
      <c r="L1570" s="405">
        <f t="shared" si="99"/>
        <v>0</v>
      </c>
      <c r="M1570" s="403"/>
    </row>
    <row r="1571" spans="1:13" ht="15.75" x14ac:dyDescent="0.25">
      <c r="A1571" s="6" t="s">
        <v>4320</v>
      </c>
      <c r="B1571" s="7" t="s">
        <v>4321</v>
      </c>
      <c r="C1571" s="6" t="s">
        <v>9</v>
      </c>
      <c r="D1571" s="8">
        <v>6</v>
      </c>
      <c r="E1571" s="403"/>
      <c r="F1571" s="403">
        <f>BBNTHT!J1611</f>
        <v>0</v>
      </c>
      <c r="G1571" s="403">
        <f t="shared" si="96"/>
        <v>0</v>
      </c>
      <c r="H1571" s="9">
        <v>119114</v>
      </c>
      <c r="I1571" s="404">
        <f t="shared" si="97"/>
        <v>714684</v>
      </c>
      <c r="J1571" s="403"/>
      <c r="K1571" s="404">
        <f t="shared" si="98"/>
        <v>0</v>
      </c>
      <c r="L1571" s="405">
        <f t="shared" si="99"/>
        <v>0</v>
      </c>
      <c r="M1571" s="403"/>
    </row>
    <row r="1572" spans="1:13" ht="15.75" x14ac:dyDescent="0.25">
      <c r="A1572" s="6" t="s">
        <v>4322</v>
      </c>
      <c r="B1572" s="7" t="s">
        <v>4323</v>
      </c>
      <c r="C1572" s="6" t="s">
        <v>9</v>
      </c>
      <c r="D1572" s="8">
        <v>377</v>
      </c>
      <c r="E1572" s="403"/>
      <c r="F1572" s="403">
        <f>BBNTHT!J1612</f>
        <v>0</v>
      </c>
      <c r="G1572" s="403">
        <f t="shared" si="96"/>
        <v>0</v>
      </c>
      <c r="H1572" s="9">
        <v>85328</v>
      </c>
      <c r="I1572" s="404">
        <f t="shared" si="97"/>
        <v>32168656</v>
      </c>
      <c r="J1572" s="403"/>
      <c r="K1572" s="404">
        <f t="shared" si="98"/>
        <v>0</v>
      </c>
      <c r="L1572" s="405">
        <f t="shared" si="99"/>
        <v>0</v>
      </c>
      <c r="M1572" s="403"/>
    </row>
    <row r="1573" spans="1:13" ht="15.75" x14ac:dyDescent="0.25">
      <c r="A1573" s="6" t="s">
        <v>4324</v>
      </c>
      <c r="B1573" s="7" t="s">
        <v>4325</v>
      </c>
      <c r="C1573" s="6" t="s">
        <v>9</v>
      </c>
      <c r="D1573" s="8">
        <v>1</v>
      </c>
      <c r="E1573" s="403"/>
      <c r="F1573" s="403">
        <f>BBNTHT!J1613</f>
        <v>0</v>
      </c>
      <c r="G1573" s="403">
        <f t="shared" si="96"/>
        <v>0</v>
      </c>
      <c r="H1573" s="9">
        <v>101531</v>
      </c>
      <c r="I1573" s="404">
        <f t="shared" si="97"/>
        <v>101531</v>
      </c>
      <c r="J1573" s="403"/>
      <c r="K1573" s="404">
        <f t="shared" si="98"/>
        <v>0</v>
      </c>
      <c r="L1573" s="405">
        <f t="shared" si="99"/>
        <v>0</v>
      </c>
      <c r="M1573" s="403"/>
    </row>
    <row r="1574" spans="1:13" ht="15.75" x14ac:dyDescent="0.25">
      <c r="A1574" s="6" t="s">
        <v>4326</v>
      </c>
      <c r="B1574" s="7" t="s">
        <v>4327</v>
      </c>
      <c r="C1574" s="6" t="s">
        <v>9</v>
      </c>
      <c r="D1574" s="8">
        <v>14</v>
      </c>
      <c r="E1574" s="403"/>
      <c r="F1574" s="403">
        <f>BBNTHT!J1614</f>
        <v>0</v>
      </c>
      <c r="G1574" s="403">
        <f t="shared" si="96"/>
        <v>0</v>
      </c>
      <c r="H1574" s="9">
        <v>54817</v>
      </c>
      <c r="I1574" s="404">
        <f t="shared" si="97"/>
        <v>767438</v>
      </c>
      <c r="J1574" s="403"/>
      <c r="K1574" s="404">
        <f t="shared" si="98"/>
        <v>0</v>
      </c>
      <c r="L1574" s="405">
        <f t="shared" si="99"/>
        <v>0</v>
      </c>
      <c r="M1574" s="403"/>
    </row>
    <row r="1575" spans="1:13" ht="15.75" x14ac:dyDescent="0.25">
      <c r="A1575" s="6" t="s">
        <v>4328</v>
      </c>
      <c r="B1575" s="7" t="s">
        <v>4329</v>
      </c>
      <c r="C1575" s="6" t="s">
        <v>9</v>
      </c>
      <c r="D1575" s="8">
        <v>353</v>
      </c>
      <c r="E1575" s="403"/>
      <c r="F1575" s="403">
        <f>BBNTHT!J1615</f>
        <v>0</v>
      </c>
      <c r="G1575" s="403">
        <f t="shared" si="96"/>
        <v>0</v>
      </c>
      <c r="H1575" s="9">
        <v>43612</v>
      </c>
      <c r="I1575" s="404">
        <f t="shared" si="97"/>
        <v>15395036</v>
      </c>
      <c r="J1575" s="403"/>
      <c r="K1575" s="404">
        <f t="shared" si="98"/>
        <v>0</v>
      </c>
      <c r="L1575" s="405">
        <f t="shared" si="99"/>
        <v>0</v>
      </c>
      <c r="M1575" s="403"/>
    </row>
    <row r="1576" spans="1:13" ht="15.75" x14ac:dyDescent="0.25">
      <c r="A1576" s="6" t="s">
        <v>4330</v>
      </c>
      <c r="B1576" s="7" t="s">
        <v>4331</v>
      </c>
      <c r="C1576" s="6" t="s">
        <v>9</v>
      </c>
      <c r="D1576" s="8">
        <v>507</v>
      </c>
      <c r="E1576" s="403"/>
      <c r="F1576" s="403">
        <f>BBNTHT!J1616</f>
        <v>0</v>
      </c>
      <c r="G1576" s="403">
        <f t="shared" si="96"/>
        <v>0</v>
      </c>
      <c r="H1576" s="9">
        <v>27925</v>
      </c>
      <c r="I1576" s="404">
        <f t="shared" si="97"/>
        <v>14157975</v>
      </c>
      <c r="J1576" s="403"/>
      <c r="K1576" s="404">
        <f t="shared" si="98"/>
        <v>0</v>
      </c>
      <c r="L1576" s="405">
        <f t="shared" si="99"/>
        <v>0</v>
      </c>
      <c r="M1576" s="403"/>
    </row>
    <row r="1577" spans="1:13" ht="15.75" x14ac:dyDescent="0.25">
      <c r="A1577" s="6" t="s">
        <v>4332</v>
      </c>
      <c r="B1577" s="7" t="s">
        <v>4333</v>
      </c>
      <c r="C1577" s="6" t="s">
        <v>9</v>
      </c>
      <c r="D1577" s="8">
        <v>38</v>
      </c>
      <c r="E1577" s="403"/>
      <c r="F1577" s="403">
        <f>BBNTHT!J1617</f>
        <v>0</v>
      </c>
      <c r="G1577" s="403">
        <f t="shared" si="96"/>
        <v>0</v>
      </c>
      <c r="H1577" s="9">
        <v>3447598</v>
      </c>
      <c r="I1577" s="404">
        <f t="shared" si="97"/>
        <v>131008724</v>
      </c>
      <c r="J1577" s="403"/>
      <c r="K1577" s="404">
        <f t="shared" si="98"/>
        <v>0</v>
      </c>
      <c r="L1577" s="405">
        <f t="shared" si="99"/>
        <v>0</v>
      </c>
      <c r="M1577" s="403"/>
    </row>
    <row r="1578" spans="1:13" ht="15.75" x14ac:dyDescent="0.25">
      <c r="A1578" s="6" t="s">
        <v>4334</v>
      </c>
      <c r="B1578" s="7" t="s">
        <v>4335</v>
      </c>
      <c r="C1578" s="6" t="s">
        <v>1429</v>
      </c>
      <c r="D1578" s="8">
        <v>59</v>
      </c>
      <c r="E1578" s="403"/>
      <c r="F1578" s="403">
        <f>BBNTHT!J1618</f>
        <v>0</v>
      </c>
      <c r="G1578" s="403">
        <f t="shared" si="96"/>
        <v>0</v>
      </c>
      <c r="H1578" s="9">
        <v>2585698</v>
      </c>
      <c r="I1578" s="404">
        <f t="shared" si="97"/>
        <v>152556182</v>
      </c>
      <c r="J1578" s="403"/>
      <c r="K1578" s="404">
        <f t="shared" si="98"/>
        <v>0</v>
      </c>
      <c r="L1578" s="405">
        <f t="shared" si="99"/>
        <v>0</v>
      </c>
      <c r="M1578" s="403"/>
    </row>
    <row r="1579" spans="1:13" ht="31.5" x14ac:dyDescent="0.25">
      <c r="A1579" s="6" t="s">
        <v>4336</v>
      </c>
      <c r="B1579" s="7" t="s">
        <v>4337</v>
      </c>
      <c r="C1579" s="6" t="s">
        <v>1429</v>
      </c>
      <c r="D1579" s="8">
        <v>4</v>
      </c>
      <c r="E1579" s="403"/>
      <c r="F1579" s="403">
        <f>BBNTHT!J1619</f>
        <v>0</v>
      </c>
      <c r="G1579" s="403">
        <f t="shared" si="96"/>
        <v>0</v>
      </c>
      <c r="H1579" s="9">
        <v>6033296</v>
      </c>
      <c r="I1579" s="404">
        <f t="shared" si="97"/>
        <v>24133184</v>
      </c>
      <c r="J1579" s="403"/>
      <c r="K1579" s="404">
        <f t="shared" si="98"/>
        <v>0</v>
      </c>
      <c r="L1579" s="405">
        <f t="shared" si="99"/>
        <v>0</v>
      </c>
      <c r="M1579" s="403"/>
    </row>
    <row r="1580" spans="1:13" ht="15.75" x14ac:dyDescent="0.25">
      <c r="A1580" s="6" t="s">
        <v>4338</v>
      </c>
      <c r="B1580" s="7" t="s">
        <v>4339</v>
      </c>
      <c r="C1580" s="6" t="s">
        <v>9</v>
      </c>
      <c r="D1580" s="8">
        <v>118</v>
      </c>
      <c r="E1580" s="403"/>
      <c r="F1580" s="403">
        <f>BBNTHT!J1620</f>
        <v>0</v>
      </c>
      <c r="G1580" s="403">
        <f t="shared" si="96"/>
        <v>0</v>
      </c>
      <c r="H1580" s="9">
        <v>963603</v>
      </c>
      <c r="I1580" s="404">
        <f t="shared" si="97"/>
        <v>113705154</v>
      </c>
      <c r="J1580" s="403"/>
      <c r="K1580" s="404">
        <f t="shared" si="98"/>
        <v>0</v>
      </c>
      <c r="L1580" s="405">
        <f t="shared" si="99"/>
        <v>0</v>
      </c>
      <c r="M1580" s="403"/>
    </row>
    <row r="1581" spans="1:13" ht="15.75" x14ac:dyDescent="0.25">
      <c r="A1581" s="6" t="s">
        <v>4340</v>
      </c>
      <c r="B1581" s="7" t="s">
        <v>4341</v>
      </c>
      <c r="C1581" s="6" t="s">
        <v>9</v>
      </c>
      <c r="D1581" s="8">
        <v>70</v>
      </c>
      <c r="E1581" s="403"/>
      <c r="F1581" s="403">
        <f>BBNTHT!J1621</f>
        <v>0</v>
      </c>
      <c r="G1581" s="403">
        <f t="shared" si="96"/>
        <v>0</v>
      </c>
      <c r="H1581" s="9">
        <v>1146326</v>
      </c>
      <c r="I1581" s="404">
        <f t="shared" si="97"/>
        <v>80242820</v>
      </c>
      <c r="J1581" s="403"/>
      <c r="K1581" s="404">
        <f t="shared" si="98"/>
        <v>0</v>
      </c>
      <c r="L1581" s="405">
        <f t="shared" si="99"/>
        <v>0</v>
      </c>
      <c r="M1581" s="403"/>
    </row>
    <row r="1582" spans="1:13" ht="15.75" x14ac:dyDescent="0.25">
      <c r="A1582" s="6" t="s">
        <v>4342</v>
      </c>
      <c r="B1582" s="7" t="s">
        <v>4343</v>
      </c>
      <c r="C1582" s="6" t="s">
        <v>9</v>
      </c>
      <c r="D1582" s="8">
        <v>118</v>
      </c>
      <c r="E1582" s="403"/>
      <c r="F1582" s="403">
        <f>BBNTHT!J1622</f>
        <v>0</v>
      </c>
      <c r="G1582" s="403">
        <f t="shared" si="96"/>
        <v>0</v>
      </c>
      <c r="H1582" s="9">
        <v>401645</v>
      </c>
      <c r="I1582" s="404">
        <f t="shared" si="97"/>
        <v>47394110</v>
      </c>
      <c r="J1582" s="403"/>
      <c r="K1582" s="404">
        <f t="shared" si="98"/>
        <v>0</v>
      </c>
      <c r="L1582" s="405">
        <f t="shared" si="99"/>
        <v>0</v>
      </c>
      <c r="M1582" s="403"/>
    </row>
    <row r="1583" spans="1:13" ht="15.75" x14ac:dyDescent="0.25">
      <c r="A1583" s="6" t="s">
        <v>4344</v>
      </c>
      <c r="B1583" s="7" t="s">
        <v>4345</v>
      </c>
      <c r="C1583" s="6" t="s">
        <v>9</v>
      </c>
      <c r="D1583" s="8">
        <v>63</v>
      </c>
      <c r="E1583" s="403"/>
      <c r="F1583" s="403">
        <f>BBNTHT!J1623</f>
        <v>0</v>
      </c>
      <c r="G1583" s="403">
        <f t="shared" si="96"/>
        <v>0</v>
      </c>
      <c r="H1583" s="9">
        <v>522311</v>
      </c>
      <c r="I1583" s="404">
        <f t="shared" si="97"/>
        <v>32905593</v>
      </c>
      <c r="J1583" s="403"/>
      <c r="K1583" s="404">
        <f t="shared" si="98"/>
        <v>0</v>
      </c>
      <c r="L1583" s="405">
        <f t="shared" si="99"/>
        <v>0</v>
      </c>
      <c r="M1583" s="403"/>
    </row>
    <row r="1584" spans="1:13" ht="15.75" x14ac:dyDescent="0.25">
      <c r="A1584" s="6" t="s">
        <v>4346</v>
      </c>
      <c r="B1584" s="7" t="s">
        <v>4347</v>
      </c>
      <c r="C1584" s="6" t="s">
        <v>1429</v>
      </c>
      <c r="D1584" s="8">
        <v>97</v>
      </c>
      <c r="E1584" s="403"/>
      <c r="F1584" s="403">
        <f>BBNTHT!J1624</f>
        <v>0</v>
      </c>
      <c r="G1584" s="403">
        <f t="shared" si="96"/>
        <v>0</v>
      </c>
      <c r="H1584" s="9">
        <v>224094</v>
      </c>
      <c r="I1584" s="404">
        <f t="shared" si="97"/>
        <v>21737118</v>
      </c>
      <c r="J1584" s="403"/>
      <c r="K1584" s="404">
        <f t="shared" si="98"/>
        <v>0</v>
      </c>
      <c r="L1584" s="405">
        <f t="shared" si="99"/>
        <v>0</v>
      </c>
      <c r="M1584" s="403"/>
    </row>
    <row r="1585" spans="1:13" ht="31.5" x14ac:dyDescent="0.25">
      <c r="A1585" s="6" t="s">
        <v>4348</v>
      </c>
      <c r="B1585" s="7" t="s">
        <v>4349</v>
      </c>
      <c r="C1585" s="6" t="s">
        <v>1429</v>
      </c>
      <c r="D1585" s="8">
        <v>1</v>
      </c>
      <c r="E1585" s="403"/>
      <c r="F1585" s="403">
        <f>BBNTHT!J1625</f>
        <v>0</v>
      </c>
      <c r="G1585" s="403">
        <f t="shared" si="96"/>
        <v>0</v>
      </c>
      <c r="H1585" s="9">
        <v>2585698</v>
      </c>
      <c r="I1585" s="404">
        <f t="shared" si="97"/>
        <v>2585698</v>
      </c>
      <c r="J1585" s="403"/>
      <c r="K1585" s="404">
        <f t="shared" si="98"/>
        <v>0</v>
      </c>
      <c r="L1585" s="405">
        <f t="shared" si="99"/>
        <v>0</v>
      </c>
      <c r="M1585" s="403"/>
    </row>
    <row r="1586" spans="1:13" ht="15.75" x14ac:dyDescent="0.25">
      <c r="A1586" s="6" t="s">
        <v>4350</v>
      </c>
      <c r="B1586" s="7" t="s">
        <v>4351</v>
      </c>
      <c r="C1586" s="6" t="s">
        <v>9</v>
      </c>
      <c r="D1586" s="8">
        <v>109</v>
      </c>
      <c r="E1586" s="403"/>
      <c r="F1586" s="403">
        <f>BBNTHT!J1626</f>
        <v>0</v>
      </c>
      <c r="G1586" s="403">
        <f t="shared" si="96"/>
        <v>0</v>
      </c>
      <c r="H1586" s="9">
        <v>34476</v>
      </c>
      <c r="I1586" s="404">
        <f t="shared" si="97"/>
        <v>3757884</v>
      </c>
      <c r="J1586" s="403"/>
      <c r="K1586" s="404">
        <f t="shared" si="98"/>
        <v>0</v>
      </c>
      <c r="L1586" s="405">
        <f t="shared" si="99"/>
        <v>0</v>
      </c>
      <c r="M1586" s="403"/>
    </row>
    <row r="1587" spans="1:13" ht="15.75" x14ac:dyDescent="0.25">
      <c r="A1587" s="6" t="s">
        <v>4352</v>
      </c>
      <c r="B1587" s="7" t="s">
        <v>4353</v>
      </c>
      <c r="C1587" s="6" t="s">
        <v>9</v>
      </c>
      <c r="D1587" s="8">
        <v>40</v>
      </c>
      <c r="E1587" s="403"/>
      <c r="F1587" s="403">
        <f>BBNTHT!J1627</f>
        <v>0</v>
      </c>
      <c r="G1587" s="403">
        <f t="shared" si="96"/>
        <v>0</v>
      </c>
      <c r="H1587" s="9">
        <v>870519</v>
      </c>
      <c r="I1587" s="404">
        <f t="shared" si="97"/>
        <v>34820760</v>
      </c>
      <c r="J1587" s="403"/>
      <c r="K1587" s="404">
        <f t="shared" si="98"/>
        <v>0</v>
      </c>
      <c r="L1587" s="405">
        <f t="shared" si="99"/>
        <v>0</v>
      </c>
      <c r="M1587" s="403"/>
    </row>
    <row r="1588" spans="1:13" ht="15.75" x14ac:dyDescent="0.25">
      <c r="A1588" s="6" t="s">
        <v>4354</v>
      </c>
      <c r="B1588" s="7" t="s">
        <v>4355</v>
      </c>
      <c r="C1588" s="6" t="s">
        <v>9</v>
      </c>
      <c r="D1588" s="8">
        <v>200</v>
      </c>
      <c r="E1588" s="403"/>
      <c r="F1588" s="403">
        <f>BBNTHT!J1628</f>
        <v>0</v>
      </c>
      <c r="G1588" s="403">
        <f t="shared" si="96"/>
        <v>0</v>
      </c>
      <c r="H1588" s="9">
        <v>991185</v>
      </c>
      <c r="I1588" s="404">
        <f t="shared" si="97"/>
        <v>198237000</v>
      </c>
      <c r="J1588" s="403"/>
      <c r="K1588" s="404">
        <f t="shared" si="98"/>
        <v>0</v>
      </c>
      <c r="L1588" s="405">
        <f t="shared" si="99"/>
        <v>0</v>
      </c>
      <c r="M1588" s="403"/>
    </row>
    <row r="1589" spans="1:13" ht="15.75" x14ac:dyDescent="0.25">
      <c r="A1589" s="6" t="s">
        <v>4356</v>
      </c>
      <c r="B1589" s="7" t="s">
        <v>4357</v>
      </c>
      <c r="C1589" s="6" t="s">
        <v>9</v>
      </c>
      <c r="D1589" s="8">
        <v>61</v>
      </c>
      <c r="E1589" s="403"/>
      <c r="F1589" s="403">
        <f>BBNTHT!J1629</f>
        <v>0</v>
      </c>
      <c r="G1589" s="403">
        <f t="shared" si="96"/>
        <v>0</v>
      </c>
      <c r="H1589" s="9">
        <v>517140</v>
      </c>
      <c r="I1589" s="404">
        <f t="shared" si="97"/>
        <v>31545540</v>
      </c>
      <c r="J1589" s="403"/>
      <c r="K1589" s="404">
        <f t="shared" si="98"/>
        <v>0</v>
      </c>
      <c r="L1589" s="405">
        <f t="shared" si="99"/>
        <v>0</v>
      </c>
      <c r="M1589" s="403"/>
    </row>
    <row r="1590" spans="1:13" ht="15.75" x14ac:dyDescent="0.25">
      <c r="A1590" s="6" t="s">
        <v>4358</v>
      </c>
      <c r="B1590" s="7" t="s">
        <v>4359</v>
      </c>
      <c r="C1590" s="6" t="s">
        <v>9</v>
      </c>
      <c r="D1590" s="8">
        <v>125</v>
      </c>
      <c r="E1590" s="403"/>
      <c r="F1590" s="403">
        <f>BBNTHT!J1630</f>
        <v>0</v>
      </c>
      <c r="G1590" s="403">
        <f t="shared" si="96"/>
        <v>0</v>
      </c>
      <c r="H1590" s="9">
        <v>115667</v>
      </c>
      <c r="I1590" s="404">
        <f t="shared" si="97"/>
        <v>14458375</v>
      </c>
      <c r="J1590" s="403"/>
      <c r="K1590" s="404">
        <f t="shared" si="98"/>
        <v>0</v>
      </c>
      <c r="L1590" s="405">
        <f t="shared" si="99"/>
        <v>0</v>
      </c>
      <c r="M1590" s="403"/>
    </row>
    <row r="1591" spans="1:13" ht="15.75" x14ac:dyDescent="0.25">
      <c r="A1591" s="6" t="s">
        <v>4360</v>
      </c>
      <c r="B1591" s="7" t="s">
        <v>4361</v>
      </c>
      <c r="C1591" s="6" t="s">
        <v>9</v>
      </c>
      <c r="D1591" s="8">
        <v>1</v>
      </c>
      <c r="E1591" s="403"/>
      <c r="F1591" s="403">
        <f>BBNTHT!J1631</f>
        <v>0</v>
      </c>
      <c r="G1591" s="403">
        <f t="shared" si="96"/>
        <v>0</v>
      </c>
      <c r="H1591" s="9">
        <v>115667</v>
      </c>
      <c r="I1591" s="404">
        <f t="shared" si="97"/>
        <v>115667</v>
      </c>
      <c r="J1591" s="403"/>
      <c r="K1591" s="404">
        <f t="shared" si="98"/>
        <v>0</v>
      </c>
      <c r="L1591" s="405">
        <f t="shared" si="99"/>
        <v>0</v>
      </c>
      <c r="M1591" s="403"/>
    </row>
    <row r="1592" spans="1:13" ht="15.75" x14ac:dyDescent="0.25">
      <c r="A1592" s="6" t="s">
        <v>4362</v>
      </c>
      <c r="B1592" s="7" t="s">
        <v>4363</v>
      </c>
      <c r="C1592" s="6" t="s">
        <v>9</v>
      </c>
      <c r="D1592" s="8">
        <v>176</v>
      </c>
      <c r="E1592" s="403"/>
      <c r="F1592" s="403">
        <f>BBNTHT!J1632</f>
        <v>0</v>
      </c>
      <c r="G1592" s="403">
        <f t="shared" si="96"/>
        <v>0</v>
      </c>
      <c r="H1592" s="9">
        <v>115667</v>
      </c>
      <c r="I1592" s="404">
        <f t="shared" si="97"/>
        <v>20357392</v>
      </c>
      <c r="J1592" s="403"/>
      <c r="K1592" s="404">
        <f t="shared" si="98"/>
        <v>0</v>
      </c>
      <c r="L1592" s="405">
        <f t="shared" si="99"/>
        <v>0</v>
      </c>
      <c r="M1592" s="403"/>
    </row>
    <row r="1593" spans="1:13" ht="15.75" x14ac:dyDescent="0.25">
      <c r="A1593" s="6" t="s">
        <v>4364</v>
      </c>
      <c r="B1593" s="7" t="s">
        <v>4365</v>
      </c>
      <c r="C1593" s="6" t="s">
        <v>9</v>
      </c>
      <c r="D1593" s="8">
        <v>104</v>
      </c>
      <c r="E1593" s="403"/>
      <c r="F1593" s="403">
        <f>BBNTHT!J1633</f>
        <v>0</v>
      </c>
      <c r="G1593" s="403">
        <f t="shared" si="96"/>
        <v>0</v>
      </c>
      <c r="H1593" s="9">
        <v>115667</v>
      </c>
      <c r="I1593" s="404">
        <f t="shared" si="97"/>
        <v>12029368</v>
      </c>
      <c r="J1593" s="403"/>
      <c r="K1593" s="404">
        <f t="shared" si="98"/>
        <v>0</v>
      </c>
      <c r="L1593" s="405">
        <f t="shared" si="99"/>
        <v>0</v>
      </c>
      <c r="M1593" s="403"/>
    </row>
    <row r="1594" spans="1:13" ht="15.75" x14ac:dyDescent="0.25">
      <c r="A1594" s="6" t="s">
        <v>4366</v>
      </c>
      <c r="B1594" s="7" t="s">
        <v>4367</v>
      </c>
      <c r="C1594" s="6" t="s">
        <v>9</v>
      </c>
      <c r="D1594" s="8">
        <v>58</v>
      </c>
      <c r="E1594" s="403"/>
      <c r="F1594" s="403">
        <f>BBNTHT!J1634</f>
        <v>0</v>
      </c>
      <c r="G1594" s="403">
        <f t="shared" si="96"/>
        <v>0</v>
      </c>
      <c r="H1594" s="9">
        <v>75158</v>
      </c>
      <c r="I1594" s="404">
        <f t="shared" si="97"/>
        <v>4359164</v>
      </c>
      <c r="J1594" s="403"/>
      <c r="K1594" s="404">
        <f t="shared" si="98"/>
        <v>0</v>
      </c>
      <c r="L1594" s="405">
        <f t="shared" si="99"/>
        <v>0</v>
      </c>
      <c r="M1594" s="403"/>
    </row>
    <row r="1595" spans="1:13" ht="15.75" x14ac:dyDescent="0.25">
      <c r="A1595" s="6" t="s">
        <v>4368</v>
      </c>
      <c r="B1595" s="7" t="s">
        <v>4369</v>
      </c>
      <c r="C1595" s="6" t="s">
        <v>9</v>
      </c>
      <c r="D1595" s="8">
        <v>299</v>
      </c>
      <c r="E1595" s="403"/>
      <c r="F1595" s="403">
        <f>BBNTHT!J1635</f>
        <v>0</v>
      </c>
      <c r="G1595" s="403">
        <f t="shared" si="96"/>
        <v>0</v>
      </c>
      <c r="H1595" s="9">
        <v>75158</v>
      </c>
      <c r="I1595" s="404">
        <f t="shared" si="97"/>
        <v>22472242</v>
      </c>
      <c r="J1595" s="403"/>
      <c r="K1595" s="404">
        <f t="shared" si="98"/>
        <v>0</v>
      </c>
      <c r="L1595" s="405">
        <f t="shared" si="99"/>
        <v>0</v>
      </c>
      <c r="M1595" s="403"/>
    </row>
    <row r="1596" spans="1:13" ht="15.75" x14ac:dyDescent="0.25">
      <c r="A1596" s="6" t="s">
        <v>4370</v>
      </c>
      <c r="B1596" s="7" t="s">
        <v>4371</v>
      </c>
      <c r="C1596" s="6" t="s">
        <v>9</v>
      </c>
      <c r="D1596" s="8">
        <v>203</v>
      </c>
      <c r="E1596" s="403"/>
      <c r="F1596" s="403">
        <f>BBNTHT!J1636</f>
        <v>0</v>
      </c>
      <c r="G1596" s="403">
        <f t="shared" si="96"/>
        <v>0</v>
      </c>
      <c r="H1596" s="9">
        <v>75158</v>
      </c>
      <c r="I1596" s="404">
        <f t="shared" si="97"/>
        <v>15257074</v>
      </c>
      <c r="J1596" s="403"/>
      <c r="K1596" s="404">
        <f t="shared" si="98"/>
        <v>0</v>
      </c>
      <c r="L1596" s="405">
        <f t="shared" si="99"/>
        <v>0</v>
      </c>
      <c r="M1596" s="403"/>
    </row>
    <row r="1597" spans="1:13" ht="15.75" x14ac:dyDescent="0.25">
      <c r="A1597" s="6" t="s">
        <v>4372</v>
      </c>
      <c r="B1597" s="7" t="s">
        <v>4373</v>
      </c>
      <c r="C1597" s="6" t="s">
        <v>9</v>
      </c>
      <c r="D1597" s="8">
        <v>507</v>
      </c>
      <c r="E1597" s="403"/>
      <c r="F1597" s="403">
        <f>BBNTHT!J1637</f>
        <v>0</v>
      </c>
      <c r="G1597" s="403">
        <f t="shared" si="96"/>
        <v>0</v>
      </c>
      <c r="H1597" s="9">
        <v>61885</v>
      </c>
      <c r="I1597" s="404">
        <f t="shared" si="97"/>
        <v>31375695</v>
      </c>
      <c r="J1597" s="403"/>
      <c r="K1597" s="404">
        <f t="shared" si="98"/>
        <v>0</v>
      </c>
      <c r="L1597" s="405">
        <f t="shared" si="99"/>
        <v>0</v>
      </c>
      <c r="M1597" s="403"/>
    </row>
    <row r="1598" spans="1:13" ht="15.75" x14ac:dyDescent="0.25">
      <c r="A1598" s="6" t="s">
        <v>4374</v>
      </c>
      <c r="B1598" s="7" t="s">
        <v>4375</v>
      </c>
      <c r="C1598" s="6" t="s">
        <v>9</v>
      </c>
      <c r="D1598" s="8">
        <v>780</v>
      </c>
      <c r="E1598" s="403"/>
      <c r="F1598" s="403">
        <f>BBNTHT!J1638</f>
        <v>0</v>
      </c>
      <c r="G1598" s="403">
        <f t="shared" si="96"/>
        <v>0</v>
      </c>
      <c r="H1598" s="9">
        <v>37924</v>
      </c>
      <c r="I1598" s="404">
        <f t="shared" si="97"/>
        <v>29580720</v>
      </c>
      <c r="J1598" s="403"/>
      <c r="K1598" s="404">
        <f t="shared" si="98"/>
        <v>0</v>
      </c>
      <c r="L1598" s="405">
        <f t="shared" si="99"/>
        <v>0</v>
      </c>
      <c r="M1598" s="403"/>
    </row>
    <row r="1599" spans="1:13" ht="15.75" x14ac:dyDescent="0.25">
      <c r="A1599" s="6" t="s">
        <v>4376</v>
      </c>
      <c r="B1599" s="7" t="s">
        <v>4377</v>
      </c>
      <c r="C1599" s="6" t="s">
        <v>9</v>
      </c>
      <c r="D1599" s="8">
        <v>2</v>
      </c>
      <c r="E1599" s="403"/>
      <c r="F1599" s="403">
        <f>BBNTHT!J1639</f>
        <v>0</v>
      </c>
      <c r="G1599" s="403">
        <f t="shared" si="96"/>
        <v>0</v>
      </c>
      <c r="H1599" s="9">
        <v>14652290</v>
      </c>
      <c r="I1599" s="404">
        <f t="shared" si="97"/>
        <v>29304580</v>
      </c>
      <c r="J1599" s="403"/>
      <c r="K1599" s="404">
        <f t="shared" si="98"/>
        <v>0</v>
      </c>
      <c r="L1599" s="405">
        <f t="shared" si="99"/>
        <v>0</v>
      </c>
      <c r="M1599" s="403"/>
    </row>
    <row r="1600" spans="1:13" ht="15.75" x14ac:dyDescent="0.25">
      <c r="A1600" s="6" t="s">
        <v>4378</v>
      </c>
      <c r="B1600" s="7" t="s">
        <v>4379</v>
      </c>
      <c r="C1600" s="6" t="s">
        <v>9</v>
      </c>
      <c r="D1600" s="8">
        <v>7</v>
      </c>
      <c r="E1600" s="403"/>
      <c r="F1600" s="403">
        <f>BBNTHT!J1640</f>
        <v>0</v>
      </c>
      <c r="G1600" s="403">
        <f t="shared" si="96"/>
        <v>0</v>
      </c>
      <c r="H1600" s="9">
        <v>5516156</v>
      </c>
      <c r="I1600" s="404">
        <f t="shared" si="97"/>
        <v>38613092</v>
      </c>
      <c r="J1600" s="403"/>
      <c r="K1600" s="404">
        <f t="shared" si="98"/>
        <v>0</v>
      </c>
      <c r="L1600" s="405">
        <f t="shared" si="99"/>
        <v>0</v>
      </c>
      <c r="M1600" s="403"/>
    </row>
    <row r="1601" spans="1:13" ht="31.5" x14ac:dyDescent="0.25">
      <c r="A1601" s="6" t="s">
        <v>4380</v>
      </c>
      <c r="B1601" s="7" t="s">
        <v>4381</v>
      </c>
      <c r="C1601" s="6" t="s">
        <v>9</v>
      </c>
      <c r="D1601" s="8">
        <v>38</v>
      </c>
      <c r="E1601" s="403"/>
      <c r="F1601" s="403">
        <f>BBNTHT!J1641</f>
        <v>0</v>
      </c>
      <c r="G1601" s="403">
        <f t="shared" si="96"/>
        <v>0</v>
      </c>
      <c r="H1601" s="9">
        <v>6353923</v>
      </c>
      <c r="I1601" s="404">
        <f t="shared" si="97"/>
        <v>241449074</v>
      </c>
      <c r="J1601" s="403"/>
      <c r="K1601" s="404">
        <f t="shared" si="98"/>
        <v>0</v>
      </c>
      <c r="L1601" s="405">
        <f t="shared" si="99"/>
        <v>0</v>
      </c>
      <c r="M1601" s="403"/>
    </row>
    <row r="1602" spans="1:13" ht="15.75" x14ac:dyDescent="0.25">
      <c r="A1602" s="6" t="s">
        <v>4382</v>
      </c>
      <c r="B1602" s="7" t="s">
        <v>4383</v>
      </c>
      <c r="C1602" s="6" t="s">
        <v>9</v>
      </c>
      <c r="D1602" s="8">
        <v>8</v>
      </c>
      <c r="E1602" s="403"/>
      <c r="F1602" s="403">
        <f>BBNTHT!J1642</f>
        <v>0</v>
      </c>
      <c r="G1602" s="403">
        <f t="shared" si="96"/>
        <v>0</v>
      </c>
      <c r="H1602" s="9">
        <v>18961788</v>
      </c>
      <c r="I1602" s="404">
        <f t="shared" si="97"/>
        <v>151694304</v>
      </c>
      <c r="J1602" s="403"/>
      <c r="K1602" s="404">
        <f t="shared" si="98"/>
        <v>0</v>
      </c>
      <c r="L1602" s="405">
        <f t="shared" si="99"/>
        <v>0</v>
      </c>
      <c r="M1602" s="403"/>
    </row>
    <row r="1603" spans="1:13" ht="15.75" x14ac:dyDescent="0.25">
      <c r="A1603" s="6" t="s">
        <v>4384</v>
      </c>
      <c r="B1603" s="7" t="s">
        <v>4385</v>
      </c>
      <c r="C1603" s="6" t="s">
        <v>9</v>
      </c>
      <c r="D1603" s="8">
        <v>19</v>
      </c>
      <c r="E1603" s="403"/>
      <c r="F1603" s="403">
        <f>BBNTHT!J1643</f>
        <v>0</v>
      </c>
      <c r="G1603" s="403">
        <f t="shared" si="96"/>
        <v>0</v>
      </c>
      <c r="H1603" s="9">
        <v>439569</v>
      </c>
      <c r="I1603" s="404">
        <f t="shared" si="97"/>
        <v>8351811</v>
      </c>
      <c r="J1603" s="403"/>
      <c r="K1603" s="404">
        <f t="shared" si="98"/>
        <v>0</v>
      </c>
      <c r="L1603" s="405">
        <f t="shared" si="99"/>
        <v>0</v>
      </c>
      <c r="M1603" s="403"/>
    </row>
    <row r="1604" spans="1:13" ht="15.75" x14ac:dyDescent="0.25">
      <c r="A1604" s="6" t="s">
        <v>4386</v>
      </c>
      <c r="B1604" s="7" t="s">
        <v>4387</v>
      </c>
      <c r="C1604" s="6" t="s">
        <v>9</v>
      </c>
      <c r="D1604" s="8">
        <v>4</v>
      </c>
      <c r="E1604" s="403"/>
      <c r="F1604" s="403">
        <f>BBNTHT!J1644</f>
        <v>0</v>
      </c>
      <c r="G1604" s="403">
        <f t="shared" si="96"/>
        <v>0</v>
      </c>
      <c r="H1604" s="9">
        <v>1163565</v>
      </c>
      <c r="I1604" s="404">
        <f t="shared" si="97"/>
        <v>4654260</v>
      </c>
      <c r="J1604" s="403"/>
      <c r="K1604" s="404">
        <f t="shared" si="98"/>
        <v>0</v>
      </c>
      <c r="L1604" s="405">
        <f t="shared" si="99"/>
        <v>0</v>
      </c>
      <c r="M1604" s="403"/>
    </row>
    <row r="1605" spans="1:13" ht="31.5" x14ac:dyDescent="0.25">
      <c r="A1605" s="6" t="s">
        <v>4388</v>
      </c>
      <c r="B1605" s="7" t="s">
        <v>4389</v>
      </c>
      <c r="C1605" s="6" t="s">
        <v>9</v>
      </c>
      <c r="D1605" s="8">
        <v>24</v>
      </c>
      <c r="E1605" s="403"/>
      <c r="F1605" s="403">
        <f>BBNTHT!J1645</f>
        <v>0</v>
      </c>
      <c r="G1605" s="403">
        <f t="shared" si="96"/>
        <v>0</v>
      </c>
      <c r="H1605" s="9">
        <v>68951955</v>
      </c>
      <c r="I1605" s="404">
        <f t="shared" si="97"/>
        <v>1654846920</v>
      </c>
      <c r="J1605" s="403"/>
      <c r="K1605" s="404">
        <f t="shared" si="98"/>
        <v>0</v>
      </c>
      <c r="L1605" s="405">
        <f t="shared" si="99"/>
        <v>0</v>
      </c>
      <c r="M1605" s="403"/>
    </row>
    <row r="1606" spans="1:13" ht="15.75" x14ac:dyDescent="0.25">
      <c r="A1606" s="6" t="s">
        <v>4390</v>
      </c>
      <c r="B1606" s="7" t="s">
        <v>4391</v>
      </c>
      <c r="C1606" s="6" t="s">
        <v>9</v>
      </c>
      <c r="D1606" s="8">
        <v>166</v>
      </c>
      <c r="E1606" s="403"/>
      <c r="F1606" s="403">
        <f>BBNTHT!J1646</f>
        <v>0</v>
      </c>
      <c r="G1606" s="403">
        <f t="shared" si="96"/>
        <v>0</v>
      </c>
      <c r="H1606" s="9">
        <v>861899</v>
      </c>
      <c r="I1606" s="404">
        <f t="shared" si="97"/>
        <v>143075234</v>
      </c>
      <c r="J1606" s="403"/>
      <c r="K1606" s="404">
        <f t="shared" si="98"/>
        <v>0</v>
      </c>
      <c r="L1606" s="405">
        <f t="shared" si="99"/>
        <v>0</v>
      </c>
      <c r="M1606" s="403"/>
    </row>
    <row r="1607" spans="1:13" ht="15.75" x14ac:dyDescent="0.25">
      <c r="A1607" s="6" t="s">
        <v>4392</v>
      </c>
      <c r="B1607" s="7" t="s">
        <v>4393</v>
      </c>
      <c r="C1607" s="6" t="s">
        <v>9</v>
      </c>
      <c r="D1607" s="8">
        <v>83</v>
      </c>
      <c r="E1607" s="403"/>
      <c r="F1607" s="403">
        <f>BBNTHT!J1647</f>
        <v>0</v>
      </c>
      <c r="G1607" s="403">
        <f t="shared" si="96"/>
        <v>0</v>
      </c>
      <c r="H1607" s="9">
        <v>1379039</v>
      </c>
      <c r="I1607" s="404">
        <f t="shared" si="97"/>
        <v>114460237</v>
      </c>
      <c r="J1607" s="403"/>
      <c r="K1607" s="404">
        <f t="shared" si="98"/>
        <v>0</v>
      </c>
      <c r="L1607" s="405">
        <f t="shared" si="99"/>
        <v>0</v>
      </c>
      <c r="M1607" s="403"/>
    </row>
    <row r="1608" spans="1:13" ht="15.75" x14ac:dyDescent="0.25">
      <c r="A1608" s="6" t="s">
        <v>4394</v>
      </c>
      <c r="B1608" s="7" t="s">
        <v>4395</v>
      </c>
      <c r="C1608" s="6" t="s">
        <v>9</v>
      </c>
      <c r="D1608" s="8">
        <v>83</v>
      </c>
      <c r="E1608" s="403"/>
      <c r="F1608" s="403">
        <f>BBNTHT!J1648</f>
        <v>0</v>
      </c>
      <c r="G1608" s="403">
        <f t="shared" si="96"/>
        <v>0</v>
      </c>
      <c r="H1608" s="9">
        <v>86190</v>
      </c>
      <c r="I1608" s="404">
        <f t="shared" si="97"/>
        <v>7153770</v>
      </c>
      <c r="J1608" s="403"/>
      <c r="K1608" s="404">
        <f t="shared" si="98"/>
        <v>0</v>
      </c>
      <c r="L1608" s="405">
        <f t="shared" si="99"/>
        <v>0</v>
      </c>
      <c r="M1608" s="403"/>
    </row>
    <row r="1609" spans="1:13" ht="31.5" x14ac:dyDescent="0.25">
      <c r="A1609" s="6" t="s">
        <v>4396</v>
      </c>
      <c r="B1609" s="7" t="s">
        <v>4397</v>
      </c>
      <c r="C1609" s="6" t="s">
        <v>1898</v>
      </c>
      <c r="D1609" s="8">
        <v>1</v>
      </c>
      <c r="E1609" s="403"/>
      <c r="F1609" s="403">
        <f>BBNTHT!J1649</f>
        <v>0</v>
      </c>
      <c r="G1609" s="403">
        <f t="shared" si="96"/>
        <v>0</v>
      </c>
      <c r="H1609" s="9">
        <v>86189944</v>
      </c>
      <c r="I1609" s="404">
        <f t="shared" si="97"/>
        <v>86189944</v>
      </c>
      <c r="J1609" s="403"/>
      <c r="K1609" s="404">
        <f t="shared" si="98"/>
        <v>0</v>
      </c>
      <c r="L1609" s="405">
        <f t="shared" si="99"/>
        <v>0</v>
      </c>
      <c r="M1609" s="403"/>
    </row>
    <row r="1610" spans="1:13" ht="31.5" x14ac:dyDescent="0.25">
      <c r="A1610" s="6" t="s">
        <v>4398</v>
      </c>
      <c r="B1610" s="7" t="s">
        <v>297</v>
      </c>
      <c r="C1610" s="6" t="s">
        <v>52</v>
      </c>
      <c r="D1610" s="8">
        <v>1652.51</v>
      </c>
      <c r="E1610" s="403"/>
      <c r="F1610" s="403">
        <f>BBNTHT!J1650</f>
        <v>0</v>
      </c>
      <c r="G1610" s="403">
        <f t="shared" si="96"/>
        <v>0</v>
      </c>
      <c r="H1610" s="9">
        <v>34476</v>
      </c>
      <c r="I1610" s="404">
        <f t="shared" si="97"/>
        <v>56971935</v>
      </c>
      <c r="J1610" s="403"/>
      <c r="K1610" s="404">
        <f t="shared" si="98"/>
        <v>0</v>
      </c>
      <c r="L1610" s="405">
        <f t="shared" si="99"/>
        <v>0</v>
      </c>
      <c r="M1610" s="403"/>
    </row>
    <row r="1611" spans="1:13" ht="15.75" x14ac:dyDescent="0.25">
      <c r="A1611" s="6" t="s">
        <v>4399</v>
      </c>
      <c r="B1611" s="7" t="s">
        <v>4400</v>
      </c>
      <c r="C1611" s="6" t="s">
        <v>248</v>
      </c>
      <c r="D1611" s="8">
        <v>9.6</v>
      </c>
      <c r="E1611" s="403"/>
      <c r="F1611" s="403">
        <f>BBNTHT!J1651</f>
        <v>0</v>
      </c>
      <c r="G1611" s="403">
        <f t="shared" si="96"/>
        <v>0</v>
      </c>
      <c r="H1611" s="9">
        <v>172380</v>
      </c>
      <c r="I1611" s="404">
        <f t="shared" si="97"/>
        <v>1654848</v>
      </c>
      <c r="J1611" s="403"/>
      <c r="K1611" s="404">
        <f t="shared" si="98"/>
        <v>0</v>
      </c>
      <c r="L1611" s="405">
        <f t="shared" si="99"/>
        <v>0</v>
      </c>
      <c r="M1611" s="403"/>
    </row>
    <row r="1612" spans="1:13" ht="15.75" x14ac:dyDescent="0.25">
      <c r="A1612" s="6" t="s">
        <v>4401</v>
      </c>
      <c r="B1612" s="7" t="s">
        <v>4402</v>
      </c>
      <c r="C1612" s="6" t="s">
        <v>248</v>
      </c>
      <c r="D1612" s="8">
        <v>898.4</v>
      </c>
      <c r="E1612" s="403"/>
      <c r="F1612" s="403">
        <f>BBNTHT!J1652</f>
        <v>0</v>
      </c>
      <c r="G1612" s="403">
        <f t="shared" si="96"/>
        <v>0</v>
      </c>
      <c r="H1612" s="9">
        <v>163761</v>
      </c>
      <c r="I1612" s="404">
        <f t="shared" si="97"/>
        <v>147122882</v>
      </c>
      <c r="J1612" s="403"/>
      <c r="K1612" s="404">
        <f t="shared" si="98"/>
        <v>0</v>
      </c>
      <c r="L1612" s="405">
        <f t="shared" si="99"/>
        <v>0</v>
      </c>
      <c r="M1612" s="403"/>
    </row>
    <row r="1613" spans="1:13" ht="15.75" x14ac:dyDescent="0.25">
      <c r="A1613" s="6" t="s">
        <v>4403</v>
      </c>
      <c r="B1613" s="7" t="s">
        <v>4404</v>
      </c>
      <c r="C1613" s="6" t="s">
        <v>248</v>
      </c>
      <c r="D1613" s="8">
        <v>111.6</v>
      </c>
      <c r="E1613" s="403"/>
      <c r="F1613" s="403">
        <f>BBNTHT!J1653</f>
        <v>0</v>
      </c>
      <c r="G1613" s="403">
        <f t="shared" si="96"/>
        <v>0</v>
      </c>
      <c r="H1613" s="9">
        <v>155142</v>
      </c>
      <c r="I1613" s="404">
        <f t="shared" si="97"/>
        <v>17313847</v>
      </c>
      <c r="J1613" s="403"/>
      <c r="K1613" s="404">
        <f t="shared" si="98"/>
        <v>0</v>
      </c>
      <c r="L1613" s="405">
        <f t="shared" si="99"/>
        <v>0</v>
      </c>
      <c r="M1613" s="403"/>
    </row>
    <row r="1614" spans="1:13" ht="15.75" x14ac:dyDescent="0.25">
      <c r="A1614" s="6" t="s">
        <v>4405</v>
      </c>
      <c r="B1614" s="7" t="s">
        <v>4406</v>
      </c>
      <c r="C1614" s="6" t="s">
        <v>248</v>
      </c>
      <c r="D1614" s="8">
        <v>4.8</v>
      </c>
      <c r="E1614" s="403"/>
      <c r="F1614" s="403">
        <f>BBNTHT!J1654</f>
        <v>0</v>
      </c>
      <c r="G1614" s="403">
        <f t="shared" si="96"/>
        <v>0</v>
      </c>
      <c r="H1614" s="9">
        <v>146523</v>
      </c>
      <c r="I1614" s="404">
        <f t="shared" si="97"/>
        <v>703310</v>
      </c>
      <c r="J1614" s="403"/>
      <c r="K1614" s="404">
        <f t="shared" si="98"/>
        <v>0</v>
      </c>
      <c r="L1614" s="405">
        <f t="shared" si="99"/>
        <v>0</v>
      </c>
      <c r="M1614" s="403"/>
    </row>
    <row r="1615" spans="1:13" ht="15.75" x14ac:dyDescent="0.25">
      <c r="A1615" s="6" t="s">
        <v>4407</v>
      </c>
      <c r="B1615" s="7" t="s">
        <v>4408</v>
      </c>
      <c r="C1615" s="6" t="s">
        <v>248</v>
      </c>
      <c r="D1615" s="8">
        <v>532.79999999999995</v>
      </c>
      <c r="E1615" s="403"/>
      <c r="F1615" s="403">
        <f>BBNTHT!J1655</f>
        <v>0</v>
      </c>
      <c r="G1615" s="403">
        <f t="shared" si="96"/>
        <v>0</v>
      </c>
      <c r="H1615" s="9">
        <v>137904</v>
      </c>
      <c r="I1615" s="404">
        <f t="shared" si="97"/>
        <v>73475251</v>
      </c>
      <c r="J1615" s="403"/>
      <c r="K1615" s="404">
        <f t="shared" si="98"/>
        <v>0</v>
      </c>
      <c r="L1615" s="405">
        <f t="shared" si="99"/>
        <v>0</v>
      </c>
      <c r="M1615" s="403"/>
    </row>
    <row r="1616" spans="1:13" ht="15.75" x14ac:dyDescent="0.25">
      <c r="A1616" s="6" t="s">
        <v>4409</v>
      </c>
      <c r="B1616" s="7" t="s">
        <v>4410</v>
      </c>
      <c r="C1616" s="6" t="s">
        <v>248</v>
      </c>
      <c r="D1616" s="8">
        <v>603.20000000000005</v>
      </c>
      <c r="E1616" s="403"/>
      <c r="F1616" s="403">
        <f>BBNTHT!J1656</f>
        <v>0</v>
      </c>
      <c r="G1616" s="403">
        <f t="shared" si="96"/>
        <v>0</v>
      </c>
      <c r="H1616" s="9">
        <v>129285</v>
      </c>
      <c r="I1616" s="404">
        <f t="shared" si="97"/>
        <v>77984712</v>
      </c>
      <c r="J1616" s="403"/>
      <c r="K1616" s="404">
        <f t="shared" si="98"/>
        <v>0</v>
      </c>
      <c r="L1616" s="405">
        <f t="shared" si="99"/>
        <v>0</v>
      </c>
      <c r="M1616" s="403"/>
    </row>
    <row r="1617" spans="1:13" ht="15.75" x14ac:dyDescent="0.25">
      <c r="A1617" s="6" t="s">
        <v>4411</v>
      </c>
      <c r="B1617" s="7" t="s">
        <v>4412</v>
      </c>
      <c r="C1617" s="6" t="s">
        <v>248</v>
      </c>
      <c r="D1617" s="8">
        <v>734.4</v>
      </c>
      <c r="E1617" s="403"/>
      <c r="F1617" s="403">
        <f>BBNTHT!J1657</f>
        <v>0</v>
      </c>
      <c r="G1617" s="403">
        <f t="shared" si="96"/>
        <v>0</v>
      </c>
      <c r="H1617" s="9">
        <v>120666</v>
      </c>
      <c r="I1617" s="404">
        <f t="shared" si="97"/>
        <v>88617110</v>
      </c>
      <c r="J1617" s="403"/>
      <c r="K1617" s="404">
        <f t="shared" si="98"/>
        <v>0</v>
      </c>
      <c r="L1617" s="405">
        <f t="shared" si="99"/>
        <v>0</v>
      </c>
      <c r="M1617" s="403"/>
    </row>
    <row r="1618" spans="1:13" ht="15.75" x14ac:dyDescent="0.25">
      <c r="A1618" s="6" t="s">
        <v>4413</v>
      </c>
      <c r="B1618" s="7" t="s">
        <v>4414</v>
      </c>
      <c r="C1618" s="6" t="s">
        <v>248</v>
      </c>
      <c r="D1618" s="8">
        <v>431.6</v>
      </c>
      <c r="E1618" s="403"/>
      <c r="F1618" s="403">
        <f>BBNTHT!J1658</f>
        <v>0</v>
      </c>
      <c r="G1618" s="403">
        <f t="shared" ref="G1618:G1681" si="100">F1618+E1618</f>
        <v>0</v>
      </c>
      <c r="H1618" s="9">
        <v>112047</v>
      </c>
      <c r="I1618" s="404">
        <f t="shared" ref="I1618:I1681" si="101">ROUND(D1618*H1618,0)</f>
        <v>48359485</v>
      </c>
      <c r="J1618" s="403"/>
      <c r="K1618" s="404">
        <f t="shared" ref="K1618:K1681" si="102">ROUND(F1618*H1618,0)</f>
        <v>0</v>
      </c>
      <c r="L1618" s="405">
        <f t="shared" ref="L1618:L1681" si="103">J1618+K1618</f>
        <v>0</v>
      </c>
      <c r="M1618" s="403"/>
    </row>
    <row r="1619" spans="1:13" ht="15.75" x14ac:dyDescent="0.25">
      <c r="A1619" s="2" t="s">
        <v>1912</v>
      </c>
      <c r="B1619" s="3" t="s">
        <v>1913</v>
      </c>
      <c r="C1619" s="2"/>
      <c r="D1619" s="4" t="s">
        <v>3</v>
      </c>
      <c r="E1619" s="403"/>
      <c r="F1619" s="403">
        <f>BBNTHT!J1659</f>
        <v>0</v>
      </c>
      <c r="G1619" s="403">
        <f t="shared" si="100"/>
        <v>0</v>
      </c>
      <c r="H1619" s="5"/>
      <c r="I1619" s="404"/>
      <c r="J1619" s="403"/>
      <c r="K1619" s="404">
        <f t="shared" si="102"/>
        <v>0</v>
      </c>
      <c r="L1619" s="405">
        <f t="shared" si="103"/>
        <v>0</v>
      </c>
      <c r="M1619" s="403"/>
    </row>
    <row r="1620" spans="1:13" ht="15.75" x14ac:dyDescent="0.25">
      <c r="A1620" s="2" t="s">
        <v>1914</v>
      </c>
      <c r="B1620" s="3" t="s">
        <v>1913</v>
      </c>
      <c r="C1620" s="2"/>
      <c r="D1620" s="4" t="s">
        <v>3</v>
      </c>
      <c r="E1620" s="403"/>
      <c r="F1620" s="403">
        <f>BBNTHT!J1660</f>
        <v>0</v>
      </c>
      <c r="G1620" s="403">
        <f t="shared" si="100"/>
        <v>0</v>
      </c>
      <c r="H1620" s="5"/>
      <c r="I1620" s="404"/>
      <c r="J1620" s="403"/>
      <c r="K1620" s="404">
        <f t="shared" si="102"/>
        <v>0</v>
      </c>
      <c r="L1620" s="405">
        <f t="shared" si="103"/>
        <v>0</v>
      </c>
      <c r="M1620" s="403"/>
    </row>
    <row r="1621" spans="1:13" ht="31.5" x14ac:dyDescent="0.25">
      <c r="A1621" s="6" t="s">
        <v>1915</v>
      </c>
      <c r="B1621" s="7" t="s">
        <v>1916</v>
      </c>
      <c r="C1621" s="6" t="s">
        <v>27</v>
      </c>
      <c r="D1621" s="8">
        <v>2.5249999999999999</v>
      </c>
      <c r="E1621" s="403"/>
      <c r="F1621" s="403">
        <f>BBNTHT!J1661</f>
        <v>0</v>
      </c>
      <c r="G1621" s="403">
        <f t="shared" si="100"/>
        <v>0</v>
      </c>
      <c r="H1621" s="9">
        <v>1020413</v>
      </c>
      <c r="I1621" s="404">
        <f t="shared" si="101"/>
        <v>2576543</v>
      </c>
      <c r="J1621" s="403"/>
      <c r="K1621" s="404">
        <f t="shared" si="102"/>
        <v>0</v>
      </c>
      <c r="L1621" s="405">
        <f t="shared" si="103"/>
        <v>0</v>
      </c>
      <c r="M1621" s="403"/>
    </row>
    <row r="1622" spans="1:13" ht="31.5" x14ac:dyDescent="0.25">
      <c r="A1622" s="6" t="s">
        <v>1917</v>
      </c>
      <c r="B1622" s="7" t="s">
        <v>1918</v>
      </c>
      <c r="C1622" s="6" t="s">
        <v>27</v>
      </c>
      <c r="D1622" s="8">
        <v>0.54300000000000004</v>
      </c>
      <c r="E1622" s="403"/>
      <c r="F1622" s="403">
        <f>BBNTHT!J1662</f>
        <v>0</v>
      </c>
      <c r="G1622" s="403">
        <f t="shared" si="100"/>
        <v>0</v>
      </c>
      <c r="H1622" s="9">
        <v>26094748</v>
      </c>
      <c r="I1622" s="404">
        <f t="shared" si="101"/>
        <v>14169448</v>
      </c>
      <c r="J1622" s="403"/>
      <c r="K1622" s="404">
        <f t="shared" si="102"/>
        <v>0</v>
      </c>
      <c r="L1622" s="405">
        <f t="shared" si="103"/>
        <v>0</v>
      </c>
      <c r="M1622" s="403"/>
    </row>
    <row r="1623" spans="1:13" ht="31.5" x14ac:dyDescent="0.25">
      <c r="A1623" s="6" t="s">
        <v>1919</v>
      </c>
      <c r="B1623" s="7" t="s">
        <v>1920</v>
      </c>
      <c r="C1623" s="6" t="s">
        <v>27</v>
      </c>
      <c r="D1623" s="8">
        <v>0.27100000000000002</v>
      </c>
      <c r="E1623" s="403"/>
      <c r="F1623" s="403">
        <f>BBNTHT!J1663</f>
        <v>0</v>
      </c>
      <c r="G1623" s="403">
        <f t="shared" si="100"/>
        <v>0</v>
      </c>
      <c r="H1623" s="9">
        <v>37972003</v>
      </c>
      <c r="I1623" s="404">
        <f t="shared" si="101"/>
        <v>10290413</v>
      </c>
      <c r="J1623" s="403"/>
      <c r="K1623" s="404">
        <f t="shared" si="102"/>
        <v>0</v>
      </c>
      <c r="L1623" s="405">
        <f t="shared" si="103"/>
        <v>0</v>
      </c>
      <c r="M1623" s="403"/>
    </row>
    <row r="1624" spans="1:13" ht="31.5" x14ac:dyDescent="0.25">
      <c r="A1624" s="6" t="s">
        <v>1921</v>
      </c>
      <c r="B1624" s="7" t="s">
        <v>1922</v>
      </c>
      <c r="C1624" s="6" t="s">
        <v>27</v>
      </c>
      <c r="D1624" s="8">
        <v>2.4340000000000002</v>
      </c>
      <c r="E1624" s="403"/>
      <c r="F1624" s="403">
        <f>BBNTHT!J1664</f>
        <v>0</v>
      </c>
      <c r="G1624" s="403">
        <f t="shared" si="100"/>
        <v>0</v>
      </c>
      <c r="H1624" s="9">
        <v>38147004</v>
      </c>
      <c r="I1624" s="404">
        <f t="shared" si="101"/>
        <v>92849808</v>
      </c>
      <c r="J1624" s="403"/>
      <c r="K1624" s="404">
        <f t="shared" si="102"/>
        <v>0</v>
      </c>
      <c r="L1624" s="405">
        <f t="shared" si="103"/>
        <v>0</v>
      </c>
      <c r="M1624" s="403"/>
    </row>
    <row r="1625" spans="1:13" ht="15.75" x14ac:dyDescent="0.25">
      <c r="A1625" s="6" t="s">
        <v>1923</v>
      </c>
      <c r="B1625" s="7" t="s">
        <v>1924</v>
      </c>
      <c r="C1625" s="6" t="s">
        <v>61</v>
      </c>
      <c r="D1625" s="8">
        <v>2.31</v>
      </c>
      <c r="E1625" s="403"/>
      <c r="F1625" s="403">
        <f>BBNTHT!J1665</f>
        <v>0</v>
      </c>
      <c r="G1625" s="403">
        <f t="shared" si="100"/>
        <v>0</v>
      </c>
      <c r="H1625" s="9">
        <v>515469</v>
      </c>
      <c r="I1625" s="404">
        <f t="shared" si="101"/>
        <v>1190733</v>
      </c>
      <c r="J1625" s="403"/>
      <c r="K1625" s="404">
        <f t="shared" si="102"/>
        <v>0</v>
      </c>
      <c r="L1625" s="405">
        <f t="shared" si="103"/>
        <v>0</v>
      </c>
      <c r="M1625" s="403"/>
    </row>
    <row r="1626" spans="1:13" ht="31.5" x14ac:dyDescent="0.25">
      <c r="A1626" s="6" t="s">
        <v>1925</v>
      </c>
      <c r="B1626" s="7" t="s">
        <v>1926</v>
      </c>
      <c r="C1626" s="6" t="s">
        <v>61</v>
      </c>
      <c r="D1626" s="8">
        <v>14.936</v>
      </c>
      <c r="E1626" s="403"/>
      <c r="F1626" s="403">
        <f>BBNTHT!J1666</f>
        <v>0</v>
      </c>
      <c r="G1626" s="403">
        <f t="shared" si="100"/>
        <v>0</v>
      </c>
      <c r="H1626" s="9">
        <v>6205099</v>
      </c>
      <c r="I1626" s="404">
        <f t="shared" si="101"/>
        <v>92679359</v>
      </c>
      <c r="J1626" s="403"/>
      <c r="K1626" s="404">
        <f t="shared" si="102"/>
        <v>0</v>
      </c>
      <c r="L1626" s="405">
        <f t="shared" si="103"/>
        <v>0</v>
      </c>
      <c r="M1626" s="403"/>
    </row>
    <row r="1627" spans="1:13" ht="47.25" x14ac:dyDescent="0.25">
      <c r="A1627" s="6" t="s">
        <v>1927</v>
      </c>
      <c r="B1627" s="7" t="s">
        <v>1928</v>
      </c>
      <c r="C1627" s="6" t="s">
        <v>61</v>
      </c>
      <c r="D1627" s="8">
        <v>14.936</v>
      </c>
      <c r="E1627" s="403"/>
      <c r="F1627" s="403">
        <f>BBNTHT!J1667</f>
        <v>0</v>
      </c>
      <c r="G1627" s="403">
        <f t="shared" si="100"/>
        <v>0</v>
      </c>
      <c r="H1627" s="9">
        <v>29540796</v>
      </c>
      <c r="I1627" s="404">
        <f t="shared" si="101"/>
        <v>441221329</v>
      </c>
      <c r="J1627" s="403"/>
      <c r="K1627" s="404">
        <f t="shared" si="102"/>
        <v>0</v>
      </c>
      <c r="L1627" s="405">
        <f t="shared" si="103"/>
        <v>0</v>
      </c>
      <c r="M1627" s="403"/>
    </row>
    <row r="1628" spans="1:13" ht="31.5" x14ac:dyDescent="0.25">
      <c r="A1628" s="6" t="s">
        <v>1929</v>
      </c>
      <c r="B1628" s="7" t="s">
        <v>1930</v>
      </c>
      <c r="C1628" s="6" t="s">
        <v>52</v>
      </c>
      <c r="D1628" s="8">
        <v>0.52</v>
      </c>
      <c r="E1628" s="403"/>
      <c r="F1628" s="403">
        <f>BBNTHT!J1668</f>
        <v>0</v>
      </c>
      <c r="G1628" s="403">
        <f t="shared" si="100"/>
        <v>0</v>
      </c>
      <c r="H1628" s="9">
        <v>273720</v>
      </c>
      <c r="I1628" s="404">
        <f t="shared" si="101"/>
        <v>142334</v>
      </c>
      <c r="J1628" s="403"/>
      <c r="K1628" s="404">
        <f t="shared" si="102"/>
        <v>0</v>
      </c>
      <c r="L1628" s="405">
        <f t="shared" si="103"/>
        <v>0</v>
      </c>
      <c r="M1628" s="403"/>
    </row>
    <row r="1629" spans="1:13" ht="31.5" x14ac:dyDescent="0.25">
      <c r="A1629" s="6" t="s">
        <v>1931</v>
      </c>
      <c r="B1629" s="7" t="s">
        <v>1932</v>
      </c>
      <c r="C1629" s="6" t="s">
        <v>9</v>
      </c>
      <c r="D1629" s="8">
        <v>2</v>
      </c>
      <c r="E1629" s="403"/>
      <c r="F1629" s="403">
        <f>BBNTHT!J1669</f>
        <v>0</v>
      </c>
      <c r="G1629" s="403">
        <f t="shared" si="100"/>
        <v>0</v>
      </c>
      <c r="H1629" s="9">
        <v>964169</v>
      </c>
      <c r="I1629" s="404">
        <f t="shared" si="101"/>
        <v>1928338</v>
      </c>
      <c r="J1629" s="403"/>
      <c r="K1629" s="404">
        <f t="shared" si="102"/>
        <v>0</v>
      </c>
      <c r="L1629" s="405">
        <f t="shared" si="103"/>
        <v>0</v>
      </c>
      <c r="M1629" s="403"/>
    </row>
    <row r="1630" spans="1:13" ht="15.75" x14ac:dyDescent="0.25">
      <c r="A1630" s="2" t="s">
        <v>1933</v>
      </c>
      <c r="B1630" s="3" t="s">
        <v>1934</v>
      </c>
      <c r="C1630" s="2"/>
      <c r="D1630" s="4" t="s">
        <v>3</v>
      </c>
      <c r="E1630" s="403"/>
      <c r="F1630" s="403">
        <f>BBNTHT!J1670</f>
        <v>0</v>
      </c>
      <c r="G1630" s="403">
        <f t="shared" si="100"/>
        <v>0</v>
      </c>
      <c r="H1630" s="5"/>
      <c r="I1630" s="404"/>
      <c r="J1630" s="403"/>
      <c r="K1630" s="404">
        <f t="shared" si="102"/>
        <v>0</v>
      </c>
      <c r="L1630" s="405">
        <f t="shared" si="103"/>
        <v>0</v>
      </c>
      <c r="M1630" s="403"/>
    </row>
    <row r="1631" spans="1:13" ht="47.25" x14ac:dyDescent="0.25">
      <c r="A1631" s="6" t="s">
        <v>1935</v>
      </c>
      <c r="B1631" s="7" t="s">
        <v>1936</v>
      </c>
      <c r="C1631" s="6" t="s">
        <v>27</v>
      </c>
      <c r="D1631" s="8">
        <v>4.3999999999999997E-2</v>
      </c>
      <c r="E1631" s="403"/>
      <c r="F1631" s="403">
        <f>BBNTHT!J1671</f>
        <v>0</v>
      </c>
      <c r="G1631" s="403">
        <f t="shared" si="100"/>
        <v>0</v>
      </c>
      <c r="H1631" s="9">
        <v>2902763</v>
      </c>
      <c r="I1631" s="404">
        <f t="shared" si="101"/>
        <v>127722</v>
      </c>
      <c r="J1631" s="403"/>
      <c r="K1631" s="404">
        <f t="shared" si="102"/>
        <v>0</v>
      </c>
      <c r="L1631" s="405">
        <f t="shared" si="103"/>
        <v>0</v>
      </c>
      <c r="M1631" s="403"/>
    </row>
    <row r="1632" spans="1:13" ht="31.5" x14ac:dyDescent="0.25">
      <c r="A1632" s="6" t="s">
        <v>1937</v>
      </c>
      <c r="B1632" s="7" t="s">
        <v>1938</v>
      </c>
      <c r="C1632" s="6" t="s">
        <v>27</v>
      </c>
      <c r="D1632" s="8">
        <v>6.4000000000000001E-2</v>
      </c>
      <c r="E1632" s="403"/>
      <c r="F1632" s="403">
        <f>BBNTHT!J1672</f>
        <v>0</v>
      </c>
      <c r="G1632" s="403">
        <f t="shared" si="100"/>
        <v>0</v>
      </c>
      <c r="H1632" s="9">
        <v>3984789</v>
      </c>
      <c r="I1632" s="404">
        <f t="shared" si="101"/>
        <v>255026</v>
      </c>
      <c r="J1632" s="403"/>
      <c r="K1632" s="404">
        <f t="shared" si="102"/>
        <v>0</v>
      </c>
      <c r="L1632" s="405">
        <f t="shared" si="103"/>
        <v>0</v>
      </c>
      <c r="M1632" s="403"/>
    </row>
    <row r="1633" spans="1:13" ht="47.25" x14ac:dyDescent="0.25">
      <c r="A1633" s="6" t="s">
        <v>1939</v>
      </c>
      <c r="B1633" s="7" t="s">
        <v>1940</v>
      </c>
      <c r="C1633" s="6" t="s">
        <v>37</v>
      </c>
      <c r="D1633" s="8">
        <v>8.9779999999999998</v>
      </c>
      <c r="E1633" s="403"/>
      <c r="F1633" s="403">
        <f>BBNTHT!J1673</f>
        <v>0</v>
      </c>
      <c r="G1633" s="403">
        <f t="shared" si="100"/>
        <v>0</v>
      </c>
      <c r="H1633" s="9">
        <v>1191148</v>
      </c>
      <c r="I1633" s="404">
        <f t="shared" si="101"/>
        <v>10694127</v>
      </c>
      <c r="J1633" s="403"/>
      <c r="K1633" s="404">
        <f t="shared" si="102"/>
        <v>0</v>
      </c>
      <c r="L1633" s="405">
        <f t="shared" si="103"/>
        <v>0</v>
      </c>
      <c r="M1633" s="403"/>
    </row>
    <row r="1634" spans="1:13" ht="31.5" x14ac:dyDescent="0.25">
      <c r="A1634" s="6" t="s">
        <v>1941</v>
      </c>
      <c r="B1634" s="7" t="s">
        <v>1942</v>
      </c>
      <c r="C1634" s="6" t="s">
        <v>37</v>
      </c>
      <c r="D1634" s="8">
        <v>9.5969999999999995</v>
      </c>
      <c r="E1634" s="403"/>
      <c r="F1634" s="403">
        <f>BBNTHT!J1674</f>
        <v>0</v>
      </c>
      <c r="G1634" s="403">
        <f t="shared" si="100"/>
        <v>0</v>
      </c>
      <c r="H1634" s="9">
        <v>1629826</v>
      </c>
      <c r="I1634" s="404">
        <f t="shared" si="101"/>
        <v>15641440</v>
      </c>
      <c r="J1634" s="403"/>
      <c r="K1634" s="404">
        <f t="shared" si="102"/>
        <v>0</v>
      </c>
      <c r="L1634" s="405">
        <f t="shared" si="103"/>
        <v>0</v>
      </c>
      <c r="M1634" s="403"/>
    </row>
    <row r="1635" spans="1:13" ht="15.75" x14ac:dyDescent="0.25">
      <c r="A1635" s="6" t="s">
        <v>1943</v>
      </c>
      <c r="B1635" s="7" t="s">
        <v>1944</v>
      </c>
      <c r="C1635" s="6" t="s">
        <v>61</v>
      </c>
      <c r="D1635" s="8">
        <v>5.0999999999999997E-2</v>
      </c>
      <c r="E1635" s="403"/>
      <c r="F1635" s="403">
        <f>BBNTHT!J1675</f>
        <v>0</v>
      </c>
      <c r="G1635" s="403">
        <f t="shared" si="100"/>
        <v>0</v>
      </c>
      <c r="H1635" s="9">
        <v>7375857</v>
      </c>
      <c r="I1635" s="404">
        <f t="shared" si="101"/>
        <v>376169</v>
      </c>
      <c r="J1635" s="403"/>
      <c r="K1635" s="404">
        <f t="shared" si="102"/>
        <v>0</v>
      </c>
      <c r="L1635" s="405">
        <f t="shared" si="103"/>
        <v>0</v>
      </c>
      <c r="M1635" s="403"/>
    </row>
    <row r="1636" spans="1:13" ht="47.25" x14ac:dyDescent="0.25">
      <c r="A1636" s="6" t="s">
        <v>1945</v>
      </c>
      <c r="B1636" s="7" t="s">
        <v>1946</v>
      </c>
      <c r="C1636" s="6" t="s">
        <v>37</v>
      </c>
      <c r="D1636" s="8">
        <v>3.1139999999999999</v>
      </c>
      <c r="E1636" s="403"/>
      <c r="F1636" s="403">
        <f>BBNTHT!J1676</f>
        <v>0</v>
      </c>
      <c r="G1636" s="403">
        <f t="shared" si="100"/>
        <v>0</v>
      </c>
      <c r="H1636" s="9">
        <v>2142254</v>
      </c>
      <c r="I1636" s="404">
        <f t="shared" si="101"/>
        <v>6670979</v>
      </c>
      <c r="J1636" s="403"/>
      <c r="K1636" s="404">
        <f t="shared" si="102"/>
        <v>0</v>
      </c>
      <c r="L1636" s="405">
        <f t="shared" si="103"/>
        <v>0</v>
      </c>
      <c r="M1636" s="403"/>
    </row>
    <row r="1637" spans="1:13" ht="63" x14ac:dyDescent="0.25">
      <c r="A1637" s="6" t="s">
        <v>1947</v>
      </c>
      <c r="B1637" s="7" t="s">
        <v>1948</v>
      </c>
      <c r="C1637" s="6" t="s">
        <v>61</v>
      </c>
      <c r="D1637" s="8">
        <v>0.41499999999999998</v>
      </c>
      <c r="E1637" s="403"/>
      <c r="F1637" s="403">
        <f>BBNTHT!J1677</f>
        <v>0</v>
      </c>
      <c r="G1637" s="403">
        <f t="shared" si="100"/>
        <v>0</v>
      </c>
      <c r="H1637" s="9">
        <v>11226135</v>
      </c>
      <c r="I1637" s="404">
        <f t="shared" si="101"/>
        <v>4658846</v>
      </c>
      <c r="J1637" s="403"/>
      <c r="K1637" s="404">
        <f t="shared" si="102"/>
        <v>0</v>
      </c>
      <c r="L1637" s="405">
        <f t="shared" si="103"/>
        <v>0</v>
      </c>
      <c r="M1637" s="403"/>
    </row>
    <row r="1638" spans="1:13" ht="47.25" x14ac:dyDescent="0.25">
      <c r="A1638" s="6" t="s">
        <v>1949</v>
      </c>
      <c r="B1638" s="7" t="s">
        <v>1950</v>
      </c>
      <c r="C1638" s="6" t="s">
        <v>37</v>
      </c>
      <c r="D1638" s="8">
        <v>2.375</v>
      </c>
      <c r="E1638" s="403"/>
      <c r="F1638" s="403">
        <f>BBNTHT!J1678</f>
        <v>0</v>
      </c>
      <c r="G1638" s="403">
        <f t="shared" si="100"/>
        <v>0</v>
      </c>
      <c r="H1638" s="9">
        <v>2078902</v>
      </c>
      <c r="I1638" s="404">
        <f t="shared" si="101"/>
        <v>4937392</v>
      </c>
      <c r="J1638" s="403"/>
      <c r="K1638" s="404">
        <f t="shared" si="102"/>
        <v>0</v>
      </c>
      <c r="L1638" s="405">
        <f t="shared" si="103"/>
        <v>0</v>
      </c>
      <c r="M1638" s="403"/>
    </row>
    <row r="1639" spans="1:13" ht="63" x14ac:dyDescent="0.25">
      <c r="A1639" s="6" t="s">
        <v>1951</v>
      </c>
      <c r="B1639" s="7" t="s">
        <v>1952</v>
      </c>
      <c r="C1639" s="6" t="s">
        <v>61</v>
      </c>
      <c r="D1639" s="8">
        <v>0.17499999999999999</v>
      </c>
      <c r="E1639" s="403"/>
      <c r="F1639" s="403">
        <f>BBNTHT!J1679</f>
        <v>0</v>
      </c>
      <c r="G1639" s="403">
        <f t="shared" si="100"/>
        <v>0</v>
      </c>
      <c r="H1639" s="9">
        <v>11610024</v>
      </c>
      <c r="I1639" s="404">
        <f t="shared" si="101"/>
        <v>2031754</v>
      </c>
      <c r="J1639" s="403"/>
      <c r="K1639" s="404">
        <f t="shared" si="102"/>
        <v>0</v>
      </c>
      <c r="L1639" s="405">
        <f t="shared" si="103"/>
        <v>0</v>
      </c>
      <c r="M1639" s="403"/>
    </row>
    <row r="1640" spans="1:13" ht="47.25" x14ac:dyDescent="0.25">
      <c r="A1640" s="6" t="s">
        <v>1953</v>
      </c>
      <c r="B1640" s="7" t="s">
        <v>1954</v>
      </c>
      <c r="C1640" s="6" t="s">
        <v>32</v>
      </c>
      <c r="D1640" s="8">
        <v>1.5960000000000001</v>
      </c>
      <c r="E1640" s="403"/>
      <c r="F1640" s="403">
        <f>BBNTHT!J1680</f>
        <v>0</v>
      </c>
      <c r="G1640" s="403">
        <f t="shared" si="100"/>
        <v>0</v>
      </c>
      <c r="H1640" s="9">
        <v>24189690</v>
      </c>
      <c r="I1640" s="404">
        <f t="shared" si="101"/>
        <v>38606745</v>
      </c>
      <c r="J1640" s="403"/>
      <c r="K1640" s="404">
        <f t="shared" si="102"/>
        <v>0</v>
      </c>
      <c r="L1640" s="405">
        <f t="shared" si="103"/>
        <v>0</v>
      </c>
      <c r="M1640" s="403"/>
    </row>
    <row r="1641" spans="1:13" ht="47.25" x14ac:dyDescent="0.25">
      <c r="A1641" s="6" t="s">
        <v>1955</v>
      </c>
      <c r="B1641" s="7" t="s">
        <v>1956</v>
      </c>
      <c r="C1641" s="6" t="s">
        <v>32</v>
      </c>
      <c r="D1641" s="8">
        <v>0.32900000000000001</v>
      </c>
      <c r="E1641" s="403"/>
      <c r="F1641" s="403">
        <f>BBNTHT!J1681</f>
        <v>0</v>
      </c>
      <c r="G1641" s="403">
        <f t="shared" si="100"/>
        <v>0</v>
      </c>
      <c r="H1641" s="9">
        <v>24865823</v>
      </c>
      <c r="I1641" s="404">
        <f t="shared" si="101"/>
        <v>8180856</v>
      </c>
      <c r="J1641" s="403"/>
      <c r="K1641" s="404">
        <f t="shared" si="102"/>
        <v>0</v>
      </c>
      <c r="L1641" s="405">
        <f t="shared" si="103"/>
        <v>0</v>
      </c>
      <c r="M1641" s="403"/>
    </row>
    <row r="1642" spans="1:13" ht="47.25" x14ac:dyDescent="0.25">
      <c r="A1642" s="6" t="s">
        <v>1957</v>
      </c>
      <c r="B1642" s="7" t="s">
        <v>1958</v>
      </c>
      <c r="C1642" s="6" t="s">
        <v>37</v>
      </c>
      <c r="D1642" s="8">
        <v>2.1240000000000001</v>
      </c>
      <c r="E1642" s="403"/>
      <c r="F1642" s="403">
        <f>BBNTHT!J1682</f>
        <v>0</v>
      </c>
      <c r="G1642" s="403">
        <f t="shared" si="100"/>
        <v>0</v>
      </c>
      <c r="H1642" s="9">
        <v>2550795</v>
      </c>
      <c r="I1642" s="404">
        <f t="shared" si="101"/>
        <v>5417889</v>
      </c>
      <c r="J1642" s="403"/>
      <c r="K1642" s="404">
        <f t="shared" si="102"/>
        <v>0</v>
      </c>
      <c r="L1642" s="405">
        <f t="shared" si="103"/>
        <v>0</v>
      </c>
      <c r="M1642" s="403"/>
    </row>
    <row r="1643" spans="1:13" ht="31.5" x14ac:dyDescent="0.25">
      <c r="A1643" s="6" t="s">
        <v>1959</v>
      </c>
      <c r="B1643" s="7" t="s">
        <v>1960</v>
      </c>
      <c r="C1643" s="6" t="s">
        <v>270</v>
      </c>
      <c r="D1643" s="8">
        <v>1</v>
      </c>
      <c r="E1643" s="403"/>
      <c r="F1643" s="403">
        <f>BBNTHT!J1683</f>
        <v>0</v>
      </c>
      <c r="G1643" s="403">
        <f t="shared" si="100"/>
        <v>0</v>
      </c>
      <c r="H1643" s="9">
        <v>78738262</v>
      </c>
      <c r="I1643" s="404">
        <f t="shared" si="101"/>
        <v>78738262</v>
      </c>
      <c r="J1643" s="403"/>
      <c r="K1643" s="404">
        <f t="shared" si="102"/>
        <v>0</v>
      </c>
      <c r="L1643" s="405">
        <f t="shared" si="103"/>
        <v>0</v>
      </c>
      <c r="M1643" s="403"/>
    </row>
    <row r="1644" spans="1:13" ht="31.5" x14ac:dyDescent="0.25">
      <c r="A1644" s="6" t="s">
        <v>1961</v>
      </c>
      <c r="B1644" s="7" t="s">
        <v>321</v>
      </c>
      <c r="C1644" s="6" t="s">
        <v>52</v>
      </c>
      <c r="D1644" s="8">
        <v>18.152999999999999</v>
      </c>
      <c r="E1644" s="403"/>
      <c r="F1644" s="403">
        <f>BBNTHT!J1684</f>
        <v>0</v>
      </c>
      <c r="G1644" s="403">
        <f t="shared" si="100"/>
        <v>0</v>
      </c>
      <c r="H1644" s="9">
        <v>2191440</v>
      </c>
      <c r="I1644" s="404">
        <f t="shared" si="101"/>
        <v>39781210</v>
      </c>
      <c r="J1644" s="403"/>
      <c r="K1644" s="404">
        <f t="shared" si="102"/>
        <v>0</v>
      </c>
      <c r="L1644" s="405">
        <f t="shared" si="103"/>
        <v>0</v>
      </c>
      <c r="M1644" s="403"/>
    </row>
    <row r="1645" spans="1:13" ht="47.25" x14ac:dyDescent="0.25">
      <c r="A1645" s="6" t="s">
        <v>1962</v>
      </c>
      <c r="B1645" s="7" t="s">
        <v>1963</v>
      </c>
      <c r="C1645" s="6" t="s">
        <v>37</v>
      </c>
      <c r="D1645" s="8">
        <v>1.008</v>
      </c>
      <c r="E1645" s="403"/>
      <c r="F1645" s="403">
        <f>BBNTHT!J1685</f>
        <v>0</v>
      </c>
      <c r="G1645" s="403">
        <f t="shared" si="100"/>
        <v>0</v>
      </c>
      <c r="H1645" s="9">
        <v>1575279</v>
      </c>
      <c r="I1645" s="404">
        <f t="shared" si="101"/>
        <v>1587881</v>
      </c>
      <c r="J1645" s="403"/>
      <c r="K1645" s="404">
        <f t="shared" si="102"/>
        <v>0</v>
      </c>
      <c r="L1645" s="405">
        <f t="shared" si="103"/>
        <v>0</v>
      </c>
      <c r="M1645" s="403"/>
    </row>
    <row r="1646" spans="1:13" ht="15.75" x14ac:dyDescent="0.25">
      <c r="A1646" s="6" t="s">
        <v>1964</v>
      </c>
      <c r="B1646" s="7" t="s">
        <v>1944</v>
      </c>
      <c r="C1646" s="6" t="s">
        <v>61</v>
      </c>
      <c r="D1646" s="8">
        <v>0.10100000000000001</v>
      </c>
      <c r="E1646" s="403"/>
      <c r="F1646" s="403">
        <f>BBNTHT!J1686</f>
        <v>0</v>
      </c>
      <c r="G1646" s="403">
        <f t="shared" si="100"/>
        <v>0</v>
      </c>
      <c r="H1646" s="9">
        <v>7375857</v>
      </c>
      <c r="I1646" s="404">
        <f t="shared" si="101"/>
        <v>744962</v>
      </c>
      <c r="J1646" s="403"/>
      <c r="K1646" s="404">
        <f t="shared" si="102"/>
        <v>0</v>
      </c>
      <c r="L1646" s="405">
        <f t="shared" si="103"/>
        <v>0</v>
      </c>
      <c r="M1646" s="403"/>
    </row>
    <row r="1647" spans="1:13" ht="63" x14ac:dyDescent="0.25">
      <c r="A1647" s="6" t="s">
        <v>1965</v>
      </c>
      <c r="B1647" s="7" t="s">
        <v>1966</v>
      </c>
      <c r="C1647" s="6" t="s">
        <v>37</v>
      </c>
      <c r="D1647" s="8">
        <v>0.60499999999999998</v>
      </c>
      <c r="E1647" s="403"/>
      <c r="F1647" s="403">
        <f>BBNTHT!J1687</f>
        <v>0</v>
      </c>
      <c r="G1647" s="403">
        <f t="shared" si="100"/>
        <v>0</v>
      </c>
      <c r="H1647" s="9">
        <v>2773508</v>
      </c>
      <c r="I1647" s="404">
        <f t="shared" si="101"/>
        <v>1677972</v>
      </c>
      <c r="J1647" s="403"/>
      <c r="K1647" s="404">
        <f t="shared" si="102"/>
        <v>0</v>
      </c>
      <c r="L1647" s="405">
        <f t="shared" si="103"/>
        <v>0</v>
      </c>
      <c r="M1647" s="403"/>
    </row>
    <row r="1648" spans="1:13" ht="47.25" x14ac:dyDescent="0.25">
      <c r="A1648" s="6" t="s">
        <v>1967</v>
      </c>
      <c r="B1648" s="7" t="s">
        <v>1968</v>
      </c>
      <c r="C1648" s="6" t="s">
        <v>52</v>
      </c>
      <c r="D1648" s="8">
        <v>13.44</v>
      </c>
      <c r="E1648" s="403"/>
      <c r="F1648" s="403">
        <f>BBNTHT!J1688</f>
        <v>0</v>
      </c>
      <c r="G1648" s="403">
        <f t="shared" si="100"/>
        <v>0</v>
      </c>
      <c r="H1648" s="9">
        <v>96858</v>
      </c>
      <c r="I1648" s="404">
        <f t="shared" si="101"/>
        <v>1301772</v>
      </c>
      <c r="J1648" s="403"/>
      <c r="K1648" s="404">
        <f t="shared" si="102"/>
        <v>0</v>
      </c>
      <c r="L1648" s="405">
        <f t="shared" si="103"/>
        <v>0</v>
      </c>
      <c r="M1648" s="403"/>
    </row>
    <row r="1649" spans="1:13" ht="47.25" x14ac:dyDescent="0.25">
      <c r="A1649" s="6" t="s">
        <v>1969</v>
      </c>
      <c r="B1649" s="7" t="s">
        <v>423</v>
      </c>
      <c r="C1649" s="6" t="s">
        <v>52</v>
      </c>
      <c r="D1649" s="8">
        <v>13.44</v>
      </c>
      <c r="E1649" s="403"/>
      <c r="F1649" s="403">
        <f>BBNTHT!J1689</f>
        <v>0</v>
      </c>
      <c r="G1649" s="403">
        <f t="shared" si="100"/>
        <v>0</v>
      </c>
      <c r="H1649" s="9">
        <v>76494</v>
      </c>
      <c r="I1649" s="404">
        <f t="shared" si="101"/>
        <v>1028079</v>
      </c>
      <c r="J1649" s="403"/>
      <c r="K1649" s="404">
        <f t="shared" si="102"/>
        <v>0</v>
      </c>
      <c r="L1649" s="405">
        <f t="shared" si="103"/>
        <v>0</v>
      </c>
      <c r="M1649" s="403"/>
    </row>
    <row r="1650" spans="1:13" ht="15.75" x14ac:dyDescent="0.25">
      <c r="A1650" s="6" t="s">
        <v>1970</v>
      </c>
      <c r="B1650" s="7" t="s">
        <v>1971</v>
      </c>
      <c r="C1650" s="6" t="s">
        <v>37</v>
      </c>
      <c r="D1650" s="8">
        <v>61.915999999999997</v>
      </c>
      <c r="E1650" s="403"/>
      <c r="F1650" s="403">
        <f>BBNTHT!J1690</f>
        <v>0</v>
      </c>
      <c r="G1650" s="403">
        <f t="shared" si="100"/>
        <v>0</v>
      </c>
      <c r="H1650" s="9">
        <v>411793</v>
      </c>
      <c r="I1650" s="404">
        <f t="shared" si="101"/>
        <v>25496575</v>
      </c>
      <c r="J1650" s="403"/>
      <c r="K1650" s="404">
        <f t="shared" si="102"/>
        <v>0</v>
      </c>
      <c r="L1650" s="405">
        <f t="shared" si="103"/>
        <v>0</v>
      </c>
      <c r="M1650" s="403"/>
    </row>
    <row r="1651" spans="1:13" ht="15.75" x14ac:dyDescent="0.25">
      <c r="A1651" s="6" t="s">
        <v>1972</v>
      </c>
      <c r="B1651" s="7" t="s">
        <v>1973</v>
      </c>
      <c r="C1651" s="6" t="s">
        <v>6</v>
      </c>
      <c r="D1651" s="8">
        <v>18.2</v>
      </c>
      <c r="E1651" s="403"/>
      <c r="F1651" s="403">
        <f>BBNTHT!J1691</f>
        <v>0</v>
      </c>
      <c r="G1651" s="403">
        <f t="shared" si="100"/>
        <v>0</v>
      </c>
      <c r="H1651" s="9">
        <v>634986</v>
      </c>
      <c r="I1651" s="404">
        <f t="shared" si="101"/>
        <v>11556745</v>
      </c>
      <c r="J1651" s="403"/>
      <c r="K1651" s="404">
        <f t="shared" si="102"/>
        <v>0</v>
      </c>
      <c r="L1651" s="405">
        <f t="shared" si="103"/>
        <v>0</v>
      </c>
      <c r="M1651" s="403"/>
    </row>
    <row r="1652" spans="1:13" ht="31.5" x14ac:dyDescent="0.25">
      <c r="A1652" s="6" t="s">
        <v>1974</v>
      </c>
      <c r="B1652" s="7" t="s">
        <v>1975</v>
      </c>
      <c r="C1652" s="6" t="s">
        <v>52</v>
      </c>
      <c r="D1652" s="8">
        <v>305.86900000000003</v>
      </c>
      <c r="E1652" s="403"/>
      <c r="F1652" s="403">
        <f>BBNTHT!J1692</f>
        <v>0</v>
      </c>
      <c r="G1652" s="403">
        <f t="shared" si="100"/>
        <v>0</v>
      </c>
      <c r="H1652" s="9">
        <v>317493</v>
      </c>
      <c r="I1652" s="404">
        <f t="shared" si="101"/>
        <v>97111266</v>
      </c>
      <c r="J1652" s="403"/>
      <c r="K1652" s="404">
        <f t="shared" si="102"/>
        <v>0</v>
      </c>
      <c r="L1652" s="405">
        <f t="shared" si="103"/>
        <v>0</v>
      </c>
      <c r="M1652" s="403"/>
    </row>
    <row r="1653" spans="1:13" ht="15.75" x14ac:dyDescent="0.25">
      <c r="A1653" s="6" t="s">
        <v>1976</v>
      </c>
      <c r="B1653" s="7" t="s">
        <v>1977</v>
      </c>
      <c r="C1653" s="6" t="s">
        <v>1978</v>
      </c>
      <c r="D1653" s="8">
        <v>0.2</v>
      </c>
      <c r="E1653" s="403"/>
      <c r="F1653" s="403">
        <f>BBNTHT!J1693</f>
        <v>0</v>
      </c>
      <c r="G1653" s="403">
        <f t="shared" si="100"/>
        <v>0</v>
      </c>
      <c r="H1653" s="9">
        <v>18522083</v>
      </c>
      <c r="I1653" s="404">
        <f t="shared" si="101"/>
        <v>3704417</v>
      </c>
      <c r="J1653" s="403"/>
      <c r="K1653" s="404">
        <f t="shared" si="102"/>
        <v>0</v>
      </c>
      <c r="L1653" s="405">
        <f t="shared" si="103"/>
        <v>0</v>
      </c>
      <c r="M1653" s="403"/>
    </row>
    <row r="1654" spans="1:13" ht="15.75" x14ac:dyDescent="0.25">
      <c r="A1654" s="6" t="s">
        <v>1979</v>
      </c>
      <c r="B1654" s="7" t="s">
        <v>1980</v>
      </c>
      <c r="C1654" s="6" t="s">
        <v>1978</v>
      </c>
      <c r="D1654" s="8">
        <v>0.3</v>
      </c>
      <c r="E1654" s="403"/>
      <c r="F1654" s="403">
        <f>BBNTHT!J1694</f>
        <v>0</v>
      </c>
      <c r="G1654" s="403">
        <f t="shared" si="100"/>
        <v>0</v>
      </c>
      <c r="H1654" s="9">
        <v>23855966</v>
      </c>
      <c r="I1654" s="404">
        <f t="shared" si="101"/>
        <v>7156790</v>
      </c>
      <c r="J1654" s="403"/>
      <c r="K1654" s="404">
        <f t="shared" si="102"/>
        <v>0</v>
      </c>
      <c r="L1654" s="405">
        <f t="shared" si="103"/>
        <v>0</v>
      </c>
      <c r="M1654" s="403"/>
    </row>
    <row r="1655" spans="1:13" ht="15.75" x14ac:dyDescent="0.25">
      <c r="A1655" s="6" t="s">
        <v>1981</v>
      </c>
      <c r="B1655" s="7" t="s">
        <v>1982</v>
      </c>
      <c r="C1655" s="6" t="s">
        <v>1978</v>
      </c>
      <c r="D1655" s="8">
        <v>2.8</v>
      </c>
      <c r="E1655" s="403"/>
      <c r="F1655" s="403">
        <f>BBNTHT!J1695</f>
        <v>0</v>
      </c>
      <c r="G1655" s="403">
        <f t="shared" si="100"/>
        <v>0</v>
      </c>
      <c r="H1655" s="9">
        <v>19855555</v>
      </c>
      <c r="I1655" s="404">
        <f t="shared" si="101"/>
        <v>55595554</v>
      </c>
      <c r="J1655" s="403"/>
      <c r="K1655" s="404">
        <f t="shared" si="102"/>
        <v>0</v>
      </c>
      <c r="L1655" s="405">
        <f t="shared" si="103"/>
        <v>0</v>
      </c>
      <c r="M1655" s="403"/>
    </row>
    <row r="1656" spans="1:13" ht="47.25" x14ac:dyDescent="0.25">
      <c r="A1656" s="6" t="s">
        <v>1983</v>
      </c>
      <c r="B1656" s="7" t="s">
        <v>1984</v>
      </c>
      <c r="C1656" s="6" t="s">
        <v>1985</v>
      </c>
      <c r="D1656" s="8">
        <v>3.3</v>
      </c>
      <c r="E1656" s="403"/>
      <c r="F1656" s="403">
        <f>BBNTHT!J1696</f>
        <v>0</v>
      </c>
      <c r="G1656" s="403">
        <f t="shared" si="100"/>
        <v>0</v>
      </c>
      <c r="H1656" s="9">
        <v>1302991</v>
      </c>
      <c r="I1656" s="404">
        <f t="shared" si="101"/>
        <v>4299870</v>
      </c>
      <c r="J1656" s="403"/>
      <c r="K1656" s="404">
        <f t="shared" si="102"/>
        <v>0</v>
      </c>
      <c r="L1656" s="405">
        <f t="shared" si="103"/>
        <v>0</v>
      </c>
      <c r="M1656" s="403"/>
    </row>
    <row r="1657" spans="1:13" ht="15.75" x14ac:dyDescent="0.25">
      <c r="A1657" s="6" t="s">
        <v>1986</v>
      </c>
      <c r="B1657" s="7" t="s">
        <v>1987</v>
      </c>
      <c r="C1657" s="6" t="s">
        <v>1988</v>
      </c>
      <c r="D1657" s="8">
        <v>3</v>
      </c>
      <c r="E1657" s="403"/>
      <c r="F1657" s="403">
        <f>BBNTHT!J1697</f>
        <v>0</v>
      </c>
      <c r="G1657" s="403">
        <f t="shared" si="100"/>
        <v>0</v>
      </c>
      <c r="H1657" s="9">
        <v>2360551</v>
      </c>
      <c r="I1657" s="404">
        <f t="shared" si="101"/>
        <v>7081653</v>
      </c>
      <c r="J1657" s="403"/>
      <c r="K1657" s="404">
        <f t="shared" si="102"/>
        <v>0</v>
      </c>
      <c r="L1657" s="405">
        <f t="shared" si="103"/>
        <v>0</v>
      </c>
      <c r="M1657" s="403"/>
    </row>
    <row r="1658" spans="1:13" ht="31.5" x14ac:dyDescent="0.25">
      <c r="A1658" s="6" t="s">
        <v>1989</v>
      </c>
      <c r="B1658" s="7" t="s">
        <v>1990</v>
      </c>
      <c r="C1658" s="6" t="s">
        <v>1988</v>
      </c>
      <c r="D1658" s="8">
        <v>15</v>
      </c>
      <c r="E1658" s="403"/>
      <c r="F1658" s="403">
        <f>BBNTHT!J1698</f>
        <v>0</v>
      </c>
      <c r="G1658" s="403">
        <f t="shared" si="100"/>
        <v>0</v>
      </c>
      <c r="H1658" s="9">
        <v>20140157</v>
      </c>
      <c r="I1658" s="404">
        <f t="shared" si="101"/>
        <v>302102355</v>
      </c>
      <c r="J1658" s="403"/>
      <c r="K1658" s="404">
        <f t="shared" si="102"/>
        <v>0</v>
      </c>
      <c r="L1658" s="405">
        <f t="shared" si="103"/>
        <v>0</v>
      </c>
      <c r="M1658" s="403"/>
    </row>
    <row r="1659" spans="1:13" ht="31.5" x14ac:dyDescent="0.25">
      <c r="A1659" s="6" t="s">
        <v>1991</v>
      </c>
      <c r="B1659" s="7" t="s">
        <v>1992</v>
      </c>
      <c r="C1659" s="6" t="s">
        <v>1988</v>
      </c>
      <c r="D1659" s="8">
        <v>2</v>
      </c>
      <c r="E1659" s="403"/>
      <c r="F1659" s="403">
        <f>BBNTHT!J1699</f>
        <v>0</v>
      </c>
      <c r="G1659" s="403">
        <f t="shared" si="100"/>
        <v>0</v>
      </c>
      <c r="H1659" s="9">
        <v>20140157</v>
      </c>
      <c r="I1659" s="404">
        <f t="shared" si="101"/>
        <v>40280314</v>
      </c>
      <c r="J1659" s="403"/>
      <c r="K1659" s="404">
        <f t="shared" si="102"/>
        <v>0</v>
      </c>
      <c r="L1659" s="405">
        <f t="shared" si="103"/>
        <v>0</v>
      </c>
      <c r="M1659" s="403"/>
    </row>
    <row r="1660" spans="1:13" ht="31.5" x14ac:dyDescent="0.25">
      <c r="A1660" s="6" t="s">
        <v>1993</v>
      </c>
      <c r="B1660" s="7" t="s">
        <v>1994</v>
      </c>
      <c r="C1660" s="6" t="s">
        <v>1988</v>
      </c>
      <c r="D1660" s="8">
        <v>22</v>
      </c>
      <c r="E1660" s="403"/>
      <c r="F1660" s="403">
        <f>BBNTHT!J1700</f>
        <v>0</v>
      </c>
      <c r="G1660" s="403">
        <f t="shared" si="100"/>
        <v>0</v>
      </c>
      <c r="H1660" s="9">
        <v>35379821</v>
      </c>
      <c r="I1660" s="404">
        <f t="shared" si="101"/>
        <v>778356062</v>
      </c>
      <c r="J1660" s="403"/>
      <c r="K1660" s="404">
        <f t="shared" si="102"/>
        <v>0</v>
      </c>
      <c r="L1660" s="405">
        <f t="shared" si="103"/>
        <v>0</v>
      </c>
      <c r="M1660" s="403"/>
    </row>
    <row r="1661" spans="1:13" ht="15.75" x14ac:dyDescent="0.25">
      <c r="A1661" s="6" t="s">
        <v>1995</v>
      </c>
      <c r="B1661" s="7" t="s">
        <v>1996</v>
      </c>
      <c r="C1661" s="6" t="s">
        <v>1988</v>
      </c>
      <c r="D1661" s="8">
        <v>18</v>
      </c>
      <c r="E1661" s="403"/>
      <c r="F1661" s="403">
        <f>BBNTHT!J1701</f>
        <v>0</v>
      </c>
      <c r="G1661" s="403">
        <f t="shared" si="100"/>
        <v>0</v>
      </c>
      <c r="H1661" s="9">
        <v>1496900</v>
      </c>
      <c r="I1661" s="404">
        <f t="shared" si="101"/>
        <v>26944200</v>
      </c>
      <c r="J1661" s="403"/>
      <c r="K1661" s="404">
        <f t="shared" si="102"/>
        <v>0</v>
      </c>
      <c r="L1661" s="405">
        <f t="shared" si="103"/>
        <v>0</v>
      </c>
      <c r="M1661" s="403"/>
    </row>
    <row r="1662" spans="1:13" ht="31.5" x14ac:dyDescent="0.25">
      <c r="A1662" s="6" t="s">
        <v>1997</v>
      </c>
      <c r="B1662" s="7" t="s">
        <v>1998</v>
      </c>
      <c r="C1662" s="6" t="s">
        <v>1999</v>
      </c>
      <c r="D1662" s="8">
        <v>60</v>
      </c>
      <c r="E1662" s="403"/>
      <c r="F1662" s="403">
        <f>BBNTHT!J1702</f>
        <v>0</v>
      </c>
      <c r="G1662" s="403">
        <f t="shared" si="100"/>
        <v>0</v>
      </c>
      <c r="H1662" s="9">
        <v>228836</v>
      </c>
      <c r="I1662" s="404">
        <f t="shared" si="101"/>
        <v>13730160</v>
      </c>
      <c r="J1662" s="403"/>
      <c r="K1662" s="404">
        <f t="shared" si="102"/>
        <v>0</v>
      </c>
      <c r="L1662" s="405">
        <f t="shared" si="103"/>
        <v>0</v>
      </c>
      <c r="M1662" s="403"/>
    </row>
    <row r="1663" spans="1:13" ht="15.75" x14ac:dyDescent="0.25">
      <c r="A1663" s="2" t="s">
        <v>2000</v>
      </c>
      <c r="B1663" s="3" t="s">
        <v>2001</v>
      </c>
      <c r="C1663" s="2"/>
      <c r="D1663" s="4" t="s">
        <v>3</v>
      </c>
      <c r="E1663" s="403"/>
      <c r="F1663" s="403">
        <f>BBNTHT!J1703</f>
        <v>0</v>
      </c>
      <c r="G1663" s="403">
        <f t="shared" si="100"/>
        <v>0</v>
      </c>
      <c r="H1663" s="5"/>
      <c r="I1663" s="404"/>
      <c r="J1663" s="403"/>
      <c r="K1663" s="404">
        <f t="shared" si="102"/>
        <v>0</v>
      </c>
      <c r="L1663" s="405">
        <f t="shared" si="103"/>
        <v>0</v>
      </c>
      <c r="M1663" s="403"/>
    </row>
    <row r="1664" spans="1:13" ht="31.5" x14ac:dyDescent="0.25">
      <c r="A1664" s="6" t="s">
        <v>2002</v>
      </c>
      <c r="B1664" s="7" t="s">
        <v>2003</v>
      </c>
      <c r="C1664" s="6" t="s">
        <v>27</v>
      </c>
      <c r="D1664" s="8">
        <v>0.77900000000000003</v>
      </c>
      <c r="E1664" s="403"/>
      <c r="F1664" s="403">
        <f>BBNTHT!J1704</f>
        <v>0</v>
      </c>
      <c r="G1664" s="403">
        <f t="shared" si="100"/>
        <v>0</v>
      </c>
      <c r="H1664" s="9">
        <v>761779</v>
      </c>
      <c r="I1664" s="404">
        <f t="shared" si="101"/>
        <v>593426</v>
      </c>
      <c r="J1664" s="403"/>
      <c r="K1664" s="404">
        <f t="shared" si="102"/>
        <v>0</v>
      </c>
      <c r="L1664" s="405">
        <f t="shared" si="103"/>
        <v>0</v>
      </c>
      <c r="M1664" s="403"/>
    </row>
    <row r="1665" spans="1:13" ht="15.75" x14ac:dyDescent="0.25">
      <c r="A1665" s="6" t="s">
        <v>2004</v>
      </c>
      <c r="B1665" s="7" t="s">
        <v>2005</v>
      </c>
      <c r="C1665" s="6" t="s">
        <v>61</v>
      </c>
      <c r="D1665" s="8">
        <v>7.7859999999999996</v>
      </c>
      <c r="E1665" s="403"/>
      <c r="F1665" s="403">
        <f>BBNTHT!J1705</f>
        <v>0</v>
      </c>
      <c r="G1665" s="403">
        <f t="shared" si="100"/>
        <v>0</v>
      </c>
      <c r="H1665" s="9">
        <v>873640</v>
      </c>
      <c r="I1665" s="404">
        <f t="shared" si="101"/>
        <v>6802161</v>
      </c>
      <c r="J1665" s="403"/>
      <c r="K1665" s="404">
        <f t="shared" si="102"/>
        <v>0</v>
      </c>
      <c r="L1665" s="405">
        <f t="shared" si="103"/>
        <v>0</v>
      </c>
      <c r="M1665" s="403"/>
    </row>
    <row r="1666" spans="1:13" ht="31.5" x14ac:dyDescent="0.25">
      <c r="A1666" s="6" t="s">
        <v>2006</v>
      </c>
      <c r="B1666" s="7" t="s">
        <v>2007</v>
      </c>
      <c r="C1666" s="6" t="s">
        <v>37</v>
      </c>
      <c r="D1666" s="8">
        <v>62.286999999999999</v>
      </c>
      <c r="E1666" s="403"/>
      <c r="F1666" s="403">
        <f>BBNTHT!J1706</f>
        <v>0</v>
      </c>
      <c r="G1666" s="403">
        <f t="shared" si="100"/>
        <v>0</v>
      </c>
      <c r="H1666" s="9">
        <v>1332621</v>
      </c>
      <c r="I1666" s="404">
        <f t="shared" si="101"/>
        <v>83004964</v>
      </c>
      <c r="J1666" s="403"/>
      <c r="K1666" s="404">
        <f t="shared" si="102"/>
        <v>0</v>
      </c>
      <c r="L1666" s="405">
        <f t="shared" si="103"/>
        <v>0</v>
      </c>
      <c r="M1666" s="403"/>
    </row>
    <row r="1667" spans="1:13" ht="31.5" x14ac:dyDescent="0.25">
      <c r="A1667" s="6" t="s">
        <v>2008</v>
      </c>
      <c r="B1667" s="7" t="s">
        <v>2009</v>
      </c>
      <c r="C1667" s="6" t="s">
        <v>52</v>
      </c>
      <c r="D1667" s="8">
        <v>328.2</v>
      </c>
      <c r="E1667" s="403"/>
      <c r="F1667" s="403">
        <f>BBNTHT!J1707</f>
        <v>0</v>
      </c>
      <c r="G1667" s="403">
        <f t="shared" si="100"/>
        <v>0</v>
      </c>
      <c r="H1667" s="9">
        <v>567023</v>
      </c>
      <c r="I1667" s="404">
        <f t="shared" si="101"/>
        <v>186096949</v>
      </c>
      <c r="J1667" s="403"/>
      <c r="K1667" s="404">
        <f t="shared" si="102"/>
        <v>0</v>
      </c>
      <c r="L1667" s="405">
        <f t="shared" si="103"/>
        <v>0</v>
      </c>
      <c r="M1667" s="403"/>
    </row>
    <row r="1668" spans="1:13" ht="15.75" x14ac:dyDescent="0.25">
      <c r="A1668" s="2" t="s">
        <v>2010</v>
      </c>
      <c r="B1668" s="3" t="s">
        <v>2011</v>
      </c>
      <c r="C1668" s="2"/>
      <c r="D1668" s="4" t="s">
        <v>3</v>
      </c>
      <c r="E1668" s="403"/>
      <c r="F1668" s="403">
        <f>BBNTHT!J1708</f>
        <v>0</v>
      </c>
      <c r="G1668" s="403">
        <f t="shared" si="100"/>
        <v>0</v>
      </c>
      <c r="H1668" s="5"/>
      <c r="I1668" s="404"/>
      <c r="J1668" s="403"/>
      <c r="K1668" s="404">
        <f t="shared" si="102"/>
        <v>0</v>
      </c>
      <c r="L1668" s="405">
        <f t="shared" si="103"/>
        <v>0</v>
      </c>
      <c r="M1668" s="403"/>
    </row>
    <row r="1669" spans="1:13" ht="47.25" x14ac:dyDescent="0.25">
      <c r="A1669" s="6" t="s">
        <v>2012</v>
      </c>
      <c r="B1669" s="7" t="s">
        <v>2013</v>
      </c>
      <c r="C1669" s="6" t="s">
        <v>37</v>
      </c>
      <c r="D1669" s="8">
        <v>34.183</v>
      </c>
      <c r="E1669" s="403"/>
      <c r="F1669" s="403">
        <f>BBNTHT!J1709</f>
        <v>0</v>
      </c>
      <c r="G1669" s="403">
        <f t="shared" si="100"/>
        <v>0</v>
      </c>
      <c r="H1669" s="9">
        <v>1289681</v>
      </c>
      <c r="I1669" s="404">
        <f t="shared" si="101"/>
        <v>44085166</v>
      </c>
      <c r="J1669" s="403"/>
      <c r="K1669" s="404">
        <f t="shared" si="102"/>
        <v>0</v>
      </c>
      <c r="L1669" s="405">
        <f t="shared" si="103"/>
        <v>0</v>
      </c>
      <c r="M1669" s="403"/>
    </row>
    <row r="1670" spans="1:13" ht="15.75" x14ac:dyDescent="0.25">
      <c r="A1670" s="6" t="s">
        <v>2014</v>
      </c>
      <c r="B1670" s="7" t="s">
        <v>1944</v>
      </c>
      <c r="C1670" s="6" t="s">
        <v>61</v>
      </c>
      <c r="D1670" s="8">
        <v>1.286</v>
      </c>
      <c r="E1670" s="403"/>
      <c r="F1670" s="403">
        <f>BBNTHT!J1710</f>
        <v>0</v>
      </c>
      <c r="G1670" s="403">
        <f t="shared" si="100"/>
        <v>0</v>
      </c>
      <c r="H1670" s="9">
        <v>7375857</v>
      </c>
      <c r="I1670" s="404">
        <f t="shared" si="101"/>
        <v>9485352</v>
      </c>
      <c r="J1670" s="403"/>
      <c r="K1670" s="404">
        <f t="shared" si="102"/>
        <v>0</v>
      </c>
      <c r="L1670" s="405">
        <f t="shared" si="103"/>
        <v>0</v>
      </c>
      <c r="M1670" s="403"/>
    </row>
    <row r="1671" spans="1:13" ht="47.25" x14ac:dyDescent="0.25">
      <c r="A1671" s="6" t="s">
        <v>2015</v>
      </c>
      <c r="B1671" s="7" t="s">
        <v>2016</v>
      </c>
      <c r="C1671" s="6" t="s">
        <v>86</v>
      </c>
      <c r="D1671" s="8">
        <v>230</v>
      </c>
      <c r="E1671" s="403"/>
      <c r="F1671" s="403">
        <f>BBNTHT!J1711</f>
        <v>0</v>
      </c>
      <c r="G1671" s="403">
        <f t="shared" si="100"/>
        <v>0</v>
      </c>
      <c r="H1671" s="9">
        <v>32505</v>
      </c>
      <c r="I1671" s="404">
        <f t="shared" si="101"/>
        <v>7476150</v>
      </c>
      <c r="J1671" s="403"/>
      <c r="K1671" s="404">
        <f t="shared" si="102"/>
        <v>0</v>
      </c>
      <c r="L1671" s="405">
        <f t="shared" si="103"/>
        <v>0</v>
      </c>
      <c r="M1671" s="403"/>
    </row>
    <row r="1672" spans="1:13" ht="47.25" x14ac:dyDescent="0.25">
      <c r="A1672" s="6" t="s">
        <v>2017</v>
      </c>
      <c r="B1672" s="7" t="s">
        <v>2018</v>
      </c>
      <c r="C1672" s="6" t="s">
        <v>86</v>
      </c>
      <c r="D1672" s="8">
        <v>480</v>
      </c>
      <c r="E1672" s="403"/>
      <c r="F1672" s="403">
        <f>BBNTHT!J1712</f>
        <v>0</v>
      </c>
      <c r="G1672" s="403">
        <f t="shared" si="100"/>
        <v>0</v>
      </c>
      <c r="H1672" s="9">
        <v>41586</v>
      </c>
      <c r="I1672" s="404">
        <f t="shared" si="101"/>
        <v>19961280</v>
      </c>
      <c r="J1672" s="403"/>
      <c r="K1672" s="404">
        <f t="shared" si="102"/>
        <v>0</v>
      </c>
      <c r="L1672" s="405">
        <f t="shared" si="103"/>
        <v>0</v>
      </c>
      <c r="M1672" s="403"/>
    </row>
    <row r="1673" spans="1:13" ht="47.25" x14ac:dyDescent="0.25">
      <c r="A1673" s="6" t="s">
        <v>2019</v>
      </c>
      <c r="B1673" s="7" t="s">
        <v>2020</v>
      </c>
      <c r="C1673" s="6" t="s">
        <v>86</v>
      </c>
      <c r="D1673" s="8">
        <v>230</v>
      </c>
      <c r="E1673" s="403"/>
      <c r="F1673" s="403">
        <f>BBNTHT!J1713</f>
        <v>0</v>
      </c>
      <c r="G1673" s="403">
        <f t="shared" si="100"/>
        <v>0</v>
      </c>
      <c r="H1673" s="9">
        <v>359079</v>
      </c>
      <c r="I1673" s="404">
        <f t="shared" si="101"/>
        <v>82588170</v>
      </c>
      <c r="J1673" s="403"/>
      <c r="K1673" s="404">
        <f t="shared" si="102"/>
        <v>0</v>
      </c>
      <c r="L1673" s="405">
        <f t="shared" si="103"/>
        <v>0</v>
      </c>
      <c r="M1673" s="403"/>
    </row>
    <row r="1674" spans="1:13" ht="47.25" x14ac:dyDescent="0.25">
      <c r="A1674" s="6" t="s">
        <v>2021</v>
      </c>
      <c r="B1674" s="7" t="s">
        <v>2022</v>
      </c>
      <c r="C1674" s="6" t="s">
        <v>86</v>
      </c>
      <c r="D1674" s="8">
        <v>240</v>
      </c>
      <c r="E1674" s="403"/>
      <c r="F1674" s="403">
        <f>BBNTHT!J1714</f>
        <v>0</v>
      </c>
      <c r="G1674" s="403">
        <f t="shared" si="100"/>
        <v>0</v>
      </c>
      <c r="H1674" s="9">
        <v>735021</v>
      </c>
      <c r="I1674" s="404">
        <f t="shared" si="101"/>
        <v>176405040</v>
      </c>
      <c r="J1674" s="403"/>
      <c r="K1674" s="404">
        <f t="shared" si="102"/>
        <v>0</v>
      </c>
      <c r="L1674" s="405">
        <f t="shared" si="103"/>
        <v>0</v>
      </c>
      <c r="M1674" s="403"/>
    </row>
    <row r="1675" spans="1:13" ht="31.5" x14ac:dyDescent="0.25">
      <c r="A1675" s="2" t="s">
        <v>2023</v>
      </c>
      <c r="B1675" s="3" t="s">
        <v>2024</v>
      </c>
      <c r="C1675" s="2"/>
      <c r="D1675" s="4" t="s">
        <v>3</v>
      </c>
      <c r="E1675" s="403"/>
      <c r="F1675" s="403">
        <f>BBNTHT!J1715</f>
        <v>0</v>
      </c>
      <c r="G1675" s="403">
        <f t="shared" si="100"/>
        <v>0</v>
      </c>
      <c r="H1675" s="5"/>
      <c r="I1675" s="404"/>
      <c r="J1675" s="403"/>
      <c r="K1675" s="404">
        <f t="shared" si="102"/>
        <v>0</v>
      </c>
      <c r="L1675" s="405">
        <f t="shared" si="103"/>
        <v>0</v>
      </c>
      <c r="M1675" s="403"/>
    </row>
    <row r="1676" spans="1:13" ht="15.75" x14ac:dyDescent="0.25">
      <c r="A1676" s="6" t="s">
        <v>2025</v>
      </c>
      <c r="B1676" s="7" t="s">
        <v>2026</v>
      </c>
      <c r="C1676" s="6" t="s">
        <v>6</v>
      </c>
      <c r="D1676" s="8">
        <v>850</v>
      </c>
      <c r="E1676" s="403"/>
      <c r="F1676" s="403">
        <f>BBNTHT!J1716</f>
        <v>595</v>
      </c>
      <c r="G1676" s="403">
        <f t="shared" si="100"/>
        <v>595</v>
      </c>
      <c r="H1676" s="9">
        <v>4772774</v>
      </c>
      <c r="I1676" s="404">
        <f t="shared" si="101"/>
        <v>4056857900</v>
      </c>
      <c r="J1676" s="403"/>
      <c r="K1676" s="404">
        <f t="shared" si="102"/>
        <v>2839800530</v>
      </c>
      <c r="L1676" s="405">
        <f t="shared" si="103"/>
        <v>2839800530</v>
      </c>
      <c r="M1676" s="403"/>
    </row>
    <row r="1677" spans="1:13" ht="31.5" x14ac:dyDescent="0.25">
      <c r="A1677" s="6" t="s">
        <v>2027</v>
      </c>
      <c r="B1677" s="7" t="s">
        <v>2028</v>
      </c>
      <c r="C1677" s="6" t="s">
        <v>6</v>
      </c>
      <c r="D1677" s="8">
        <v>850</v>
      </c>
      <c r="E1677" s="403"/>
      <c r="F1677" s="403">
        <f>BBNTHT!J1717</f>
        <v>0</v>
      </c>
      <c r="G1677" s="403">
        <f t="shared" si="100"/>
        <v>0</v>
      </c>
      <c r="H1677" s="9">
        <v>236012</v>
      </c>
      <c r="I1677" s="404">
        <f t="shared" si="101"/>
        <v>200610200</v>
      </c>
      <c r="J1677" s="403"/>
      <c r="K1677" s="404">
        <f t="shared" si="102"/>
        <v>0</v>
      </c>
      <c r="L1677" s="405">
        <f t="shared" si="103"/>
        <v>0</v>
      </c>
      <c r="M1677" s="403"/>
    </row>
    <row r="1678" spans="1:13" ht="15.75" x14ac:dyDescent="0.25">
      <c r="A1678" s="6" t="s">
        <v>2029</v>
      </c>
      <c r="B1678" s="7" t="s">
        <v>2030</v>
      </c>
      <c r="C1678" s="6" t="s">
        <v>14</v>
      </c>
      <c r="D1678" s="8">
        <v>0.6</v>
      </c>
      <c r="E1678" s="403"/>
      <c r="F1678" s="403">
        <f>BBNTHT!J1718</f>
        <v>0</v>
      </c>
      <c r="G1678" s="403">
        <f t="shared" si="100"/>
        <v>0</v>
      </c>
      <c r="H1678" s="9">
        <v>19009244</v>
      </c>
      <c r="I1678" s="404">
        <f t="shared" si="101"/>
        <v>11405546</v>
      </c>
      <c r="J1678" s="403"/>
      <c r="K1678" s="404">
        <f t="shared" si="102"/>
        <v>0</v>
      </c>
      <c r="L1678" s="405">
        <f t="shared" si="103"/>
        <v>0</v>
      </c>
      <c r="M1678" s="403"/>
    </row>
    <row r="1679" spans="1:13" ht="15.75" x14ac:dyDescent="0.25">
      <c r="A1679" s="6" t="s">
        <v>2031</v>
      </c>
      <c r="B1679" s="7" t="s">
        <v>2032</v>
      </c>
      <c r="C1679" s="6" t="s">
        <v>14</v>
      </c>
      <c r="D1679" s="8">
        <v>0.08</v>
      </c>
      <c r="E1679" s="403"/>
      <c r="F1679" s="403">
        <f>BBNTHT!J1719</f>
        <v>0</v>
      </c>
      <c r="G1679" s="403">
        <f t="shared" si="100"/>
        <v>0</v>
      </c>
      <c r="H1679" s="9">
        <v>12478167</v>
      </c>
      <c r="I1679" s="404">
        <f t="shared" si="101"/>
        <v>998253</v>
      </c>
      <c r="J1679" s="403"/>
      <c r="K1679" s="404">
        <f t="shared" si="102"/>
        <v>0</v>
      </c>
      <c r="L1679" s="405">
        <f t="shared" si="103"/>
        <v>0</v>
      </c>
      <c r="M1679" s="403"/>
    </row>
    <row r="1680" spans="1:13" ht="31.5" x14ac:dyDescent="0.25">
      <c r="A1680" s="6" t="s">
        <v>2033</v>
      </c>
      <c r="B1680" s="7" t="s">
        <v>2034</v>
      </c>
      <c r="C1680" s="6" t="s">
        <v>2035</v>
      </c>
      <c r="D1680" s="8">
        <v>11</v>
      </c>
      <c r="E1680" s="403"/>
      <c r="F1680" s="403">
        <f>BBNTHT!J1720</f>
        <v>0</v>
      </c>
      <c r="G1680" s="403">
        <f t="shared" si="100"/>
        <v>0</v>
      </c>
      <c r="H1680" s="9">
        <v>9761408</v>
      </c>
      <c r="I1680" s="404">
        <f t="shared" si="101"/>
        <v>107375488</v>
      </c>
      <c r="J1680" s="403"/>
      <c r="K1680" s="404">
        <f t="shared" si="102"/>
        <v>0</v>
      </c>
      <c r="L1680" s="405">
        <f t="shared" si="103"/>
        <v>0</v>
      </c>
      <c r="M1680" s="403"/>
    </row>
    <row r="1681" spans="1:13" ht="31.5" x14ac:dyDescent="0.25">
      <c r="A1681" s="6" t="s">
        <v>2036</v>
      </c>
      <c r="B1681" s="7" t="s">
        <v>2037</v>
      </c>
      <c r="C1681" s="6" t="s">
        <v>6</v>
      </c>
      <c r="D1681" s="8">
        <v>300</v>
      </c>
      <c r="E1681" s="403"/>
      <c r="F1681" s="403">
        <f>BBNTHT!J1721</f>
        <v>0</v>
      </c>
      <c r="G1681" s="403">
        <f t="shared" si="100"/>
        <v>0</v>
      </c>
      <c r="H1681" s="9">
        <v>94956</v>
      </c>
      <c r="I1681" s="404">
        <f t="shared" si="101"/>
        <v>28486800</v>
      </c>
      <c r="J1681" s="403"/>
      <c r="K1681" s="404">
        <f t="shared" si="102"/>
        <v>0</v>
      </c>
      <c r="L1681" s="405">
        <f t="shared" si="103"/>
        <v>0</v>
      </c>
      <c r="M1681" s="403"/>
    </row>
    <row r="1682" spans="1:13" ht="15.75" x14ac:dyDescent="0.25">
      <c r="A1682" s="6" t="s">
        <v>2038</v>
      </c>
      <c r="B1682" s="7" t="s">
        <v>2039</v>
      </c>
      <c r="C1682" s="6" t="s">
        <v>6</v>
      </c>
      <c r="D1682" s="8">
        <v>300</v>
      </c>
      <c r="E1682" s="403"/>
      <c r="F1682" s="403">
        <f>BBNTHT!J1722</f>
        <v>0</v>
      </c>
      <c r="G1682" s="403">
        <f t="shared" ref="G1682:G1745" si="104">F1682+E1682</f>
        <v>0</v>
      </c>
      <c r="H1682" s="9">
        <v>22170</v>
      </c>
      <c r="I1682" s="404">
        <f t="shared" ref="I1682:I1745" si="105">ROUND(D1682*H1682,0)</f>
        <v>6651000</v>
      </c>
      <c r="J1682" s="403"/>
      <c r="K1682" s="404">
        <f t="shared" ref="K1682:K1745" si="106">ROUND(F1682*H1682,0)</f>
        <v>0</v>
      </c>
      <c r="L1682" s="405">
        <f t="shared" ref="L1682:L1745" si="107">J1682+K1682</f>
        <v>0</v>
      </c>
      <c r="M1682" s="403"/>
    </row>
    <row r="1683" spans="1:13" ht="31.5" x14ac:dyDescent="0.25">
      <c r="A1683" s="6" t="s">
        <v>2040</v>
      </c>
      <c r="B1683" s="7" t="s">
        <v>2041</v>
      </c>
      <c r="C1683" s="6" t="s">
        <v>6</v>
      </c>
      <c r="D1683" s="8">
        <v>300</v>
      </c>
      <c r="E1683" s="403"/>
      <c r="F1683" s="403">
        <f>BBNTHT!J1723</f>
        <v>0</v>
      </c>
      <c r="G1683" s="403">
        <f t="shared" si="104"/>
        <v>0</v>
      </c>
      <c r="H1683" s="9">
        <v>71094</v>
      </c>
      <c r="I1683" s="404">
        <f t="shared" si="105"/>
        <v>21328200</v>
      </c>
      <c r="J1683" s="403"/>
      <c r="K1683" s="404">
        <f t="shared" si="106"/>
        <v>0</v>
      </c>
      <c r="L1683" s="405">
        <f t="shared" si="107"/>
        <v>0</v>
      </c>
      <c r="M1683" s="403"/>
    </row>
    <row r="1684" spans="1:13" ht="31.5" x14ac:dyDescent="0.25">
      <c r="A1684" s="6" t="s">
        <v>2042</v>
      </c>
      <c r="B1684" s="7" t="s">
        <v>2043</v>
      </c>
      <c r="C1684" s="6" t="s">
        <v>1399</v>
      </c>
      <c r="D1684" s="8">
        <v>11</v>
      </c>
      <c r="E1684" s="403"/>
      <c r="F1684" s="403">
        <f>BBNTHT!J1724</f>
        <v>0</v>
      </c>
      <c r="G1684" s="403">
        <f t="shared" si="104"/>
        <v>0</v>
      </c>
      <c r="H1684" s="9">
        <v>403648</v>
      </c>
      <c r="I1684" s="404">
        <f t="shared" si="105"/>
        <v>4440128</v>
      </c>
      <c r="J1684" s="403"/>
      <c r="K1684" s="404">
        <f t="shared" si="106"/>
        <v>0</v>
      </c>
      <c r="L1684" s="405">
        <f t="shared" si="107"/>
        <v>0</v>
      </c>
      <c r="M1684" s="403"/>
    </row>
    <row r="1685" spans="1:13" ht="15.75" x14ac:dyDescent="0.25">
      <c r="A1685" s="6" t="s">
        <v>2044</v>
      </c>
      <c r="B1685" s="7" t="s">
        <v>2045</v>
      </c>
      <c r="C1685" s="6" t="s">
        <v>6</v>
      </c>
      <c r="D1685" s="8">
        <v>33</v>
      </c>
      <c r="E1685" s="403"/>
      <c r="F1685" s="403">
        <f>BBNTHT!J1725</f>
        <v>0</v>
      </c>
      <c r="G1685" s="403">
        <f t="shared" si="104"/>
        <v>0</v>
      </c>
      <c r="H1685" s="9">
        <v>27703</v>
      </c>
      <c r="I1685" s="404">
        <f t="shared" si="105"/>
        <v>914199</v>
      </c>
      <c r="J1685" s="403"/>
      <c r="K1685" s="404">
        <f t="shared" si="106"/>
        <v>0</v>
      </c>
      <c r="L1685" s="405">
        <f t="shared" si="107"/>
        <v>0</v>
      </c>
      <c r="M1685" s="403"/>
    </row>
    <row r="1686" spans="1:13" ht="47.25" x14ac:dyDescent="0.25">
      <c r="A1686" s="6" t="s">
        <v>2046</v>
      </c>
      <c r="B1686" s="7" t="s">
        <v>1936</v>
      </c>
      <c r="C1686" s="6" t="s">
        <v>27</v>
      </c>
      <c r="D1686" s="8">
        <v>4.2999999999999997E-2</v>
      </c>
      <c r="E1686" s="403"/>
      <c r="F1686" s="403">
        <f>BBNTHT!J1726</f>
        <v>0</v>
      </c>
      <c r="G1686" s="403">
        <f t="shared" si="104"/>
        <v>0</v>
      </c>
      <c r="H1686" s="9">
        <v>2902763</v>
      </c>
      <c r="I1686" s="404">
        <f t="shared" si="105"/>
        <v>124819</v>
      </c>
      <c r="J1686" s="403"/>
      <c r="K1686" s="404">
        <f t="shared" si="106"/>
        <v>0</v>
      </c>
      <c r="L1686" s="405">
        <f t="shared" si="107"/>
        <v>0</v>
      </c>
      <c r="M1686" s="403"/>
    </row>
    <row r="1687" spans="1:13" ht="31.5" x14ac:dyDescent="0.25">
      <c r="A1687" s="6" t="s">
        <v>2047</v>
      </c>
      <c r="B1687" s="7" t="s">
        <v>2048</v>
      </c>
      <c r="C1687" s="6" t="s">
        <v>37</v>
      </c>
      <c r="D1687" s="8">
        <v>4.3120000000000003</v>
      </c>
      <c r="E1687" s="403"/>
      <c r="F1687" s="403">
        <f>BBNTHT!J1727</f>
        <v>0</v>
      </c>
      <c r="G1687" s="403">
        <f t="shared" si="104"/>
        <v>0</v>
      </c>
      <c r="H1687" s="9">
        <v>141778</v>
      </c>
      <c r="I1687" s="404">
        <f t="shared" si="105"/>
        <v>611347</v>
      </c>
      <c r="J1687" s="403"/>
      <c r="K1687" s="404">
        <f t="shared" si="106"/>
        <v>0</v>
      </c>
      <c r="L1687" s="405">
        <f t="shared" si="107"/>
        <v>0</v>
      </c>
      <c r="M1687" s="403"/>
    </row>
    <row r="1688" spans="1:13" ht="47.25" x14ac:dyDescent="0.25">
      <c r="A1688" s="6" t="s">
        <v>2049</v>
      </c>
      <c r="B1688" s="7" t="s">
        <v>2050</v>
      </c>
      <c r="C1688" s="6" t="s">
        <v>37</v>
      </c>
      <c r="D1688" s="8">
        <v>0.53900000000000003</v>
      </c>
      <c r="E1688" s="403"/>
      <c r="F1688" s="403">
        <f>BBNTHT!J1728</f>
        <v>0</v>
      </c>
      <c r="G1688" s="403">
        <f t="shared" si="104"/>
        <v>0</v>
      </c>
      <c r="H1688" s="9">
        <v>1241738</v>
      </c>
      <c r="I1688" s="404">
        <f t="shared" si="105"/>
        <v>669297</v>
      </c>
      <c r="J1688" s="403"/>
      <c r="K1688" s="404">
        <f t="shared" si="106"/>
        <v>0</v>
      </c>
      <c r="L1688" s="405">
        <f t="shared" si="107"/>
        <v>0</v>
      </c>
      <c r="M1688" s="403"/>
    </row>
    <row r="1689" spans="1:13" ht="47.25" x14ac:dyDescent="0.25">
      <c r="A1689" s="6" t="s">
        <v>2051</v>
      </c>
      <c r="B1689" s="7" t="s">
        <v>2052</v>
      </c>
      <c r="C1689" s="6" t="s">
        <v>37</v>
      </c>
      <c r="D1689" s="8">
        <v>3.1680000000000001</v>
      </c>
      <c r="E1689" s="403"/>
      <c r="F1689" s="403">
        <f>BBNTHT!J1729</f>
        <v>0</v>
      </c>
      <c r="G1689" s="403">
        <f t="shared" si="104"/>
        <v>0</v>
      </c>
      <c r="H1689" s="9">
        <v>1509907</v>
      </c>
      <c r="I1689" s="404">
        <f t="shared" si="105"/>
        <v>4783385</v>
      </c>
      <c r="J1689" s="403"/>
      <c r="K1689" s="404">
        <f t="shared" si="106"/>
        <v>0</v>
      </c>
      <c r="L1689" s="405">
        <f t="shared" si="107"/>
        <v>0</v>
      </c>
      <c r="M1689" s="403"/>
    </row>
    <row r="1690" spans="1:13" ht="15.75" x14ac:dyDescent="0.25">
      <c r="A1690" s="6" t="s">
        <v>2053</v>
      </c>
      <c r="B1690" s="7" t="s">
        <v>2054</v>
      </c>
      <c r="C1690" s="6" t="s">
        <v>61</v>
      </c>
      <c r="D1690" s="8">
        <v>0.21099999999999999</v>
      </c>
      <c r="E1690" s="403"/>
      <c r="F1690" s="403">
        <f>BBNTHT!J1730</f>
        <v>0</v>
      </c>
      <c r="G1690" s="403">
        <f t="shared" si="104"/>
        <v>0</v>
      </c>
      <c r="H1690" s="9">
        <v>12390253</v>
      </c>
      <c r="I1690" s="404">
        <f t="shared" si="105"/>
        <v>2614343</v>
      </c>
      <c r="J1690" s="403"/>
      <c r="K1690" s="404">
        <f t="shared" si="106"/>
        <v>0</v>
      </c>
      <c r="L1690" s="405">
        <f t="shared" si="107"/>
        <v>0</v>
      </c>
      <c r="M1690" s="403"/>
    </row>
    <row r="1691" spans="1:13" ht="47.25" x14ac:dyDescent="0.25">
      <c r="A1691" s="6" t="s">
        <v>2055</v>
      </c>
      <c r="B1691" s="7" t="s">
        <v>1936</v>
      </c>
      <c r="C1691" s="6" t="s">
        <v>27</v>
      </c>
      <c r="D1691" s="8">
        <v>0.13800000000000001</v>
      </c>
      <c r="E1691" s="403"/>
      <c r="F1691" s="403">
        <f>BBNTHT!J1731</f>
        <v>0</v>
      </c>
      <c r="G1691" s="403">
        <f t="shared" si="104"/>
        <v>0</v>
      </c>
      <c r="H1691" s="9">
        <v>2902763</v>
      </c>
      <c r="I1691" s="404">
        <f t="shared" si="105"/>
        <v>400581</v>
      </c>
      <c r="J1691" s="403"/>
      <c r="K1691" s="404">
        <f t="shared" si="106"/>
        <v>0</v>
      </c>
      <c r="L1691" s="405">
        <f t="shared" si="107"/>
        <v>0</v>
      </c>
      <c r="M1691" s="403"/>
    </row>
    <row r="1692" spans="1:13" ht="31.5" x14ac:dyDescent="0.25">
      <c r="A1692" s="6" t="s">
        <v>2056</v>
      </c>
      <c r="B1692" s="7" t="s">
        <v>2048</v>
      </c>
      <c r="C1692" s="6" t="s">
        <v>37</v>
      </c>
      <c r="D1692" s="8">
        <v>13.778</v>
      </c>
      <c r="E1692" s="403"/>
      <c r="F1692" s="403">
        <f>BBNTHT!J1732</f>
        <v>0</v>
      </c>
      <c r="G1692" s="403">
        <f t="shared" si="104"/>
        <v>0</v>
      </c>
      <c r="H1692" s="9">
        <v>141778</v>
      </c>
      <c r="I1692" s="404">
        <f t="shared" si="105"/>
        <v>1953417</v>
      </c>
      <c r="J1692" s="403"/>
      <c r="K1692" s="404">
        <f t="shared" si="106"/>
        <v>0</v>
      </c>
      <c r="L1692" s="405">
        <f t="shared" si="107"/>
        <v>0</v>
      </c>
      <c r="M1692" s="403"/>
    </row>
    <row r="1693" spans="1:13" ht="47.25" x14ac:dyDescent="0.25">
      <c r="A1693" s="6" t="s">
        <v>2057</v>
      </c>
      <c r="B1693" s="7" t="s">
        <v>1963</v>
      </c>
      <c r="C1693" s="6" t="s">
        <v>37</v>
      </c>
      <c r="D1693" s="8">
        <v>1.06</v>
      </c>
      <c r="E1693" s="403"/>
      <c r="F1693" s="403">
        <f>BBNTHT!J1733</f>
        <v>0</v>
      </c>
      <c r="G1693" s="403">
        <f t="shared" si="104"/>
        <v>0</v>
      </c>
      <c r="H1693" s="9">
        <v>1575279</v>
      </c>
      <c r="I1693" s="404">
        <f t="shared" si="105"/>
        <v>1669796</v>
      </c>
      <c r="J1693" s="403"/>
      <c r="K1693" s="404">
        <f t="shared" si="106"/>
        <v>0</v>
      </c>
      <c r="L1693" s="405">
        <f t="shared" si="107"/>
        <v>0</v>
      </c>
      <c r="M1693" s="403"/>
    </row>
    <row r="1694" spans="1:13" ht="47.25" x14ac:dyDescent="0.25">
      <c r="A1694" s="6" t="s">
        <v>2058</v>
      </c>
      <c r="B1694" s="7" t="s">
        <v>2059</v>
      </c>
      <c r="C1694" s="6" t="s">
        <v>37</v>
      </c>
      <c r="D1694" s="8">
        <v>2.782</v>
      </c>
      <c r="E1694" s="403"/>
      <c r="F1694" s="403">
        <f>BBNTHT!J1734</f>
        <v>0</v>
      </c>
      <c r="G1694" s="403">
        <f t="shared" si="104"/>
        <v>0</v>
      </c>
      <c r="H1694" s="9">
        <v>2856114</v>
      </c>
      <c r="I1694" s="404">
        <f t="shared" si="105"/>
        <v>7945709</v>
      </c>
      <c r="J1694" s="403"/>
      <c r="K1694" s="404">
        <f t="shared" si="106"/>
        <v>0</v>
      </c>
      <c r="L1694" s="405">
        <f t="shared" si="107"/>
        <v>0</v>
      </c>
      <c r="M1694" s="403"/>
    </row>
    <row r="1695" spans="1:13" ht="47.25" x14ac:dyDescent="0.25">
      <c r="A1695" s="6" t="s">
        <v>2060</v>
      </c>
      <c r="B1695" s="7" t="s">
        <v>2061</v>
      </c>
      <c r="C1695" s="6" t="s">
        <v>37</v>
      </c>
      <c r="D1695" s="8">
        <v>0.58599999999999997</v>
      </c>
      <c r="E1695" s="403"/>
      <c r="F1695" s="403">
        <f>BBNTHT!J1735</f>
        <v>0</v>
      </c>
      <c r="G1695" s="403">
        <f t="shared" si="104"/>
        <v>0</v>
      </c>
      <c r="H1695" s="9">
        <v>2012658</v>
      </c>
      <c r="I1695" s="404">
        <f t="shared" si="105"/>
        <v>1179418</v>
      </c>
      <c r="J1695" s="403"/>
      <c r="K1695" s="404">
        <f t="shared" si="106"/>
        <v>0</v>
      </c>
      <c r="L1695" s="405">
        <f t="shared" si="107"/>
        <v>0</v>
      </c>
      <c r="M1695" s="403"/>
    </row>
    <row r="1696" spans="1:13" ht="15.75" x14ac:dyDescent="0.25">
      <c r="A1696" s="6" t="s">
        <v>2062</v>
      </c>
      <c r="B1696" s="7" t="s">
        <v>2063</v>
      </c>
      <c r="C1696" s="6" t="s">
        <v>9</v>
      </c>
      <c r="D1696" s="8">
        <v>4</v>
      </c>
      <c r="E1696" s="403"/>
      <c r="F1696" s="403">
        <f>BBNTHT!J1736</f>
        <v>0</v>
      </c>
      <c r="G1696" s="403">
        <f t="shared" si="104"/>
        <v>0</v>
      </c>
      <c r="H1696" s="9">
        <v>1269972</v>
      </c>
      <c r="I1696" s="404">
        <f t="shared" si="105"/>
        <v>5079888</v>
      </c>
      <c r="J1696" s="403"/>
      <c r="K1696" s="404">
        <f t="shared" si="106"/>
        <v>0</v>
      </c>
      <c r="L1696" s="405">
        <f t="shared" si="107"/>
        <v>0</v>
      </c>
      <c r="M1696" s="403"/>
    </row>
    <row r="1697" spans="1:13" ht="47.25" x14ac:dyDescent="0.25">
      <c r="A1697" s="6" t="s">
        <v>2064</v>
      </c>
      <c r="B1697" s="7" t="s">
        <v>1936</v>
      </c>
      <c r="C1697" s="6" t="s">
        <v>27</v>
      </c>
      <c r="D1697" s="8">
        <v>1.389</v>
      </c>
      <c r="E1697" s="403"/>
      <c r="F1697" s="403">
        <f>BBNTHT!J1737</f>
        <v>0</v>
      </c>
      <c r="G1697" s="403">
        <f t="shared" si="104"/>
        <v>0</v>
      </c>
      <c r="H1697" s="9">
        <v>2902763</v>
      </c>
      <c r="I1697" s="404">
        <f t="shared" si="105"/>
        <v>4031938</v>
      </c>
      <c r="J1697" s="403"/>
      <c r="K1697" s="404">
        <f t="shared" si="106"/>
        <v>0</v>
      </c>
      <c r="L1697" s="405">
        <f t="shared" si="107"/>
        <v>0</v>
      </c>
      <c r="M1697" s="403"/>
    </row>
    <row r="1698" spans="1:13" ht="31.5" x14ac:dyDescent="0.25">
      <c r="A1698" s="6" t="s">
        <v>2065</v>
      </c>
      <c r="B1698" s="7" t="s">
        <v>2066</v>
      </c>
      <c r="C1698" s="6" t="s">
        <v>37</v>
      </c>
      <c r="D1698" s="8">
        <v>54.593000000000004</v>
      </c>
      <c r="E1698" s="403"/>
      <c r="F1698" s="403">
        <f>BBNTHT!J1738</f>
        <v>0</v>
      </c>
      <c r="G1698" s="403">
        <f t="shared" si="104"/>
        <v>0</v>
      </c>
      <c r="H1698" s="9">
        <v>498829</v>
      </c>
      <c r="I1698" s="404">
        <f t="shared" si="105"/>
        <v>27232572</v>
      </c>
      <c r="J1698" s="403"/>
      <c r="K1698" s="404">
        <f t="shared" si="106"/>
        <v>0</v>
      </c>
      <c r="L1698" s="405">
        <f t="shared" si="107"/>
        <v>0</v>
      </c>
      <c r="M1698" s="403"/>
    </row>
    <row r="1699" spans="1:13" ht="31.5" x14ac:dyDescent="0.25">
      <c r="A1699" s="6" t="s">
        <v>2067</v>
      </c>
      <c r="B1699" s="7" t="s">
        <v>2048</v>
      </c>
      <c r="C1699" s="6" t="s">
        <v>37</v>
      </c>
      <c r="D1699" s="8">
        <v>0.50700000000000001</v>
      </c>
      <c r="E1699" s="403"/>
      <c r="F1699" s="403">
        <f>BBNTHT!J1739</f>
        <v>0</v>
      </c>
      <c r="G1699" s="403">
        <f t="shared" si="104"/>
        <v>0</v>
      </c>
      <c r="H1699" s="9">
        <v>141778</v>
      </c>
      <c r="I1699" s="404">
        <f t="shared" si="105"/>
        <v>71881</v>
      </c>
      <c r="J1699" s="403"/>
      <c r="K1699" s="404">
        <f t="shared" si="106"/>
        <v>0</v>
      </c>
      <c r="L1699" s="405">
        <f t="shared" si="107"/>
        <v>0</v>
      </c>
      <c r="M1699" s="403"/>
    </row>
    <row r="1700" spans="1:13" ht="15.75" x14ac:dyDescent="0.25">
      <c r="A1700" s="6" t="s">
        <v>2068</v>
      </c>
      <c r="B1700" s="7" t="s">
        <v>2069</v>
      </c>
      <c r="C1700" s="6" t="s">
        <v>9</v>
      </c>
      <c r="D1700" s="8">
        <v>1</v>
      </c>
      <c r="E1700" s="403"/>
      <c r="F1700" s="403">
        <f>BBNTHT!J1740</f>
        <v>0</v>
      </c>
      <c r="G1700" s="403">
        <f t="shared" si="104"/>
        <v>0</v>
      </c>
      <c r="H1700" s="9">
        <v>1929037</v>
      </c>
      <c r="I1700" s="404">
        <f t="shared" si="105"/>
        <v>1929037</v>
      </c>
      <c r="J1700" s="403"/>
      <c r="K1700" s="404">
        <f t="shared" si="106"/>
        <v>0</v>
      </c>
      <c r="L1700" s="405">
        <f t="shared" si="107"/>
        <v>0</v>
      </c>
      <c r="M1700" s="403"/>
    </row>
    <row r="1701" spans="1:13" ht="15.75" x14ac:dyDescent="0.25">
      <c r="A1701" s="6" t="s">
        <v>2070</v>
      </c>
      <c r="B1701" s="7" t="s">
        <v>2071</v>
      </c>
      <c r="C1701" s="6" t="s">
        <v>9</v>
      </c>
      <c r="D1701" s="8">
        <v>1</v>
      </c>
      <c r="E1701" s="403"/>
      <c r="F1701" s="403">
        <f>BBNTHT!J1741</f>
        <v>0</v>
      </c>
      <c r="G1701" s="403">
        <f t="shared" si="104"/>
        <v>0</v>
      </c>
      <c r="H1701" s="9">
        <v>370501</v>
      </c>
      <c r="I1701" s="404">
        <f t="shared" si="105"/>
        <v>370501</v>
      </c>
      <c r="J1701" s="403"/>
      <c r="K1701" s="404">
        <f t="shared" si="106"/>
        <v>0</v>
      </c>
      <c r="L1701" s="405">
        <f t="shared" si="107"/>
        <v>0</v>
      </c>
      <c r="M1701" s="403"/>
    </row>
    <row r="1702" spans="1:13" ht="15.75" x14ac:dyDescent="0.25">
      <c r="A1702" s="6" t="s">
        <v>2072</v>
      </c>
      <c r="B1702" s="7" t="s">
        <v>2073</v>
      </c>
      <c r="C1702" s="6" t="s">
        <v>9</v>
      </c>
      <c r="D1702" s="8">
        <v>2</v>
      </c>
      <c r="E1702" s="403"/>
      <c r="F1702" s="403">
        <f>BBNTHT!J1742</f>
        <v>0</v>
      </c>
      <c r="G1702" s="403">
        <f t="shared" si="104"/>
        <v>0</v>
      </c>
      <c r="H1702" s="9">
        <v>370501</v>
      </c>
      <c r="I1702" s="404">
        <f t="shared" si="105"/>
        <v>741002</v>
      </c>
      <c r="J1702" s="403"/>
      <c r="K1702" s="404">
        <f t="shared" si="106"/>
        <v>0</v>
      </c>
      <c r="L1702" s="405">
        <f t="shared" si="107"/>
        <v>0</v>
      </c>
      <c r="M1702" s="403"/>
    </row>
    <row r="1703" spans="1:13" ht="15.75" x14ac:dyDescent="0.25">
      <c r="A1703" s="6" t="s">
        <v>2074</v>
      </c>
      <c r="B1703" s="7" t="s">
        <v>595</v>
      </c>
      <c r="C1703" s="6" t="s">
        <v>9</v>
      </c>
      <c r="D1703" s="8">
        <v>1</v>
      </c>
      <c r="E1703" s="403"/>
      <c r="F1703" s="403">
        <f>BBNTHT!J1743</f>
        <v>0</v>
      </c>
      <c r="G1703" s="403">
        <f t="shared" si="104"/>
        <v>0</v>
      </c>
      <c r="H1703" s="9">
        <v>1015978</v>
      </c>
      <c r="I1703" s="404">
        <f t="shared" si="105"/>
        <v>1015978</v>
      </c>
      <c r="J1703" s="403"/>
      <c r="K1703" s="404">
        <f t="shared" si="106"/>
        <v>0</v>
      </c>
      <c r="L1703" s="405">
        <f t="shared" si="107"/>
        <v>0</v>
      </c>
      <c r="M1703" s="403"/>
    </row>
    <row r="1704" spans="1:13" ht="15.75" x14ac:dyDescent="0.25">
      <c r="A1704" s="6" t="s">
        <v>2075</v>
      </c>
      <c r="B1704" s="7" t="s">
        <v>2076</v>
      </c>
      <c r="C1704" s="6" t="s">
        <v>9</v>
      </c>
      <c r="D1704" s="8">
        <v>1</v>
      </c>
      <c r="E1704" s="403"/>
      <c r="F1704" s="403">
        <f>BBNTHT!J1744</f>
        <v>0</v>
      </c>
      <c r="G1704" s="403">
        <f t="shared" si="104"/>
        <v>0</v>
      </c>
      <c r="H1704" s="9">
        <v>1015978</v>
      </c>
      <c r="I1704" s="404">
        <f t="shared" si="105"/>
        <v>1015978</v>
      </c>
      <c r="J1704" s="403"/>
      <c r="K1704" s="404">
        <f t="shared" si="106"/>
        <v>0</v>
      </c>
      <c r="L1704" s="405">
        <f t="shared" si="107"/>
        <v>0</v>
      </c>
      <c r="M1704" s="403"/>
    </row>
    <row r="1705" spans="1:13" ht="15.75" x14ac:dyDescent="0.25">
      <c r="A1705" s="6" t="s">
        <v>2077</v>
      </c>
      <c r="B1705" s="7" t="s">
        <v>2078</v>
      </c>
      <c r="C1705" s="6" t="s">
        <v>248</v>
      </c>
      <c r="D1705" s="8">
        <v>1</v>
      </c>
      <c r="E1705" s="403"/>
      <c r="F1705" s="403">
        <f>BBNTHT!J1745</f>
        <v>0</v>
      </c>
      <c r="G1705" s="403">
        <f t="shared" si="104"/>
        <v>0</v>
      </c>
      <c r="H1705" s="9">
        <v>634986</v>
      </c>
      <c r="I1705" s="404">
        <f t="shared" si="105"/>
        <v>634986</v>
      </c>
      <c r="J1705" s="403"/>
      <c r="K1705" s="404">
        <f t="shared" si="106"/>
        <v>0</v>
      </c>
      <c r="L1705" s="405">
        <f t="shared" si="107"/>
        <v>0</v>
      </c>
      <c r="M1705" s="403"/>
    </row>
    <row r="1706" spans="1:13" ht="31.5" x14ac:dyDescent="0.25">
      <c r="A1706" s="6" t="s">
        <v>2079</v>
      </c>
      <c r="B1706" s="7" t="s">
        <v>2080</v>
      </c>
      <c r="C1706" s="6" t="s">
        <v>248</v>
      </c>
      <c r="D1706" s="8">
        <v>1</v>
      </c>
      <c r="E1706" s="403"/>
      <c r="F1706" s="403">
        <f>BBNTHT!J1746</f>
        <v>0</v>
      </c>
      <c r="G1706" s="403">
        <f t="shared" si="104"/>
        <v>0</v>
      </c>
      <c r="H1706" s="9">
        <v>3174930</v>
      </c>
      <c r="I1706" s="404">
        <f t="shared" si="105"/>
        <v>3174930</v>
      </c>
      <c r="J1706" s="403"/>
      <c r="K1706" s="404">
        <f t="shared" si="106"/>
        <v>0</v>
      </c>
      <c r="L1706" s="405">
        <f t="shared" si="107"/>
        <v>0</v>
      </c>
      <c r="M1706" s="403"/>
    </row>
    <row r="1707" spans="1:13" ht="31.5" x14ac:dyDescent="0.25">
      <c r="A1707" s="2" t="s">
        <v>2081</v>
      </c>
      <c r="B1707" s="3" t="s">
        <v>2082</v>
      </c>
      <c r="C1707" s="2"/>
      <c r="D1707" s="4" t="s">
        <v>3</v>
      </c>
      <c r="E1707" s="403"/>
      <c r="F1707" s="403">
        <f>BBNTHT!J1747</f>
        <v>0</v>
      </c>
      <c r="G1707" s="403">
        <f t="shared" si="104"/>
        <v>0</v>
      </c>
      <c r="H1707" s="5"/>
      <c r="I1707" s="404"/>
      <c r="J1707" s="403"/>
      <c r="K1707" s="404">
        <f t="shared" si="106"/>
        <v>0</v>
      </c>
      <c r="L1707" s="405">
        <f t="shared" si="107"/>
        <v>0</v>
      </c>
      <c r="M1707" s="403"/>
    </row>
    <row r="1708" spans="1:13" ht="31.5" x14ac:dyDescent="0.25">
      <c r="A1708" s="6" t="s">
        <v>2083</v>
      </c>
      <c r="B1708" s="7" t="s">
        <v>2084</v>
      </c>
      <c r="C1708" s="6" t="s">
        <v>37</v>
      </c>
      <c r="D1708" s="8">
        <v>2.3159999999999998</v>
      </c>
      <c r="E1708" s="403"/>
      <c r="F1708" s="403">
        <f>BBNTHT!J1748</f>
        <v>0</v>
      </c>
      <c r="G1708" s="403">
        <f t="shared" si="104"/>
        <v>0</v>
      </c>
      <c r="H1708" s="9">
        <v>313937</v>
      </c>
      <c r="I1708" s="404">
        <f t="shared" si="105"/>
        <v>727078</v>
      </c>
      <c r="J1708" s="403"/>
      <c r="K1708" s="404">
        <f t="shared" si="106"/>
        <v>0</v>
      </c>
      <c r="L1708" s="405">
        <f t="shared" si="107"/>
        <v>0</v>
      </c>
      <c r="M1708" s="403"/>
    </row>
    <row r="1709" spans="1:13" ht="31.5" x14ac:dyDescent="0.25">
      <c r="A1709" s="6" t="s">
        <v>2085</v>
      </c>
      <c r="B1709" s="7" t="s">
        <v>2048</v>
      </c>
      <c r="C1709" s="6" t="s">
        <v>37</v>
      </c>
      <c r="D1709" s="8">
        <v>2.3159999999999998</v>
      </c>
      <c r="E1709" s="403"/>
      <c r="F1709" s="403">
        <f>BBNTHT!J1749</f>
        <v>0</v>
      </c>
      <c r="G1709" s="403">
        <f t="shared" si="104"/>
        <v>0</v>
      </c>
      <c r="H1709" s="9">
        <v>141778</v>
      </c>
      <c r="I1709" s="404">
        <f t="shared" si="105"/>
        <v>328358</v>
      </c>
      <c r="J1709" s="403"/>
      <c r="K1709" s="404">
        <f t="shared" si="106"/>
        <v>0</v>
      </c>
      <c r="L1709" s="405">
        <f t="shared" si="107"/>
        <v>0</v>
      </c>
      <c r="M1709" s="403"/>
    </row>
    <row r="1710" spans="1:13" ht="47.25" x14ac:dyDescent="0.25">
      <c r="A1710" s="6" t="s">
        <v>2086</v>
      </c>
      <c r="B1710" s="7" t="s">
        <v>2050</v>
      </c>
      <c r="C1710" s="6" t="s">
        <v>37</v>
      </c>
      <c r="D1710" s="8">
        <v>0.48799999999999999</v>
      </c>
      <c r="E1710" s="403"/>
      <c r="F1710" s="403">
        <f>BBNTHT!J1750</f>
        <v>0</v>
      </c>
      <c r="G1710" s="403">
        <f t="shared" si="104"/>
        <v>0</v>
      </c>
      <c r="H1710" s="9">
        <v>1241738</v>
      </c>
      <c r="I1710" s="404">
        <f t="shared" si="105"/>
        <v>605968</v>
      </c>
      <c r="J1710" s="403"/>
      <c r="K1710" s="404">
        <f t="shared" si="106"/>
        <v>0</v>
      </c>
      <c r="L1710" s="405">
        <f t="shared" si="107"/>
        <v>0</v>
      </c>
      <c r="M1710" s="403"/>
    </row>
    <row r="1711" spans="1:13" ht="47.25" x14ac:dyDescent="0.25">
      <c r="A1711" s="6" t="s">
        <v>2087</v>
      </c>
      <c r="B1711" s="7" t="s">
        <v>2088</v>
      </c>
      <c r="C1711" s="6" t="s">
        <v>37</v>
      </c>
      <c r="D1711" s="8">
        <v>0.63800000000000001</v>
      </c>
      <c r="E1711" s="403"/>
      <c r="F1711" s="403">
        <f>BBNTHT!J1751</f>
        <v>0</v>
      </c>
      <c r="G1711" s="403">
        <f t="shared" si="104"/>
        <v>0</v>
      </c>
      <c r="H1711" s="9">
        <v>2856114</v>
      </c>
      <c r="I1711" s="404">
        <f t="shared" si="105"/>
        <v>1822201</v>
      </c>
      <c r="J1711" s="403"/>
      <c r="K1711" s="404">
        <f t="shared" si="106"/>
        <v>0</v>
      </c>
      <c r="L1711" s="405">
        <f t="shared" si="107"/>
        <v>0</v>
      </c>
      <c r="M1711" s="403"/>
    </row>
    <row r="1712" spans="1:13" ht="47.25" x14ac:dyDescent="0.25">
      <c r="A1712" s="6" t="s">
        <v>2089</v>
      </c>
      <c r="B1712" s="7" t="s">
        <v>2061</v>
      </c>
      <c r="C1712" s="6" t="s">
        <v>37</v>
      </c>
      <c r="D1712" s="8">
        <v>0.16800000000000001</v>
      </c>
      <c r="E1712" s="403"/>
      <c r="F1712" s="403">
        <f>BBNTHT!J1752</f>
        <v>0</v>
      </c>
      <c r="G1712" s="403">
        <f t="shared" si="104"/>
        <v>0</v>
      </c>
      <c r="H1712" s="9">
        <v>2012658</v>
      </c>
      <c r="I1712" s="404">
        <f t="shared" si="105"/>
        <v>338127</v>
      </c>
      <c r="J1712" s="403"/>
      <c r="K1712" s="404">
        <f t="shared" si="106"/>
        <v>0</v>
      </c>
      <c r="L1712" s="405">
        <f t="shared" si="107"/>
        <v>0</v>
      </c>
      <c r="M1712" s="403"/>
    </row>
    <row r="1713" spans="1:13" ht="47.25" x14ac:dyDescent="0.25">
      <c r="A1713" s="6" t="s">
        <v>2090</v>
      </c>
      <c r="B1713" s="7" t="s">
        <v>2091</v>
      </c>
      <c r="C1713" s="6" t="s">
        <v>37</v>
      </c>
      <c r="D1713" s="8">
        <v>0.105</v>
      </c>
      <c r="E1713" s="403"/>
      <c r="F1713" s="403">
        <f>BBNTHT!J1753</f>
        <v>0</v>
      </c>
      <c r="G1713" s="403">
        <f t="shared" si="104"/>
        <v>0</v>
      </c>
      <c r="H1713" s="9">
        <v>1723085</v>
      </c>
      <c r="I1713" s="404">
        <f t="shared" si="105"/>
        <v>180924</v>
      </c>
      <c r="J1713" s="403"/>
      <c r="K1713" s="404">
        <f t="shared" si="106"/>
        <v>0</v>
      </c>
      <c r="L1713" s="405">
        <f t="shared" si="107"/>
        <v>0</v>
      </c>
      <c r="M1713" s="403"/>
    </row>
    <row r="1714" spans="1:13" ht="31.5" x14ac:dyDescent="0.25">
      <c r="A1714" s="6" t="s">
        <v>2092</v>
      </c>
      <c r="B1714" s="7" t="s">
        <v>2093</v>
      </c>
      <c r="C1714" s="6" t="s">
        <v>86</v>
      </c>
      <c r="D1714" s="8">
        <v>1</v>
      </c>
      <c r="E1714" s="403"/>
      <c r="F1714" s="403">
        <f>BBNTHT!J1754</f>
        <v>0</v>
      </c>
      <c r="G1714" s="403">
        <f t="shared" si="104"/>
        <v>0</v>
      </c>
      <c r="H1714" s="9">
        <v>9837</v>
      </c>
      <c r="I1714" s="404">
        <f t="shared" si="105"/>
        <v>9837</v>
      </c>
      <c r="J1714" s="403"/>
      <c r="K1714" s="404">
        <f t="shared" si="106"/>
        <v>0</v>
      </c>
      <c r="L1714" s="405">
        <f t="shared" si="107"/>
        <v>0</v>
      </c>
      <c r="M1714" s="403"/>
    </row>
    <row r="1715" spans="1:13" ht="15.75" x14ac:dyDescent="0.25">
      <c r="A1715" s="6" t="s">
        <v>2094</v>
      </c>
      <c r="B1715" s="7" t="s">
        <v>2095</v>
      </c>
      <c r="C1715" s="6" t="s">
        <v>14</v>
      </c>
      <c r="D1715" s="8">
        <v>0.5</v>
      </c>
      <c r="E1715" s="403"/>
      <c r="F1715" s="403">
        <f>BBNTHT!J1755</f>
        <v>0</v>
      </c>
      <c r="G1715" s="403">
        <f t="shared" si="104"/>
        <v>0</v>
      </c>
      <c r="H1715" s="9">
        <v>15234040</v>
      </c>
      <c r="I1715" s="404">
        <f t="shared" si="105"/>
        <v>7617020</v>
      </c>
      <c r="J1715" s="403"/>
      <c r="K1715" s="404">
        <f t="shared" si="106"/>
        <v>0</v>
      </c>
      <c r="L1715" s="405">
        <f t="shared" si="107"/>
        <v>0</v>
      </c>
      <c r="M1715" s="403"/>
    </row>
    <row r="1716" spans="1:13" ht="15.75" x14ac:dyDescent="0.25">
      <c r="A1716" s="6" t="s">
        <v>2096</v>
      </c>
      <c r="B1716" s="7" t="s">
        <v>2097</v>
      </c>
      <c r="C1716" s="6" t="s">
        <v>9</v>
      </c>
      <c r="D1716" s="8">
        <v>2</v>
      </c>
      <c r="E1716" s="403"/>
      <c r="F1716" s="403">
        <f>BBNTHT!J1756</f>
        <v>0</v>
      </c>
      <c r="G1716" s="403">
        <f t="shared" si="104"/>
        <v>0</v>
      </c>
      <c r="H1716" s="9">
        <v>1075483</v>
      </c>
      <c r="I1716" s="404">
        <f t="shared" si="105"/>
        <v>2150966</v>
      </c>
      <c r="J1716" s="403"/>
      <c r="K1716" s="404">
        <f t="shared" si="106"/>
        <v>0</v>
      </c>
      <c r="L1716" s="405">
        <f t="shared" si="107"/>
        <v>0</v>
      </c>
      <c r="M1716" s="403"/>
    </row>
    <row r="1717" spans="1:13" ht="15.75" x14ac:dyDescent="0.25">
      <c r="A1717" s="6" t="s">
        <v>2098</v>
      </c>
      <c r="B1717" s="7" t="s">
        <v>2099</v>
      </c>
      <c r="C1717" s="6" t="s">
        <v>9</v>
      </c>
      <c r="D1717" s="8">
        <v>5</v>
      </c>
      <c r="E1717" s="403"/>
      <c r="F1717" s="403">
        <f>BBNTHT!J1757</f>
        <v>0</v>
      </c>
      <c r="G1717" s="403">
        <f t="shared" si="104"/>
        <v>0</v>
      </c>
      <c r="H1717" s="9">
        <v>211009</v>
      </c>
      <c r="I1717" s="404">
        <f t="shared" si="105"/>
        <v>1055045</v>
      </c>
      <c r="J1717" s="403"/>
      <c r="K1717" s="404">
        <f t="shared" si="106"/>
        <v>0</v>
      </c>
      <c r="L1717" s="405">
        <f t="shared" si="107"/>
        <v>0</v>
      </c>
      <c r="M1717" s="403"/>
    </row>
    <row r="1718" spans="1:13" ht="15.75" x14ac:dyDescent="0.25">
      <c r="A1718" s="6" t="s">
        <v>2100</v>
      </c>
      <c r="B1718" s="7" t="s">
        <v>2101</v>
      </c>
      <c r="C1718" s="6" t="s">
        <v>14</v>
      </c>
      <c r="D1718" s="8">
        <v>0.65</v>
      </c>
      <c r="E1718" s="403"/>
      <c r="F1718" s="403">
        <f>BBNTHT!J1758</f>
        <v>0</v>
      </c>
      <c r="G1718" s="403">
        <f t="shared" si="104"/>
        <v>0</v>
      </c>
      <c r="H1718" s="9">
        <v>5147347</v>
      </c>
      <c r="I1718" s="404">
        <f t="shared" si="105"/>
        <v>3345776</v>
      </c>
      <c r="J1718" s="403"/>
      <c r="K1718" s="404">
        <f t="shared" si="106"/>
        <v>0</v>
      </c>
      <c r="L1718" s="405">
        <f t="shared" si="107"/>
        <v>0</v>
      </c>
      <c r="M1718" s="403"/>
    </row>
    <row r="1719" spans="1:13" ht="15.75" x14ac:dyDescent="0.25">
      <c r="A1719" s="6" t="s">
        <v>2102</v>
      </c>
      <c r="B1719" s="7" t="s">
        <v>2103</v>
      </c>
      <c r="C1719" s="6" t="s">
        <v>270</v>
      </c>
      <c r="D1719" s="8">
        <v>11</v>
      </c>
      <c r="E1719" s="403"/>
      <c r="F1719" s="403">
        <f>BBNTHT!J1759</f>
        <v>0</v>
      </c>
      <c r="G1719" s="403">
        <f t="shared" si="104"/>
        <v>0</v>
      </c>
      <c r="H1719" s="9">
        <v>1269972</v>
      </c>
      <c r="I1719" s="404">
        <f t="shared" si="105"/>
        <v>13969692</v>
      </c>
      <c r="J1719" s="403"/>
      <c r="K1719" s="404">
        <f t="shared" si="106"/>
        <v>0</v>
      </c>
      <c r="L1719" s="405">
        <f t="shared" si="107"/>
        <v>0</v>
      </c>
      <c r="M1719" s="403"/>
    </row>
    <row r="1720" spans="1:13" ht="47.25" x14ac:dyDescent="0.25">
      <c r="A1720" s="6" t="s">
        <v>2104</v>
      </c>
      <c r="B1720" s="7" t="s">
        <v>2105</v>
      </c>
      <c r="C1720" s="6" t="s">
        <v>2106</v>
      </c>
      <c r="D1720" s="8">
        <v>74</v>
      </c>
      <c r="E1720" s="403"/>
      <c r="F1720" s="403">
        <f>BBNTHT!J1760</f>
        <v>0</v>
      </c>
      <c r="G1720" s="403">
        <f t="shared" si="104"/>
        <v>0</v>
      </c>
      <c r="H1720" s="9">
        <v>1207881</v>
      </c>
      <c r="I1720" s="404">
        <f t="shared" si="105"/>
        <v>89383194</v>
      </c>
      <c r="J1720" s="403"/>
      <c r="K1720" s="404">
        <f t="shared" si="106"/>
        <v>0</v>
      </c>
      <c r="L1720" s="405">
        <f t="shared" si="107"/>
        <v>0</v>
      </c>
      <c r="M1720" s="403"/>
    </row>
    <row r="1721" spans="1:13" ht="15.75" x14ac:dyDescent="0.25">
      <c r="A1721" s="6" t="s">
        <v>2107</v>
      </c>
      <c r="B1721" s="7" t="s">
        <v>2108</v>
      </c>
      <c r="C1721" s="6" t="s">
        <v>14</v>
      </c>
      <c r="D1721" s="8">
        <v>0.3</v>
      </c>
      <c r="E1721" s="403"/>
      <c r="F1721" s="403">
        <f>BBNTHT!J1761</f>
        <v>0</v>
      </c>
      <c r="G1721" s="403">
        <f t="shared" si="104"/>
        <v>0</v>
      </c>
      <c r="H1721" s="9">
        <v>69795669</v>
      </c>
      <c r="I1721" s="404">
        <f t="shared" si="105"/>
        <v>20938701</v>
      </c>
      <c r="J1721" s="403"/>
      <c r="K1721" s="404">
        <f t="shared" si="106"/>
        <v>0</v>
      </c>
      <c r="L1721" s="405">
        <f t="shared" si="107"/>
        <v>0</v>
      </c>
      <c r="M1721" s="403"/>
    </row>
    <row r="1722" spans="1:13" ht="15.75" x14ac:dyDescent="0.25">
      <c r="A1722" s="6" t="s">
        <v>2109</v>
      </c>
      <c r="B1722" s="7" t="s">
        <v>2110</v>
      </c>
      <c r="C1722" s="6" t="s">
        <v>9</v>
      </c>
      <c r="D1722" s="8">
        <v>222</v>
      </c>
      <c r="E1722" s="403"/>
      <c r="F1722" s="403">
        <f>BBNTHT!J1762</f>
        <v>0</v>
      </c>
      <c r="G1722" s="403">
        <f t="shared" si="104"/>
        <v>0</v>
      </c>
      <c r="H1722" s="9">
        <v>317493</v>
      </c>
      <c r="I1722" s="404">
        <f t="shared" si="105"/>
        <v>70483446</v>
      </c>
      <c r="J1722" s="403"/>
      <c r="K1722" s="404">
        <f t="shared" si="106"/>
        <v>0</v>
      </c>
      <c r="L1722" s="405">
        <f t="shared" si="107"/>
        <v>0</v>
      </c>
      <c r="M1722" s="403"/>
    </row>
    <row r="1723" spans="1:13" ht="47.25" x14ac:dyDescent="0.25">
      <c r="A1723" s="6" t="s">
        <v>2111</v>
      </c>
      <c r="B1723" s="7" t="s">
        <v>1936</v>
      </c>
      <c r="C1723" s="6" t="s">
        <v>27</v>
      </c>
      <c r="D1723" s="8">
        <v>0.35299999999999998</v>
      </c>
      <c r="E1723" s="403"/>
      <c r="F1723" s="403">
        <f>BBNTHT!J1763</f>
        <v>0</v>
      </c>
      <c r="G1723" s="403">
        <f t="shared" si="104"/>
        <v>0</v>
      </c>
      <c r="H1723" s="9">
        <v>2902763</v>
      </c>
      <c r="I1723" s="404">
        <f t="shared" si="105"/>
        <v>1024675</v>
      </c>
      <c r="J1723" s="403"/>
      <c r="K1723" s="404">
        <f t="shared" si="106"/>
        <v>0</v>
      </c>
      <c r="L1723" s="405">
        <f t="shared" si="107"/>
        <v>0</v>
      </c>
      <c r="M1723" s="403"/>
    </row>
    <row r="1724" spans="1:13" ht="31.5" x14ac:dyDescent="0.25">
      <c r="A1724" s="6" t="s">
        <v>2112</v>
      </c>
      <c r="B1724" s="7" t="s">
        <v>2113</v>
      </c>
      <c r="C1724" s="6" t="s">
        <v>37</v>
      </c>
      <c r="D1724" s="8">
        <v>9.4E-2</v>
      </c>
      <c r="E1724" s="403"/>
      <c r="F1724" s="403">
        <f>BBNTHT!J1764</f>
        <v>0</v>
      </c>
      <c r="G1724" s="403">
        <f t="shared" si="104"/>
        <v>0</v>
      </c>
      <c r="H1724" s="9">
        <v>465917</v>
      </c>
      <c r="I1724" s="404">
        <f t="shared" si="105"/>
        <v>43796</v>
      </c>
      <c r="J1724" s="403"/>
      <c r="K1724" s="404">
        <f t="shared" si="106"/>
        <v>0</v>
      </c>
      <c r="L1724" s="405">
        <f t="shared" si="107"/>
        <v>0</v>
      </c>
      <c r="M1724" s="403"/>
    </row>
    <row r="1725" spans="1:13" ht="31.5" x14ac:dyDescent="0.25">
      <c r="A1725" s="6" t="s">
        <v>2114</v>
      </c>
      <c r="B1725" s="7" t="s">
        <v>2048</v>
      </c>
      <c r="C1725" s="6" t="s">
        <v>37</v>
      </c>
      <c r="D1725" s="8">
        <v>0.35299999999999998</v>
      </c>
      <c r="E1725" s="403"/>
      <c r="F1725" s="403">
        <f>BBNTHT!J1765</f>
        <v>0</v>
      </c>
      <c r="G1725" s="403">
        <f t="shared" si="104"/>
        <v>0</v>
      </c>
      <c r="H1725" s="9">
        <v>141778</v>
      </c>
      <c r="I1725" s="404">
        <f t="shared" si="105"/>
        <v>50048</v>
      </c>
      <c r="J1725" s="403"/>
      <c r="K1725" s="404">
        <f t="shared" si="106"/>
        <v>0</v>
      </c>
      <c r="L1725" s="405">
        <f t="shared" si="107"/>
        <v>0</v>
      </c>
      <c r="M1725" s="403"/>
    </row>
    <row r="1726" spans="1:13" ht="15.75" x14ac:dyDescent="0.25">
      <c r="A1726" s="2" t="s">
        <v>2115</v>
      </c>
      <c r="B1726" s="3" t="s">
        <v>2116</v>
      </c>
      <c r="C1726" s="2"/>
      <c r="D1726" s="4" t="s">
        <v>3</v>
      </c>
      <c r="E1726" s="403"/>
      <c r="F1726" s="403">
        <f>BBNTHT!J1766</f>
        <v>0</v>
      </c>
      <c r="G1726" s="403">
        <f t="shared" si="104"/>
        <v>0</v>
      </c>
      <c r="H1726" s="5"/>
      <c r="I1726" s="404"/>
      <c r="J1726" s="403"/>
      <c r="K1726" s="404">
        <f t="shared" si="106"/>
        <v>0</v>
      </c>
      <c r="L1726" s="405">
        <f t="shared" si="107"/>
        <v>0</v>
      </c>
      <c r="M1726" s="403"/>
    </row>
    <row r="1727" spans="1:13" ht="47.25" x14ac:dyDescent="0.25">
      <c r="A1727" s="6" t="s">
        <v>2117</v>
      </c>
      <c r="B1727" s="7" t="s">
        <v>2118</v>
      </c>
      <c r="C1727" s="6" t="s">
        <v>27</v>
      </c>
      <c r="D1727" s="8">
        <v>1.234</v>
      </c>
      <c r="E1727" s="403"/>
      <c r="F1727" s="403">
        <f>BBNTHT!J1767</f>
        <v>0</v>
      </c>
      <c r="G1727" s="403">
        <f t="shared" si="104"/>
        <v>0</v>
      </c>
      <c r="H1727" s="9">
        <v>2229062</v>
      </c>
      <c r="I1727" s="404">
        <f t="shared" si="105"/>
        <v>2750663</v>
      </c>
      <c r="J1727" s="403"/>
      <c r="K1727" s="404">
        <f t="shared" si="106"/>
        <v>0</v>
      </c>
      <c r="L1727" s="405">
        <f t="shared" si="107"/>
        <v>0</v>
      </c>
      <c r="M1727" s="403"/>
    </row>
    <row r="1728" spans="1:13" ht="31.5" x14ac:dyDescent="0.25">
      <c r="A1728" s="6" t="s">
        <v>2119</v>
      </c>
      <c r="B1728" s="7" t="s">
        <v>43</v>
      </c>
      <c r="C1728" s="6" t="s">
        <v>27</v>
      </c>
      <c r="D1728" s="8">
        <v>0.69199999999999995</v>
      </c>
      <c r="E1728" s="403"/>
      <c r="F1728" s="403">
        <f>BBNTHT!J1768</f>
        <v>0</v>
      </c>
      <c r="G1728" s="403">
        <f t="shared" si="104"/>
        <v>0</v>
      </c>
      <c r="H1728" s="9">
        <v>3013626</v>
      </c>
      <c r="I1728" s="404">
        <f t="shared" si="105"/>
        <v>2085429</v>
      </c>
      <c r="J1728" s="403"/>
      <c r="K1728" s="404">
        <f t="shared" si="106"/>
        <v>0</v>
      </c>
      <c r="L1728" s="405">
        <f t="shared" si="107"/>
        <v>0</v>
      </c>
      <c r="M1728" s="403"/>
    </row>
    <row r="1729" spans="1:13" ht="31.5" x14ac:dyDescent="0.25">
      <c r="A1729" s="6" t="s">
        <v>2120</v>
      </c>
      <c r="B1729" s="7" t="s">
        <v>2121</v>
      </c>
      <c r="C1729" s="6" t="s">
        <v>27</v>
      </c>
      <c r="D1729" s="8">
        <v>0.54</v>
      </c>
      <c r="E1729" s="403"/>
      <c r="F1729" s="403">
        <f>BBNTHT!J1769</f>
        <v>0</v>
      </c>
      <c r="G1729" s="403">
        <f t="shared" si="104"/>
        <v>0</v>
      </c>
      <c r="H1729" s="9">
        <v>1572797</v>
      </c>
      <c r="I1729" s="404">
        <f t="shared" si="105"/>
        <v>849310</v>
      </c>
      <c r="J1729" s="403"/>
      <c r="K1729" s="404">
        <f t="shared" si="106"/>
        <v>0</v>
      </c>
      <c r="L1729" s="405">
        <f t="shared" si="107"/>
        <v>0</v>
      </c>
      <c r="M1729" s="403"/>
    </row>
    <row r="1730" spans="1:13" ht="47.25" x14ac:dyDescent="0.25">
      <c r="A1730" s="6" t="s">
        <v>2122</v>
      </c>
      <c r="B1730" s="7" t="s">
        <v>2050</v>
      </c>
      <c r="C1730" s="6" t="s">
        <v>37</v>
      </c>
      <c r="D1730" s="8">
        <v>18.428999999999998</v>
      </c>
      <c r="E1730" s="403"/>
      <c r="F1730" s="403">
        <f>BBNTHT!J1770</f>
        <v>0</v>
      </c>
      <c r="G1730" s="403">
        <f t="shared" si="104"/>
        <v>0</v>
      </c>
      <c r="H1730" s="9">
        <v>1241738</v>
      </c>
      <c r="I1730" s="404">
        <f t="shared" si="105"/>
        <v>22883990</v>
      </c>
      <c r="J1730" s="403"/>
      <c r="K1730" s="404">
        <f t="shared" si="106"/>
        <v>0</v>
      </c>
      <c r="L1730" s="405">
        <f t="shared" si="107"/>
        <v>0</v>
      </c>
      <c r="M1730" s="403"/>
    </row>
    <row r="1731" spans="1:13" ht="47.25" x14ac:dyDescent="0.25">
      <c r="A1731" s="6" t="s">
        <v>2123</v>
      </c>
      <c r="B1731" s="7" t="s">
        <v>2124</v>
      </c>
      <c r="C1731" s="6" t="s">
        <v>37</v>
      </c>
      <c r="D1731" s="8">
        <v>21.882999999999999</v>
      </c>
      <c r="E1731" s="403"/>
      <c r="F1731" s="403">
        <f>BBNTHT!J1771</f>
        <v>0</v>
      </c>
      <c r="G1731" s="403">
        <f t="shared" si="104"/>
        <v>0</v>
      </c>
      <c r="H1731" s="9">
        <v>1641522</v>
      </c>
      <c r="I1731" s="404">
        <f t="shared" si="105"/>
        <v>35921426</v>
      </c>
      <c r="J1731" s="403"/>
      <c r="K1731" s="404">
        <f t="shared" si="106"/>
        <v>0</v>
      </c>
      <c r="L1731" s="405">
        <f t="shared" si="107"/>
        <v>0</v>
      </c>
      <c r="M1731" s="403"/>
    </row>
    <row r="1732" spans="1:13" ht="15.75" x14ac:dyDescent="0.25">
      <c r="A1732" s="6" t="s">
        <v>2125</v>
      </c>
      <c r="B1732" s="7" t="s">
        <v>2054</v>
      </c>
      <c r="C1732" s="6" t="s">
        <v>61</v>
      </c>
      <c r="D1732" s="8">
        <v>0.64600000000000002</v>
      </c>
      <c r="E1732" s="403"/>
      <c r="F1732" s="403">
        <f>BBNTHT!J1772</f>
        <v>0</v>
      </c>
      <c r="G1732" s="403">
        <f t="shared" si="104"/>
        <v>0</v>
      </c>
      <c r="H1732" s="9">
        <v>12390253</v>
      </c>
      <c r="I1732" s="404">
        <f t="shared" si="105"/>
        <v>8004103</v>
      </c>
      <c r="J1732" s="403"/>
      <c r="K1732" s="404">
        <f t="shared" si="106"/>
        <v>0</v>
      </c>
      <c r="L1732" s="405">
        <f t="shared" si="107"/>
        <v>0</v>
      </c>
      <c r="M1732" s="403"/>
    </row>
    <row r="1733" spans="1:13" ht="63" x14ac:dyDescent="0.25">
      <c r="A1733" s="6" t="s">
        <v>2126</v>
      </c>
      <c r="B1733" s="7" t="s">
        <v>2127</v>
      </c>
      <c r="C1733" s="6" t="s">
        <v>61</v>
      </c>
      <c r="D1733" s="8">
        <v>0.38800000000000001</v>
      </c>
      <c r="E1733" s="403"/>
      <c r="F1733" s="403">
        <f>BBNTHT!J1773</f>
        <v>0</v>
      </c>
      <c r="G1733" s="403">
        <f t="shared" si="104"/>
        <v>0</v>
      </c>
      <c r="H1733" s="9">
        <v>11969098</v>
      </c>
      <c r="I1733" s="404">
        <f t="shared" si="105"/>
        <v>4644010</v>
      </c>
      <c r="J1733" s="403"/>
      <c r="K1733" s="404">
        <f t="shared" si="106"/>
        <v>0</v>
      </c>
      <c r="L1733" s="405">
        <f t="shared" si="107"/>
        <v>0</v>
      </c>
      <c r="M1733" s="403"/>
    </row>
    <row r="1734" spans="1:13" ht="47.25" x14ac:dyDescent="0.25">
      <c r="A1734" s="6" t="s">
        <v>2128</v>
      </c>
      <c r="B1734" s="7" t="s">
        <v>2129</v>
      </c>
      <c r="C1734" s="6" t="s">
        <v>37</v>
      </c>
      <c r="D1734" s="8">
        <v>8.08</v>
      </c>
      <c r="E1734" s="403"/>
      <c r="F1734" s="403">
        <f>BBNTHT!J1774</f>
        <v>0</v>
      </c>
      <c r="G1734" s="403">
        <f t="shared" si="104"/>
        <v>0</v>
      </c>
      <c r="H1734" s="9">
        <v>2345094</v>
      </c>
      <c r="I1734" s="404">
        <f t="shared" si="105"/>
        <v>18948360</v>
      </c>
      <c r="J1734" s="403"/>
      <c r="K1734" s="404">
        <f t="shared" si="106"/>
        <v>0</v>
      </c>
      <c r="L1734" s="405">
        <f t="shared" si="107"/>
        <v>0</v>
      </c>
      <c r="M1734" s="403"/>
    </row>
    <row r="1735" spans="1:13" ht="63" x14ac:dyDescent="0.25">
      <c r="A1735" s="6" t="s">
        <v>2130</v>
      </c>
      <c r="B1735" s="7" t="s">
        <v>2127</v>
      </c>
      <c r="C1735" s="6" t="s">
        <v>61</v>
      </c>
      <c r="D1735" s="8">
        <v>1.6160000000000001</v>
      </c>
      <c r="E1735" s="403"/>
      <c r="F1735" s="403">
        <f>BBNTHT!J1775</f>
        <v>0</v>
      </c>
      <c r="G1735" s="403">
        <f t="shared" si="104"/>
        <v>0</v>
      </c>
      <c r="H1735" s="9">
        <v>11969098</v>
      </c>
      <c r="I1735" s="404">
        <f t="shared" si="105"/>
        <v>19342062</v>
      </c>
      <c r="J1735" s="403"/>
      <c r="K1735" s="404">
        <f t="shared" si="106"/>
        <v>0</v>
      </c>
      <c r="L1735" s="405">
        <f t="shared" si="107"/>
        <v>0</v>
      </c>
      <c r="M1735" s="403"/>
    </row>
    <row r="1736" spans="1:13" ht="47.25" x14ac:dyDescent="0.25">
      <c r="A1736" s="6" t="s">
        <v>2131</v>
      </c>
      <c r="B1736" s="7" t="s">
        <v>1950</v>
      </c>
      <c r="C1736" s="6" t="s">
        <v>37</v>
      </c>
      <c r="D1736" s="8">
        <v>14.276</v>
      </c>
      <c r="E1736" s="403"/>
      <c r="F1736" s="403">
        <f>BBNTHT!J1776</f>
        <v>0</v>
      </c>
      <c r="G1736" s="403">
        <f t="shared" si="104"/>
        <v>0</v>
      </c>
      <c r="H1736" s="9">
        <v>2078902</v>
      </c>
      <c r="I1736" s="404">
        <f t="shared" si="105"/>
        <v>29678405</v>
      </c>
      <c r="J1736" s="403"/>
      <c r="K1736" s="404">
        <f t="shared" si="106"/>
        <v>0</v>
      </c>
      <c r="L1736" s="405">
        <f t="shared" si="107"/>
        <v>0</v>
      </c>
      <c r="M1736" s="403"/>
    </row>
    <row r="1737" spans="1:13" ht="15.75" x14ac:dyDescent="0.25">
      <c r="A1737" s="6" t="s">
        <v>2132</v>
      </c>
      <c r="B1737" s="7" t="s">
        <v>1944</v>
      </c>
      <c r="C1737" s="6" t="s">
        <v>61</v>
      </c>
      <c r="D1737" s="8">
        <v>1.4279999999999999</v>
      </c>
      <c r="E1737" s="403"/>
      <c r="F1737" s="403">
        <f>BBNTHT!J1777</f>
        <v>0</v>
      </c>
      <c r="G1737" s="403">
        <f t="shared" si="104"/>
        <v>0</v>
      </c>
      <c r="H1737" s="9">
        <v>7375857</v>
      </c>
      <c r="I1737" s="404">
        <f t="shared" si="105"/>
        <v>10532724</v>
      </c>
      <c r="J1737" s="403"/>
      <c r="K1737" s="404">
        <f t="shared" si="106"/>
        <v>0</v>
      </c>
      <c r="L1737" s="405">
        <f t="shared" si="107"/>
        <v>0</v>
      </c>
      <c r="M1737" s="403"/>
    </row>
    <row r="1738" spans="1:13" ht="47.25" x14ac:dyDescent="0.25">
      <c r="A1738" s="6" t="s">
        <v>2133</v>
      </c>
      <c r="B1738" s="7" t="s">
        <v>1950</v>
      </c>
      <c r="C1738" s="6" t="s">
        <v>37</v>
      </c>
      <c r="D1738" s="8">
        <v>3.5710000000000002</v>
      </c>
      <c r="E1738" s="403"/>
      <c r="F1738" s="403">
        <f>BBNTHT!J1778</f>
        <v>0</v>
      </c>
      <c r="G1738" s="403">
        <f t="shared" si="104"/>
        <v>0</v>
      </c>
      <c r="H1738" s="9">
        <v>2078902</v>
      </c>
      <c r="I1738" s="404">
        <f t="shared" si="105"/>
        <v>7423759</v>
      </c>
      <c r="J1738" s="403"/>
      <c r="K1738" s="404">
        <f t="shared" si="106"/>
        <v>0</v>
      </c>
      <c r="L1738" s="405">
        <f t="shared" si="107"/>
        <v>0</v>
      </c>
      <c r="M1738" s="403"/>
    </row>
    <row r="1739" spans="1:13" ht="63" x14ac:dyDescent="0.25">
      <c r="A1739" s="6" t="s">
        <v>2134</v>
      </c>
      <c r="B1739" s="7" t="s">
        <v>2135</v>
      </c>
      <c r="C1739" s="6" t="s">
        <v>61</v>
      </c>
      <c r="D1739" s="8">
        <v>0.83199999999999996</v>
      </c>
      <c r="E1739" s="403"/>
      <c r="F1739" s="403">
        <f>BBNTHT!J1779</f>
        <v>0</v>
      </c>
      <c r="G1739" s="403">
        <f t="shared" si="104"/>
        <v>0</v>
      </c>
      <c r="H1739" s="9">
        <v>12537909</v>
      </c>
      <c r="I1739" s="404">
        <f t="shared" si="105"/>
        <v>10431540</v>
      </c>
      <c r="J1739" s="403"/>
      <c r="K1739" s="404">
        <f t="shared" si="106"/>
        <v>0</v>
      </c>
      <c r="L1739" s="405">
        <f t="shared" si="107"/>
        <v>0</v>
      </c>
      <c r="M1739" s="403"/>
    </row>
    <row r="1740" spans="1:13" ht="47.25" x14ac:dyDescent="0.25">
      <c r="A1740" s="6" t="s">
        <v>2136</v>
      </c>
      <c r="B1740" s="7" t="s">
        <v>2137</v>
      </c>
      <c r="C1740" s="6" t="s">
        <v>32</v>
      </c>
      <c r="D1740" s="8">
        <v>0.34399999999999997</v>
      </c>
      <c r="E1740" s="403"/>
      <c r="F1740" s="403">
        <f>BBNTHT!J1780</f>
        <v>0</v>
      </c>
      <c r="G1740" s="403">
        <f t="shared" si="104"/>
        <v>0</v>
      </c>
      <c r="H1740" s="9">
        <v>25615717</v>
      </c>
      <c r="I1740" s="404">
        <f t="shared" si="105"/>
        <v>8811807</v>
      </c>
      <c r="J1740" s="403"/>
      <c r="K1740" s="404">
        <f t="shared" si="106"/>
        <v>0</v>
      </c>
      <c r="L1740" s="405">
        <f t="shared" si="107"/>
        <v>0</v>
      </c>
      <c r="M1740" s="403"/>
    </row>
    <row r="1741" spans="1:13" ht="47.25" x14ac:dyDescent="0.25">
      <c r="A1741" s="6" t="s">
        <v>2138</v>
      </c>
      <c r="B1741" s="7" t="s">
        <v>2139</v>
      </c>
      <c r="C1741" s="6" t="s">
        <v>32</v>
      </c>
      <c r="D1741" s="8">
        <v>1.7</v>
      </c>
      <c r="E1741" s="403"/>
      <c r="F1741" s="403">
        <f>BBNTHT!J1781</f>
        <v>0</v>
      </c>
      <c r="G1741" s="403">
        <f t="shared" si="104"/>
        <v>0</v>
      </c>
      <c r="H1741" s="9">
        <v>25250276</v>
      </c>
      <c r="I1741" s="404">
        <f t="shared" si="105"/>
        <v>42925469</v>
      </c>
      <c r="J1741" s="403"/>
      <c r="K1741" s="404">
        <f t="shared" si="106"/>
        <v>0</v>
      </c>
      <c r="L1741" s="405">
        <f t="shared" si="107"/>
        <v>0</v>
      </c>
      <c r="M1741" s="403"/>
    </row>
    <row r="1742" spans="1:13" ht="47.25" x14ac:dyDescent="0.25">
      <c r="A1742" s="6" t="s">
        <v>2140</v>
      </c>
      <c r="B1742" s="7" t="s">
        <v>1954</v>
      </c>
      <c r="C1742" s="6" t="s">
        <v>32</v>
      </c>
      <c r="D1742" s="8">
        <v>0.187</v>
      </c>
      <c r="E1742" s="403"/>
      <c r="F1742" s="403">
        <f>BBNTHT!J1782</f>
        <v>0</v>
      </c>
      <c r="G1742" s="403">
        <f t="shared" si="104"/>
        <v>0</v>
      </c>
      <c r="H1742" s="9">
        <v>24189690</v>
      </c>
      <c r="I1742" s="404">
        <f t="shared" si="105"/>
        <v>4523472</v>
      </c>
      <c r="J1742" s="403"/>
      <c r="K1742" s="404">
        <f t="shared" si="106"/>
        <v>0</v>
      </c>
      <c r="L1742" s="405">
        <f t="shared" si="107"/>
        <v>0</v>
      </c>
      <c r="M1742" s="403"/>
    </row>
    <row r="1743" spans="1:13" ht="47.25" x14ac:dyDescent="0.25">
      <c r="A1743" s="6" t="s">
        <v>2141</v>
      </c>
      <c r="B1743" s="7" t="s">
        <v>2142</v>
      </c>
      <c r="C1743" s="6" t="s">
        <v>32</v>
      </c>
      <c r="D1743" s="8">
        <v>0.22600000000000001</v>
      </c>
      <c r="E1743" s="403"/>
      <c r="F1743" s="403">
        <f>BBNTHT!J1783</f>
        <v>0</v>
      </c>
      <c r="G1743" s="403">
        <f t="shared" si="104"/>
        <v>0</v>
      </c>
      <c r="H1743" s="9">
        <v>25231550</v>
      </c>
      <c r="I1743" s="404">
        <f t="shared" si="105"/>
        <v>5702330</v>
      </c>
      <c r="J1743" s="403"/>
      <c r="K1743" s="404">
        <f t="shared" si="106"/>
        <v>0</v>
      </c>
      <c r="L1743" s="405">
        <f t="shared" si="107"/>
        <v>0</v>
      </c>
      <c r="M1743" s="403"/>
    </row>
    <row r="1744" spans="1:13" ht="47.25" x14ac:dyDescent="0.25">
      <c r="A1744" s="6" t="s">
        <v>2143</v>
      </c>
      <c r="B1744" s="7" t="s">
        <v>2144</v>
      </c>
      <c r="C1744" s="6" t="s">
        <v>32</v>
      </c>
      <c r="D1744" s="8">
        <v>1.66</v>
      </c>
      <c r="E1744" s="403"/>
      <c r="F1744" s="403">
        <f>BBNTHT!J1784</f>
        <v>0</v>
      </c>
      <c r="G1744" s="403">
        <f t="shared" si="104"/>
        <v>0</v>
      </c>
      <c r="H1744" s="9">
        <v>25420779</v>
      </c>
      <c r="I1744" s="404">
        <f t="shared" si="105"/>
        <v>42198493</v>
      </c>
      <c r="J1744" s="403"/>
      <c r="K1744" s="404">
        <f t="shared" si="106"/>
        <v>0</v>
      </c>
      <c r="L1744" s="405">
        <f t="shared" si="107"/>
        <v>0</v>
      </c>
      <c r="M1744" s="403"/>
    </row>
    <row r="1745" spans="1:13" ht="47.25" x14ac:dyDescent="0.25">
      <c r="A1745" s="6" t="s">
        <v>2145</v>
      </c>
      <c r="B1745" s="7" t="s">
        <v>2146</v>
      </c>
      <c r="C1745" s="6" t="s">
        <v>37</v>
      </c>
      <c r="D1745" s="8">
        <v>18.907</v>
      </c>
      <c r="E1745" s="403"/>
      <c r="F1745" s="403">
        <f>BBNTHT!J1785</f>
        <v>0</v>
      </c>
      <c r="G1745" s="403">
        <f t="shared" si="104"/>
        <v>0</v>
      </c>
      <c r="H1745" s="9">
        <v>3200109</v>
      </c>
      <c r="I1745" s="404">
        <f t="shared" si="105"/>
        <v>60504461</v>
      </c>
      <c r="J1745" s="403"/>
      <c r="K1745" s="404">
        <f t="shared" si="106"/>
        <v>0</v>
      </c>
      <c r="L1745" s="405">
        <f t="shared" si="107"/>
        <v>0</v>
      </c>
      <c r="M1745" s="403"/>
    </row>
    <row r="1746" spans="1:13" ht="63" x14ac:dyDescent="0.25">
      <c r="A1746" s="6" t="s">
        <v>2147</v>
      </c>
      <c r="B1746" s="7" t="s">
        <v>2148</v>
      </c>
      <c r="C1746" s="6" t="s">
        <v>37</v>
      </c>
      <c r="D1746" s="8">
        <v>25.029</v>
      </c>
      <c r="E1746" s="403"/>
      <c r="F1746" s="403">
        <f>BBNTHT!J1786</f>
        <v>0</v>
      </c>
      <c r="G1746" s="403">
        <f t="shared" ref="G1746:G1809" si="108">F1746+E1746</f>
        <v>0</v>
      </c>
      <c r="H1746" s="9">
        <v>1778895</v>
      </c>
      <c r="I1746" s="404">
        <f t="shared" ref="I1746:I1809" si="109">ROUND(D1746*H1746,0)</f>
        <v>44523963</v>
      </c>
      <c r="J1746" s="403"/>
      <c r="K1746" s="404">
        <f t="shared" ref="K1746:K1809" si="110">ROUND(F1746*H1746,0)</f>
        <v>0</v>
      </c>
      <c r="L1746" s="405">
        <f t="shared" ref="L1746:L1809" si="111">J1746+K1746</f>
        <v>0</v>
      </c>
      <c r="M1746" s="403"/>
    </row>
    <row r="1747" spans="1:13" ht="63" x14ac:dyDescent="0.25">
      <c r="A1747" s="6" t="s">
        <v>2149</v>
      </c>
      <c r="B1747" s="7" t="s">
        <v>2150</v>
      </c>
      <c r="C1747" s="6" t="s">
        <v>37</v>
      </c>
      <c r="D1747" s="8">
        <v>33.591999999999999</v>
      </c>
      <c r="E1747" s="403"/>
      <c r="F1747" s="403">
        <f>BBNTHT!J1787</f>
        <v>0</v>
      </c>
      <c r="G1747" s="403">
        <f t="shared" si="108"/>
        <v>0</v>
      </c>
      <c r="H1747" s="9">
        <v>1872472</v>
      </c>
      <c r="I1747" s="404">
        <f t="shared" si="109"/>
        <v>62900079</v>
      </c>
      <c r="J1747" s="403"/>
      <c r="K1747" s="404">
        <f t="shared" si="110"/>
        <v>0</v>
      </c>
      <c r="L1747" s="405">
        <f t="shared" si="111"/>
        <v>0</v>
      </c>
      <c r="M1747" s="403"/>
    </row>
    <row r="1748" spans="1:13" ht="63" x14ac:dyDescent="0.25">
      <c r="A1748" s="6" t="s">
        <v>2151</v>
      </c>
      <c r="B1748" s="7" t="s">
        <v>2152</v>
      </c>
      <c r="C1748" s="6" t="s">
        <v>52</v>
      </c>
      <c r="D1748" s="8">
        <v>1423.7619999999999</v>
      </c>
      <c r="E1748" s="403"/>
      <c r="F1748" s="403">
        <f>BBNTHT!J1788</f>
        <v>0</v>
      </c>
      <c r="G1748" s="403">
        <f t="shared" si="108"/>
        <v>0</v>
      </c>
      <c r="H1748" s="9">
        <v>104083</v>
      </c>
      <c r="I1748" s="404">
        <f t="shared" si="109"/>
        <v>148189420</v>
      </c>
      <c r="J1748" s="403"/>
      <c r="K1748" s="404">
        <f t="shared" si="110"/>
        <v>0</v>
      </c>
      <c r="L1748" s="405">
        <f t="shared" si="111"/>
        <v>0</v>
      </c>
      <c r="M1748" s="403"/>
    </row>
    <row r="1749" spans="1:13" ht="47.25" x14ac:dyDescent="0.25">
      <c r="A1749" s="6" t="s">
        <v>2153</v>
      </c>
      <c r="B1749" s="7" t="s">
        <v>2154</v>
      </c>
      <c r="C1749" s="6" t="s">
        <v>52</v>
      </c>
      <c r="D1749" s="8">
        <v>83.16</v>
      </c>
      <c r="E1749" s="403"/>
      <c r="F1749" s="403">
        <f>BBNTHT!J1789</f>
        <v>0</v>
      </c>
      <c r="G1749" s="403">
        <f t="shared" si="108"/>
        <v>0</v>
      </c>
      <c r="H1749" s="9">
        <v>213398</v>
      </c>
      <c r="I1749" s="404">
        <f t="shared" si="109"/>
        <v>17746178</v>
      </c>
      <c r="J1749" s="403"/>
      <c r="K1749" s="404">
        <f t="shared" si="110"/>
        <v>0</v>
      </c>
      <c r="L1749" s="405">
        <f t="shared" si="111"/>
        <v>0</v>
      </c>
      <c r="M1749" s="403"/>
    </row>
    <row r="1750" spans="1:13" ht="31.5" x14ac:dyDescent="0.25">
      <c r="A1750" s="6" t="s">
        <v>2155</v>
      </c>
      <c r="B1750" s="7" t="s">
        <v>2156</v>
      </c>
      <c r="C1750" s="6" t="s">
        <v>52</v>
      </c>
      <c r="D1750" s="8">
        <v>83.3</v>
      </c>
      <c r="E1750" s="403"/>
      <c r="F1750" s="403">
        <f>BBNTHT!J1790</f>
        <v>0</v>
      </c>
      <c r="G1750" s="403">
        <f t="shared" si="108"/>
        <v>0</v>
      </c>
      <c r="H1750" s="9">
        <v>151012</v>
      </c>
      <c r="I1750" s="404">
        <f t="shared" si="109"/>
        <v>12579300</v>
      </c>
      <c r="J1750" s="403"/>
      <c r="K1750" s="404">
        <f t="shared" si="110"/>
        <v>0</v>
      </c>
      <c r="L1750" s="405">
        <f t="shared" si="111"/>
        <v>0</v>
      </c>
      <c r="M1750" s="403"/>
    </row>
    <row r="1751" spans="1:13" ht="47.25" x14ac:dyDescent="0.25">
      <c r="A1751" s="6" t="s">
        <v>2157</v>
      </c>
      <c r="B1751" s="7" t="s">
        <v>423</v>
      </c>
      <c r="C1751" s="6" t="s">
        <v>52</v>
      </c>
      <c r="D1751" s="8">
        <v>1590.222</v>
      </c>
      <c r="E1751" s="403"/>
      <c r="F1751" s="403">
        <f>BBNTHT!J1791</f>
        <v>0</v>
      </c>
      <c r="G1751" s="403">
        <f t="shared" si="108"/>
        <v>0</v>
      </c>
      <c r="H1751" s="9">
        <v>76494</v>
      </c>
      <c r="I1751" s="404">
        <f t="shared" si="109"/>
        <v>121642442</v>
      </c>
      <c r="J1751" s="403"/>
      <c r="K1751" s="404">
        <f t="shared" si="110"/>
        <v>0</v>
      </c>
      <c r="L1751" s="405">
        <f t="shared" si="111"/>
        <v>0</v>
      </c>
      <c r="M1751" s="403"/>
    </row>
    <row r="1752" spans="1:13" ht="15.75" x14ac:dyDescent="0.25">
      <c r="A1752" s="6" t="s">
        <v>2158</v>
      </c>
      <c r="B1752" s="7" t="s">
        <v>2159</v>
      </c>
      <c r="C1752" s="6" t="s">
        <v>52</v>
      </c>
      <c r="D1752" s="8">
        <v>87.82</v>
      </c>
      <c r="E1752" s="403"/>
      <c r="F1752" s="403">
        <f>BBNTHT!J1792</f>
        <v>0</v>
      </c>
      <c r="G1752" s="403">
        <f t="shared" si="108"/>
        <v>0</v>
      </c>
      <c r="H1752" s="9">
        <v>958599</v>
      </c>
      <c r="I1752" s="404">
        <f t="shared" si="109"/>
        <v>84184164</v>
      </c>
      <c r="J1752" s="403"/>
      <c r="K1752" s="404">
        <f t="shared" si="110"/>
        <v>0</v>
      </c>
      <c r="L1752" s="405">
        <f t="shared" si="111"/>
        <v>0</v>
      </c>
      <c r="M1752" s="403"/>
    </row>
    <row r="1753" spans="1:13" ht="15.75" x14ac:dyDescent="0.25">
      <c r="A1753" s="6" t="s">
        <v>2160</v>
      </c>
      <c r="B1753" s="7" t="s">
        <v>2161</v>
      </c>
      <c r="C1753" s="6" t="s">
        <v>52</v>
      </c>
      <c r="D1753" s="8">
        <v>87.82</v>
      </c>
      <c r="E1753" s="403"/>
      <c r="F1753" s="403">
        <f>BBNTHT!J1793</f>
        <v>0</v>
      </c>
      <c r="G1753" s="403">
        <f t="shared" si="108"/>
        <v>0</v>
      </c>
      <c r="H1753" s="9">
        <v>84909</v>
      </c>
      <c r="I1753" s="404">
        <f t="shared" si="109"/>
        <v>7456708</v>
      </c>
      <c r="J1753" s="403"/>
      <c r="K1753" s="404">
        <f t="shared" si="110"/>
        <v>0</v>
      </c>
      <c r="L1753" s="405">
        <f t="shared" si="111"/>
        <v>0</v>
      </c>
      <c r="M1753" s="403"/>
    </row>
    <row r="1754" spans="1:13" ht="31.5" x14ac:dyDescent="0.25">
      <c r="A1754" s="6" t="s">
        <v>2162</v>
      </c>
      <c r="B1754" s="7" t="s">
        <v>297</v>
      </c>
      <c r="C1754" s="6" t="s">
        <v>52</v>
      </c>
      <c r="D1754" s="8">
        <v>43.91</v>
      </c>
      <c r="E1754" s="403"/>
      <c r="F1754" s="403">
        <f>BBNTHT!J1794</f>
        <v>0</v>
      </c>
      <c r="G1754" s="403">
        <f t="shared" si="108"/>
        <v>0</v>
      </c>
      <c r="H1754" s="9">
        <v>177682</v>
      </c>
      <c r="I1754" s="404">
        <f t="shared" si="109"/>
        <v>7802017</v>
      </c>
      <c r="J1754" s="403"/>
      <c r="K1754" s="404">
        <f t="shared" si="110"/>
        <v>0</v>
      </c>
      <c r="L1754" s="405">
        <f t="shared" si="111"/>
        <v>0</v>
      </c>
      <c r="M1754" s="403"/>
    </row>
    <row r="1755" spans="1:13" ht="15.75" x14ac:dyDescent="0.25">
      <c r="A1755" s="2" t="s">
        <v>2163</v>
      </c>
      <c r="B1755" s="3" t="s">
        <v>2164</v>
      </c>
      <c r="C1755" s="2"/>
      <c r="D1755" s="4" t="s">
        <v>3</v>
      </c>
      <c r="E1755" s="403"/>
      <c r="F1755" s="403">
        <f>BBNTHT!J1795</f>
        <v>0</v>
      </c>
      <c r="G1755" s="403">
        <f t="shared" si="108"/>
        <v>0</v>
      </c>
      <c r="H1755" s="5"/>
      <c r="I1755" s="404"/>
      <c r="J1755" s="403"/>
      <c r="K1755" s="404">
        <f t="shared" si="110"/>
        <v>0</v>
      </c>
      <c r="L1755" s="405">
        <f t="shared" si="111"/>
        <v>0</v>
      </c>
      <c r="M1755" s="403"/>
    </row>
    <row r="1756" spans="1:13" ht="15.75" x14ac:dyDescent="0.25">
      <c r="A1756" s="2" t="s">
        <v>2165</v>
      </c>
      <c r="B1756" s="3" t="s">
        <v>2166</v>
      </c>
      <c r="C1756" s="2"/>
      <c r="D1756" s="4" t="s">
        <v>3</v>
      </c>
      <c r="E1756" s="403"/>
      <c r="F1756" s="403">
        <f>BBNTHT!J1796</f>
        <v>0</v>
      </c>
      <c r="G1756" s="403">
        <f t="shared" si="108"/>
        <v>0</v>
      </c>
      <c r="H1756" s="5"/>
      <c r="I1756" s="404"/>
      <c r="J1756" s="403"/>
      <c r="K1756" s="404">
        <f t="shared" si="110"/>
        <v>0</v>
      </c>
      <c r="L1756" s="405">
        <f t="shared" si="111"/>
        <v>0</v>
      </c>
      <c r="M1756" s="403"/>
    </row>
    <row r="1757" spans="1:13" ht="47.25" x14ac:dyDescent="0.25">
      <c r="A1757" s="6" t="s">
        <v>2167</v>
      </c>
      <c r="B1757" s="7" t="s">
        <v>2118</v>
      </c>
      <c r="C1757" s="6" t="s">
        <v>27</v>
      </c>
      <c r="D1757" s="8">
        <v>15.634</v>
      </c>
      <c r="E1757" s="403"/>
      <c r="F1757" s="403">
        <f>BBNTHT!J1797</f>
        <v>0</v>
      </c>
      <c r="G1757" s="403">
        <f t="shared" si="108"/>
        <v>0</v>
      </c>
      <c r="H1757" s="9">
        <v>2235933</v>
      </c>
      <c r="I1757" s="404">
        <f t="shared" si="109"/>
        <v>34956577</v>
      </c>
      <c r="J1757" s="403"/>
      <c r="K1757" s="404">
        <f t="shared" si="110"/>
        <v>0</v>
      </c>
      <c r="L1757" s="405">
        <f t="shared" si="111"/>
        <v>0</v>
      </c>
      <c r="M1757" s="403"/>
    </row>
    <row r="1758" spans="1:13" ht="31.5" x14ac:dyDescent="0.25">
      <c r="A1758" s="6" t="s">
        <v>2168</v>
      </c>
      <c r="B1758" s="7" t="s">
        <v>43</v>
      </c>
      <c r="C1758" s="6" t="s">
        <v>27</v>
      </c>
      <c r="D1758" s="8">
        <v>3.827</v>
      </c>
      <c r="E1758" s="403"/>
      <c r="F1758" s="403">
        <f>BBNTHT!J1798</f>
        <v>0</v>
      </c>
      <c r="G1758" s="403">
        <f t="shared" si="108"/>
        <v>0</v>
      </c>
      <c r="H1758" s="9">
        <v>3013626</v>
      </c>
      <c r="I1758" s="404">
        <f t="shared" si="109"/>
        <v>11533147</v>
      </c>
      <c r="J1758" s="403"/>
      <c r="K1758" s="404">
        <f t="shared" si="110"/>
        <v>0</v>
      </c>
      <c r="L1758" s="405">
        <f t="shared" si="111"/>
        <v>0</v>
      </c>
      <c r="M1758" s="403"/>
    </row>
    <row r="1759" spans="1:13" ht="31.5" x14ac:dyDescent="0.25">
      <c r="A1759" s="6" t="s">
        <v>2169</v>
      </c>
      <c r="B1759" s="7" t="s">
        <v>2170</v>
      </c>
      <c r="C1759" s="6" t="s">
        <v>27</v>
      </c>
      <c r="D1759" s="8">
        <v>11.365</v>
      </c>
      <c r="E1759" s="403"/>
      <c r="F1759" s="403">
        <f>BBNTHT!J1799</f>
        <v>0</v>
      </c>
      <c r="G1759" s="403">
        <f t="shared" si="108"/>
        <v>0</v>
      </c>
      <c r="H1759" s="9">
        <v>2359400</v>
      </c>
      <c r="I1759" s="404">
        <f t="shared" si="109"/>
        <v>26814581</v>
      </c>
      <c r="J1759" s="403"/>
      <c r="K1759" s="404">
        <f t="shared" si="110"/>
        <v>0</v>
      </c>
      <c r="L1759" s="405">
        <f t="shared" si="111"/>
        <v>0</v>
      </c>
      <c r="M1759" s="403"/>
    </row>
    <row r="1760" spans="1:13" ht="47.25" x14ac:dyDescent="0.25">
      <c r="A1760" s="6" t="s">
        <v>2171</v>
      </c>
      <c r="B1760" s="7" t="s">
        <v>2172</v>
      </c>
      <c r="C1760" s="6" t="s">
        <v>27</v>
      </c>
      <c r="D1760" s="8">
        <v>11.365</v>
      </c>
      <c r="E1760" s="403"/>
      <c r="F1760" s="403">
        <f>BBNTHT!J1800</f>
        <v>0</v>
      </c>
      <c r="G1760" s="403">
        <f t="shared" si="108"/>
        <v>0</v>
      </c>
      <c r="H1760" s="9">
        <v>4024442</v>
      </c>
      <c r="I1760" s="404">
        <f t="shared" si="109"/>
        <v>45737783</v>
      </c>
      <c r="J1760" s="403"/>
      <c r="K1760" s="404">
        <f t="shared" si="110"/>
        <v>0</v>
      </c>
      <c r="L1760" s="405">
        <f t="shared" si="111"/>
        <v>0</v>
      </c>
      <c r="M1760" s="403"/>
    </row>
    <row r="1761" spans="1:13" ht="47.25" x14ac:dyDescent="0.25">
      <c r="A1761" s="6" t="s">
        <v>2173</v>
      </c>
      <c r="B1761" s="7" t="s">
        <v>2050</v>
      </c>
      <c r="C1761" s="6" t="s">
        <v>37</v>
      </c>
      <c r="D1761" s="8">
        <v>26.637</v>
      </c>
      <c r="E1761" s="403"/>
      <c r="F1761" s="403">
        <f>BBNTHT!J1801</f>
        <v>0</v>
      </c>
      <c r="G1761" s="403">
        <f t="shared" si="108"/>
        <v>0</v>
      </c>
      <c r="H1761" s="9">
        <v>1223510</v>
      </c>
      <c r="I1761" s="404">
        <f t="shared" si="109"/>
        <v>32590636</v>
      </c>
      <c r="J1761" s="403"/>
      <c r="K1761" s="404">
        <f t="shared" si="110"/>
        <v>0</v>
      </c>
      <c r="L1761" s="405">
        <f t="shared" si="111"/>
        <v>0</v>
      </c>
      <c r="M1761" s="403"/>
    </row>
    <row r="1762" spans="1:13" ht="47.25" x14ac:dyDescent="0.25">
      <c r="A1762" s="6" t="s">
        <v>2174</v>
      </c>
      <c r="B1762" s="7" t="s">
        <v>2175</v>
      </c>
      <c r="C1762" s="6" t="s">
        <v>37</v>
      </c>
      <c r="D1762" s="8">
        <v>91.078999999999994</v>
      </c>
      <c r="E1762" s="403"/>
      <c r="F1762" s="403">
        <f>BBNTHT!J1802</f>
        <v>0</v>
      </c>
      <c r="G1762" s="403">
        <f t="shared" si="108"/>
        <v>0</v>
      </c>
      <c r="H1762" s="9">
        <v>1993215</v>
      </c>
      <c r="I1762" s="404">
        <f t="shared" si="109"/>
        <v>181540029</v>
      </c>
      <c r="J1762" s="403"/>
      <c r="K1762" s="404">
        <f t="shared" si="110"/>
        <v>0</v>
      </c>
      <c r="L1762" s="405">
        <f t="shared" si="111"/>
        <v>0</v>
      </c>
      <c r="M1762" s="403"/>
    </row>
    <row r="1763" spans="1:13" ht="15.75" x14ac:dyDescent="0.25">
      <c r="A1763" s="6" t="s">
        <v>2176</v>
      </c>
      <c r="B1763" s="7" t="s">
        <v>159</v>
      </c>
      <c r="C1763" s="6" t="s">
        <v>61</v>
      </c>
      <c r="D1763" s="8">
        <v>0.86499999999999999</v>
      </c>
      <c r="E1763" s="403"/>
      <c r="F1763" s="403">
        <f>BBNTHT!J1803</f>
        <v>0</v>
      </c>
      <c r="G1763" s="403">
        <f t="shared" si="108"/>
        <v>0</v>
      </c>
      <c r="H1763" s="9">
        <v>7375857</v>
      </c>
      <c r="I1763" s="404">
        <f t="shared" si="109"/>
        <v>6380116</v>
      </c>
      <c r="J1763" s="403"/>
      <c r="K1763" s="404">
        <f t="shared" si="110"/>
        <v>0</v>
      </c>
      <c r="L1763" s="405">
        <f t="shared" si="111"/>
        <v>0</v>
      </c>
      <c r="M1763" s="403"/>
    </row>
    <row r="1764" spans="1:13" ht="63" x14ac:dyDescent="0.25">
      <c r="A1764" s="6" t="s">
        <v>2177</v>
      </c>
      <c r="B1764" s="7" t="s">
        <v>2178</v>
      </c>
      <c r="C1764" s="6" t="s">
        <v>37</v>
      </c>
      <c r="D1764" s="8">
        <v>232.08500000000001</v>
      </c>
      <c r="E1764" s="403"/>
      <c r="F1764" s="403">
        <f>BBNTHT!J1804</f>
        <v>0</v>
      </c>
      <c r="G1764" s="403">
        <f t="shared" si="108"/>
        <v>0</v>
      </c>
      <c r="H1764" s="9">
        <v>2318235</v>
      </c>
      <c r="I1764" s="404">
        <f t="shared" si="109"/>
        <v>538027570</v>
      </c>
      <c r="J1764" s="403"/>
      <c r="K1764" s="404">
        <f t="shared" si="110"/>
        <v>0</v>
      </c>
      <c r="L1764" s="405">
        <f t="shared" si="111"/>
        <v>0</v>
      </c>
      <c r="M1764" s="403"/>
    </row>
    <row r="1765" spans="1:13" ht="15.75" x14ac:dyDescent="0.25">
      <c r="A1765" s="6" t="s">
        <v>2179</v>
      </c>
      <c r="B1765" s="7" t="s">
        <v>2180</v>
      </c>
      <c r="C1765" s="6" t="s">
        <v>61</v>
      </c>
      <c r="D1765" s="8">
        <v>14.643000000000001</v>
      </c>
      <c r="E1765" s="403"/>
      <c r="F1765" s="403">
        <f>BBNTHT!J1805</f>
        <v>0</v>
      </c>
      <c r="G1765" s="403">
        <f t="shared" si="108"/>
        <v>0</v>
      </c>
      <c r="H1765" s="9">
        <v>15767512</v>
      </c>
      <c r="I1765" s="404">
        <f t="shared" si="109"/>
        <v>230883678</v>
      </c>
      <c r="J1765" s="403"/>
      <c r="K1765" s="404">
        <f t="shared" si="110"/>
        <v>0</v>
      </c>
      <c r="L1765" s="405">
        <f t="shared" si="111"/>
        <v>0</v>
      </c>
      <c r="M1765" s="403"/>
    </row>
    <row r="1766" spans="1:13" ht="15.75" x14ac:dyDescent="0.25">
      <c r="A1766" s="6" t="s">
        <v>2181</v>
      </c>
      <c r="B1766" s="7" t="s">
        <v>164</v>
      </c>
      <c r="C1766" s="6" t="s">
        <v>6</v>
      </c>
      <c r="D1766" s="8">
        <v>239.12</v>
      </c>
      <c r="E1766" s="403"/>
      <c r="F1766" s="403">
        <f>BBNTHT!J1806</f>
        <v>0</v>
      </c>
      <c r="G1766" s="403">
        <f t="shared" si="108"/>
        <v>0</v>
      </c>
      <c r="H1766" s="9">
        <v>375737</v>
      </c>
      <c r="I1766" s="404">
        <f t="shared" si="109"/>
        <v>89846231</v>
      </c>
      <c r="J1766" s="403"/>
      <c r="K1766" s="404">
        <f t="shared" si="110"/>
        <v>0</v>
      </c>
      <c r="L1766" s="405">
        <f t="shared" si="111"/>
        <v>0</v>
      </c>
      <c r="M1766" s="403"/>
    </row>
    <row r="1767" spans="1:13" ht="47.25" x14ac:dyDescent="0.25">
      <c r="A1767" s="6" t="s">
        <v>2182</v>
      </c>
      <c r="B1767" s="7" t="s">
        <v>2183</v>
      </c>
      <c r="C1767" s="6" t="s">
        <v>37</v>
      </c>
      <c r="D1767" s="8">
        <v>13.28</v>
      </c>
      <c r="E1767" s="403"/>
      <c r="F1767" s="403">
        <f>BBNTHT!J1807</f>
        <v>0</v>
      </c>
      <c r="G1767" s="403">
        <f t="shared" si="108"/>
        <v>0</v>
      </c>
      <c r="H1767" s="9">
        <v>2252846</v>
      </c>
      <c r="I1767" s="404">
        <f t="shared" si="109"/>
        <v>29917795</v>
      </c>
      <c r="J1767" s="403"/>
      <c r="K1767" s="404">
        <f t="shared" si="110"/>
        <v>0</v>
      </c>
      <c r="L1767" s="405">
        <f t="shared" si="111"/>
        <v>0</v>
      </c>
      <c r="M1767" s="403"/>
    </row>
    <row r="1768" spans="1:13" ht="15.75" x14ac:dyDescent="0.25">
      <c r="A1768" s="6" t="s">
        <v>2184</v>
      </c>
      <c r="B1768" s="7" t="s">
        <v>1944</v>
      </c>
      <c r="C1768" s="6" t="s">
        <v>61</v>
      </c>
      <c r="D1768" s="8">
        <v>1.204</v>
      </c>
      <c r="E1768" s="403"/>
      <c r="F1768" s="403">
        <f>BBNTHT!J1808</f>
        <v>0</v>
      </c>
      <c r="G1768" s="403">
        <f t="shared" si="108"/>
        <v>0</v>
      </c>
      <c r="H1768" s="9">
        <v>7375857</v>
      </c>
      <c r="I1768" s="404">
        <f t="shared" si="109"/>
        <v>8880532</v>
      </c>
      <c r="J1768" s="403"/>
      <c r="K1768" s="404">
        <f t="shared" si="110"/>
        <v>0</v>
      </c>
      <c r="L1768" s="405">
        <f t="shared" si="111"/>
        <v>0</v>
      </c>
      <c r="M1768" s="403"/>
    </row>
    <row r="1769" spans="1:13" ht="31.5" x14ac:dyDescent="0.25">
      <c r="A1769" s="6" t="s">
        <v>2185</v>
      </c>
      <c r="B1769" s="7" t="s">
        <v>2186</v>
      </c>
      <c r="C1769" s="6" t="s">
        <v>32</v>
      </c>
      <c r="D1769" s="8">
        <v>0.65800000000000003</v>
      </c>
      <c r="E1769" s="403"/>
      <c r="F1769" s="403">
        <f>BBNTHT!J1809</f>
        <v>0</v>
      </c>
      <c r="G1769" s="403">
        <f t="shared" si="108"/>
        <v>0</v>
      </c>
      <c r="H1769" s="9">
        <v>24189690</v>
      </c>
      <c r="I1769" s="404">
        <f t="shared" si="109"/>
        <v>15916816</v>
      </c>
      <c r="J1769" s="403"/>
      <c r="K1769" s="404">
        <f t="shared" si="110"/>
        <v>0</v>
      </c>
      <c r="L1769" s="405">
        <f t="shared" si="111"/>
        <v>0</v>
      </c>
      <c r="M1769" s="403"/>
    </row>
    <row r="1770" spans="1:13" ht="31.5" x14ac:dyDescent="0.25">
      <c r="A1770" s="6" t="s">
        <v>2187</v>
      </c>
      <c r="B1770" s="7" t="s">
        <v>2188</v>
      </c>
      <c r="C1770" s="6" t="s">
        <v>32</v>
      </c>
      <c r="D1770" s="8">
        <v>47.804000000000002</v>
      </c>
      <c r="E1770" s="403"/>
      <c r="F1770" s="403">
        <f>BBNTHT!J1810</f>
        <v>33.462800000000001</v>
      </c>
      <c r="G1770" s="403">
        <f t="shared" si="108"/>
        <v>33.462800000000001</v>
      </c>
      <c r="H1770" s="9">
        <v>24758906</v>
      </c>
      <c r="I1770" s="404">
        <f t="shared" si="109"/>
        <v>1183574742</v>
      </c>
      <c r="J1770" s="403"/>
      <c r="K1770" s="404">
        <f t="shared" si="110"/>
        <v>828502320</v>
      </c>
      <c r="L1770" s="405">
        <f t="shared" si="111"/>
        <v>828502320</v>
      </c>
      <c r="M1770" s="403"/>
    </row>
    <row r="1771" spans="1:13" ht="15.75" x14ac:dyDescent="0.25">
      <c r="A1771" s="2" t="s">
        <v>2189</v>
      </c>
      <c r="B1771" s="3" t="s">
        <v>2190</v>
      </c>
      <c r="C1771" s="2"/>
      <c r="D1771" s="4" t="s">
        <v>3</v>
      </c>
      <c r="E1771" s="403"/>
      <c r="F1771" s="403">
        <f>BBNTHT!J1811</f>
        <v>0</v>
      </c>
      <c r="G1771" s="403">
        <f t="shared" si="108"/>
        <v>0</v>
      </c>
      <c r="H1771" s="5"/>
      <c r="I1771" s="404"/>
      <c r="J1771" s="403"/>
      <c r="K1771" s="404">
        <f t="shared" si="110"/>
        <v>0</v>
      </c>
      <c r="L1771" s="405">
        <f t="shared" si="111"/>
        <v>0</v>
      </c>
      <c r="M1771" s="403"/>
    </row>
    <row r="1772" spans="1:13" ht="47.25" x14ac:dyDescent="0.25">
      <c r="A1772" s="6" t="s">
        <v>2191</v>
      </c>
      <c r="B1772" s="7" t="s">
        <v>136</v>
      </c>
      <c r="C1772" s="6" t="s">
        <v>52</v>
      </c>
      <c r="D1772" s="8">
        <v>910.86599999999999</v>
      </c>
      <c r="E1772" s="403"/>
      <c r="F1772" s="403">
        <f>BBNTHT!J1812</f>
        <v>0</v>
      </c>
      <c r="G1772" s="403">
        <f t="shared" si="108"/>
        <v>0</v>
      </c>
      <c r="H1772" s="9">
        <v>235243</v>
      </c>
      <c r="I1772" s="404">
        <f t="shared" si="109"/>
        <v>214274850</v>
      </c>
      <c r="J1772" s="403"/>
      <c r="K1772" s="404">
        <f t="shared" si="110"/>
        <v>0</v>
      </c>
      <c r="L1772" s="405">
        <f t="shared" si="111"/>
        <v>0</v>
      </c>
      <c r="M1772" s="403"/>
    </row>
    <row r="1773" spans="1:13" ht="47.25" x14ac:dyDescent="0.25">
      <c r="A1773" s="6" t="s">
        <v>2192</v>
      </c>
      <c r="B1773" s="7" t="s">
        <v>2193</v>
      </c>
      <c r="C1773" s="6" t="s">
        <v>52</v>
      </c>
      <c r="D1773" s="8">
        <v>910.86599999999999</v>
      </c>
      <c r="E1773" s="403"/>
      <c r="F1773" s="403">
        <f>BBNTHT!J1813</f>
        <v>0</v>
      </c>
      <c r="G1773" s="403">
        <f t="shared" si="108"/>
        <v>0</v>
      </c>
      <c r="H1773" s="9">
        <v>129690</v>
      </c>
      <c r="I1773" s="404">
        <f t="shared" si="109"/>
        <v>118130212</v>
      </c>
      <c r="J1773" s="403"/>
      <c r="K1773" s="404">
        <f t="shared" si="110"/>
        <v>0</v>
      </c>
      <c r="L1773" s="405">
        <f t="shared" si="111"/>
        <v>0</v>
      </c>
      <c r="M1773" s="403"/>
    </row>
    <row r="1774" spans="1:13" ht="31.5" x14ac:dyDescent="0.25">
      <c r="A1774" s="6" t="s">
        <v>2194</v>
      </c>
      <c r="B1774" s="7" t="s">
        <v>173</v>
      </c>
      <c r="C1774" s="6" t="s">
        <v>52</v>
      </c>
      <c r="D1774" s="8">
        <v>39.176000000000002</v>
      </c>
      <c r="E1774" s="403"/>
      <c r="F1774" s="403">
        <f>BBNTHT!J1814</f>
        <v>0</v>
      </c>
      <c r="G1774" s="403">
        <f t="shared" si="108"/>
        <v>0</v>
      </c>
      <c r="H1774" s="9">
        <v>17780</v>
      </c>
      <c r="I1774" s="404">
        <f t="shared" si="109"/>
        <v>696549</v>
      </c>
      <c r="J1774" s="403"/>
      <c r="K1774" s="404">
        <f t="shared" si="110"/>
        <v>0</v>
      </c>
      <c r="L1774" s="405">
        <f t="shared" si="111"/>
        <v>0</v>
      </c>
      <c r="M1774" s="403"/>
    </row>
    <row r="1775" spans="1:13" ht="31.5" x14ac:dyDescent="0.25">
      <c r="A1775" s="6" t="s">
        <v>2195</v>
      </c>
      <c r="B1775" s="7" t="s">
        <v>175</v>
      </c>
      <c r="C1775" s="6" t="s">
        <v>52</v>
      </c>
      <c r="D1775" s="8">
        <v>593.79399999999998</v>
      </c>
      <c r="E1775" s="403"/>
      <c r="F1775" s="403">
        <f>BBNTHT!J1815</f>
        <v>0</v>
      </c>
      <c r="G1775" s="403">
        <f t="shared" si="108"/>
        <v>0</v>
      </c>
      <c r="H1775" s="9">
        <v>90659</v>
      </c>
      <c r="I1775" s="404">
        <f t="shared" si="109"/>
        <v>53832770</v>
      </c>
      <c r="J1775" s="403"/>
      <c r="K1775" s="404">
        <f t="shared" si="110"/>
        <v>0</v>
      </c>
      <c r="L1775" s="405">
        <f t="shared" si="111"/>
        <v>0</v>
      </c>
      <c r="M1775" s="403"/>
    </row>
    <row r="1776" spans="1:13" ht="31.5" x14ac:dyDescent="0.25">
      <c r="A1776" s="6" t="s">
        <v>2196</v>
      </c>
      <c r="B1776" s="7" t="s">
        <v>2197</v>
      </c>
      <c r="C1776" s="6" t="s">
        <v>52</v>
      </c>
      <c r="D1776" s="8">
        <v>593.79399999999998</v>
      </c>
      <c r="E1776" s="403"/>
      <c r="F1776" s="403">
        <f>BBNTHT!J1816</f>
        <v>0</v>
      </c>
      <c r="G1776" s="403">
        <f t="shared" si="108"/>
        <v>0</v>
      </c>
      <c r="H1776" s="9">
        <v>58290</v>
      </c>
      <c r="I1776" s="404">
        <f t="shared" si="109"/>
        <v>34612252</v>
      </c>
      <c r="J1776" s="403"/>
      <c r="K1776" s="404">
        <f t="shared" si="110"/>
        <v>0</v>
      </c>
      <c r="L1776" s="405">
        <f t="shared" si="111"/>
        <v>0</v>
      </c>
      <c r="M1776" s="403"/>
    </row>
    <row r="1777" spans="1:13" ht="15.75" x14ac:dyDescent="0.25">
      <c r="A1777" s="2" t="s">
        <v>2198</v>
      </c>
      <c r="B1777" s="3" t="s">
        <v>2199</v>
      </c>
      <c r="C1777" s="2"/>
      <c r="D1777" s="4" t="s">
        <v>3</v>
      </c>
      <c r="E1777" s="403"/>
      <c r="F1777" s="403">
        <f>BBNTHT!J1817</f>
        <v>0</v>
      </c>
      <c r="G1777" s="403">
        <f t="shared" si="108"/>
        <v>0</v>
      </c>
      <c r="H1777" s="5"/>
      <c r="I1777" s="404"/>
      <c r="J1777" s="403"/>
      <c r="K1777" s="404">
        <f t="shared" si="110"/>
        <v>0</v>
      </c>
      <c r="L1777" s="405">
        <f t="shared" si="111"/>
        <v>0</v>
      </c>
      <c r="M1777" s="403"/>
    </row>
    <row r="1778" spans="1:13" ht="47.25" x14ac:dyDescent="0.25">
      <c r="A1778" s="6" t="s">
        <v>2200</v>
      </c>
      <c r="B1778" s="7" t="s">
        <v>136</v>
      </c>
      <c r="C1778" s="6" t="s">
        <v>52</v>
      </c>
      <c r="D1778" s="8">
        <v>537.67999999999995</v>
      </c>
      <c r="E1778" s="403"/>
      <c r="F1778" s="403">
        <f>BBNTHT!J1818</f>
        <v>0</v>
      </c>
      <c r="G1778" s="403">
        <f t="shared" si="108"/>
        <v>0</v>
      </c>
      <c r="H1778" s="9">
        <v>235243</v>
      </c>
      <c r="I1778" s="404">
        <f t="shared" si="109"/>
        <v>126485456</v>
      </c>
      <c r="J1778" s="403"/>
      <c r="K1778" s="404">
        <f t="shared" si="110"/>
        <v>0</v>
      </c>
      <c r="L1778" s="405">
        <f t="shared" si="111"/>
        <v>0</v>
      </c>
      <c r="M1778" s="403"/>
    </row>
    <row r="1779" spans="1:13" ht="47.25" x14ac:dyDescent="0.25">
      <c r="A1779" s="6" t="s">
        <v>2201</v>
      </c>
      <c r="B1779" s="7" t="s">
        <v>180</v>
      </c>
      <c r="C1779" s="6" t="s">
        <v>52</v>
      </c>
      <c r="D1779" s="8">
        <v>537.67999999999995</v>
      </c>
      <c r="E1779" s="403"/>
      <c r="F1779" s="403">
        <f>BBNTHT!J1819</f>
        <v>0</v>
      </c>
      <c r="G1779" s="403">
        <f t="shared" si="108"/>
        <v>0</v>
      </c>
      <c r="H1779" s="9">
        <v>61198</v>
      </c>
      <c r="I1779" s="404">
        <f t="shared" si="109"/>
        <v>32904941</v>
      </c>
      <c r="J1779" s="403"/>
      <c r="K1779" s="404">
        <f t="shared" si="110"/>
        <v>0</v>
      </c>
      <c r="L1779" s="405">
        <f t="shared" si="111"/>
        <v>0</v>
      </c>
      <c r="M1779" s="403"/>
    </row>
    <row r="1780" spans="1:13" ht="15.75" x14ac:dyDescent="0.25">
      <c r="A1780" s="6" t="s">
        <v>2202</v>
      </c>
      <c r="B1780" s="7" t="s">
        <v>182</v>
      </c>
      <c r="C1780" s="6" t="s">
        <v>37</v>
      </c>
      <c r="D1780" s="8">
        <v>752.86500000000001</v>
      </c>
      <c r="E1780" s="403"/>
      <c r="F1780" s="403">
        <f>BBNTHT!J1820</f>
        <v>0</v>
      </c>
      <c r="G1780" s="403">
        <f t="shared" si="108"/>
        <v>0</v>
      </c>
      <c r="H1780" s="9">
        <v>19050</v>
      </c>
      <c r="I1780" s="404">
        <f t="shared" si="109"/>
        <v>14342078</v>
      </c>
      <c r="J1780" s="403"/>
      <c r="K1780" s="404">
        <f t="shared" si="110"/>
        <v>0</v>
      </c>
      <c r="L1780" s="405">
        <f t="shared" si="111"/>
        <v>0</v>
      </c>
      <c r="M1780" s="403"/>
    </row>
    <row r="1781" spans="1:13" ht="15.75" x14ac:dyDescent="0.25">
      <c r="A1781" s="2" t="s">
        <v>2203</v>
      </c>
      <c r="B1781" s="3" t="s">
        <v>2204</v>
      </c>
      <c r="C1781" s="2"/>
      <c r="D1781" s="4" t="s">
        <v>3</v>
      </c>
      <c r="E1781" s="403"/>
      <c r="F1781" s="403">
        <f>BBNTHT!J1821</f>
        <v>0</v>
      </c>
      <c r="G1781" s="403">
        <f t="shared" si="108"/>
        <v>0</v>
      </c>
      <c r="H1781" s="5"/>
      <c r="I1781" s="404"/>
      <c r="J1781" s="403"/>
      <c r="K1781" s="404">
        <f t="shared" si="110"/>
        <v>0</v>
      </c>
      <c r="L1781" s="405">
        <f t="shared" si="111"/>
        <v>0</v>
      </c>
      <c r="M1781" s="403"/>
    </row>
    <row r="1782" spans="1:13" ht="47.25" x14ac:dyDescent="0.25">
      <c r="A1782" s="6" t="s">
        <v>2205</v>
      </c>
      <c r="B1782" s="7" t="s">
        <v>2118</v>
      </c>
      <c r="C1782" s="6" t="s">
        <v>27</v>
      </c>
      <c r="D1782" s="8">
        <v>0.27400000000000002</v>
      </c>
      <c r="E1782" s="403"/>
      <c r="F1782" s="403">
        <f>BBNTHT!J1822</f>
        <v>0.27400000000000002</v>
      </c>
      <c r="G1782" s="403">
        <f t="shared" si="108"/>
        <v>0.27400000000000002</v>
      </c>
      <c r="H1782" s="9">
        <v>2229062</v>
      </c>
      <c r="I1782" s="404">
        <f t="shared" si="109"/>
        <v>610763</v>
      </c>
      <c r="J1782" s="403"/>
      <c r="K1782" s="404">
        <f t="shared" si="110"/>
        <v>610763</v>
      </c>
      <c r="L1782" s="405">
        <f t="shared" si="111"/>
        <v>610763</v>
      </c>
      <c r="M1782" s="403"/>
    </row>
    <row r="1783" spans="1:13" ht="31.5" x14ac:dyDescent="0.25">
      <c r="A1783" s="6" t="s">
        <v>2206</v>
      </c>
      <c r="B1783" s="7" t="s">
        <v>43</v>
      </c>
      <c r="C1783" s="6" t="s">
        <v>27</v>
      </c>
      <c r="D1783" s="8">
        <v>0.13900000000000001</v>
      </c>
      <c r="E1783" s="403"/>
      <c r="F1783" s="403">
        <f>BBNTHT!J1823</f>
        <v>0.13900000000000001</v>
      </c>
      <c r="G1783" s="403">
        <f t="shared" si="108"/>
        <v>0.13900000000000001</v>
      </c>
      <c r="H1783" s="9">
        <v>3013626</v>
      </c>
      <c r="I1783" s="404">
        <f t="shared" si="109"/>
        <v>418894</v>
      </c>
      <c r="J1783" s="403"/>
      <c r="K1783" s="404">
        <f t="shared" si="110"/>
        <v>418894</v>
      </c>
      <c r="L1783" s="405">
        <f t="shared" si="111"/>
        <v>418894</v>
      </c>
      <c r="M1783" s="403"/>
    </row>
    <row r="1784" spans="1:13" ht="31.5" x14ac:dyDescent="0.25">
      <c r="A1784" s="6" t="s">
        <v>2207</v>
      </c>
      <c r="B1784" s="7" t="s">
        <v>2208</v>
      </c>
      <c r="C1784" s="6" t="s">
        <v>27</v>
      </c>
      <c r="D1784" s="8">
        <v>0.124</v>
      </c>
      <c r="E1784" s="403"/>
      <c r="F1784" s="403">
        <f>BBNTHT!J1824</f>
        <v>0.124</v>
      </c>
      <c r="G1784" s="403">
        <f t="shared" si="108"/>
        <v>0.124</v>
      </c>
      <c r="H1784" s="9">
        <v>16019271</v>
      </c>
      <c r="I1784" s="404">
        <f t="shared" si="109"/>
        <v>1986390</v>
      </c>
      <c r="J1784" s="403"/>
      <c r="K1784" s="404">
        <f t="shared" si="110"/>
        <v>1986390</v>
      </c>
      <c r="L1784" s="405">
        <f t="shared" si="111"/>
        <v>1986390</v>
      </c>
      <c r="M1784" s="403"/>
    </row>
    <row r="1785" spans="1:13" ht="47.25" x14ac:dyDescent="0.25">
      <c r="A1785" s="6" t="s">
        <v>2209</v>
      </c>
      <c r="B1785" s="7" t="s">
        <v>2050</v>
      </c>
      <c r="C1785" s="6" t="s">
        <v>37</v>
      </c>
      <c r="D1785" s="8">
        <v>3.67</v>
      </c>
      <c r="E1785" s="403"/>
      <c r="F1785" s="403">
        <f>BBNTHT!J1825</f>
        <v>3.67</v>
      </c>
      <c r="G1785" s="403">
        <f t="shared" si="108"/>
        <v>3.67</v>
      </c>
      <c r="H1785" s="9">
        <v>1241850</v>
      </c>
      <c r="I1785" s="404">
        <f t="shared" si="109"/>
        <v>4557590</v>
      </c>
      <c r="J1785" s="403"/>
      <c r="K1785" s="404">
        <f t="shared" si="110"/>
        <v>4557590</v>
      </c>
      <c r="L1785" s="405">
        <f t="shared" si="111"/>
        <v>4557590</v>
      </c>
      <c r="M1785" s="403"/>
    </row>
    <row r="1786" spans="1:13" ht="47.25" x14ac:dyDescent="0.25">
      <c r="A1786" s="6" t="s">
        <v>2210</v>
      </c>
      <c r="B1786" s="7" t="s">
        <v>2124</v>
      </c>
      <c r="C1786" s="6" t="s">
        <v>37</v>
      </c>
      <c r="D1786" s="8">
        <v>4.2380000000000004</v>
      </c>
      <c r="E1786" s="403"/>
      <c r="F1786" s="403">
        <f>BBNTHT!J1826</f>
        <v>4.2380000000000004</v>
      </c>
      <c r="G1786" s="403">
        <f t="shared" si="108"/>
        <v>4.2380000000000004</v>
      </c>
      <c r="H1786" s="9">
        <v>1641347</v>
      </c>
      <c r="I1786" s="404">
        <f t="shared" si="109"/>
        <v>6956029</v>
      </c>
      <c r="J1786" s="403"/>
      <c r="K1786" s="404">
        <f t="shared" si="110"/>
        <v>6956029</v>
      </c>
      <c r="L1786" s="405">
        <f t="shared" si="111"/>
        <v>6956029</v>
      </c>
      <c r="M1786" s="403"/>
    </row>
    <row r="1787" spans="1:13" ht="15.75" x14ac:dyDescent="0.25">
      <c r="A1787" s="6" t="s">
        <v>2211</v>
      </c>
      <c r="B1787" s="7" t="s">
        <v>2054</v>
      </c>
      <c r="C1787" s="6" t="s">
        <v>61</v>
      </c>
      <c r="D1787" s="8">
        <v>0.1</v>
      </c>
      <c r="E1787" s="403"/>
      <c r="F1787" s="403">
        <f>BBNTHT!J1827</f>
        <v>0.1</v>
      </c>
      <c r="G1787" s="403">
        <f t="shared" si="108"/>
        <v>0.1</v>
      </c>
      <c r="H1787" s="9">
        <v>12390253</v>
      </c>
      <c r="I1787" s="404">
        <f t="shared" si="109"/>
        <v>1239025</v>
      </c>
      <c r="J1787" s="403"/>
      <c r="K1787" s="404">
        <f t="shared" si="110"/>
        <v>1239025</v>
      </c>
      <c r="L1787" s="405">
        <f t="shared" si="111"/>
        <v>1239025</v>
      </c>
      <c r="M1787" s="403"/>
    </row>
    <row r="1788" spans="1:13" ht="63" x14ac:dyDescent="0.25">
      <c r="A1788" s="6" t="s">
        <v>2212</v>
      </c>
      <c r="B1788" s="7" t="s">
        <v>2127</v>
      </c>
      <c r="C1788" s="6" t="s">
        <v>61</v>
      </c>
      <c r="D1788" s="8">
        <v>6.2E-2</v>
      </c>
      <c r="E1788" s="403"/>
      <c r="F1788" s="403">
        <f>BBNTHT!J1828</f>
        <v>6.2E-2</v>
      </c>
      <c r="G1788" s="403">
        <f t="shared" si="108"/>
        <v>6.2E-2</v>
      </c>
      <c r="H1788" s="9">
        <v>12118227</v>
      </c>
      <c r="I1788" s="404">
        <f t="shared" si="109"/>
        <v>751330</v>
      </c>
      <c r="J1788" s="403"/>
      <c r="K1788" s="404">
        <f t="shared" si="110"/>
        <v>751330</v>
      </c>
      <c r="L1788" s="405">
        <f t="shared" si="111"/>
        <v>751330</v>
      </c>
      <c r="M1788" s="403"/>
    </row>
    <row r="1789" spans="1:13" ht="47.25" x14ac:dyDescent="0.25">
      <c r="A1789" s="6" t="s">
        <v>2213</v>
      </c>
      <c r="B1789" s="7" t="s">
        <v>2129</v>
      </c>
      <c r="C1789" s="6" t="s">
        <v>37</v>
      </c>
      <c r="D1789" s="8">
        <v>1.8</v>
      </c>
      <c r="E1789" s="403"/>
      <c r="F1789" s="403">
        <f>BBNTHT!J1829</f>
        <v>1.8</v>
      </c>
      <c r="G1789" s="403">
        <f t="shared" si="108"/>
        <v>1.8</v>
      </c>
      <c r="H1789" s="9">
        <v>2345094</v>
      </c>
      <c r="I1789" s="404">
        <f t="shared" si="109"/>
        <v>4221169</v>
      </c>
      <c r="J1789" s="403"/>
      <c r="K1789" s="404">
        <f t="shared" si="110"/>
        <v>4221169</v>
      </c>
      <c r="L1789" s="405">
        <f t="shared" si="111"/>
        <v>4221169</v>
      </c>
      <c r="M1789" s="403"/>
    </row>
    <row r="1790" spans="1:13" ht="63" x14ac:dyDescent="0.25">
      <c r="A1790" s="6" t="s">
        <v>2214</v>
      </c>
      <c r="B1790" s="7" t="s">
        <v>2127</v>
      </c>
      <c r="C1790" s="6" t="s">
        <v>61</v>
      </c>
      <c r="D1790" s="8">
        <v>0.35499999999999998</v>
      </c>
      <c r="E1790" s="403"/>
      <c r="F1790" s="403">
        <f>BBNTHT!J1830</f>
        <v>0.35499999999999998</v>
      </c>
      <c r="G1790" s="403">
        <f t="shared" si="108"/>
        <v>0.35499999999999998</v>
      </c>
      <c r="H1790" s="9">
        <v>12118227</v>
      </c>
      <c r="I1790" s="404">
        <f t="shared" si="109"/>
        <v>4301971</v>
      </c>
      <c r="J1790" s="403"/>
      <c r="K1790" s="404">
        <f t="shared" si="110"/>
        <v>4301971</v>
      </c>
      <c r="L1790" s="405">
        <f t="shared" si="111"/>
        <v>4301971</v>
      </c>
      <c r="M1790" s="403"/>
    </row>
    <row r="1791" spans="1:13" ht="47.25" x14ac:dyDescent="0.25">
      <c r="A1791" s="6" t="s">
        <v>2215</v>
      </c>
      <c r="B1791" s="7" t="s">
        <v>1950</v>
      </c>
      <c r="C1791" s="6" t="s">
        <v>37</v>
      </c>
      <c r="D1791" s="8">
        <v>5.5739999999999998</v>
      </c>
      <c r="E1791" s="403"/>
      <c r="F1791" s="403">
        <f>BBNTHT!J1831</f>
        <v>5.5739999999999998</v>
      </c>
      <c r="G1791" s="403">
        <f t="shared" si="108"/>
        <v>5.5739999999999998</v>
      </c>
      <c r="H1791" s="9">
        <v>2078902</v>
      </c>
      <c r="I1791" s="404">
        <f t="shared" si="109"/>
        <v>11587800</v>
      </c>
      <c r="J1791" s="403"/>
      <c r="K1791" s="404">
        <f t="shared" si="110"/>
        <v>11587800</v>
      </c>
      <c r="L1791" s="405">
        <f t="shared" si="111"/>
        <v>11587800</v>
      </c>
      <c r="M1791" s="403"/>
    </row>
    <row r="1792" spans="1:13" ht="15.75" x14ac:dyDescent="0.25">
      <c r="A1792" s="6" t="s">
        <v>2216</v>
      </c>
      <c r="B1792" s="7" t="s">
        <v>1944</v>
      </c>
      <c r="C1792" s="6" t="s">
        <v>61</v>
      </c>
      <c r="D1792" s="8">
        <v>0.55700000000000005</v>
      </c>
      <c r="E1792" s="403"/>
      <c r="F1792" s="403">
        <f>BBNTHT!J1832</f>
        <v>0.55700000000000005</v>
      </c>
      <c r="G1792" s="403">
        <f t="shared" si="108"/>
        <v>0.55700000000000005</v>
      </c>
      <c r="H1792" s="9">
        <v>7375857</v>
      </c>
      <c r="I1792" s="404">
        <f t="shared" si="109"/>
        <v>4108352</v>
      </c>
      <c r="J1792" s="403"/>
      <c r="K1792" s="404">
        <f t="shared" si="110"/>
        <v>4108352</v>
      </c>
      <c r="L1792" s="405">
        <f t="shared" si="111"/>
        <v>4108352</v>
      </c>
      <c r="M1792" s="403"/>
    </row>
    <row r="1793" spans="1:13" ht="47.25" x14ac:dyDescent="0.25">
      <c r="A1793" s="6" t="s">
        <v>2217</v>
      </c>
      <c r="B1793" s="7" t="s">
        <v>1950</v>
      </c>
      <c r="C1793" s="6" t="s">
        <v>37</v>
      </c>
      <c r="D1793" s="8">
        <v>5.2839999999999998</v>
      </c>
      <c r="E1793" s="403"/>
      <c r="F1793" s="403">
        <f>BBNTHT!J1833</f>
        <v>5.2839999999999998</v>
      </c>
      <c r="G1793" s="403">
        <f t="shared" si="108"/>
        <v>5.2839999999999998</v>
      </c>
      <c r="H1793" s="9">
        <v>2078902</v>
      </c>
      <c r="I1793" s="404">
        <f t="shared" si="109"/>
        <v>10984918</v>
      </c>
      <c r="J1793" s="403"/>
      <c r="K1793" s="404">
        <f t="shared" si="110"/>
        <v>10984918</v>
      </c>
      <c r="L1793" s="405">
        <f t="shared" si="111"/>
        <v>10984918</v>
      </c>
      <c r="M1793" s="403"/>
    </row>
    <row r="1794" spans="1:13" ht="63" x14ac:dyDescent="0.25">
      <c r="A1794" s="6" t="s">
        <v>2218</v>
      </c>
      <c r="B1794" s="7" t="s">
        <v>2135</v>
      </c>
      <c r="C1794" s="6" t="s">
        <v>61</v>
      </c>
      <c r="D1794" s="8">
        <v>0.42399999999999999</v>
      </c>
      <c r="E1794" s="403"/>
      <c r="F1794" s="403">
        <f>BBNTHT!J1834</f>
        <v>0.42399999999999999</v>
      </c>
      <c r="G1794" s="403">
        <f t="shared" si="108"/>
        <v>0.42399999999999999</v>
      </c>
      <c r="H1794" s="9">
        <v>12692827</v>
      </c>
      <c r="I1794" s="404">
        <f t="shared" si="109"/>
        <v>5381759</v>
      </c>
      <c r="J1794" s="403"/>
      <c r="K1794" s="404">
        <f t="shared" si="110"/>
        <v>5381759</v>
      </c>
      <c r="L1794" s="405">
        <f t="shared" si="111"/>
        <v>5381759</v>
      </c>
      <c r="M1794" s="403"/>
    </row>
    <row r="1795" spans="1:13" ht="31.5" x14ac:dyDescent="0.25">
      <c r="A1795" s="6" t="s">
        <v>2219</v>
      </c>
      <c r="B1795" s="7" t="s">
        <v>2220</v>
      </c>
      <c r="C1795" s="6" t="s">
        <v>37</v>
      </c>
      <c r="D1795" s="8">
        <v>12.878</v>
      </c>
      <c r="E1795" s="403"/>
      <c r="F1795" s="403">
        <f>BBNTHT!J1835</f>
        <v>12.878</v>
      </c>
      <c r="G1795" s="403">
        <f t="shared" si="108"/>
        <v>12.878</v>
      </c>
      <c r="H1795" s="9">
        <v>1930888</v>
      </c>
      <c r="I1795" s="404">
        <f t="shared" si="109"/>
        <v>24865976</v>
      </c>
      <c r="J1795" s="403"/>
      <c r="K1795" s="404">
        <f t="shared" si="110"/>
        <v>24865976</v>
      </c>
      <c r="L1795" s="405">
        <f t="shared" si="111"/>
        <v>24865976</v>
      </c>
      <c r="M1795" s="403"/>
    </row>
    <row r="1796" spans="1:13" ht="63" x14ac:dyDescent="0.25">
      <c r="A1796" s="6" t="s">
        <v>2221</v>
      </c>
      <c r="B1796" s="7" t="s">
        <v>1952</v>
      </c>
      <c r="C1796" s="6" t="s">
        <v>61</v>
      </c>
      <c r="D1796" s="8">
        <v>0.78</v>
      </c>
      <c r="E1796" s="403"/>
      <c r="F1796" s="403">
        <f>BBNTHT!J1836</f>
        <v>0.78</v>
      </c>
      <c r="G1796" s="403">
        <f t="shared" si="108"/>
        <v>0.78</v>
      </c>
      <c r="H1796" s="9">
        <v>11751410</v>
      </c>
      <c r="I1796" s="404">
        <f t="shared" si="109"/>
        <v>9166100</v>
      </c>
      <c r="J1796" s="403"/>
      <c r="K1796" s="404">
        <f t="shared" si="110"/>
        <v>9166100</v>
      </c>
      <c r="L1796" s="405">
        <f t="shared" si="111"/>
        <v>9166100</v>
      </c>
      <c r="M1796" s="403"/>
    </row>
    <row r="1797" spans="1:13" ht="47.25" x14ac:dyDescent="0.25">
      <c r="A1797" s="6" t="s">
        <v>2222</v>
      </c>
      <c r="B1797" s="7" t="s">
        <v>130</v>
      </c>
      <c r="C1797" s="6" t="s">
        <v>61</v>
      </c>
      <c r="D1797" s="8">
        <v>0.48</v>
      </c>
      <c r="E1797" s="403"/>
      <c r="F1797" s="403">
        <f>BBNTHT!J1837</f>
        <v>0.48</v>
      </c>
      <c r="G1797" s="403">
        <f t="shared" si="108"/>
        <v>0.48</v>
      </c>
      <c r="H1797" s="9">
        <v>10869023</v>
      </c>
      <c r="I1797" s="404">
        <f t="shared" si="109"/>
        <v>5217131</v>
      </c>
      <c r="J1797" s="403"/>
      <c r="K1797" s="404">
        <f t="shared" si="110"/>
        <v>5217131</v>
      </c>
      <c r="L1797" s="405">
        <f t="shared" si="111"/>
        <v>5217131</v>
      </c>
      <c r="M1797" s="403"/>
    </row>
    <row r="1798" spans="1:13" ht="31.5" x14ac:dyDescent="0.25">
      <c r="A1798" s="6" t="s">
        <v>2223</v>
      </c>
      <c r="B1798" s="7" t="s">
        <v>2224</v>
      </c>
      <c r="C1798" s="6" t="s">
        <v>37</v>
      </c>
      <c r="D1798" s="8">
        <v>2.3239999999999998</v>
      </c>
      <c r="E1798" s="403"/>
      <c r="F1798" s="403">
        <f>BBNTHT!J1838</f>
        <v>2.3239999999999998</v>
      </c>
      <c r="G1798" s="403">
        <f t="shared" si="108"/>
        <v>2.3239999999999998</v>
      </c>
      <c r="H1798" s="9">
        <v>1563583</v>
      </c>
      <c r="I1798" s="404">
        <f t="shared" si="109"/>
        <v>3633767</v>
      </c>
      <c r="J1798" s="403"/>
      <c r="K1798" s="404">
        <f t="shared" si="110"/>
        <v>3633767</v>
      </c>
      <c r="L1798" s="405">
        <f t="shared" si="111"/>
        <v>3633767</v>
      </c>
      <c r="M1798" s="403"/>
    </row>
    <row r="1799" spans="1:13" ht="15.75" x14ac:dyDescent="0.25">
      <c r="A1799" s="6" t="s">
        <v>2225</v>
      </c>
      <c r="B1799" s="7" t="s">
        <v>1944</v>
      </c>
      <c r="C1799" s="6" t="s">
        <v>61</v>
      </c>
      <c r="D1799" s="8">
        <v>0.04</v>
      </c>
      <c r="E1799" s="403"/>
      <c r="F1799" s="403">
        <f>BBNTHT!J1839</f>
        <v>0.04</v>
      </c>
      <c r="G1799" s="403">
        <f t="shared" si="108"/>
        <v>0.04</v>
      </c>
      <c r="H1799" s="9">
        <v>7375857</v>
      </c>
      <c r="I1799" s="404">
        <f t="shared" si="109"/>
        <v>295034</v>
      </c>
      <c r="J1799" s="403"/>
      <c r="K1799" s="404">
        <f t="shared" si="110"/>
        <v>295034</v>
      </c>
      <c r="L1799" s="405">
        <f t="shared" si="111"/>
        <v>295034</v>
      </c>
      <c r="M1799" s="403"/>
    </row>
    <row r="1800" spans="1:13" ht="47.25" x14ac:dyDescent="0.25">
      <c r="A1800" s="6" t="s">
        <v>2226</v>
      </c>
      <c r="B1800" s="7" t="s">
        <v>1954</v>
      </c>
      <c r="C1800" s="6" t="s">
        <v>32</v>
      </c>
      <c r="D1800" s="8">
        <v>0.22500000000000001</v>
      </c>
      <c r="E1800" s="403"/>
      <c r="F1800" s="403">
        <f>BBNTHT!J1840</f>
        <v>0.22500000000000001</v>
      </c>
      <c r="G1800" s="403">
        <f t="shared" si="108"/>
        <v>0.22500000000000001</v>
      </c>
      <c r="H1800" s="9">
        <v>24189690</v>
      </c>
      <c r="I1800" s="404">
        <f t="shared" si="109"/>
        <v>5442680</v>
      </c>
      <c r="J1800" s="403"/>
      <c r="K1800" s="404">
        <f t="shared" si="110"/>
        <v>5442680</v>
      </c>
      <c r="L1800" s="405">
        <f t="shared" si="111"/>
        <v>5442680</v>
      </c>
      <c r="M1800" s="403"/>
    </row>
    <row r="1801" spans="1:13" ht="47.25" x14ac:dyDescent="0.25">
      <c r="A1801" s="6" t="s">
        <v>2227</v>
      </c>
      <c r="B1801" s="7" t="s">
        <v>2137</v>
      </c>
      <c r="C1801" s="6" t="s">
        <v>32</v>
      </c>
      <c r="D1801" s="8">
        <v>0.33300000000000002</v>
      </c>
      <c r="E1801" s="403"/>
      <c r="F1801" s="403">
        <f>BBNTHT!J1841</f>
        <v>0.33300000000000002</v>
      </c>
      <c r="G1801" s="403">
        <f t="shared" si="108"/>
        <v>0.33300000000000002</v>
      </c>
      <c r="H1801" s="9">
        <v>25615717</v>
      </c>
      <c r="I1801" s="404">
        <f t="shared" si="109"/>
        <v>8530034</v>
      </c>
      <c r="J1801" s="403"/>
      <c r="K1801" s="404">
        <f t="shared" si="110"/>
        <v>8530034</v>
      </c>
      <c r="L1801" s="405">
        <f t="shared" si="111"/>
        <v>8530034</v>
      </c>
      <c r="M1801" s="403"/>
    </row>
    <row r="1802" spans="1:13" ht="47.25" x14ac:dyDescent="0.25">
      <c r="A1802" s="6" t="s">
        <v>2228</v>
      </c>
      <c r="B1802" s="7" t="s">
        <v>2139</v>
      </c>
      <c r="C1802" s="6" t="s">
        <v>32</v>
      </c>
      <c r="D1802" s="8">
        <v>1.089</v>
      </c>
      <c r="E1802" s="403"/>
      <c r="F1802" s="403">
        <f>BBNTHT!J1842</f>
        <v>1.089</v>
      </c>
      <c r="G1802" s="403">
        <f t="shared" si="108"/>
        <v>1.089</v>
      </c>
      <c r="H1802" s="9">
        <v>25250276</v>
      </c>
      <c r="I1802" s="404">
        <f t="shared" si="109"/>
        <v>27497551</v>
      </c>
      <c r="J1802" s="403"/>
      <c r="K1802" s="404">
        <f t="shared" si="110"/>
        <v>27497551</v>
      </c>
      <c r="L1802" s="405">
        <f t="shared" si="111"/>
        <v>27497551</v>
      </c>
      <c r="M1802" s="403"/>
    </row>
    <row r="1803" spans="1:13" ht="47.25" x14ac:dyDescent="0.25">
      <c r="A1803" s="6" t="s">
        <v>2229</v>
      </c>
      <c r="B1803" s="7" t="s">
        <v>2142</v>
      </c>
      <c r="C1803" s="6" t="s">
        <v>32</v>
      </c>
      <c r="D1803" s="8">
        <v>5.6000000000000001E-2</v>
      </c>
      <c r="E1803" s="403"/>
      <c r="F1803" s="403">
        <f>BBNTHT!J1843</f>
        <v>5.6000000000000001E-2</v>
      </c>
      <c r="G1803" s="403">
        <f t="shared" si="108"/>
        <v>5.6000000000000001E-2</v>
      </c>
      <c r="H1803" s="9">
        <v>25231550</v>
      </c>
      <c r="I1803" s="404">
        <f t="shared" si="109"/>
        <v>1412967</v>
      </c>
      <c r="J1803" s="403"/>
      <c r="K1803" s="404">
        <f t="shared" si="110"/>
        <v>1412967</v>
      </c>
      <c r="L1803" s="405">
        <f t="shared" si="111"/>
        <v>1412967</v>
      </c>
      <c r="M1803" s="403"/>
    </row>
    <row r="1804" spans="1:13" ht="47.25" x14ac:dyDescent="0.25">
      <c r="A1804" s="6" t="s">
        <v>2230</v>
      </c>
      <c r="B1804" s="7" t="s">
        <v>2231</v>
      </c>
      <c r="C1804" s="6" t="s">
        <v>32</v>
      </c>
      <c r="D1804" s="8">
        <v>0.45300000000000001</v>
      </c>
      <c r="E1804" s="403"/>
      <c r="F1804" s="403">
        <f>BBNTHT!J1844</f>
        <v>0.45300000000000001</v>
      </c>
      <c r="G1804" s="403">
        <f t="shared" si="108"/>
        <v>0.45300000000000001</v>
      </c>
      <c r="H1804" s="9">
        <v>25262375</v>
      </c>
      <c r="I1804" s="404">
        <f t="shared" si="109"/>
        <v>11443856</v>
      </c>
      <c r="J1804" s="403"/>
      <c r="K1804" s="404">
        <f t="shared" si="110"/>
        <v>11443856</v>
      </c>
      <c r="L1804" s="405">
        <f t="shared" si="111"/>
        <v>11443856</v>
      </c>
      <c r="M1804" s="403"/>
    </row>
    <row r="1805" spans="1:13" ht="47.25" x14ac:dyDescent="0.25">
      <c r="A1805" s="6" t="s">
        <v>2232</v>
      </c>
      <c r="B1805" s="7" t="s">
        <v>2233</v>
      </c>
      <c r="C1805" s="6" t="s">
        <v>32</v>
      </c>
      <c r="D1805" s="8">
        <v>1.153</v>
      </c>
      <c r="E1805" s="403"/>
      <c r="F1805" s="403">
        <f>BBNTHT!J1845</f>
        <v>1.153</v>
      </c>
      <c r="G1805" s="403">
        <f t="shared" si="108"/>
        <v>1.153</v>
      </c>
      <c r="H1805" s="9">
        <v>25246468</v>
      </c>
      <c r="I1805" s="404">
        <f t="shared" si="109"/>
        <v>29109178</v>
      </c>
      <c r="J1805" s="403"/>
      <c r="K1805" s="404">
        <f t="shared" si="110"/>
        <v>29109178</v>
      </c>
      <c r="L1805" s="405">
        <f t="shared" si="111"/>
        <v>29109178</v>
      </c>
      <c r="M1805" s="403"/>
    </row>
    <row r="1806" spans="1:13" ht="63" x14ac:dyDescent="0.25">
      <c r="A1806" s="6" t="s">
        <v>2234</v>
      </c>
      <c r="B1806" s="7" t="s">
        <v>2235</v>
      </c>
      <c r="C1806" s="6" t="s">
        <v>32</v>
      </c>
      <c r="D1806" s="8">
        <v>5.8999999999999997E-2</v>
      </c>
      <c r="E1806" s="403"/>
      <c r="F1806" s="403">
        <f>BBNTHT!J1846</f>
        <v>5.8999999999999997E-2</v>
      </c>
      <c r="G1806" s="403">
        <f t="shared" si="108"/>
        <v>5.8999999999999997E-2</v>
      </c>
      <c r="H1806" s="9">
        <v>26559230</v>
      </c>
      <c r="I1806" s="404">
        <f t="shared" si="109"/>
        <v>1566995</v>
      </c>
      <c r="J1806" s="403"/>
      <c r="K1806" s="404">
        <f t="shared" si="110"/>
        <v>1566995</v>
      </c>
      <c r="L1806" s="405">
        <f t="shared" si="111"/>
        <v>1566995</v>
      </c>
      <c r="M1806" s="403"/>
    </row>
    <row r="1807" spans="1:13" ht="63" x14ac:dyDescent="0.25">
      <c r="A1807" s="6" t="s">
        <v>2236</v>
      </c>
      <c r="B1807" s="7" t="s">
        <v>2237</v>
      </c>
      <c r="C1807" s="6" t="s">
        <v>32</v>
      </c>
      <c r="D1807" s="8">
        <v>2.5000000000000001E-2</v>
      </c>
      <c r="E1807" s="403"/>
      <c r="F1807" s="403">
        <f>BBNTHT!J1847</f>
        <v>2.5000000000000001E-2</v>
      </c>
      <c r="G1807" s="403">
        <f t="shared" si="108"/>
        <v>2.5000000000000001E-2</v>
      </c>
      <c r="H1807" s="9">
        <v>27221520</v>
      </c>
      <c r="I1807" s="404">
        <f t="shared" si="109"/>
        <v>680538</v>
      </c>
      <c r="J1807" s="403"/>
      <c r="K1807" s="404">
        <f t="shared" si="110"/>
        <v>680538</v>
      </c>
      <c r="L1807" s="405">
        <f t="shared" si="111"/>
        <v>680538</v>
      </c>
      <c r="M1807" s="403"/>
    </row>
    <row r="1808" spans="1:13" ht="47.25" x14ac:dyDescent="0.25">
      <c r="A1808" s="6" t="s">
        <v>2238</v>
      </c>
      <c r="B1808" s="7" t="s">
        <v>1940</v>
      </c>
      <c r="C1808" s="6" t="s">
        <v>37</v>
      </c>
      <c r="D1808" s="8">
        <v>7.8</v>
      </c>
      <c r="E1808" s="403"/>
      <c r="F1808" s="403">
        <f>BBNTHT!J1848</f>
        <v>7.8</v>
      </c>
      <c r="G1808" s="403">
        <f t="shared" si="108"/>
        <v>7.8</v>
      </c>
      <c r="H1808" s="9">
        <v>1191148</v>
      </c>
      <c r="I1808" s="404">
        <f t="shared" si="109"/>
        <v>9290954</v>
      </c>
      <c r="J1808" s="403"/>
      <c r="K1808" s="404">
        <f t="shared" si="110"/>
        <v>9290954</v>
      </c>
      <c r="L1808" s="405">
        <f t="shared" si="111"/>
        <v>9290954</v>
      </c>
      <c r="M1808" s="403"/>
    </row>
    <row r="1809" spans="1:13" ht="63" x14ac:dyDescent="0.25">
      <c r="A1809" s="6" t="s">
        <v>2239</v>
      </c>
      <c r="B1809" s="7" t="s">
        <v>2240</v>
      </c>
      <c r="C1809" s="6" t="s">
        <v>37</v>
      </c>
      <c r="D1809" s="8">
        <v>0.94199999999999995</v>
      </c>
      <c r="E1809" s="403"/>
      <c r="F1809" s="403">
        <f>BBNTHT!J1849</f>
        <v>0.94199999999999995</v>
      </c>
      <c r="G1809" s="403">
        <f t="shared" si="108"/>
        <v>0.94199999999999995</v>
      </c>
      <c r="H1809" s="9">
        <v>3289888</v>
      </c>
      <c r="I1809" s="404">
        <f t="shared" si="109"/>
        <v>3099074</v>
      </c>
      <c r="J1809" s="403"/>
      <c r="K1809" s="404">
        <f t="shared" si="110"/>
        <v>3099074</v>
      </c>
      <c r="L1809" s="405">
        <f t="shared" si="111"/>
        <v>3099074</v>
      </c>
      <c r="M1809" s="403"/>
    </row>
    <row r="1810" spans="1:13" ht="63" x14ac:dyDescent="0.25">
      <c r="A1810" s="6" t="s">
        <v>2241</v>
      </c>
      <c r="B1810" s="7" t="s">
        <v>2242</v>
      </c>
      <c r="C1810" s="6" t="s">
        <v>37</v>
      </c>
      <c r="D1810" s="8">
        <v>2.5920000000000001</v>
      </c>
      <c r="E1810" s="403"/>
      <c r="F1810" s="403">
        <f>BBNTHT!J1850</f>
        <v>2.5920000000000001</v>
      </c>
      <c r="G1810" s="403">
        <f t="shared" ref="G1810:G1873" si="112">F1810+E1810</f>
        <v>2.5920000000000001</v>
      </c>
      <c r="H1810" s="9">
        <v>1867855</v>
      </c>
      <c r="I1810" s="404">
        <f t="shared" ref="I1810:I1873" si="113">ROUND(D1810*H1810,0)</f>
        <v>4841480</v>
      </c>
      <c r="J1810" s="403"/>
      <c r="K1810" s="404">
        <f t="shared" ref="K1810:K1873" si="114">ROUND(F1810*H1810,0)</f>
        <v>4841480</v>
      </c>
      <c r="L1810" s="405">
        <f t="shared" ref="L1810:L1873" si="115">J1810+K1810</f>
        <v>4841480</v>
      </c>
      <c r="M1810" s="403"/>
    </row>
    <row r="1811" spans="1:13" ht="63" x14ac:dyDescent="0.25">
      <c r="A1811" s="6" t="s">
        <v>2243</v>
      </c>
      <c r="B1811" s="7" t="s">
        <v>2244</v>
      </c>
      <c r="C1811" s="6" t="s">
        <v>37</v>
      </c>
      <c r="D1811" s="8">
        <v>25.977</v>
      </c>
      <c r="E1811" s="403"/>
      <c r="F1811" s="403">
        <f>BBNTHT!J1851</f>
        <v>25.977</v>
      </c>
      <c r="G1811" s="403">
        <f t="shared" si="112"/>
        <v>25.977</v>
      </c>
      <c r="H1811" s="9">
        <v>1755586</v>
      </c>
      <c r="I1811" s="404">
        <f t="shared" si="113"/>
        <v>45604858</v>
      </c>
      <c r="J1811" s="403"/>
      <c r="K1811" s="404">
        <f t="shared" si="114"/>
        <v>45604858</v>
      </c>
      <c r="L1811" s="405">
        <f t="shared" si="115"/>
        <v>45604858</v>
      </c>
      <c r="M1811" s="403"/>
    </row>
    <row r="1812" spans="1:13" ht="47.25" x14ac:dyDescent="0.25">
      <c r="A1812" s="6" t="s">
        <v>2245</v>
      </c>
      <c r="B1812" s="7" t="s">
        <v>319</v>
      </c>
      <c r="C1812" s="6" t="s">
        <v>52</v>
      </c>
      <c r="D1812" s="8">
        <v>215.59</v>
      </c>
      <c r="E1812" s="403"/>
      <c r="F1812" s="403">
        <f>BBNTHT!J1852</f>
        <v>215.59</v>
      </c>
      <c r="G1812" s="403">
        <f t="shared" si="112"/>
        <v>215.59</v>
      </c>
      <c r="H1812" s="9">
        <v>108078</v>
      </c>
      <c r="I1812" s="404">
        <f t="shared" si="113"/>
        <v>23300536</v>
      </c>
      <c r="J1812" s="403"/>
      <c r="K1812" s="404">
        <f t="shared" si="114"/>
        <v>23300536</v>
      </c>
      <c r="L1812" s="405">
        <f t="shared" si="115"/>
        <v>23300536</v>
      </c>
      <c r="M1812" s="403"/>
    </row>
    <row r="1813" spans="1:13" ht="47.25" x14ac:dyDescent="0.25">
      <c r="A1813" s="6" t="s">
        <v>2246</v>
      </c>
      <c r="B1813" s="7" t="s">
        <v>342</v>
      </c>
      <c r="C1813" s="6" t="s">
        <v>52</v>
      </c>
      <c r="D1813" s="8">
        <v>136.72</v>
      </c>
      <c r="E1813" s="403"/>
      <c r="F1813" s="403">
        <f>BBNTHT!J1853</f>
        <v>136.72</v>
      </c>
      <c r="G1813" s="403">
        <f t="shared" si="112"/>
        <v>136.72</v>
      </c>
      <c r="H1813" s="9">
        <v>86564</v>
      </c>
      <c r="I1813" s="404">
        <f t="shared" si="113"/>
        <v>11835030</v>
      </c>
      <c r="J1813" s="403"/>
      <c r="K1813" s="404">
        <f t="shared" si="114"/>
        <v>11835030</v>
      </c>
      <c r="L1813" s="405">
        <f t="shared" si="115"/>
        <v>11835030</v>
      </c>
      <c r="M1813" s="403"/>
    </row>
    <row r="1814" spans="1:13" ht="47.25" x14ac:dyDescent="0.25">
      <c r="A1814" s="6" t="s">
        <v>2247</v>
      </c>
      <c r="B1814" s="7" t="s">
        <v>2154</v>
      </c>
      <c r="C1814" s="6" t="s">
        <v>52</v>
      </c>
      <c r="D1814" s="8">
        <v>19.5</v>
      </c>
      <c r="E1814" s="403"/>
      <c r="F1814" s="403">
        <f>BBNTHT!J1854</f>
        <v>19.5</v>
      </c>
      <c r="G1814" s="403">
        <f t="shared" si="112"/>
        <v>19.5</v>
      </c>
      <c r="H1814" s="9">
        <v>213398</v>
      </c>
      <c r="I1814" s="404">
        <f t="shared" si="113"/>
        <v>4161261</v>
      </c>
      <c r="J1814" s="403"/>
      <c r="K1814" s="404">
        <f t="shared" si="114"/>
        <v>4161261</v>
      </c>
      <c r="L1814" s="405">
        <f t="shared" si="115"/>
        <v>4161261</v>
      </c>
      <c r="M1814" s="403"/>
    </row>
    <row r="1815" spans="1:13" ht="31.5" x14ac:dyDescent="0.25">
      <c r="A1815" s="6" t="s">
        <v>2248</v>
      </c>
      <c r="B1815" s="7" t="s">
        <v>2249</v>
      </c>
      <c r="C1815" s="6" t="s">
        <v>52</v>
      </c>
      <c r="D1815" s="8">
        <v>78</v>
      </c>
      <c r="E1815" s="403"/>
      <c r="F1815" s="403">
        <f>BBNTHT!J1855</f>
        <v>78</v>
      </c>
      <c r="G1815" s="403">
        <f t="shared" si="112"/>
        <v>78</v>
      </c>
      <c r="H1815" s="9">
        <v>206059</v>
      </c>
      <c r="I1815" s="404">
        <f t="shared" si="113"/>
        <v>16072602</v>
      </c>
      <c r="J1815" s="403"/>
      <c r="K1815" s="404">
        <f t="shared" si="114"/>
        <v>16072602</v>
      </c>
      <c r="L1815" s="405">
        <f t="shared" si="115"/>
        <v>16072602</v>
      </c>
      <c r="M1815" s="403"/>
    </row>
    <row r="1816" spans="1:13" ht="31.5" x14ac:dyDescent="0.25">
      <c r="A1816" s="6" t="s">
        <v>2250</v>
      </c>
      <c r="B1816" s="7" t="s">
        <v>2251</v>
      </c>
      <c r="C1816" s="6" t="s">
        <v>52</v>
      </c>
      <c r="D1816" s="8">
        <v>45.8</v>
      </c>
      <c r="E1816" s="403"/>
      <c r="F1816" s="403">
        <f>BBNTHT!J1856</f>
        <v>45.8</v>
      </c>
      <c r="G1816" s="403">
        <f t="shared" si="112"/>
        <v>45.8</v>
      </c>
      <c r="H1816" s="9">
        <v>102499</v>
      </c>
      <c r="I1816" s="404">
        <f t="shared" si="113"/>
        <v>4694454</v>
      </c>
      <c r="J1816" s="403"/>
      <c r="K1816" s="404">
        <f t="shared" si="114"/>
        <v>4694454</v>
      </c>
      <c r="L1816" s="405">
        <f t="shared" si="115"/>
        <v>4694454</v>
      </c>
      <c r="M1816" s="403"/>
    </row>
    <row r="1817" spans="1:13" ht="31.5" x14ac:dyDescent="0.25">
      <c r="A1817" s="6" t="s">
        <v>2252</v>
      </c>
      <c r="B1817" s="7" t="s">
        <v>2253</v>
      </c>
      <c r="C1817" s="6" t="s">
        <v>52</v>
      </c>
      <c r="D1817" s="8">
        <v>89.6</v>
      </c>
      <c r="E1817" s="403"/>
      <c r="F1817" s="403">
        <f>BBNTHT!J1857</f>
        <v>89.6</v>
      </c>
      <c r="G1817" s="403">
        <f t="shared" si="112"/>
        <v>89.6</v>
      </c>
      <c r="H1817" s="9">
        <v>200255</v>
      </c>
      <c r="I1817" s="404">
        <f t="shared" si="113"/>
        <v>17942848</v>
      </c>
      <c r="J1817" s="403"/>
      <c r="K1817" s="404">
        <f t="shared" si="114"/>
        <v>17942848</v>
      </c>
      <c r="L1817" s="405">
        <f t="shared" si="115"/>
        <v>17942848</v>
      </c>
      <c r="M1817" s="403"/>
    </row>
    <row r="1818" spans="1:13" ht="31.5" x14ac:dyDescent="0.25">
      <c r="A1818" s="6" t="s">
        <v>2254</v>
      </c>
      <c r="B1818" s="7" t="s">
        <v>2255</v>
      </c>
      <c r="C1818" s="6" t="s">
        <v>52</v>
      </c>
      <c r="D1818" s="8">
        <v>81.92</v>
      </c>
      <c r="E1818" s="403"/>
      <c r="F1818" s="403">
        <f>BBNTHT!J1858</f>
        <v>0</v>
      </c>
      <c r="G1818" s="403">
        <f t="shared" si="112"/>
        <v>0</v>
      </c>
      <c r="H1818" s="9">
        <v>486735</v>
      </c>
      <c r="I1818" s="404">
        <f t="shared" si="113"/>
        <v>39873331</v>
      </c>
      <c r="J1818" s="403"/>
      <c r="K1818" s="404">
        <f t="shared" si="114"/>
        <v>0</v>
      </c>
      <c r="L1818" s="405">
        <f t="shared" si="115"/>
        <v>0</v>
      </c>
      <c r="M1818" s="403"/>
    </row>
    <row r="1819" spans="1:13" ht="31.5" x14ac:dyDescent="0.25">
      <c r="A1819" s="6" t="s">
        <v>2256</v>
      </c>
      <c r="B1819" s="7" t="s">
        <v>2257</v>
      </c>
      <c r="C1819" s="6" t="s">
        <v>52</v>
      </c>
      <c r="D1819" s="8">
        <v>34.26</v>
      </c>
      <c r="E1819" s="403"/>
      <c r="F1819" s="403">
        <f>BBNTHT!J1859</f>
        <v>0</v>
      </c>
      <c r="G1819" s="403">
        <f t="shared" si="112"/>
        <v>0</v>
      </c>
      <c r="H1819" s="9">
        <v>151012</v>
      </c>
      <c r="I1819" s="404">
        <f t="shared" si="113"/>
        <v>5173671</v>
      </c>
      <c r="J1819" s="403"/>
      <c r="K1819" s="404">
        <f t="shared" si="114"/>
        <v>0</v>
      </c>
      <c r="L1819" s="405">
        <f t="shared" si="115"/>
        <v>0</v>
      </c>
      <c r="M1819" s="403"/>
    </row>
    <row r="1820" spans="1:13" ht="31.5" x14ac:dyDescent="0.25">
      <c r="A1820" s="6" t="s">
        <v>2258</v>
      </c>
      <c r="B1820" s="7" t="s">
        <v>2259</v>
      </c>
      <c r="C1820" s="6" t="s">
        <v>52</v>
      </c>
      <c r="D1820" s="8">
        <v>135.4</v>
      </c>
      <c r="E1820" s="403"/>
      <c r="F1820" s="403">
        <f>BBNTHT!J1860</f>
        <v>0</v>
      </c>
      <c r="G1820" s="403">
        <f t="shared" si="112"/>
        <v>0</v>
      </c>
      <c r="H1820" s="9">
        <v>37977</v>
      </c>
      <c r="I1820" s="404">
        <f t="shared" si="113"/>
        <v>5142086</v>
      </c>
      <c r="J1820" s="403"/>
      <c r="K1820" s="404">
        <f t="shared" si="114"/>
        <v>0</v>
      </c>
      <c r="L1820" s="405">
        <f t="shared" si="115"/>
        <v>0</v>
      </c>
      <c r="M1820" s="403"/>
    </row>
    <row r="1821" spans="1:13" ht="47.25" x14ac:dyDescent="0.25">
      <c r="A1821" s="6" t="s">
        <v>2260</v>
      </c>
      <c r="B1821" s="7" t="s">
        <v>418</v>
      </c>
      <c r="C1821" s="6" t="s">
        <v>52</v>
      </c>
      <c r="D1821" s="8">
        <v>135.4</v>
      </c>
      <c r="E1821" s="403"/>
      <c r="F1821" s="403">
        <f>BBNTHT!J1861</f>
        <v>0</v>
      </c>
      <c r="G1821" s="403">
        <f t="shared" si="112"/>
        <v>0</v>
      </c>
      <c r="H1821" s="9">
        <v>103481</v>
      </c>
      <c r="I1821" s="404">
        <f t="shared" si="113"/>
        <v>14011327</v>
      </c>
      <c r="J1821" s="403"/>
      <c r="K1821" s="404">
        <f t="shared" si="114"/>
        <v>0</v>
      </c>
      <c r="L1821" s="405">
        <f t="shared" si="115"/>
        <v>0</v>
      </c>
      <c r="M1821" s="403"/>
    </row>
    <row r="1822" spans="1:13" ht="47.25" x14ac:dyDescent="0.25">
      <c r="A1822" s="6" t="s">
        <v>2261</v>
      </c>
      <c r="B1822" s="7" t="s">
        <v>2262</v>
      </c>
      <c r="C1822" s="6" t="s">
        <v>52</v>
      </c>
      <c r="D1822" s="8">
        <v>14.52</v>
      </c>
      <c r="E1822" s="403"/>
      <c r="F1822" s="403">
        <f>BBNTHT!J1862</f>
        <v>0</v>
      </c>
      <c r="G1822" s="403">
        <f t="shared" si="112"/>
        <v>0</v>
      </c>
      <c r="H1822" s="9">
        <v>8032573</v>
      </c>
      <c r="I1822" s="404">
        <f t="shared" si="113"/>
        <v>116632960</v>
      </c>
      <c r="J1822" s="403"/>
      <c r="K1822" s="404">
        <f t="shared" si="114"/>
        <v>0</v>
      </c>
      <c r="L1822" s="405">
        <f t="shared" si="115"/>
        <v>0</v>
      </c>
      <c r="M1822" s="403"/>
    </row>
    <row r="1823" spans="1:13" ht="31.5" x14ac:dyDescent="0.25">
      <c r="A1823" s="6" t="s">
        <v>2263</v>
      </c>
      <c r="B1823" s="7" t="s">
        <v>2264</v>
      </c>
      <c r="C1823" s="6" t="s">
        <v>52</v>
      </c>
      <c r="D1823" s="8">
        <v>10.199999999999999</v>
      </c>
      <c r="E1823" s="403"/>
      <c r="F1823" s="403">
        <f>BBNTHT!J1863</f>
        <v>0</v>
      </c>
      <c r="G1823" s="403">
        <f t="shared" si="112"/>
        <v>0</v>
      </c>
      <c r="H1823" s="9">
        <v>3200330</v>
      </c>
      <c r="I1823" s="404">
        <f t="shared" si="113"/>
        <v>32643366</v>
      </c>
      <c r="J1823" s="403"/>
      <c r="K1823" s="404">
        <f t="shared" si="114"/>
        <v>0</v>
      </c>
      <c r="L1823" s="405">
        <f t="shared" si="115"/>
        <v>0</v>
      </c>
      <c r="M1823" s="403"/>
    </row>
    <row r="1824" spans="1:13" ht="15.75" x14ac:dyDescent="0.25">
      <c r="A1824" s="6" t="s">
        <v>2265</v>
      </c>
      <c r="B1824" s="7" t="s">
        <v>2266</v>
      </c>
      <c r="C1824" s="6" t="s">
        <v>52</v>
      </c>
      <c r="D1824" s="8">
        <v>24.72</v>
      </c>
      <c r="E1824" s="403"/>
      <c r="F1824" s="403">
        <f>BBNTHT!J1864</f>
        <v>0</v>
      </c>
      <c r="G1824" s="403">
        <f t="shared" si="112"/>
        <v>0</v>
      </c>
      <c r="H1824" s="9">
        <v>108596</v>
      </c>
      <c r="I1824" s="404">
        <f t="shared" si="113"/>
        <v>2684493</v>
      </c>
      <c r="J1824" s="403"/>
      <c r="K1824" s="404">
        <f t="shared" si="114"/>
        <v>0</v>
      </c>
      <c r="L1824" s="405">
        <f t="shared" si="115"/>
        <v>0</v>
      </c>
      <c r="M1824" s="403"/>
    </row>
    <row r="1825" spans="1:13" ht="15.75" x14ac:dyDescent="0.25">
      <c r="A1825" s="6" t="s">
        <v>2267</v>
      </c>
      <c r="B1825" s="7" t="s">
        <v>2268</v>
      </c>
      <c r="C1825" s="6" t="s">
        <v>52</v>
      </c>
      <c r="D1825" s="8">
        <v>352.31</v>
      </c>
      <c r="E1825" s="403"/>
      <c r="F1825" s="403">
        <f>BBNTHT!J1865</f>
        <v>0</v>
      </c>
      <c r="G1825" s="403">
        <f t="shared" si="112"/>
        <v>0</v>
      </c>
      <c r="H1825" s="9">
        <v>36248</v>
      </c>
      <c r="I1825" s="404">
        <f t="shared" si="113"/>
        <v>12770533</v>
      </c>
      <c r="J1825" s="403"/>
      <c r="K1825" s="404">
        <f t="shared" si="114"/>
        <v>0</v>
      </c>
      <c r="L1825" s="405">
        <f t="shared" si="115"/>
        <v>0</v>
      </c>
      <c r="M1825" s="403"/>
    </row>
    <row r="1826" spans="1:13" ht="15.75" x14ac:dyDescent="0.25">
      <c r="A1826" s="6" t="s">
        <v>2269</v>
      </c>
      <c r="B1826" s="7" t="s">
        <v>2270</v>
      </c>
      <c r="C1826" s="6" t="s">
        <v>52</v>
      </c>
      <c r="D1826" s="8">
        <v>177.56</v>
      </c>
      <c r="E1826" s="403"/>
      <c r="F1826" s="403">
        <f>BBNTHT!J1866</f>
        <v>0</v>
      </c>
      <c r="G1826" s="403">
        <f t="shared" si="112"/>
        <v>0</v>
      </c>
      <c r="H1826" s="9">
        <v>42395</v>
      </c>
      <c r="I1826" s="404">
        <f t="shared" si="113"/>
        <v>7527656</v>
      </c>
      <c r="J1826" s="403"/>
      <c r="K1826" s="404">
        <f t="shared" si="114"/>
        <v>0</v>
      </c>
      <c r="L1826" s="405">
        <f t="shared" si="115"/>
        <v>0</v>
      </c>
      <c r="M1826" s="403"/>
    </row>
    <row r="1827" spans="1:13" ht="47.25" x14ac:dyDescent="0.25">
      <c r="A1827" s="6" t="s">
        <v>2271</v>
      </c>
      <c r="B1827" s="7" t="s">
        <v>2272</v>
      </c>
      <c r="C1827" s="6" t="s">
        <v>52</v>
      </c>
      <c r="D1827" s="8">
        <v>315.14999999999998</v>
      </c>
      <c r="E1827" s="403"/>
      <c r="F1827" s="403">
        <f>BBNTHT!J1867</f>
        <v>0</v>
      </c>
      <c r="G1827" s="403">
        <f t="shared" si="112"/>
        <v>0</v>
      </c>
      <c r="H1827" s="9">
        <v>77503</v>
      </c>
      <c r="I1827" s="404">
        <f t="shared" si="113"/>
        <v>24425070</v>
      </c>
      <c r="J1827" s="403"/>
      <c r="K1827" s="404">
        <f t="shared" si="114"/>
        <v>0</v>
      </c>
      <c r="L1827" s="405">
        <f t="shared" si="115"/>
        <v>0</v>
      </c>
      <c r="M1827" s="403"/>
    </row>
    <row r="1828" spans="1:13" ht="47.25" x14ac:dyDescent="0.25">
      <c r="A1828" s="6" t="s">
        <v>2273</v>
      </c>
      <c r="B1828" s="7" t="s">
        <v>429</v>
      </c>
      <c r="C1828" s="6" t="s">
        <v>52</v>
      </c>
      <c r="D1828" s="8">
        <v>214.72</v>
      </c>
      <c r="E1828" s="403"/>
      <c r="F1828" s="403">
        <f>BBNTHT!J1868</f>
        <v>0</v>
      </c>
      <c r="G1828" s="403">
        <f t="shared" si="112"/>
        <v>0</v>
      </c>
      <c r="H1828" s="9">
        <v>60474</v>
      </c>
      <c r="I1828" s="404">
        <f t="shared" si="113"/>
        <v>12984977</v>
      </c>
      <c r="J1828" s="403"/>
      <c r="K1828" s="404">
        <f t="shared" si="114"/>
        <v>0</v>
      </c>
      <c r="L1828" s="405">
        <f t="shared" si="115"/>
        <v>0</v>
      </c>
      <c r="M1828" s="403"/>
    </row>
    <row r="1829" spans="1:13" ht="15.75" x14ac:dyDescent="0.25">
      <c r="A1829" s="6" t="s">
        <v>2274</v>
      </c>
      <c r="B1829" s="7" t="s">
        <v>1129</v>
      </c>
      <c r="C1829" s="6" t="s">
        <v>9</v>
      </c>
      <c r="D1829" s="8">
        <v>3</v>
      </c>
      <c r="E1829" s="403"/>
      <c r="F1829" s="403">
        <f>BBNTHT!J1869</f>
        <v>0</v>
      </c>
      <c r="G1829" s="403">
        <f t="shared" si="112"/>
        <v>0</v>
      </c>
      <c r="H1829" s="9">
        <v>115366</v>
      </c>
      <c r="I1829" s="404">
        <f t="shared" si="113"/>
        <v>346098</v>
      </c>
      <c r="J1829" s="403"/>
      <c r="K1829" s="404">
        <f t="shared" si="114"/>
        <v>0</v>
      </c>
      <c r="L1829" s="405">
        <f t="shared" si="115"/>
        <v>0</v>
      </c>
      <c r="M1829" s="403"/>
    </row>
    <row r="1830" spans="1:13" ht="15.75" x14ac:dyDescent="0.25">
      <c r="A1830" s="6" t="s">
        <v>2275</v>
      </c>
      <c r="B1830" s="7" t="s">
        <v>1117</v>
      </c>
      <c r="C1830" s="6" t="s">
        <v>9</v>
      </c>
      <c r="D1830" s="8">
        <v>2</v>
      </c>
      <c r="E1830" s="403"/>
      <c r="F1830" s="403">
        <f>BBNTHT!J1870</f>
        <v>0</v>
      </c>
      <c r="G1830" s="403">
        <f t="shared" si="112"/>
        <v>0</v>
      </c>
      <c r="H1830" s="9">
        <v>50113</v>
      </c>
      <c r="I1830" s="404">
        <f t="shared" si="113"/>
        <v>100226</v>
      </c>
      <c r="J1830" s="403"/>
      <c r="K1830" s="404">
        <f t="shared" si="114"/>
        <v>0</v>
      </c>
      <c r="L1830" s="405">
        <f t="shared" si="115"/>
        <v>0</v>
      </c>
      <c r="M1830" s="403"/>
    </row>
    <row r="1831" spans="1:13" ht="31.5" x14ac:dyDescent="0.25">
      <c r="A1831" s="6" t="s">
        <v>2276</v>
      </c>
      <c r="B1831" s="7" t="s">
        <v>1073</v>
      </c>
      <c r="C1831" s="6" t="s">
        <v>248</v>
      </c>
      <c r="D1831" s="8">
        <v>9</v>
      </c>
      <c r="E1831" s="403"/>
      <c r="F1831" s="403">
        <f>BBNTHT!J1871</f>
        <v>0</v>
      </c>
      <c r="G1831" s="403">
        <f t="shared" si="112"/>
        <v>0</v>
      </c>
      <c r="H1831" s="9">
        <v>329685</v>
      </c>
      <c r="I1831" s="404">
        <f t="shared" si="113"/>
        <v>2967165</v>
      </c>
      <c r="J1831" s="403"/>
      <c r="K1831" s="404">
        <f t="shared" si="114"/>
        <v>0</v>
      </c>
      <c r="L1831" s="405">
        <f t="shared" si="115"/>
        <v>0</v>
      </c>
      <c r="M1831" s="403"/>
    </row>
    <row r="1832" spans="1:13" ht="15.75" x14ac:dyDescent="0.25">
      <c r="A1832" s="6" t="s">
        <v>2277</v>
      </c>
      <c r="B1832" s="7" t="s">
        <v>2278</v>
      </c>
      <c r="C1832" s="6" t="s">
        <v>6</v>
      </c>
      <c r="D1832" s="8">
        <v>20</v>
      </c>
      <c r="E1832" s="403"/>
      <c r="F1832" s="403">
        <f>BBNTHT!J1872</f>
        <v>0</v>
      </c>
      <c r="G1832" s="403">
        <f t="shared" si="112"/>
        <v>0</v>
      </c>
      <c r="H1832" s="9">
        <v>68797</v>
      </c>
      <c r="I1832" s="404">
        <f t="shared" si="113"/>
        <v>1375940</v>
      </c>
      <c r="J1832" s="403"/>
      <c r="K1832" s="404">
        <f t="shared" si="114"/>
        <v>0</v>
      </c>
      <c r="L1832" s="405">
        <f t="shared" si="115"/>
        <v>0</v>
      </c>
      <c r="M1832" s="403"/>
    </row>
    <row r="1833" spans="1:13" ht="15.75" x14ac:dyDescent="0.25">
      <c r="A1833" s="6" t="s">
        <v>2279</v>
      </c>
      <c r="B1833" s="7" t="s">
        <v>2280</v>
      </c>
      <c r="C1833" s="6" t="s">
        <v>6</v>
      </c>
      <c r="D1833" s="8">
        <v>65</v>
      </c>
      <c r="E1833" s="403"/>
      <c r="F1833" s="403">
        <f>BBNTHT!J1873</f>
        <v>0</v>
      </c>
      <c r="G1833" s="403">
        <f t="shared" si="112"/>
        <v>0</v>
      </c>
      <c r="H1833" s="9">
        <v>20773</v>
      </c>
      <c r="I1833" s="404">
        <f t="shared" si="113"/>
        <v>1350245</v>
      </c>
      <c r="J1833" s="403"/>
      <c r="K1833" s="404">
        <f t="shared" si="114"/>
        <v>0</v>
      </c>
      <c r="L1833" s="405">
        <f t="shared" si="115"/>
        <v>0</v>
      </c>
      <c r="M1833" s="403"/>
    </row>
    <row r="1834" spans="1:13" ht="15.75" x14ac:dyDescent="0.25">
      <c r="A1834" s="6" t="s">
        <v>2281</v>
      </c>
      <c r="B1834" s="7" t="s">
        <v>2282</v>
      </c>
      <c r="C1834" s="6" t="s">
        <v>6</v>
      </c>
      <c r="D1834" s="8">
        <v>100</v>
      </c>
      <c r="E1834" s="403"/>
      <c r="F1834" s="403">
        <f>BBNTHT!J1874</f>
        <v>0</v>
      </c>
      <c r="G1834" s="403">
        <f t="shared" si="112"/>
        <v>0</v>
      </c>
      <c r="H1834" s="9">
        <v>15620</v>
      </c>
      <c r="I1834" s="404">
        <f t="shared" si="113"/>
        <v>1562000</v>
      </c>
      <c r="J1834" s="403"/>
      <c r="K1834" s="404">
        <f t="shared" si="114"/>
        <v>0</v>
      </c>
      <c r="L1834" s="405">
        <f t="shared" si="115"/>
        <v>0</v>
      </c>
      <c r="M1834" s="403"/>
    </row>
    <row r="1835" spans="1:13" ht="15.75" x14ac:dyDescent="0.25">
      <c r="A1835" s="6" t="s">
        <v>2283</v>
      </c>
      <c r="B1835" s="7" t="s">
        <v>2284</v>
      </c>
      <c r="C1835" s="6" t="s">
        <v>6</v>
      </c>
      <c r="D1835" s="8">
        <v>20</v>
      </c>
      <c r="E1835" s="403"/>
      <c r="F1835" s="403">
        <f>BBNTHT!J1875</f>
        <v>0</v>
      </c>
      <c r="G1835" s="403">
        <f t="shared" si="112"/>
        <v>0</v>
      </c>
      <c r="H1835" s="9">
        <v>28300</v>
      </c>
      <c r="I1835" s="404">
        <f t="shared" si="113"/>
        <v>566000</v>
      </c>
      <c r="J1835" s="403"/>
      <c r="K1835" s="404">
        <f t="shared" si="114"/>
        <v>0</v>
      </c>
      <c r="L1835" s="405">
        <f t="shared" si="115"/>
        <v>0</v>
      </c>
      <c r="M1835" s="403"/>
    </row>
    <row r="1836" spans="1:13" ht="31.5" x14ac:dyDescent="0.25">
      <c r="A1836" s="6" t="s">
        <v>2285</v>
      </c>
      <c r="B1836" s="7" t="s">
        <v>2286</v>
      </c>
      <c r="C1836" s="6" t="s">
        <v>6</v>
      </c>
      <c r="D1836" s="8">
        <v>32.5</v>
      </c>
      <c r="E1836" s="403"/>
      <c r="F1836" s="403">
        <f>BBNTHT!J1876</f>
        <v>0</v>
      </c>
      <c r="G1836" s="403">
        <f t="shared" si="112"/>
        <v>0</v>
      </c>
      <c r="H1836" s="9">
        <v>20773</v>
      </c>
      <c r="I1836" s="404">
        <f t="shared" si="113"/>
        <v>675123</v>
      </c>
      <c r="J1836" s="403"/>
      <c r="K1836" s="404">
        <f t="shared" si="114"/>
        <v>0</v>
      </c>
      <c r="L1836" s="405">
        <f t="shared" si="115"/>
        <v>0</v>
      </c>
      <c r="M1836" s="403"/>
    </row>
    <row r="1837" spans="1:13" ht="15.75" x14ac:dyDescent="0.25">
      <c r="A1837" s="6" t="s">
        <v>2287</v>
      </c>
      <c r="B1837" s="7" t="s">
        <v>2288</v>
      </c>
      <c r="C1837" s="6" t="s">
        <v>6</v>
      </c>
      <c r="D1837" s="8">
        <v>50</v>
      </c>
      <c r="E1837" s="403"/>
      <c r="F1837" s="403">
        <f>BBNTHT!J1877</f>
        <v>0</v>
      </c>
      <c r="G1837" s="403">
        <f t="shared" si="112"/>
        <v>0</v>
      </c>
      <c r="H1837" s="9">
        <v>22066</v>
      </c>
      <c r="I1837" s="404">
        <f t="shared" si="113"/>
        <v>1103300</v>
      </c>
      <c r="J1837" s="403"/>
      <c r="K1837" s="404">
        <f t="shared" si="114"/>
        <v>0</v>
      </c>
      <c r="L1837" s="405">
        <f t="shared" si="115"/>
        <v>0</v>
      </c>
      <c r="M1837" s="403"/>
    </row>
    <row r="1838" spans="1:13" ht="15.75" x14ac:dyDescent="0.25">
      <c r="A1838" s="6" t="s">
        <v>2289</v>
      </c>
      <c r="B1838" s="7" t="s">
        <v>2290</v>
      </c>
      <c r="C1838" s="6" t="s">
        <v>9</v>
      </c>
      <c r="D1838" s="8">
        <v>1</v>
      </c>
      <c r="E1838" s="403"/>
      <c r="F1838" s="403">
        <f>BBNTHT!J1878</f>
        <v>0</v>
      </c>
      <c r="G1838" s="403">
        <f t="shared" si="112"/>
        <v>0</v>
      </c>
      <c r="H1838" s="9">
        <v>339821</v>
      </c>
      <c r="I1838" s="404">
        <f t="shared" si="113"/>
        <v>339821</v>
      </c>
      <c r="J1838" s="403"/>
      <c r="K1838" s="404">
        <f t="shared" si="114"/>
        <v>0</v>
      </c>
      <c r="L1838" s="405">
        <f t="shared" si="115"/>
        <v>0</v>
      </c>
      <c r="M1838" s="403"/>
    </row>
    <row r="1839" spans="1:13" ht="15.75" x14ac:dyDescent="0.25">
      <c r="A1839" s="6" t="s">
        <v>2291</v>
      </c>
      <c r="B1839" s="7" t="s">
        <v>2292</v>
      </c>
      <c r="C1839" s="6" t="s">
        <v>9</v>
      </c>
      <c r="D1839" s="8">
        <v>3</v>
      </c>
      <c r="E1839" s="403"/>
      <c r="F1839" s="403">
        <f>BBNTHT!J1879</f>
        <v>0</v>
      </c>
      <c r="G1839" s="403">
        <f t="shared" si="112"/>
        <v>0</v>
      </c>
      <c r="H1839" s="9">
        <v>148367</v>
      </c>
      <c r="I1839" s="404">
        <f t="shared" si="113"/>
        <v>445101</v>
      </c>
      <c r="J1839" s="403"/>
      <c r="K1839" s="404">
        <f t="shared" si="114"/>
        <v>0</v>
      </c>
      <c r="L1839" s="405">
        <f t="shared" si="115"/>
        <v>0</v>
      </c>
      <c r="M1839" s="403"/>
    </row>
    <row r="1840" spans="1:13" ht="15.75" x14ac:dyDescent="0.25">
      <c r="A1840" s="6" t="s">
        <v>2293</v>
      </c>
      <c r="B1840" s="7" t="s">
        <v>2294</v>
      </c>
      <c r="C1840" s="6" t="s">
        <v>9</v>
      </c>
      <c r="D1840" s="8">
        <v>1</v>
      </c>
      <c r="E1840" s="403"/>
      <c r="F1840" s="403">
        <f>BBNTHT!J1880</f>
        <v>0</v>
      </c>
      <c r="G1840" s="403">
        <f t="shared" si="112"/>
        <v>0</v>
      </c>
      <c r="H1840" s="9">
        <v>138060</v>
      </c>
      <c r="I1840" s="404">
        <f t="shared" si="113"/>
        <v>138060</v>
      </c>
      <c r="J1840" s="403"/>
      <c r="K1840" s="404">
        <f t="shared" si="114"/>
        <v>0</v>
      </c>
      <c r="L1840" s="405">
        <f t="shared" si="115"/>
        <v>0</v>
      </c>
      <c r="M1840" s="403"/>
    </row>
    <row r="1841" spans="1:13" ht="15.75" x14ac:dyDescent="0.25">
      <c r="A1841" s="6" t="s">
        <v>2295</v>
      </c>
      <c r="B1841" s="7" t="s">
        <v>495</v>
      </c>
      <c r="C1841" s="6" t="s">
        <v>248</v>
      </c>
      <c r="D1841" s="8">
        <v>1</v>
      </c>
      <c r="E1841" s="403"/>
      <c r="F1841" s="403">
        <f>BBNTHT!J1881</f>
        <v>0</v>
      </c>
      <c r="G1841" s="403">
        <f t="shared" si="112"/>
        <v>0</v>
      </c>
      <c r="H1841" s="9">
        <v>634986</v>
      </c>
      <c r="I1841" s="404">
        <f t="shared" si="113"/>
        <v>634986</v>
      </c>
      <c r="J1841" s="403"/>
      <c r="K1841" s="404">
        <f t="shared" si="114"/>
        <v>0</v>
      </c>
      <c r="L1841" s="405">
        <f t="shared" si="115"/>
        <v>0</v>
      </c>
      <c r="M1841" s="403"/>
    </row>
    <row r="1842" spans="1:13" ht="31.5" x14ac:dyDescent="0.25">
      <c r="A1842" s="6" t="s">
        <v>2296</v>
      </c>
      <c r="B1842" s="7" t="s">
        <v>2297</v>
      </c>
      <c r="C1842" s="6" t="s">
        <v>248</v>
      </c>
      <c r="D1842" s="8">
        <v>1</v>
      </c>
      <c r="E1842" s="403"/>
      <c r="F1842" s="403">
        <f>BBNTHT!J1882</f>
        <v>0</v>
      </c>
      <c r="G1842" s="403">
        <f t="shared" si="112"/>
        <v>0</v>
      </c>
      <c r="H1842" s="9">
        <v>673085</v>
      </c>
      <c r="I1842" s="404">
        <f t="shared" si="113"/>
        <v>673085</v>
      </c>
      <c r="J1842" s="403"/>
      <c r="K1842" s="404">
        <f t="shared" si="114"/>
        <v>0</v>
      </c>
      <c r="L1842" s="405">
        <f t="shared" si="115"/>
        <v>0</v>
      </c>
      <c r="M1842" s="403"/>
    </row>
    <row r="1843" spans="1:13" ht="15.75" x14ac:dyDescent="0.25">
      <c r="A1843" s="2" t="s">
        <v>4696</v>
      </c>
      <c r="B1843" s="3" t="s">
        <v>4697</v>
      </c>
      <c r="C1843" s="2"/>
      <c r="D1843" s="4" t="s">
        <v>3</v>
      </c>
      <c r="E1843" s="403"/>
      <c r="F1843" s="403">
        <f>BBNTHT!J1883</f>
        <v>0</v>
      </c>
      <c r="G1843" s="403">
        <f t="shared" si="112"/>
        <v>0</v>
      </c>
      <c r="H1843" s="5"/>
      <c r="I1843" s="404"/>
      <c r="J1843" s="403"/>
      <c r="K1843" s="404">
        <f t="shared" si="114"/>
        <v>0</v>
      </c>
      <c r="L1843" s="405">
        <f t="shared" si="115"/>
        <v>0</v>
      </c>
      <c r="M1843" s="403"/>
    </row>
    <row r="1844" spans="1:13" ht="15.75" x14ac:dyDescent="0.25">
      <c r="A1844" s="2" t="s">
        <v>4698</v>
      </c>
      <c r="B1844" s="3" t="s">
        <v>4699</v>
      </c>
      <c r="C1844" s="2"/>
      <c r="D1844" s="4" t="s">
        <v>3</v>
      </c>
      <c r="E1844" s="403"/>
      <c r="F1844" s="403">
        <f>BBNTHT!J1884</f>
        <v>0</v>
      </c>
      <c r="G1844" s="403">
        <f t="shared" si="112"/>
        <v>0</v>
      </c>
      <c r="H1844" s="5"/>
      <c r="I1844" s="404"/>
      <c r="J1844" s="403"/>
      <c r="K1844" s="404">
        <f t="shared" si="114"/>
        <v>0</v>
      </c>
      <c r="L1844" s="405">
        <f t="shared" si="115"/>
        <v>0</v>
      </c>
      <c r="M1844" s="403"/>
    </row>
    <row r="1845" spans="1:13" ht="31.5" x14ac:dyDescent="0.25">
      <c r="A1845" s="6" t="s">
        <v>4700</v>
      </c>
      <c r="B1845" s="7" t="s">
        <v>4701</v>
      </c>
      <c r="C1845" s="6" t="s">
        <v>1911</v>
      </c>
      <c r="D1845" s="8">
        <v>1</v>
      </c>
      <c r="E1845" s="403"/>
      <c r="F1845" s="403">
        <f>BBNTHT!J1885</f>
        <v>0</v>
      </c>
      <c r="G1845" s="403">
        <f t="shared" si="112"/>
        <v>0</v>
      </c>
      <c r="H1845" s="9">
        <v>4880880</v>
      </c>
      <c r="I1845" s="404">
        <f t="shared" si="113"/>
        <v>4880880</v>
      </c>
      <c r="J1845" s="403"/>
      <c r="K1845" s="404">
        <f t="shared" si="114"/>
        <v>0</v>
      </c>
      <c r="L1845" s="405">
        <f t="shared" si="115"/>
        <v>0</v>
      </c>
      <c r="M1845" s="403"/>
    </row>
    <row r="1846" spans="1:13" ht="15.75" x14ac:dyDescent="0.25">
      <c r="A1846" s="6" t="s">
        <v>4702</v>
      </c>
      <c r="B1846" s="7" t="s">
        <v>4703</v>
      </c>
      <c r="C1846" s="6" t="s">
        <v>32</v>
      </c>
      <c r="D1846" s="8">
        <v>6</v>
      </c>
      <c r="E1846" s="403"/>
      <c r="F1846" s="403">
        <f>BBNTHT!J1886</f>
        <v>0</v>
      </c>
      <c r="G1846" s="403">
        <f t="shared" si="112"/>
        <v>0</v>
      </c>
      <c r="H1846" s="9">
        <v>2187635</v>
      </c>
      <c r="I1846" s="404">
        <f t="shared" si="113"/>
        <v>13125810</v>
      </c>
      <c r="J1846" s="403"/>
      <c r="K1846" s="404">
        <f t="shared" si="114"/>
        <v>0</v>
      </c>
      <c r="L1846" s="405">
        <f t="shared" si="115"/>
        <v>0</v>
      </c>
      <c r="M1846" s="403"/>
    </row>
    <row r="1847" spans="1:13" ht="15.75" x14ac:dyDescent="0.25">
      <c r="A1847" s="6" t="s">
        <v>4704</v>
      </c>
      <c r="B1847" s="7" t="s">
        <v>4705</v>
      </c>
      <c r="C1847" s="6" t="s">
        <v>499</v>
      </c>
      <c r="D1847" s="8">
        <v>3</v>
      </c>
      <c r="E1847" s="403"/>
      <c r="F1847" s="403">
        <f>BBNTHT!J1887</f>
        <v>0</v>
      </c>
      <c r="G1847" s="403">
        <f t="shared" si="112"/>
        <v>0</v>
      </c>
      <c r="H1847" s="9">
        <v>1853688</v>
      </c>
      <c r="I1847" s="404">
        <f t="shared" si="113"/>
        <v>5561064</v>
      </c>
      <c r="J1847" s="403"/>
      <c r="K1847" s="404">
        <f t="shared" si="114"/>
        <v>0</v>
      </c>
      <c r="L1847" s="405">
        <f t="shared" si="115"/>
        <v>0</v>
      </c>
      <c r="M1847" s="403"/>
    </row>
    <row r="1848" spans="1:13" ht="31.5" x14ac:dyDescent="0.25">
      <c r="A1848" s="6" t="s">
        <v>4706</v>
      </c>
      <c r="B1848" s="7" t="s">
        <v>4707</v>
      </c>
      <c r="C1848" s="6" t="s">
        <v>499</v>
      </c>
      <c r="D1848" s="8">
        <v>1</v>
      </c>
      <c r="E1848" s="403"/>
      <c r="F1848" s="403">
        <f>BBNTHT!J1888</f>
        <v>0</v>
      </c>
      <c r="G1848" s="403">
        <f t="shared" si="112"/>
        <v>0</v>
      </c>
      <c r="H1848" s="9">
        <v>1165129</v>
      </c>
      <c r="I1848" s="404">
        <f t="shared" si="113"/>
        <v>1165129</v>
      </c>
      <c r="J1848" s="403"/>
      <c r="K1848" s="404">
        <f t="shared" si="114"/>
        <v>0</v>
      </c>
      <c r="L1848" s="405">
        <f t="shared" si="115"/>
        <v>0</v>
      </c>
      <c r="M1848" s="403"/>
    </row>
    <row r="1849" spans="1:13" ht="15.75" x14ac:dyDescent="0.25">
      <c r="A1849" s="6" t="s">
        <v>4708</v>
      </c>
      <c r="B1849" s="7" t="s">
        <v>4709</v>
      </c>
      <c r="C1849" s="6" t="s">
        <v>499</v>
      </c>
      <c r="D1849" s="8">
        <v>1</v>
      </c>
      <c r="E1849" s="403"/>
      <c r="F1849" s="403">
        <f>BBNTHT!J1889</f>
        <v>0</v>
      </c>
      <c r="G1849" s="403">
        <f t="shared" si="112"/>
        <v>0</v>
      </c>
      <c r="H1849" s="9">
        <v>1164837</v>
      </c>
      <c r="I1849" s="404">
        <f t="shared" si="113"/>
        <v>1164837</v>
      </c>
      <c r="J1849" s="403"/>
      <c r="K1849" s="404">
        <f t="shared" si="114"/>
        <v>0</v>
      </c>
      <c r="L1849" s="405">
        <f t="shared" si="115"/>
        <v>0</v>
      </c>
      <c r="M1849" s="403"/>
    </row>
    <row r="1850" spans="1:13" ht="15.75" x14ac:dyDescent="0.25">
      <c r="A1850" s="6" t="s">
        <v>4710</v>
      </c>
      <c r="B1850" s="7" t="s">
        <v>4711</v>
      </c>
      <c r="C1850" s="6" t="s">
        <v>499</v>
      </c>
      <c r="D1850" s="8">
        <v>2</v>
      </c>
      <c r="E1850" s="403"/>
      <c r="F1850" s="403">
        <f>BBNTHT!J1890</f>
        <v>0</v>
      </c>
      <c r="G1850" s="403">
        <f t="shared" si="112"/>
        <v>0</v>
      </c>
      <c r="H1850" s="9">
        <v>1164837</v>
      </c>
      <c r="I1850" s="404">
        <f t="shared" si="113"/>
        <v>2329674</v>
      </c>
      <c r="J1850" s="403"/>
      <c r="K1850" s="404">
        <f t="shared" si="114"/>
        <v>0</v>
      </c>
      <c r="L1850" s="405">
        <f t="shared" si="115"/>
        <v>0</v>
      </c>
      <c r="M1850" s="403"/>
    </row>
    <row r="1851" spans="1:13" ht="15.75" x14ac:dyDescent="0.25">
      <c r="A1851" s="2" t="s">
        <v>3645</v>
      </c>
      <c r="B1851" s="3" t="s">
        <v>3646</v>
      </c>
      <c r="C1851" s="2"/>
      <c r="D1851" s="4" t="s">
        <v>3</v>
      </c>
      <c r="E1851" s="403"/>
      <c r="F1851" s="403">
        <f>BBNTHT!J1891</f>
        <v>0</v>
      </c>
      <c r="G1851" s="403">
        <f t="shared" si="112"/>
        <v>0</v>
      </c>
      <c r="H1851" s="5"/>
      <c r="I1851" s="404"/>
      <c r="J1851" s="403"/>
      <c r="K1851" s="404">
        <f t="shared" si="114"/>
        <v>0</v>
      </c>
      <c r="L1851" s="405">
        <f t="shared" si="115"/>
        <v>0</v>
      </c>
      <c r="M1851" s="403"/>
    </row>
    <row r="1852" spans="1:13" ht="47.25" x14ac:dyDescent="0.25">
      <c r="A1852" s="6" t="s">
        <v>3647</v>
      </c>
      <c r="B1852" s="7" t="s">
        <v>3648</v>
      </c>
      <c r="C1852" s="6" t="s">
        <v>6</v>
      </c>
      <c r="D1852" s="8">
        <v>376</v>
      </c>
      <c r="E1852" s="403"/>
      <c r="F1852" s="403">
        <f>BBNTHT!J1892</f>
        <v>376</v>
      </c>
      <c r="G1852" s="403">
        <f t="shared" si="112"/>
        <v>376</v>
      </c>
      <c r="H1852" s="9">
        <v>628772</v>
      </c>
      <c r="I1852" s="404">
        <f t="shared" si="113"/>
        <v>236418272</v>
      </c>
      <c r="J1852" s="403"/>
      <c r="K1852" s="404">
        <f t="shared" si="114"/>
        <v>236418272</v>
      </c>
      <c r="L1852" s="405">
        <f t="shared" si="115"/>
        <v>236418272</v>
      </c>
      <c r="M1852" s="403"/>
    </row>
    <row r="1853" spans="1:13" ht="47.25" x14ac:dyDescent="0.25">
      <c r="A1853" s="6" t="s">
        <v>3649</v>
      </c>
      <c r="B1853" s="7" t="s">
        <v>3650</v>
      </c>
      <c r="C1853" s="6" t="s">
        <v>14</v>
      </c>
      <c r="D1853" s="8">
        <v>3.76</v>
      </c>
      <c r="E1853" s="403"/>
      <c r="F1853" s="403">
        <f>BBNTHT!J1893</f>
        <v>0</v>
      </c>
      <c r="G1853" s="403">
        <f t="shared" si="112"/>
        <v>0</v>
      </c>
      <c r="H1853" s="9">
        <v>437233</v>
      </c>
      <c r="I1853" s="404">
        <f t="shared" si="113"/>
        <v>1643996</v>
      </c>
      <c r="J1853" s="403"/>
      <c r="K1853" s="404">
        <f t="shared" si="114"/>
        <v>0</v>
      </c>
      <c r="L1853" s="405">
        <f t="shared" si="115"/>
        <v>0</v>
      </c>
      <c r="M1853" s="403"/>
    </row>
    <row r="1854" spans="1:13" ht="15.75" x14ac:dyDescent="0.25">
      <c r="A1854" s="6" t="s">
        <v>3651</v>
      </c>
      <c r="B1854" s="7" t="s">
        <v>3652</v>
      </c>
      <c r="C1854" s="6" t="s">
        <v>9</v>
      </c>
      <c r="D1854" s="8">
        <v>42</v>
      </c>
      <c r="E1854" s="403"/>
      <c r="F1854" s="403">
        <f>BBNTHT!J1894</f>
        <v>0</v>
      </c>
      <c r="G1854" s="403">
        <f t="shared" si="112"/>
        <v>0</v>
      </c>
      <c r="H1854" s="9">
        <v>234944</v>
      </c>
      <c r="I1854" s="404">
        <f t="shared" si="113"/>
        <v>9867648</v>
      </c>
      <c r="J1854" s="403"/>
      <c r="K1854" s="404">
        <f t="shared" si="114"/>
        <v>0</v>
      </c>
      <c r="L1854" s="405">
        <f t="shared" si="115"/>
        <v>0</v>
      </c>
      <c r="M1854" s="403"/>
    </row>
    <row r="1855" spans="1:13" ht="31.5" x14ac:dyDescent="0.25">
      <c r="A1855" s="6" t="s">
        <v>3653</v>
      </c>
      <c r="B1855" s="7" t="s">
        <v>3654</v>
      </c>
      <c r="C1855" s="6" t="s">
        <v>3655</v>
      </c>
      <c r="D1855" s="8">
        <v>4.2</v>
      </c>
      <c r="E1855" s="403"/>
      <c r="F1855" s="403">
        <f>BBNTHT!J1895</f>
        <v>0</v>
      </c>
      <c r="G1855" s="403">
        <f t="shared" si="112"/>
        <v>0</v>
      </c>
      <c r="H1855" s="9">
        <v>2598738</v>
      </c>
      <c r="I1855" s="404">
        <f t="shared" si="113"/>
        <v>10914700</v>
      </c>
      <c r="J1855" s="403"/>
      <c r="K1855" s="404">
        <f t="shared" si="114"/>
        <v>0</v>
      </c>
      <c r="L1855" s="405">
        <f t="shared" si="115"/>
        <v>0</v>
      </c>
      <c r="M1855" s="403"/>
    </row>
    <row r="1856" spans="1:13" ht="31.5" x14ac:dyDescent="0.25">
      <c r="A1856" s="6" t="s">
        <v>3656</v>
      </c>
      <c r="B1856" s="7" t="s">
        <v>3657</v>
      </c>
      <c r="C1856" s="6" t="s">
        <v>6</v>
      </c>
      <c r="D1856" s="8">
        <v>27</v>
      </c>
      <c r="E1856" s="403"/>
      <c r="F1856" s="403">
        <f>BBNTHT!J1896</f>
        <v>0</v>
      </c>
      <c r="G1856" s="403">
        <f t="shared" si="112"/>
        <v>0</v>
      </c>
      <c r="H1856" s="9">
        <v>446903</v>
      </c>
      <c r="I1856" s="404">
        <f t="shared" si="113"/>
        <v>12066381</v>
      </c>
      <c r="J1856" s="403"/>
      <c r="K1856" s="404">
        <f t="shared" si="114"/>
        <v>0</v>
      </c>
      <c r="L1856" s="405">
        <f t="shared" si="115"/>
        <v>0</v>
      </c>
      <c r="M1856" s="403"/>
    </row>
    <row r="1857" spans="1:13" ht="47.25" x14ac:dyDescent="0.25">
      <c r="A1857" s="6" t="s">
        <v>3658</v>
      </c>
      <c r="B1857" s="7" t="s">
        <v>3659</v>
      </c>
      <c r="C1857" s="6" t="s">
        <v>14</v>
      </c>
      <c r="D1857" s="8">
        <v>11</v>
      </c>
      <c r="E1857" s="403"/>
      <c r="F1857" s="403">
        <f>BBNTHT!J1897</f>
        <v>0</v>
      </c>
      <c r="G1857" s="403">
        <f t="shared" si="112"/>
        <v>0</v>
      </c>
      <c r="H1857" s="9">
        <v>988621</v>
      </c>
      <c r="I1857" s="404">
        <f t="shared" si="113"/>
        <v>10874831</v>
      </c>
      <c r="J1857" s="403"/>
      <c r="K1857" s="404">
        <f t="shared" si="114"/>
        <v>0</v>
      </c>
      <c r="L1857" s="405">
        <f t="shared" si="115"/>
        <v>0</v>
      </c>
      <c r="M1857" s="403"/>
    </row>
    <row r="1858" spans="1:13" ht="15.75" x14ac:dyDescent="0.25">
      <c r="A1858" s="6" t="s">
        <v>3660</v>
      </c>
      <c r="B1858" s="7" t="s">
        <v>3661</v>
      </c>
      <c r="C1858" s="6" t="s">
        <v>248</v>
      </c>
      <c r="D1858" s="8">
        <v>3</v>
      </c>
      <c r="E1858" s="403"/>
      <c r="F1858" s="403">
        <f>BBNTHT!J1898</f>
        <v>0</v>
      </c>
      <c r="G1858" s="403">
        <f t="shared" si="112"/>
        <v>0</v>
      </c>
      <c r="H1858" s="9">
        <v>3174930</v>
      </c>
      <c r="I1858" s="404">
        <f t="shared" si="113"/>
        <v>9524790</v>
      </c>
      <c r="J1858" s="403"/>
      <c r="K1858" s="404">
        <f t="shared" si="114"/>
        <v>0</v>
      </c>
      <c r="L1858" s="405">
        <f t="shared" si="115"/>
        <v>0</v>
      </c>
      <c r="M1858" s="403"/>
    </row>
    <row r="1859" spans="1:13" ht="31.5" x14ac:dyDescent="0.25">
      <c r="A1859" s="6" t="s">
        <v>3662</v>
      </c>
      <c r="B1859" s="7" t="s">
        <v>3663</v>
      </c>
      <c r="C1859" s="6" t="s">
        <v>3664</v>
      </c>
      <c r="D1859" s="8">
        <v>3</v>
      </c>
      <c r="E1859" s="403"/>
      <c r="F1859" s="403">
        <f>BBNTHT!J1899</f>
        <v>0</v>
      </c>
      <c r="G1859" s="403">
        <f t="shared" si="112"/>
        <v>0</v>
      </c>
      <c r="H1859" s="9">
        <v>749834</v>
      </c>
      <c r="I1859" s="404">
        <f t="shared" si="113"/>
        <v>2249502</v>
      </c>
      <c r="J1859" s="403"/>
      <c r="K1859" s="404">
        <f t="shared" si="114"/>
        <v>0</v>
      </c>
      <c r="L1859" s="405">
        <f t="shared" si="115"/>
        <v>0</v>
      </c>
      <c r="M1859" s="403"/>
    </row>
    <row r="1860" spans="1:13" ht="15.75" x14ac:dyDescent="0.25">
      <c r="A1860" s="6" t="s">
        <v>3665</v>
      </c>
      <c r="B1860" s="7" t="s">
        <v>3666</v>
      </c>
      <c r="C1860" s="6" t="s">
        <v>248</v>
      </c>
      <c r="D1860" s="8">
        <v>2</v>
      </c>
      <c r="E1860" s="403"/>
      <c r="F1860" s="403">
        <f>BBNTHT!J1900</f>
        <v>0</v>
      </c>
      <c r="G1860" s="403">
        <f t="shared" si="112"/>
        <v>0</v>
      </c>
      <c r="H1860" s="9">
        <v>20002059</v>
      </c>
      <c r="I1860" s="404">
        <f t="shared" si="113"/>
        <v>40004118</v>
      </c>
      <c r="J1860" s="403"/>
      <c r="K1860" s="404">
        <f t="shared" si="114"/>
        <v>0</v>
      </c>
      <c r="L1860" s="405">
        <f t="shared" si="115"/>
        <v>0</v>
      </c>
      <c r="M1860" s="403"/>
    </row>
    <row r="1861" spans="1:13" ht="31.5" x14ac:dyDescent="0.25">
      <c r="A1861" s="6" t="s">
        <v>3667</v>
      </c>
      <c r="B1861" s="7" t="s">
        <v>3668</v>
      </c>
      <c r="C1861" s="6" t="s">
        <v>3664</v>
      </c>
      <c r="D1861" s="8">
        <v>6</v>
      </c>
      <c r="E1861" s="403"/>
      <c r="F1861" s="403">
        <f>BBNTHT!J1901</f>
        <v>0</v>
      </c>
      <c r="G1861" s="403">
        <f t="shared" si="112"/>
        <v>0</v>
      </c>
      <c r="H1861" s="9">
        <v>1019553</v>
      </c>
      <c r="I1861" s="404">
        <f t="shared" si="113"/>
        <v>6117318</v>
      </c>
      <c r="J1861" s="403"/>
      <c r="K1861" s="404">
        <f t="shared" si="114"/>
        <v>0</v>
      </c>
      <c r="L1861" s="405">
        <f t="shared" si="115"/>
        <v>0</v>
      </c>
      <c r="M1861" s="403"/>
    </row>
    <row r="1862" spans="1:13" ht="31.5" x14ac:dyDescent="0.25">
      <c r="A1862" s="6" t="s">
        <v>3669</v>
      </c>
      <c r="B1862" s="7" t="s">
        <v>3670</v>
      </c>
      <c r="C1862" s="6" t="s">
        <v>248</v>
      </c>
      <c r="D1862" s="8">
        <v>6</v>
      </c>
      <c r="E1862" s="403"/>
      <c r="F1862" s="403">
        <f>BBNTHT!J1902</f>
        <v>0</v>
      </c>
      <c r="G1862" s="403">
        <f t="shared" si="112"/>
        <v>0</v>
      </c>
      <c r="H1862" s="9">
        <v>2461497</v>
      </c>
      <c r="I1862" s="404">
        <f t="shared" si="113"/>
        <v>14768982</v>
      </c>
      <c r="J1862" s="403"/>
      <c r="K1862" s="404">
        <f t="shared" si="114"/>
        <v>0</v>
      </c>
      <c r="L1862" s="405">
        <f t="shared" si="115"/>
        <v>0</v>
      </c>
      <c r="M1862" s="403"/>
    </row>
    <row r="1863" spans="1:13" ht="15.75" x14ac:dyDescent="0.25">
      <c r="A1863" s="6" t="s">
        <v>3671</v>
      </c>
      <c r="B1863" s="7" t="s">
        <v>3672</v>
      </c>
      <c r="C1863" s="6" t="s">
        <v>3673</v>
      </c>
      <c r="D1863" s="8">
        <v>49.1</v>
      </c>
      <c r="E1863" s="403"/>
      <c r="F1863" s="403">
        <f>BBNTHT!J1903</f>
        <v>0</v>
      </c>
      <c r="G1863" s="403">
        <f t="shared" si="112"/>
        <v>0</v>
      </c>
      <c r="H1863" s="9">
        <v>32016</v>
      </c>
      <c r="I1863" s="404">
        <f t="shared" si="113"/>
        <v>1571986</v>
      </c>
      <c r="J1863" s="403"/>
      <c r="K1863" s="404">
        <f t="shared" si="114"/>
        <v>0</v>
      </c>
      <c r="L1863" s="405">
        <f t="shared" si="115"/>
        <v>0</v>
      </c>
      <c r="M1863" s="403"/>
    </row>
    <row r="1864" spans="1:13" ht="15.75" x14ac:dyDescent="0.25">
      <c r="A1864" s="6" t="s">
        <v>3674</v>
      </c>
      <c r="B1864" s="7" t="s">
        <v>3675</v>
      </c>
      <c r="C1864" s="6" t="s">
        <v>1399</v>
      </c>
      <c r="D1864" s="8">
        <v>8</v>
      </c>
      <c r="E1864" s="403"/>
      <c r="F1864" s="403">
        <f>BBNTHT!J1904</f>
        <v>0</v>
      </c>
      <c r="G1864" s="403">
        <f t="shared" si="112"/>
        <v>0</v>
      </c>
      <c r="H1864" s="9">
        <v>94307</v>
      </c>
      <c r="I1864" s="404">
        <f t="shared" si="113"/>
        <v>754456</v>
      </c>
      <c r="J1864" s="403"/>
      <c r="K1864" s="404">
        <f t="shared" si="114"/>
        <v>0</v>
      </c>
      <c r="L1864" s="405">
        <f t="shared" si="115"/>
        <v>0</v>
      </c>
      <c r="M1864" s="403"/>
    </row>
    <row r="1865" spans="1:13" ht="31.5" x14ac:dyDescent="0.25">
      <c r="A1865" s="6" t="s">
        <v>3676</v>
      </c>
      <c r="B1865" s="7" t="s">
        <v>3677</v>
      </c>
      <c r="C1865" s="6" t="s">
        <v>442</v>
      </c>
      <c r="D1865" s="8">
        <v>5.2</v>
      </c>
      <c r="E1865" s="403"/>
      <c r="F1865" s="403">
        <f>BBNTHT!J1905</f>
        <v>0</v>
      </c>
      <c r="G1865" s="403">
        <f t="shared" si="112"/>
        <v>0</v>
      </c>
      <c r="H1865" s="9">
        <v>127243</v>
      </c>
      <c r="I1865" s="404">
        <f t="shared" si="113"/>
        <v>661664</v>
      </c>
      <c r="J1865" s="403"/>
      <c r="K1865" s="404">
        <f t="shared" si="114"/>
        <v>0</v>
      </c>
      <c r="L1865" s="405">
        <f t="shared" si="115"/>
        <v>0</v>
      </c>
      <c r="M1865" s="403"/>
    </row>
    <row r="1866" spans="1:13" ht="31.5" x14ac:dyDescent="0.25">
      <c r="A1866" s="6" t="s">
        <v>3678</v>
      </c>
      <c r="B1866" s="7" t="s">
        <v>3679</v>
      </c>
      <c r="C1866" s="6" t="s">
        <v>37</v>
      </c>
      <c r="D1866" s="8">
        <v>6.72</v>
      </c>
      <c r="E1866" s="403"/>
      <c r="F1866" s="403">
        <f>BBNTHT!J1906</f>
        <v>0</v>
      </c>
      <c r="G1866" s="403">
        <f t="shared" si="112"/>
        <v>0</v>
      </c>
      <c r="H1866" s="9">
        <v>415952</v>
      </c>
      <c r="I1866" s="404">
        <f t="shared" si="113"/>
        <v>2795197</v>
      </c>
      <c r="J1866" s="403"/>
      <c r="K1866" s="404">
        <f t="shared" si="114"/>
        <v>0</v>
      </c>
      <c r="L1866" s="405">
        <f t="shared" si="115"/>
        <v>0</v>
      </c>
      <c r="M1866" s="403"/>
    </row>
    <row r="1867" spans="1:13" ht="31.5" x14ac:dyDescent="0.25">
      <c r="A1867" s="6" t="s">
        <v>3680</v>
      </c>
      <c r="B1867" s="7" t="s">
        <v>3681</v>
      </c>
      <c r="C1867" s="6" t="s">
        <v>37</v>
      </c>
      <c r="D1867" s="8">
        <v>6.72</v>
      </c>
      <c r="E1867" s="403"/>
      <c r="F1867" s="403">
        <f>BBNTHT!J1907</f>
        <v>0</v>
      </c>
      <c r="G1867" s="403">
        <f t="shared" si="112"/>
        <v>0</v>
      </c>
      <c r="H1867" s="9">
        <v>227650</v>
      </c>
      <c r="I1867" s="404">
        <f t="shared" si="113"/>
        <v>1529808</v>
      </c>
      <c r="J1867" s="403"/>
      <c r="K1867" s="404">
        <f t="shared" si="114"/>
        <v>0</v>
      </c>
      <c r="L1867" s="405">
        <f t="shared" si="115"/>
        <v>0</v>
      </c>
      <c r="M1867" s="403"/>
    </row>
    <row r="1868" spans="1:13" ht="31.5" x14ac:dyDescent="0.25">
      <c r="A1868" s="6" t="s">
        <v>3682</v>
      </c>
      <c r="B1868" s="7" t="s">
        <v>3683</v>
      </c>
      <c r="C1868" s="6" t="s">
        <v>248</v>
      </c>
      <c r="D1868" s="8">
        <v>1</v>
      </c>
      <c r="E1868" s="403"/>
      <c r="F1868" s="403">
        <f>BBNTHT!J1908</f>
        <v>0</v>
      </c>
      <c r="G1868" s="403">
        <f t="shared" si="112"/>
        <v>0</v>
      </c>
      <c r="H1868" s="9">
        <v>73429</v>
      </c>
      <c r="I1868" s="404">
        <f t="shared" si="113"/>
        <v>73429</v>
      </c>
      <c r="J1868" s="403"/>
      <c r="K1868" s="404">
        <f t="shared" si="114"/>
        <v>0</v>
      </c>
      <c r="L1868" s="405">
        <f t="shared" si="115"/>
        <v>0</v>
      </c>
      <c r="M1868" s="403"/>
    </row>
    <row r="1869" spans="1:13" ht="15.75" x14ac:dyDescent="0.25">
      <c r="A1869" s="2" t="s">
        <v>3684</v>
      </c>
      <c r="B1869" s="3" t="s">
        <v>3685</v>
      </c>
      <c r="C1869" s="2"/>
      <c r="D1869" s="4"/>
      <c r="E1869" s="403"/>
      <c r="F1869" s="403">
        <f>BBNTHT!J1909</f>
        <v>0</v>
      </c>
      <c r="G1869" s="403">
        <f t="shared" si="112"/>
        <v>0</v>
      </c>
      <c r="H1869" s="5"/>
      <c r="I1869" s="404">
        <f t="shared" si="113"/>
        <v>0</v>
      </c>
      <c r="J1869" s="403"/>
      <c r="K1869" s="404">
        <f t="shared" si="114"/>
        <v>0</v>
      </c>
      <c r="L1869" s="405">
        <f t="shared" si="115"/>
        <v>0</v>
      </c>
      <c r="M1869" s="403"/>
    </row>
    <row r="1870" spans="1:13" ht="31.5" x14ac:dyDescent="0.25">
      <c r="A1870" s="6" t="s">
        <v>3686</v>
      </c>
      <c r="B1870" s="7" t="s">
        <v>3687</v>
      </c>
      <c r="C1870" s="6" t="s">
        <v>6</v>
      </c>
      <c r="D1870" s="8">
        <v>119</v>
      </c>
      <c r="E1870" s="403"/>
      <c r="F1870" s="403">
        <f>BBNTHT!J1910</f>
        <v>119</v>
      </c>
      <c r="G1870" s="403">
        <f t="shared" si="112"/>
        <v>119</v>
      </c>
      <c r="H1870" s="9">
        <v>1396068</v>
      </c>
      <c r="I1870" s="404">
        <f t="shared" si="113"/>
        <v>166132092</v>
      </c>
      <c r="J1870" s="403"/>
      <c r="K1870" s="404">
        <f t="shared" si="114"/>
        <v>166132092</v>
      </c>
      <c r="L1870" s="405">
        <f t="shared" si="115"/>
        <v>166132092</v>
      </c>
      <c r="M1870" s="403"/>
    </row>
    <row r="1871" spans="1:13" ht="31.5" x14ac:dyDescent="0.25">
      <c r="A1871" s="6" t="s">
        <v>3688</v>
      </c>
      <c r="B1871" s="7" t="s">
        <v>3689</v>
      </c>
      <c r="C1871" s="6" t="s">
        <v>14</v>
      </c>
      <c r="D1871" s="8">
        <v>1.05</v>
      </c>
      <c r="E1871" s="403"/>
      <c r="F1871" s="403">
        <f>BBNTHT!J1911</f>
        <v>0</v>
      </c>
      <c r="G1871" s="403">
        <f t="shared" si="112"/>
        <v>0</v>
      </c>
      <c r="H1871" s="9">
        <v>9515355</v>
      </c>
      <c r="I1871" s="404">
        <f t="shared" si="113"/>
        <v>9991123</v>
      </c>
      <c r="J1871" s="403"/>
      <c r="K1871" s="404">
        <f t="shared" si="114"/>
        <v>0</v>
      </c>
      <c r="L1871" s="405">
        <f t="shared" si="115"/>
        <v>0</v>
      </c>
      <c r="M1871" s="403"/>
    </row>
    <row r="1872" spans="1:13" ht="31.5" x14ac:dyDescent="0.25">
      <c r="A1872" s="6" t="s">
        <v>3690</v>
      </c>
      <c r="B1872" s="7" t="s">
        <v>3691</v>
      </c>
      <c r="C1872" s="6" t="s">
        <v>14</v>
      </c>
      <c r="D1872" s="8">
        <v>0.14000000000000001</v>
      </c>
      <c r="E1872" s="403"/>
      <c r="F1872" s="403">
        <f>BBNTHT!J1912</f>
        <v>0</v>
      </c>
      <c r="G1872" s="403">
        <f t="shared" si="112"/>
        <v>0</v>
      </c>
      <c r="H1872" s="9">
        <v>5799275</v>
      </c>
      <c r="I1872" s="404">
        <f t="shared" si="113"/>
        <v>811899</v>
      </c>
      <c r="J1872" s="403"/>
      <c r="K1872" s="404">
        <f t="shared" si="114"/>
        <v>0</v>
      </c>
      <c r="L1872" s="405">
        <f t="shared" si="115"/>
        <v>0</v>
      </c>
      <c r="M1872" s="403"/>
    </row>
    <row r="1873" spans="1:13" ht="31.5" x14ac:dyDescent="0.25">
      <c r="A1873" s="6" t="s">
        <v>3692</v>
      </c>
      <c r="B1873" s="7" t="s">
        <v>3693</v>
      </c>
      <c r="C1873" s="6" t="s">
        <v>37</v>
      </c>
      <c r="D1873" s="8">
        <v>47.25</v>
      </c>
      <c r="E1873" s="403"/>
      <c r="F1873" s="403">
        <f>BBNTHT!J1913</f>
        <v>0</v>
      </c>
      <c r="G1873" s="403">
        <f t="shared" si="112"/>
        <v>0</v>
      </c>
      <c r="H1873" s="9">
        <v>645069</v>
      </c>
      <c r="I1873" s="404">
        <f t="shared" si="113"/>
        <v>30479510</v>
      </c>
      <c r="J1873" s="403"/>
      <c r="K1873" s="404">
        <f t="shared" si="114"/>
        <v>0</v>
      </c>
      <c r="L1873" s="405">
        <f t="shared" si="115"/>
        <v>0</v>
      </c>
      <c r="M1873" s="403"/>
    </row>
    <row r="1874" spans="1:13" ht="31.5" x14ac:dyDescent="0.25">
      <c r="A1874" s="6" t="s">
        <v>3694</v>
      </c>
      <c r="B1874" s="7" t="s">
        <v>3695</v>
      </c>
      <c r="C1874" s="6" t="s">
        <v>14</v>
      </c>
      <c r="D1874" s="8">
        <v>1.05</v>
      </c>
      <c r="E1874" s="403"/>
      <c r="F1874" s="403">
        <f>BBNTHT!J1914</f>
        <v>0</v>
      </c>
      <c r="G1874" s="403">
        <f t="shared" ref="G1874:G1937" si="116">F1874+E1874</f>
        <v>0</v>
      </c>
      <c r="H1874" s="9">
        <v>11780418</v>
      </c>
      <c r="I1874" s="404">
        <f t="shared" ref="I1874:I1937" si="117">ROUND(D1874*H1874,0)</f>
        <v>12369439</v>
      </c>
      <c r="J1874" s="403"/>
      <c r="K1874" s="404">
        <f t="shared" ref="K1874:K1937" si="118">ROUND(F1874*H1874,0)</f>
        <v>0</v>
      </c>
      <c r="L1874" s="405">
        <f t="shared" ref="L1874:L1937" si="119">J1874+K1874</f>
        <v>0</v>
      </c>
      <c r="M1874" s="403"/>
    </row>
    <row r="1875" spans="1:13" ht="31.5" x14ac:dyDescent="0.25">
      <c r="A1875" s="6" t="s">
        <v>3696</v>
      </c>
      <c r="B1875" s="7" t="s">
        <v>3697</v>
      </c>
      <c r="C1875" s="6" t="s">
        <v>37</v>
      </c>
      <c r="D1875" s="8">
        <v>14.28</v>
      </c>
      <c r="E1875" s="403"/>
      <c r="F1875" s="403">
        <f>BBNTHT!J1915</f>
        <v>0</v>
      </c>
      <c r="G1875" s="403">
        <f t="shared" si="116"/>
        <v>0</v>
      </c>
      <c r="H1875" s="9">
        <v>140524</v>
      </c>
      <c r="I1875" s="404">
        <f t="shared" si="117"/>
        <v>2006683</v>
      </c>
      <c r="J1875" s="403"/>
      <c r="K1875" s="404">
        <f t="shared" si="118"/>
        <v>0</v>
      </c>
      <c r="L1875" s="405">
        <f t="shared" si="119"/>
        <v>0</v>
      </c>
      <c r="M1875" s="403"/>
    </row>
    <row r="1876" spans="1:13" ht="31.5" x14ac:dyDescent="0.25">
      <c r="A1876" s="6" t="s">
        <v>3698</v>
      </c>
      <c r="B1876" s="7" t="s">
        <v>3699</v>
      </c>
      <c r="C1876" s="6" t="s">
        <v>3700</v>
      </c>
      <c r="D1876" s="8">
        <v>8.9999999999999998E-4</v>
      </c>
      <c r="E1876" s="403"/>
      <c r="F1876" s="403">
        <f>BBNTHT!J1916</f>
        <v>0</v>
      </c>
      <c r="G1876" s="403">
        <f t="shared" si="116"/>
        <v>0</v>
      </c>
      <c r="H1876" s="9">
        <v>1124195</v>
      </c>
      <c r="I1876" s="404">
        <f t="shared" si="117"/>
        <v>1012</v>
      </c>
      <c r="J1876" s="403"/>
      <c r="K1876" s="404">
        <f t="shared" si="118"/>
        <v>0</v>
      </c>
      <c r="L1876" s="405">
        <f t="shared" si="119"/>
        <v>0</v>
      </c>
      <c r="M1876" s="403"/>
    </row>
    <row r="1877" spans="1:13" ht="31.5" x14ac:dyDescent="0.25">
      <c r="A1877" s="6" t="s">
        <v>3701</v>
      </c>
      <c r="B1877" s="7" t="s">
        <v>3702</v>
      </c>
      <c r="C1877" s="6" t="s">
        <v>61</v>
      </c>
      <c r="D1877" s="8">
        <v>1.05</v>
      </c>
      <c r="E1877" s="403"/>
      <c r="F1877" s="403">
        <f>BBNTHT!J1917</f>
        <v>0</v>
      </c>
      <c r="G1877" s="403">
        <f t="shared" si="116"/>
        <v>0</v>
      </c>
      <c r="H1877" s="9">
        <v>140524</v>
      </c>
      <c r="I1877" s="404">
        <f t="shared" si="117"/>
        <v>147550</v>
      </c>
      <c r="J1877" s="403"/>
      <c r="K1877" s="404">
        <f t="shared" si="118"/>
        <v>0</v>
      </c>
      <c r="L1877" s="405">
        <f t="shared" si="119"/>
        <v>0</v>
      </c>
      <c r="M1877" s="403"/>
    </row>
    <row r="1878" spans="1:13" ht="31.5" x14ac:dyDescent="0.25">
      <c r="A1878" s="6" t="s">
        <v>3703</v>
      </c>
      <c r="B1878" s="7" t="s">
        <v>3704</v>
      </c>
      <c r="C1878" s="6" t="s">
        <v>37</v>
      </c>
      <c r="D1878" s="8">
        <v>3.2</v>
      </c>
      <c r="E1878" s="403"/>
      <c r="F1878" s="403">
        <f>BBNTHT!J1918</f>
        <v>0</v>
      </c>
      <c r="G1878" s="403">
        <f t="shared" si="116"/>
        <v>0</v>
      </c>
      <c r="H1878" s="9">
        <v>227650</v>
      </c>
      <c r="I1878" s="404">
        <f t="shared" si="117"/>
        <v>728480</v>
      </c>
      <c r="J1878" s="403"/>
      <c r="K1878" s="404">
        <f t="shared" si="118"/>
        <v>0</v>
      </c>
      <c r="L1878" s="405">
        <f t="shared" si="119"/>
        <v>0</v>
      </c>
      <c r="M1878" s="403"/>
    </row>
    <row r="1879" spans="1:13" ht="31.5" x14ac:dyDescent="0.25">
      <c r="A1879" s="6" t="s">
        <v>3705</v>
      </c>
      <c r="B1879" s="7" t="s">
        <v>3706</v>
      </c>
      <c r="C1879" s="6" t="s">
        <v>248</v>
      </c>
      <c r="D1879" s="8">
        <v>1</v>
      </c>
      <c r="E1879" s="403"/>
      <c r="F1879" s="403">
        <f>BBNTHT!J1919</f>
        <v>0</v>
      </c>
      <c r="G1879" s="403">
        <f t="shared" si="116"/>
        <v>0</v>
      </c>
      <c r="H1879" s="9">
        <v>2261820</v>
      </c>
      <c r="I1879" s="404">
        <f t="shared" si="117"/>
        <v>2261820</v>
      </c>
      <c r="J1879" s="403"/>
      <c r="K1879" s="404">
        <f t="shared" si="118"/>
        <v>0</v>
      </c>
      <c r="L1879" s="405">
        <f t="shared" si="119"/>
        <v>0</v>
      </c>
      <c r="M1879" s="403"/>
    </row>
    <row r="1880" spans="1:13" ht="31.5" x14ac:dyDescent="0.25">
      <c r="A1880" s="6" t="s">
        <v>3707</v>
      </c>
      <c r="B1880" s="7" t="s">
        <v>3708</v>
      </c>
      <c r="C1880" s="6" t="s">
        <v>248</v>
      </c>
      <c r="D1880" s="8">
        <v>1</v>
      </c>
      <c r="E1880" s="403"/>
      <c r="F1880" s="403">
        <f>BBNTHT!J1920</f>
        <v>0</v>
      </c>
      <c r="G1880" s="403">
        <f t="shared" si="116"/>
        <v>0</v>
      </c>
      <c r="H1880" s="9">
        <v>528806</v>
      </c>
      <c r="I1880" s="404">
        <f t="shared" si="117"/>
        <v>528806</v>
      </c>
      <c r="J1880" s="403"/>
      <c r="K1880" s="404">
        <f t="shared" si="118"/>
        <v>0</v>
      </c>
      <c r="L1880" s="405">
        <f t="shared" si="119"/>
        <v>0</v>
      </c>
      <c r="M1880" s="403"/>
    </row>
    <row r="1881" spans="1:13" ht="31.5" x14ac:dyDescent="0.25">
      <c r="A1881" s="6" t="s">
        <v>3709</v>
      </c>
      <c r="B1881" s="7" t="s">
        <v>3710</v>
      </c>
      <c r="C1881" s="6" t="s">
        <v>3673</v>
      </c>
      <c r="D1881" s="8">
        <v>1</v>
      </c>
      <c r="E1881" s="403"/>
      <c r="F1881" s="403">
        <f>BBNTHT!J1921</f>
        <v>0</v>
      </c>
      <c r="G1881" s="403">
        <f t="shared" si="116"/>
        <v>0</v>
      </c>
      <c r="H1881" s="9">
        <v>40639</v>
      </c>
      <c r="I1881" s="404">
        <f t="shared" si="117"/>
        <v>40639</v>
      </c>
      <c r="J1881" s="403"/>
      <c r="K1881" s="404">
        <f t="shared" si="118"/>
        <v>0</v>
      </c>
      <c r="L1881" s="405">
        <f t="shared" si="119"/>
        <v>0</v>
      </c>
      <c r="M1881" s="403"/>
    </row>
    <row r="1882" spans="1:13" ht="31.5" x14ac:dyDescent="0.25">
      <c r="A1882" s="6" t="s">
        <v>3711</v>
      </c>
      <c r="B1882" s="7" t="s">
        <v>3712</v>
      </c>
      <c r="C1882" s="6" t="s">
        <v>248</v>
      </c>
      <c r="D1882" s="8">
        <v>1</v>
      </c>
      <c r="E1882" s="403"/>
      <c r="F1882" s="403">
        <f>BBNTHT!J1922</f>
        <v>0</v>
      </c>
      <c r="G1882" s="403">
        <f t="shared" si="116"/>
        <v>0</v>
      </c>
      <c r="H1882" s="9">
        <v>633106</v>
      </c>
      <c r="I1882" s="404">
        <f t="shared" si="117"/>
        <v>633106</v>
      </c>
      <c r="J1882" s="403"/>
      <c r="K1882" s="404">
        <f t="shared" si="118"/>
        <v>0</v>
      </c>
      <c r="L1882" s="405">
        <f t="shared" si="119"/>
        <v>0</v>
      </c>
      <c r="M1882" s="403"/>
    </row>
    <row r="1883" spans="1:13" ht="31.5" x14ac:dyDescent="0.25">
      <c r="A1883" s="6" t="s">
        <v>3713</v>
      </c>
      <c r="B1883" s="7" t="s">
        <v>3714</v>
      </c>
      <c r="C1883" s="6" t="s">
        <v>3673</v>
      </c>
      <c r="D1883" s="8">
        <v>1</v>
      </c>
      <c r="E1883" s="403"/>
      <c r="F1883" s="403">
        <f>BBNTHT!J1923</f>
        <v>0</v>
      </c>
      <c r="G1883" s="403">
        <f t="shared" si="116"/>
        <v>0</v>
      </c>
      <c r="H1883" s="9">
        <v>40639</v>
      </c>
      <c r="I1883" s="404">
        <f t="shared" si="117"/>
        <v>40639</v>
      </c>
      <c r="J1883" s="403"/>
      <c r="K1883" s="404">
        <f t="shared" si="118"/>
        <v>0</v>
      </c>
      <c r="L1883" s="405">
        <f t="shared" si="119"/>
        <v>0</v>
      </c>
      <c r="M1883" s="403"/>
    </row>
    <row r="1884" spans="1:13" ht="31.5" x14ac:dyDescent="0.25">
      <c r="A1884" s="6" t="s">
        <v>3715</v>
      </c>
      <c r="B1884" s="7" t="s">
        <v>3716</v>
      </c>
      <c r="C1884" s="6" t="s">
        <v>248</v>
      </c>
      <c r="D1884" s="8">
        <v>1</v>
      </c>
      <c r="E1884" s="403"/>
      <c r="F1884" s="403">
        <f>BBNTHT!J1924</f>
        <v>0</v>
      </c>
      <c r="G1884" s="403">
        <f t="shared" si="116"/>
        <v>0</v>
      </c>
      <c r="H1884" s="9">
        <v>470220</v>
      </c>
      <c r="I1884" s="404">
        <f t="shared" si="117"/>
        <v>470220</v>
      </c>
      <c r="J1884" s="403"/>
      <c r="K1884" s="404">
        <f t="shared" si="118"/>
        <v>0</v>
      </c>
      <c r="L1884" s="405">
        <f t="shared" si="119"/>
        <v>0</v>
      </c>
      <c r="M1884" s="403"/>
    </row>
    <row r="1885" spans="1:13" ht="15.75" x14ac:dyDescent="0.25">
      <c r="A1885" s="2" t="s">
        <v>3717</v>
      </c>
      <c r="B1885" s="3" t="s">
        <v>3718</v>
      </c>
      <c r="C1885" s="2"/>
      <c r="D1885" s="4"/>
      <c r="E1885" s="403"/>
      <c r="F1885" s="403">
        <f>BBNTHT!J1925</f>
        <v>0</v>
      </c>
      <c r="G1885" s="403">
        <f t="shared" si="116"/>
        <v>0</v>
      </c>
      <c r="H1885" s="5"/>
      <c r="I1885" s="404">
        <f t="shared" si="117"/>
        <v>0</v>
      </c>
      <c r="J1885" s="403"/>
      <c r="K1885" s="404">
        <f t="shared" si="118"/>
        <v>0</v>
      </c>
      <c r="L1885" s="405">
        <f t="shared" si="119"/>
        <v>0</v>
      </c>
      <c r="M1885" s="403"/>
    </row>
    <row r="1886" spans="1:13" ht="31.5" x14ac:dyDescent="0.25">
      <c r="A1886" s="6" t="s">
        <v>3719</v>
      </c>
      <c r="B1886" s="7" t="s">
        <v>3720</v>
      </c>
      <c r="C1886" s="6" t="s">
        <v>248</v>
      </c>
      <c r="D1886" s="8">
        <v>1</v>
      </c>
      <c r="E1886" s="403"/>
      <c r="F1886" s="403">
        <f>BBNTHT!J1926</f>
        <v>0</v>
      </c>
      <c r="G1886" s="403">
        <f t="shared" si="116"/>
        <v>0</v>
      </c>
      <c r="H1886" s="9">
        <v>2196086</v>
      </c>
      <c r="I1886" s="404">
        <f t="shared" si="117"/>
        <v>2196086</v>
      </c>
      <c r="J1886" s="403"/>
      <c r="K1886" s="404">
        <f t="shared" si="118"/>
        <v>0</v>
      </c>
      <c r="L1886" s="405">
        <f t="shared" si="119"/>
        <v>0</v>
      </c>
      <c r="M1886" s="403"/>
    </row>
    <row r="1887" spans="1:13" ht="31.5" x14ac:dyDescent="0.25">
      <c r="A1887" s="6" t="s">
        <v>3721</v>
      </c>
      <c r="B1887" s="7" t="s">
        <v>3722</v>
      </c>
      <c r="C1887" s="6" t="s">
        <v>248</v>
      </c>
      <c r="D1887" s="8">
        <v>2</v>
      </c>
      <c r="E1887" s="403"/>
      <c r="F1887" s="403">
        <f>BBNTHT!J1927</f>
        <v>0</v>
      </c>
      <c r="G1887" s="403">
        <f t="shared" si="116"/>
        <v>0</v>
      </c>
      <c r="H1887" s="9">
        <v>5466705</v>
      </c>
      <c r="I1887" s="404">
        <f t="shared" si="117"/>
        <v>10933410</v>
      </c>
      <c r="J1887" s="403"/>
      <c r="K1887" s="404">
        <f t="shared" si="118"/>
        <v>0</v>
      </c>
      <c r="L1887" s="405">
        <f t="shared" si="119"/>
        <v>0</v>
      </c>
      <c r="M1887" s="403"/>
    </row>
    <row r="1888" spans="1:13" ht="31.5" x14ac:dyDescent="0.25">
      <c r="A1888" s="6" t="s">
        <v>3723</v>
      </c>
      <c r="B1888" s="7" t="s">
        <v>3724</v>
      </c>
      <c r="C1888" s="6" t="s">
        <v>248</v>
      </c>
      <c r="D1888" s="8">
        <v>2</v>
      </c>
      <c r="E1888" s="403"/>
      <c r="F1888" s="403">
        <f>BBNTHT!J1928</f>
        <v>0</v>
      </c>
      <c r="G1888" s="403">
        <f t="shared" si="116"/>
        <v>0</v>
      </c>
      <c r="H1888" s="9">
        <v>3186265</v>
      </c>
      <c r="I1888" s="404">
        <f t="shared" si="117"/>
        <v>6372530</v>
      </c>
      <c r="J1888" s="403"/>
      <c r="K1888" s="404">
        <f t="shared" si="118"/>
        <v>0</v>
      </c>
      <c r="L1888" s="405">
        <f t="shared" si="119"/>
        <v>0</v>
      </c>
      <c r="M1888" s="403"/>
    </row>
    <row r="1889" spans="1:13" ht="31.5" x14ac:dyDescent="0.25">
      <c r="A1889" s="6" t="s">
        <v>3725</v>
      </c>
      <c r="B1889" s="7" t="s">
        <v>3726</v>
      </c>
      <c r="C1889" s="6" t="s">
        <v>248</v>
      </c>
      <c r="D1889" s="8">
        <v>1</v>
      </c>
      <c r="E1889" s="403"/>
      <c r="F1889" s="403">
        <f>BBNTHT!J1929</f>
        <v>0</v>
      </c>
      <c r="G1889" s="403">
        <f t="shared" si="116"/>
        <v>0</v>
      </c>
      <c r="H1889" s="9">
        <v>1882199</v>
      </c>
      <c r="I1889" s="404">
        <f t="shared" si="117"/>
        <v>1882199</v>
      </c>
      <c r="J1889" s="403"/>
      <c r="K1889" s="404">
        <f t="shared" si="118"/>
        <v>0</v>
      </c>
      <c r="L1889" s="405">
        <f t="shared" si="119"/>
        <v>0</v>
      </c>
      <c r="M1889" s="403"/>
    </row>
    <row r="1890" spans="1:13" ht="31.5" x14ac:dyDescent="0.25">
      <c r="A1890" s="6" t="s">
        <v>3727</v>
      </c>
      <c r="B1890" s="7" t="s">
        <v>3728</v>
      </c>
      <c r="C1890" s="6" t="s">
        <v>1872</v>
      </c>
      <c r="D1890" s="8">
        <v>3</v>
      </c>
      <c r="E1890" s="403"/>
      <c r="F1890" s="403">
        <f>BBNTHT!J1930</f>
        <v>0</v>
      </c>
      <c r="G1890" s="403">
        <f t="shared" si="116"/>
        <v>0</v>
      </c>
      <c r="H1890" s="9">
        <v>6196014</v>
      </c>
      <c r="I1890" s="404">
        <f t="shared" si="117"/>
        <v>18588042</v>
      </c>
      <c r="J1890" s="403"/>
      <c r="K1890" s="404">
        <f t="shared" si="118"/>
        <v>0</v>
      </c>
      <c r="L1890" s="405">
        <f t="shared" si="119"/>
        <v>0</v>
      </c>
      <c r="M1890" s="403"/>
    </row>
    <row r="1891" spans="1:13" ht="31.5" x14ac:dyDescent="0.25">
      <c r="A1891" s="6" t="s">
        <v>3729</v>
      </c>
      <c r="B1891" s="7" t="s">
        <v>3730</v>
      </c>
      <c r="C1891" s="6" t="s">
        <v>1911</v>
      </c>
      <c r="D1891" s="8">
        <v>1</v>
      </c>
      <c r="E1891" s="403"/>
      <c r="F1891" s="403">
        <f>BBNTHT!J1931</f>
        <v>0</v>
      </c>
      <c r="G1891" s="403">
        <f t="shared" si="116"/>
        <v>0</v>
      </c>
      <c r="H1891" s="9">
        <v>1778279</v>
      </c>
      <c r="I1891" s="404">
        <f t="shared" si="117"/>
        <v>1778279</v>
      </c>
      <c r="J1891" s="403"/>
      <c r="K1891" s="404">
        <f t="shared" si="118"/>
        <v>0</v>
      </c>
      <c r="L1891" s="405">
        <f t="shared" si="119"/>
        <v>0</v>
      </c>
      <c r="M1891" s="403"/>
    </row>
    <row r="1892" spans="1:13" ht="31.5" x14ac:dyDescent="0.25">
      <c r="A1892" s="6" t="s">
        <v>3731</v>
      </c>
      <c r="B1892" s="7" t="s">
        <v>3732</v>
      </c>
      <c r="C1892" s="6" t="s">
        <v>1872</v>
      </c>
      <c r="D1892" s="8">
        <v>20</v>
      </c>
      <c r="E1892" s="403"/>
      <c r="F1892" s="403">
        <f>BBNTHT!J1932</f>
        <v>0</v>
      </c>
      <c r="G1892" s="403">
        <f t="shared" si="116"/>
        <v>0</v>
      </c>
      <c r="H1892" s="9">
        <v>45537</v>
      </c>
      <c r="I1892" s="404">
        <f t="shared" si="117"/>
        <v>910740</v>
      </c>
      <c r="J1892" s="403"/>
      <c r="K1892" s="404">
        <f t="shared" si="118"/>
        <v>0</v>
      </c>
      <c r="L1892" s="405">
        <f t="shared" si="119"/>
        <v>0</v>
      </c>
      <c r="M1892" s="403"/>
    </row>
    <row r="1893" spans="1:13" ht="47.25" x14ac:dyDescent="0.25">
      <c r="A1893" s="6" t="s">
        <v>3733</v>
      </c>
      <c r="B1893" s="7" t="s">
        <v>3734</v>
      </c>
      <c r="C1893" s="6" t="s">
        <v>1911</v>
      </c>
      <c r="D1893" s="8">
        <v>1</v>
      </c>
      <c r="E1893" s="403"/>
      <c r="F1893" s="403">
        <f>BBNTHT!J1933</f>
        <v>0</v>
      </c>
      <c r="G1893" s="403">
        <f t="shared" si="116"/>
        <v>0</v>
      </c>
      <c r="H1893" s="9">
        <v>1167213</v>
      </c>
      <c r="I1893" s="404">
        <f t="shared" si="117"/>
        <v>1167213</v>
      </c>
      <c r="J1893" s="403"/>
      <c r="K1893" s="404">
        <f t="shared" si="118"/>
        <v>0</v>
      </c>
      <c r="L1893" s="405">
        <f t="shared" si="119"/>
        <v>0</v>
      </c>
      <c r="M1893" s="403"/>
    </row>
    <row r="1894" spans="1:13" ht="31.5" x14ac:dyDescent="0.25">
      <c r="A1894" s="6" t="s">
        <v>3735</v>
      </c>
      <c r="B1894" s="7" t="s">
        <v>3736</v>
      </c>
      <c r="C1894" s="6" t="s">
        <v>9</v>
      </c>
      <c r="D1894" s="8">
        <v>1</v>
      </c>
      <c r="E1894" s="403"/>
      <c r="F1894" s="403">
        <f>BBNTHT!J1934</f>
        <v>0</v>
      </c>
      <c r="G1894" s="403">
        <f t="shared" si="116"/>
        <v>0</v>
      </c>
      <c r="H1894" s="9">
        <v>2065170</v>
      </c>
      <c r="I1894" s="404">
        <f t="shared" si="117"/>
        <v>2065170</v>
      </c>
      <c r="J1894" s="403"/>
      <c r="K1894" s="404">
        <f t="shared" si="118"/>
        <v>0</v>
      </c>
      <c r="L1894" s="405">
        <f t="shared" si="119"/>
        <v>0</v>
      </c>
      <c r="M1894" s="403"/>
    </row>
    <row r="1895" spans="1:13" ht="31.5" x14ac:dyDescent="0.25">
      <c r="A1895" s="6" t="s">
        <v>3737</v>
      </c>
      <c r="B1895" s="7" t="s">
        <v>3738</v>
      </c>
      <c r="C1895" s="6" t="s">
        <v>3739</v>
      </c>
      <c r="D1895" s="8">
        <v>1</v>
      </c>
      <c r="E1895" s="403"/>
      <c r="F1895" s="403">
        <f>BBNTHT!J1935</f>
        <v>0</v>
      </c>
      <c r="G1895" s="403">
        <f t="shared" si="116"/>
        <v>0</v>
      </c>
      <c r="H1895" s="9">
        <v>410019</v>
      </c>
      <c r="I1895" s="404">
        <f t="shared" si="117"/>
        <v>410019</v>
      </c>
      <c r="J1895" s="403"/>
      <c r="K1895" s="404">
        <f t="shared" si="118"/>
        <v>0</v>
      </c>
      <c r="L1895" s="405">
        <f t="shared" si="119"/>
        <v>0</v>
      </c>
      <c r="M1895" s="403"/>
    </row>
    <row r="1896" spans="1:13" ht="15.75" x14ac:dyDescent="0.25">
      <c r="A1896" s="6" t="s">
        <v>3740</v>
      </c>
      <c r="B1896" s="7" t="s">
        <v>3741</v>
      </c>
      <c r="C1896" s="6" t="s">
        <v>9</v>
      </c>
      <c r="D1896" s="8">
        <v>4</v>
      </c>
      <c r="E1896" s="403"/>
      <c r="F1896" s="403">
        <f>BBNTHT!J1936</f>
        <v>0</v>
      </c>
      <c r="G1896" s="403">
        <f t="shared" si="116"/>
        <v>0</v>
      </c>
      <c r="H1896" s="9">
        <v>5924009</v>
      </c>
      <c r="I1896" s="404">
        <f t="shared" si="117"/>
        <v>23696036</v>
      </c>
      <c r="J1896" s="403"/>
      <c r="K1896" s="404">
        <f t="shared" si="118"/>
        <v>0</v>
      </c>
      <c r="L1896" s="405">
        <f t="shared" si="119"/>
        <v>0</v>
      </c>
      <c r="M1896" s="403"/>
    </row>
    <row r="1897" spans="1:13" ht="31.5" x14ac:dyDescent="0.25">
      <c r="A1897" s="6" t="s">
        <v>3742</v>
      </c>
      <c r="B1897" s="7" t="s">
        <v>3743</v>
      </c>
      <c r="C1897" s="6" t="s">
        <v>9</v>
      </c>
      <c r="D1897" s="8">
        <v>9</v>
      </c>
      <c r="E1897" s="403"/>
      <c r="F1897" s="403">
        <f>BBNTHT!J1937</f>
        <v>0</v>
      </c>
      <c r="G1897" s="403">
        <f t="shared" si="116"/>
        <v>0</v>
      </c>
      <c r="H1897" s="9">
        <v>564895</v>
      </c>
      <c r="I1897" s="404">
        <f t="shared" si="117"/>
        <v>5084055</v>
      </c>
      <c r="J1897" s="403"/>
      <c r="K1897" s="404">
        <f t="shared" si="118"/>
        <v>0</v>
      </c>
      <c r="L1897" s="405">
        <f t="shared" si="119"/>
        <v>0</v>
      </c>
      <c r="M1897" s="403"/>
    </row>
    <row r="1898" spans="1:13" ht="31.5" x14ac:dyDescent="0.25">
      <c r="A1898" s="6" t="s">
        <v>3744</v>
      </c>
      <c r="B1898" s="7" t="s">
        <v>3745</v>
      </c>
      <c r="C1898" s="6" t="s">
        <v>9</v>
      </c>
      <c r="D1898" s="8">
        <v>1</v>
      </c>
      <c r="E1898" s="403"/>
      <c r="F1898" s="403">
        <f>BBNTHT!J1938</f>
        <v>0</v>
      </c>
      <c r="G1898" s="403">
        <f t="shared" si="116"/>
        <v>0</v>
      </c>
      <c r="H1898" s="9">
        <v>540760</v>
      </c>
      <c r="I1898" s="404">
        <f t="shared" si="117"/>
        <v>540760</v>
      </c>
      <c r="J1898" s="403"/>
      <c r="K1898" s="404">
        <f t="shared" si="118"/>
        <v>0</v>
      </c>
      <c r="L1898" s="405">
        <f t="shared" si="119"/>
        <v>0</v>
      </c>
      <c r="M1898" s="403"/>
    </row>
    <row r="1899" spans="1:13" ht="15.75" x14ac:dyDescent="0.25">
      <c r="A1899" s="6" t="s">
        <v>3746</v>
      </c>
      <c r="B1899" s="7" t="s">
        <v>3747</v>
      </c>
      <c r="C1899" s="6" t="s">
        <v>248</v>
      </c>
      <c r="D1899" s="8">
        <v>1</v>
      </c>
      <c r="E1899" s="403"/>
      <c r="F1899" s="403">
        <f>BBNTHT!J1939</f>
        <v>0</v>
      </c>
      <c r="G1899" s="403">
        <f t="shared" si="116"/>
        <v>0</v>
      </c>
      <c r="H1899" s="9">
        <v>1057565</v>
      </c>
      <c r="I1899" s="404">
        <f t="shared" si="117"/>
        <v>1057565</v>
      </c>
      <c r="J1899" s="403"/>
      <c r="K1899" s="404">
        <f t="shared" si="118"/>
        <v>0</v>
      </c>
      <c r="L1899" s="405">
        <f t="shared" si="119"/>
        <v>0</v>
      </c>
      <c r="M1899" s="403"/>
    </row>
    <row r="1900" spans="1:13" ht="31.5" x14ac:dyDescent="0.25">
      <c r="A1900" s="2" t="s">
        <v>2298</v>
      </c>
      <c r="B1900" s="3" t="s">
        <v>2299</v>
      </c>
      <c r="C1900" s="2"/>
      <c r="D1900" s="4"/>
      <c r="E1900" s="403"/>
      <c r="F1900" s="403">
        <f>BBNTHT!J1940</f>
        <v>0</v>
      </c>
      <c r="G1900" s="403">
        <f t="shared" si="116"/>
        <v>0</v>
      </c>
      <c r="H1900" s="5"/>
      <c r="I1900" s="404">
        <f t="shared" si="117"/>
        <v>0</v>
      </c>
      <c r="J1900" s="403"/>
      <c r="K1900" s="404">
        <f t="shared" si="118"/>
        <v>0</v>
      </c>
      <c r="L1900" s="405">
        <f t="shared" si="119"/>
        <v>0</v>
      </c>
      <c r="M1900" s="403"/>
    </row>
    <row r="1901" spans="1:13" ht="15.75" x14ac:dyDescent="0.25">
      <c r="A1901" s="6" t="s">
        <v>2300</v>
      </c>
      <c r="B1901" s="7" t="s">
        <v>2301</v>
      </c>
      <c r="C1901" s="6" t="s">
        <v>32</v>
      </c>
      <c r="D1901" s="8">
        <v>11.169</v>
      </c>
      <c r="E1901" s="403"/>
      <c r="F1901" s="403">
        <f>BBNTHT!J1941</f>
        <v>0</v>
      </c>
      <c r="G1901" s="403">
        <f t="shared" si="116"/>
        <v>0</v>
      </c>
      <c r="H1901" s="9">
        <v>48922737</v>
      </c>
      <c r="I1901" s="404">
        <f t="shared" si="117"/>
        <v>546418050</v>
      </c>
      <c r="J1901" s="403"/>
      <c r="K1901" s="404">
        <f t="shared" si="118"/>
        <v>0</v>
      </c>
      <c r="L1901" s="405">
        <f t="shared" si="119"/>
        <v>0</v>
      </c>
      <c r="M1901" s="403"/>
    </row>
    <row r="1902" spans="1:13" ht="31.5" x14ac:dyDescent="0.25">
      <c r="A1902" s="6" t="s">
        <v>2302</v>
      </c>
      <c r="B1902" s="7" t="s">
        <v>311</v>
      </c>
      <c r="C1902" s="6" t="s">
        <v>32</v>
      </c>
      <c r="D1902" s="8">
        <v>10.859</v>
      </c>
      <c r="E1902" s="403"/>
      <c r="F1902" s="403">
        <f>BBNTHT!J1942</f>
        <v>0</v>
      </c>
      <c r="G1902" s="403">
        <f t="shared" si="116"/>
        <v>0</v>
      </c>
      <c r="H1902" s="9">
        <v>4018967</v>
      </c>
      <c r="I1902" s="404">
        <f t="shared" si="117"/>
        <v>43641963</v>
      </c>
      <c r="J1902" s="403"/>
      <c r="K1902" s="404">
        <f t="shared" si="118"/>
        <v>0</v>
      </c>
      <c r="L1902" s="405">
        <f t="shared" si="119"/>
        <v>0</v>
      </c>
      <c r="M1902" s="403"/>
    </row>
    <row r="1903" spans="1:13" ht="15.75" x14ac:dyDescent="0.25">
      <c r="A1903" s="6" t="s">
        <v>2303</v>
      </c>
      <c r="B1903" s="7" t="s">
        <v>2304</v>
      </c>
      <c r="C1903" s="6" t="s">
        <v>52</v>
      </c>
      <c r="D1903" s="8">
        <v>371.81200000000001</v>
      </c>
      <c r="E1903" s="403"/>
      <c r="F1903" s="403">
        <f>BBNTHT!J1943</f>
        <v>0</v>
      </c>
      <c r="G1903" s="403">
        <f t="shared" si="116"/>
        <v>0</v>
      </c>
      <c r="H1903" s="9">
        <v>224947</v>
      </c>
      <c r="I1903" s="404">
        <f t="shared" si="117"/>
        <v>83637994</v>
      </c>
      <c r="J1903" s="403"/>
      <c r="K1903" s="404">
        <f t="shared" si="118"/>
        <v>0</v>
      </c>
      <c r="L1903" s="405">
        <f t="shared" si="119"/>
        <v>0</v>
      </c>
      <c r="M1903" s="403"/>
    </row>
    <row r="1904" spans="1:13" ht="15.75" x14ac:dyDescent="0.25">
      <c r="A1904" s="6" t="s">
        <v>2305</v>
      </c>
      <c r="B1904" s="7" t="s">
        <v>2306</v>
      </c>
      <c r="C1904" s="6" t="s">
        <v>52</v>
      </c>
      <c r="D1904" s="8">
        <v>616.23199999999997</v>
      </c>
      <c r="E1904" s="403"/>
      <c r="F1904" s="403">
        <f>BBNTHT!J1944</f>
        <v>0</v>
      </c>
      <c r="G1904" s="403">
        <f t="shared" si="116"/>
        <v>0</v>
      </c>
      <c r="H1904" s="9">
        <v>279350</v>
      </c>
      <c r="I1904" s="404">
        <f t="shared" si="117"/>
        <v>172144409</v>
      </c>
      <c r="J1904" s="403"/>
      <c r="K1904" s="404">
        <f t="shared" si="118"/>
        <v>0</v>
      </c>
      <c r="L1904" s="405">
        <f t="shared" si="119"/>
        <v>0</v>
      </c>
      <c r="M1904" s="403"/>
    </row>
    <row r="1905" spans="1:13" ht="15.75" x14ac:dyDescent="0.25">
      <c r="A1905" s="6" t="s">
        <v>2307</v>
      </c>
      <c r="B1905" s="7" t="s">
        <v>2308</v>
      </c>
      <c r="C1905" s="6" t="s">
        <v>52</v>
      </c>
      <c r="D1905" s="8">
        <v>371.81200000000001</v>
      </c>
      <c r="E1905" s="403"/>
      <c r="F1905" s="403">
        <f>BBNTHT!J1945</f>
        <v>0</v>
      </c>
      <c r="G1905" s="403">
        <f t="shared" si="116"/>
        <v>0</v>
      </c>
      <c r="H1905" s="9">
        <v>800082</v>
      </c>
      <c r="I1905" s="404">
        <f t="shared" si="117"/>
        <v>297480089</v>
      </c>
      <c r="J1905" s="403"/>
      <c r="K1905" s="404">
        <f t="shared" si="118"/>
        <v>0</v>
      </c>
      <c r="L1905" s="405">
        <f t="shared" si="119"/>
        <v>0</v>
      </c>
      <c r="M1905" s="403"/>
    </row>
    <row r="1906" spans="1:13" ht="31.5" x14ac:dyDescent="0.25">
      <c r="A1906" s="2" t="s">
        <v>2309</v>
      </c>
      <c r="B1906" s="3" t="s">
        <v>2310</v>
      </c>
      <c r="C1906" s="2"/>
      <c r="D1906" s="4"/>
      <c r="E1906" s="403"/>
      <c r="F1906" s="403">
        <f>BBNTHT!J1946</f>
        <v>0</v>
      </c>
      <c r="G1906" s="403">
        <f t="shared" si="116"/>
        <v>0</v>
      </c>
      <c r="H1906" s="5"/>
      <c r="I1906" s="404">
        <f t="shared" si="117"/>
        <v>0</v>
      </c>
      <c r="J1906" s="403"/>
      <c r="K1906" s="404">
        <f t="shared" si="118"/>
        <v>0</v>
      </c>
      <c r="L1906" s="405">
        <f t="shared" si="119"/>
        <v>0</v>
      </c>
      <c r="M1906" s="403"/>
    </row>
    <row r="1907" spans="1:13" ht="15.75" x14ac:dyDescent="0.25">
      <c r="A1907" s="6" t="s">
        <v>2311</v>
      </c>
      <c r="B1907" s="7" t="s">
        <v>2312</v>
      </c>
      <c r="C1907" s="6" t="s">
        <v>1911</v>
      </c>
      <c r="D1907" s="8">
        <v>1</v>
      </c>
      <c r="E1907" s="403"/>
      <c r="F1907" s="403">
        <f>BBNTHT!J1947</f>
        <v>0</v>
      </c>
      <c r="G1907" s="403">
        <f t="shared" si="116"/>
        <v>0</v>
      </c>
      <c r="H1907" s="9">
        <v>2295434934</v>
      </c>
      <c r="I1907" s="404">
        <f t="shared" si="117"/>
        <v>2295434934</v>
      </c>
      <c r="J1907" s="403"/>
      <c r="K1907" s="404">
        <f t="shared" si="118"/>
        <v>0</v>
      </c>
      <c r="L1907" s="405">
        <f t="shared" si="119"/>
        <v>0</v>
      </c>
      <c r="M1907" s="403"/>
    </row>
    <row r="1908" spans="1:13" ht="31.5" x14ac:dyDescent="0.25">
      <c r="A1908" s="2" t="s">
        <v>3748</v>
      </c>
      <c r="B1908" s="3" t="s">
        <v>3749</v>
      </c>
      <c r="C1908" s="2"/>
      <c r="D1908" s="4"/>
      <c r="E1908" s="403"/>
      <c r="F1908" s="403">
        <f>BBNTHT!J1948</f>
        <v>0</v>
      </c>
      <c r="G1908" s="403">
        <f t="shared" si="116"/>
        <v>0</v>
      </c>
      <c r="H1908" s="5"/>
      <c r="I1908" s="404">
        <f t="shared" si="117"/>
        <v>0</v>
      </c>
      <c r="J1908" s="403"/>
      <c r="K1908" s="404">
        <f t="shared" si="118"/>
        <v>0</v>
      </c>
      <c r="L1908" s="405">
        <f t="shared" si="119"/>
        <v>0</v>
      </c>
      <c r="M1908" s="403"/>
    </row>
    <row r="1909" spans="1:13" ht="31.5" x14ac:dyDescent="0.25">
      <c r="A1909" s="6" t="s">
        <v>3750</v>
      </c>
      <c r="B1909" s="7" t="s">
        <v>3751</v>
      </c>
      <c r="C1909" s="6" t="s">
        <v>1911</v>
      </c>
      <c r="D1909" s="8">
        <v>1</v>
      </c>
      <c r="E1909" s="403"/>
      <c r="F1909" s="403">
        <f>BBNTHT!J1949</f>
        <v>1</v>
      </c>
      <c r="G1909" s="403">
        <f t="shared" si="116"/>
        <v>1</v>
      </c>
      <c r="H1909" s="9">
        <v>1073896487</v>
      </c>
      <c r="I1909" s="404">
        <f t="shared" si="117"/>
        <v>1073896487</v>
      </c>
      <c r="J1909" s="403"/>
      <c r="K1909" s="404">
        <f t="shared" si="118"/>
        <v>1073896487</v>
      </c>
      <c r="L1909" s="405">
        <f t="shared" si="119"/>
        <v>1073896487</v>
      </c>
      <c r="M1909" s="403"/>
    </row>
    <row r="1910" spans="1:13" ht="63" x14ac:dyDescent="0.25">
      <c r="A1910" s="6" t="s">
        <v>3752</v>
      </c>
      <c r="B1910" s="7" t="s">
        <v>3753</v>
      </c>
      <c r="C1910" s="6" t="s">
        <v>499</v>
      </c>
      <c r="D1910" s="8">
        <v>1</v>
      </c>
      <c r="E1910" s="403"/>
      <c r="F1910" s="403">
        <f>BBNTHT!J1950</f>
        <v>0</v>
      </c>
      <c r="G1910" s="403">
        <f t="shared" si="116"/>
        <v>0</v>
      </c>
      <c r="H1910" s="9">
        <v>795472549</v>
      </c>
      <c r="I1910" s="404">
        <f t="shared" si="117"/>
        <v>795472549</v>
      </c>
      <c r="J1910" s="403"/>
      <c r="K1910" s="404">
        <f t="shared" si="118"/>
        <v>0</v>
      </c>
      <c r="L1910" s="405">
        <f t="shared" si="119"/>
        <v>0</v>
      </c>
      <c r="M1910" s="403"/>
    </row>
    <row r="1911" spans="1:13" ht="31.5" x14ac:dyDescent="0.25">
      <c r="A1911" s="6" t="s">
        <v>3754</v>
      </c>
      <c r="B1911" s="7" t="s">
        <v>3755</v>
      </c>
      <c r="C1911" s="6" t="s">
        <v>499</v>
      </c>
      <c r="D1911" s="8">
        <v>1</v>
      </c>
      <c r="E1911" s="403"/>
      <c r="F1911" s="403">
        <f>BBNTHT!J1951</f>
        <v>0</v>
      </c>
      <c r="G1911" s="403">
        <f t="shared" si="116"/>
        <v>0</v>
      </c>
      <c r="H1911" s="9">
        <v>252871424</v>
      </c>
      <c r="I1911" s="404">
        <f t="shared" si="117"/>
        <v>252871424</v>
      </c>
      <c r="J1911" s="403"/>
      <c r="K1911" s="404">
        <f t="shared" si="118"/>
        <v>0</v>
      </c>
      <c r="L1911" s="405">
        <f t="shared" si="119"/>
        <v>0</v>
      </c>
      <c r="M1911" s="403"/>
    </row>
    <row r="1912" spans="1:13" ht="15.75" x14ac:dyDescent="0.25">
      <c r="A1912" s="6" t="s">
        <v>3756</v>
      </c>
      <c r="B1912" s="7" t="s">
        <v>3757</v>
      </c>
      <c r="C1912" s="6" t="s">
        <v>499</v>
      </c>
      <c r="D1912" s="8">
        <v>1</v>
      </c>
      <c r="E1912" s="403"/>
      <c r="F1912" s="403">
        <f>BBNTHT!J1952</f>
        <v>0</v>
      </c>
      <c r="G1912" s="403">
        <f t="shared" si="116"/>
        <v>0</v>
      </c>
      <c r="H1912" s="9">
        <v>210054141</v>
      </c>
      <c r="I1912" s="404">
        <f t="shared" si="117"/>
        <v>210054141</v>
      </c>
      <c r="J1912" s="403"/>
      <c r="K1912" s="404">
        <f t="shared" si="118"/>
        <v>0</v>
      </c>
      <c r="L1912" s="405">
        <f t="shared" si="119"/>
        <v>0</v>
      </c>
      <c r="M1912" s="403"/>
    </row>
    <row r="1913" spans="1:13" ht="15.75" x14ac:dyDescent="0.25">
      <c r="A1913" s="6" t="s">
        <v>3758</v>
      </c>
      <c r="B1913" s="7" t="s">
        <v>3759</v>
      </c>
      <c r="C1913" s="6" t="s">
        <v>499</v>
      </c>
      <c r="D1913" s="8">
        <v>1</v>
      </c>
      <c r="E1913" s="403"/>
      <c r="F1913" s="403">
        <f>BBNTHT!J1953</f>
        <v>0</v>
      </c>
      <c r="G1913" s="403">
        <f t="shared" si="116"/>
        <v>0</v>
      </c>
      <c r="H1913" s="9">
        <v>85429535</v>
      </c>
      <c r="I1913" s="404">
        <f t="shared" si="117"/>
        <v>85429535</v>
      </c>
      <c r="J1913" s="403"/>
      <c r="K1913" s="404">
        <f t="shared" si="118"/>
        <v>0</v>
      </c>
      <c r="L1913" s="405">
        <f t="shared" si="119"/>
        <v>0</v>
      </c>
      <c r="M1913" s="403"/>
    </row>
    <row r="1914" spans="1:13" ht="15.75" x14ac:dyDescent="0.25">
      <c r="A1914" s="6" t="s">
        <v>3760</v>
      </c>
      <c r="B1914" s="7" t="s">
        <v>3761</v>
      </c>
      <c r="C1914" s="6" t="s">
        <v>248</v>
      </c>
      <c r="D1914" s="8">
        <v>2</v>
      </c>
      <c r="E1914" s="403"/>
      <c r="F1914" s="403">
        <f>BBNTHT!J1954</f>
        <v>0</v>
      </c>
      <c r="G1914" s="403">
        <f t="shared" si="116"/>
        <v>0</v>
      </c>
      <c r="H1914" s="9">
        <v>10838161</v>
      </c>
      <c r="I1914" s="404">
        <f t="shared" si="117"/>
        <v>21676322</v>
      </c>
      <c r="J1914" s="403"/>
      <c r="K1914" s="404">
        <f t="shared" si="118"/>
        <v>0</v>
      </c>
      <c r="L1914" s="405">
        <f t="shared" si="119"/>
        <v>0</v>
      </c>
      <c r="M1914" s="403"/>
    </row>
    <row r="1915" spans="1:13" ht="15.75" x14ac:dyDescent="0.25">
      <c r="A1915" s="6" t="s">
        <v>3762</v>
      </c>
      <c r="B1915" s="7" t="s">
        <v>3763</v>
      </c>
      <c r="C1915" s="6" t="s">
        <v>248</v>
      </c>
      <c r="D1915" s="8">
        <v>1</v>
      </c>
      <c r="E1915" s="403"/>
      <c r="F1915" s="403">
        <f>BBNTHT!J1955</f>
        <v>0</v>
      </c>
      <c r="G1915" s="403">
        <f t="shared" si="116"/>
        <v>0</v>
      </c>
      <c r="H1915" s="9">
        <v>328049415</v>
      </c>
      <c r="I1915" s="404">
        <f t="shared" si="117"/>
        <v>328049415</v>
      </c>
      <c r="J1915" s="403"/>
      <c r="K1915" s="404">
        <f t="shared" si="118"/>
        <v>0</v>
      </c>
      <c r="L1915" s="405">
        <f t="shared" si="119"/>
        <v>0</v>
      </c>
      <c r="M1915" s="403"/>
    </row>
    <row r="1916" spans="1:13" ht="15.75" x14ac:dyDescent="0.25">
      <c r="A1916" s="6" t="s">
        <v>3764</v>
      </c>
      <c r="B1916" s="7" t="s">
        <v>3765</v>
      </c>
      <c r="C1916" s="6" t="s">
        <v>248</v>
      </c>
      <c r="D1916" s="8">
        <v>1</v>
      </c>
      <c r="E1916" s="403"/>
      <c r="F1916" s="403">
        <f>BBNTHT!J1956</f>
        <v>0</v>
      </c>
      <c r="G1916" s="403">
        <f t="shared" si="116"/>
        <v>0</v>
      </c>
      <c r="H1916" s="9">
        <v>8582820</v>
      </c>
      <c r="I1916" s="404">
        <f t="shared" si="117"/>
        <v>8582820</v>
      </c>
      <c r="J1916" s="403"/>
      <c r="K1916" s="404">
        <f t="shared" si="118"/>
        <v>0</v>
      </c>
      <c r="L1916" s="405">
        <f t="shared" si="119"/>
        <v>0</v>
      </c>
      <c r="M1916" s="403"/>
    </row>
    <row r="1917" spans="1:13" ht="15.75" x14ac:dyDescent="0.25">
      <c r="A1917" s="2" t="s">
        <v>2313</v>
      </c>
      <c r="B1917" s="3" t="s">
        <v>2314</v>
      </c>
      <c r="C1917" s="2"/>
      <c r="D1917" s="4"/>
      <c r="E1917" s="403"/>
      <c r="F1917" s="403">
        <f>BBNTHT!J1957</f>
        <v>0</v>
      </c>
      <c r="G1917" s="403">
        <f t="shared" si="116"/>
        <v>0</v>
      </c>
      <c r="H1917" s="5"/>
      <c r="I1917" s="404">
        <f t="shared" si="117"/>
        <v>0</v>
      </c>
      <c r="J1917" s="403"/>
      <c r="K1917" s="404">
        <f t="shared" si="118"/>
        <v>0</v>
      </c>
      <c r="L1917" s="405">
        <f t="shared" si="119"/>
        <v>0</v>
      </c>
      <c r="M1917" s="403"/>
    </row>
    <row r="1918" spans="1:13" ht="15.75" x14ac:dyDescent="0.25">
      <c r="A1918" s="2" t="s">
        <v>2315</v>
      </c>
      <c r="B1918" s="3" t="s">
        <v>2316</v>
      </c>
      <c r="C1918" s="2"/>
      <c r="D1918" s="4"/>
      <c r="E1918" s="403"/>
      <c r="F1918" s="403">
        <f>BBNTHT!J1958</f>
        <v>0</v>
      </c>
      <c r="G1918" s="403">
        <f t="shared" si="116"/>
        <v>0</v>
      </c>
      <c r="H1918" s="5"/>
      <c r="I1918" s="404">
        <f t="shared" si="117"/>
        <v>0</v>
      </c>
      <c r="J1918" s="403"/>
      <c r="K1918" s="404">
        <f t="shared" si="118"/>
        <v>0</v>
      </c>
      <c r="L1918" s="405">
        <f t="shared" si="119"/>
        <v>0</v>
      </c>
      <c r="M1918" s="403"/>
    </row>
    <row r="1919" spans="1:13" ht="15.75" x14ac:dyDescent="0.25">
      <c r="A1919" s="6" t="s">
        <v>2317</v>
      </c>
      <c r="B1919" s="7" t="s">
        <v>2318</v>
      </c>
      <c r="C1919" s="6" t="s">
        <v>248</v>
      </c>
      <c r="D1919" s="8">
        <v>1</v>
      </c>
      <c r="E1919" s="403"/>
      <c r="F1919" s="403">
        <f>BBNTHT!J1959</f>
        <v>0</v>
      </c>
      <c r="G1919" s="403">
        <f t="shared" si="116"/>
        <v>0</v>
      </c>
      <c r="H1919" s="9">
        <v>315840822</v>
      </c>
      <c r="I1919" s="404">
        <f t="shared" si="117"/>
        <v>315840822</v>
      </c>
      <c r="J1919" s="403"/>
      <c r="K1919" s="404">
        <f t="shared" si="118"/>
        <v>0</v>
      </c>
      <c r="L1919" s="405">
        <f t="shared" si="119"/>
        <v>0</v>
      </c>
      <c r="M1919" s="403"/>
    </row>
    <row r="1920" spans="1:13" ht="15.75" x14ac:dyDescent="0.25">
      <c r="A1920" s="6" t="s">
        <v>2319</v>
      </c>
      <c r="B1920" s="7" t="s">
        <v>2320</v>
      </c>
      <c r="C1920" s="6" t="s">
        <v>248</v>
      </c>
      <c r="D1920" s="8">
        <v>1</v>
      </c>
      <c r="E1920" s="403"/>
      <c r="F1920" s="403">
        <f>BBNTHT!J1960</f>
        <v>0</v>
      </c>
      <c r="G1920" s="403">
        <f t="shared" si="116"/>
        <v>0</v>
      </c>
      <c r="H1920" s="9">
        <v>216045599</v>
      </c>
      <c r="I1920" s="404">
        <f t="shared" si="117"/>
        <v>216045599</v>
      </c>
      <c r="J1920" s="403"/>
      <c r="K1920" s="404">
        <f t="shared" si="118"/>
        <v>0</v>
      </c>
      <c r="L1920" s="405">
        <f t="shared" si="119"/>
        <v>0</v>
      </c>
      <c r="M1920" s="403"/>
    </row>
    <row r="1921" spans="1:13" ht="15.75" x14ac:dyDescent="0.25">
      <c r="A1921" s="6" t="s">
        <v>2321</v>
      </c>
      <c r="B1921" s="7" t="s">
        <v>2322</v>
      </c>
      <c r="C1921" s="6" t="s">
        <v>248</v>
      </c>
      <c r="D1921" s="8">
        <v>1</v>
      </c>
      <c r="E1921" s="403"/>
      <c r="F1921" s="403">
        <f>BBNTHT!J1961</f>
        <v>0</v>
      </c>
      <c r="G1921" s="403">
        <f t="shared" si="116"/>
        <v>0</v>
      </c>
      <c r="H1921" s="9">
        <v>315701999</v>
      </c>
      <c r="I1921" s="404">
        <f t="shared" si="117"/>
        <v>315701999</v>
      </c>
      <c r="J1921" s="403"/>
      <c r="K1921" s="404">
        <f t="shared" si="118"/>
        <v>0</v>
      </c>
      <c r="L1921" s="405">
        <f t="shared" si="119"/>
        <v>0</v>
      </c>
      <c r="M1921" s="403"/>
    </row>
    <row r="1922" spans="1:13" ht="15.75" x14ac:dyDescent="0.25">
      <c r="A1922" s="6" t="s">
        <v>2323</v>
      </c>
      <c r="B1922" s="7" t="s">
        <v>2324</v>
      </c>
      <c r="C1922" s="6" t="s">
        <v>248</v>
      </c>
      <c r="D1922" s="8">
        <v>1</v>
      </c>
      <c r="E1922" s="403"/>
      <c r="F1922" s="403">
        <f>BBNTHT!J1962</f>
        <v>0</v>
      </c>
      <c r="G1922" s="403">
        <f t="shared" si="116"/>
        <v>0</v>
      </c>
      <c r="H1922" s="9">
        <v>1172082543</v>
      </c>
      <c r="I1922" s="404">
        <f t="shared" si="117"/>
        <v>1172082543</v>
      </c>
      <c r="J1922" s="403"/>
      <c r="K1922" s="404">
        <f t="shared" si="118"/>
        <v>0</v>
      </c>
      <c r="L1922" s="405">
        <f t="shared" si="119"/>
        <v>0</v>
      </c>
      <c r="M1922" s="403"/>
    </row>
    <row r="1923" spans="1:13" ht="15.75" x14ac:dyDescent="0.25">
      <c r="A1923" s="2" t="s">
        <v>2325</v>
      </c>
      <c r="B1923" s="3" t="s">
        <v>2326</v>
      </c>
      <c r="C1923" s="2"/>
      <c r="D1923" s="4"/>
      <c r="E1923" s="403"/>
      <c r="F1923" s="403">
        <f>BBNTHT!J1963</f>
        <v>0</v>
      </c>
      <c r="G1923" s="403">
        <f t="shared" si="116"/>
        <v>0</v>
      </c>
      <c r="H1923" s="5"/>
      <c r="I1923" s="404">
        <f t="shared" si="117"/>
        <v>0</v>
      </c>
      <c r="J1923" s="403"/>
      <c r="K1923" s="404">
        <f t="shared" si="118"/>
        <v>0</v>
      </c>
      <c r="L1923" s="405">
        <f t="shared" si="119"/>
        <v>0</v>
      </c>
      <c r="M1923" s="403"/>
    </row>
    <row r="1924" spans="1:13" ht="15.75" x14ac:dyDescent="0.25">
      <c r="A1924" s="6" t="s">
        <v>2327</v>
      </c>
      <c r="B1924" s="7" t="s">
        <v>2328</v>
      </c>
      <c r="C1924" s="6" t="s">
        <v>248</v>
      </c>
      <c r="D1924" s="8">
        <v>274</v>
      </c>
      <c r="E1924" s="403"/>
      <c r="F1924" s="403">
        <f>BBNTHT!J1964</f>
        <v>0</v>
      </c>
      <c r="G1924" s="403">
        <f t="shared" si="116"/>
        <v>0</v>
      </c>
      <c r="H1924" s="9">
        <v>2050309</v>
      </c>
      <c r="I1924" s="404">
        <f t="shared" si="117"/>
        <v>561784666</v>
      </c>
      <c r="J1924" s="403"/>
      <c r="K1924" s="404">
        <f t="shared" si="118"/>
        <v>0</v>
      </c>
      <c r="L1924" s="405">
        <f t="shared" si="119"/>
        <v>0</v>
      </c>
      <c r="M1924" s="403"/>
    </row>
    <row r="1925" spans="1:13" ht="15.75" x14ac:dyDescent="0.25">
      <c r="A1925" s="6" t="s">
        <v>2329</v>
      </c>
      <c r="B1925" s="7" t="s">
        <v>2330</v>
      </c>
      <c r="C1925" s="6" t="s">
        <v>248</v>
      </c>
      <c r="D1925" s="8">
        <v>63</v>
      </c>
      <c r="E1925" s="403"/>
      <c r="F1925" s="403">
        <f>BBNTHT!J1965</f>
        <v>0</v>
      </c>
      <c r="G1925" s="403">
        <f t="shared" si="116"/>
        <v>0</v>
      </c>
      <c r="H1925" s="9">
        <v>5638349</v>
      </c>
      <c r="I1925" s="404">
        <f t="shared" si="117"/>
        <v>355215987</v>
      </c>
      <c r="J1925" s="403"/>
      <c r="K1925" s="404">
        <f t="shared" si="118"/>
        <v>0</v>
      </c>
      <c r="L1925" s="405">
        <f t="shared" si="119"/>
        <v>0</v>
      </c>
      <c r="M1925" s="403"/>
    </row>
    <row r="1926" spans="1:13" ht="15.75" x14ac:dyDescent="0.25">
      <c r="A1926" s="6" t="s">
        <v>2331</v>
      </c>
      <c r="B1926" s="7" t="s">
        <v>2332</v>
      </c>
      <c r="C1926" s="6" t="s">
        <v>1867</v>
      </c>
      <c r="D1926" s="8">
        <v>3</v>
      </c>
      <c r="E1926" s="403"/>
      <c r="F1926" s="403">
        <f>BBNTHT!J1966</f>
        <v>0</v>
      </c>
      <c r="G1926" s="403">
        <f t="shared" si="116"/>
        <v>0</v>
      </c>
      <c r="H1926" s="9">
        <v>13150970</v>
      </c>
      <c r="I1926" s="404">
        <f t="shared" si="117"/>
        <v>39452910</v>
      </c>
      <c r="J1926" s="403"/>
      <c r="K1926" s="404">
        <f t="shared" si="118"/>
        <v>0</v>
      </c>
      <c r="L1926" s="405">
        <f t="shared" si="119"/>
        <v>0</v>
      </c>
      <c r="M1926" s="403"/>
    </row>
    <row r="1927" spans="1:13" ht="15.75" x14ac:dyDescent="0.25">
      <c r="A1927" s="6" t="s">
        <v>2333</v>
      </c>
      <c r="B1927" s="7" t="s">
        <v>2334</v>
      </c>
      <c r="C1927" s="6" t="s">
        <v>1867</v>
      </c>
      <c r="D1927" s="8">
        <v>1</v>
      </c>
      <c r="E1927" s="403"/>
      <c r="F1927" s="403">
        <f>BBNTHT!J1967</f>
        <v>0</v>
      </c>
      <c r="G1927" s="403">
        <f t="shared" si="116"/>
        <v>0</v>
      </c>
      <c r="H1927" s="9">
        <v>13150970</v>
      </c>
      <c r="I1927" s="404">
        <f t="shared" si="117"/>
        <v>13150970</v>
      </c>
      <c r="J1927" s="403"/>
      <c r="K1927" s="404">
        <f t="shared" si="118"/>
        <v>0</v>
      </c>
      <c r="L1927" s="405">
        <f t="shared" si="119"/>
        <v>0</v>
      </c>
      <c r="M1927" s="403"/>
    </row>
    <row r="1928" spans="1:13" ht="31.5" x14ac:dyDescent="0.25">
      <c r="A1928" s="6" t="s">
        <v>2335</v>
      </c>
      <c r="B1928" s="7" t="s">
        <v>2336</v>
      </c>
      <c r="C1928" s="6" t="s">
        <v>1867</v>
      </c>
      <c r="D1928" s="8">
        <v>3</v>
      </c>
      <c r="E1928" s="403"/>
      <c r="F1928" s="403">
        <f>BBNTHT!J1968</f>
        <v>0</v>
      </c>
      <c r="G1928" s="403">
        <f t="shared" si="116"/>
        <v>0</v>
      </c>
      <c r="H1928" s="9">
        <v>13150970</v>
      </c>
      <c r="I1928" s="404">
        <f t="shared" si="117"/>
        <v>39452910</v>
      </c>
      <c r="J1928" s="403"/>
      <c r="K1928" s="404">
        <f t="shared" si="118"/>
        <v>0</v>
      </c>
      <c r="L1928" s="405">
        <f t="shared" si="119"/>
        <v>0</v>
      </c>
      <c r="M1928" s="403"/>
    </row>
    <row r="1929" spans="1:13" ht="31.5" x14ac:dyDescent="0.25">
      <c r="A1929" s="6" t="s">
        <v>2337</v>
      </c>
      <c r="B1929" s="7" t="s">
        <v>2338</v>
      </c>
      <c r="C1929" s="6" t="s">
        <v>1867</v>
      </c>
      <c r="D1929" s="8">
        <v>12</v>
      </c>
      <c r="E1929" s="403"/>
      <c r="F1929" s="403">
        <f>BBNTHT!J1969</f>
        <v>0</v>
      </c>
      <c r="G1929" s="403">
        <f t="shared" si="116"/>
        <v>0</v>
      </c>
      <c r="H1929" s="9">
        <v>28526203</v>
      </c>
      <c r="I1929" s="404">
        <f t="shared" si="117"/>
        <v>342314436</v>
      </c>
      <c r="J1929" s="403"/>
      <c r="K1929" s="404">
        <f t="shared" si="118"/>
        <v>0</v>
      </c>
      <c r="L1929" s="405">
        <f t="shared" si="119"/>
        <v>0</v>
      </c>
      <c r="M1929" s="403"/>
    </row>
    <row r="1930" spans="1:13" ht="15.75" x14ac:dyDescent="0.25">
      <c r="A1930" s="6" t="s">
        <v>2339</v>
      </c>
      <c r="B1930" s="7" t="s">
        <v>2340</v>
      </c>
      <c r="C1930" s="6" t="s">
        <v>1867</v>
      </c>
      <c r="D1930" s="8">
        <v>1</v>
      </c>
      <c r="E1930" s="403"/>
      <c r="F1930" s="403">
        <f>BBNTHT!J1970</f>
        <v>0</v>
      </c>
      <c r="G1930" s="403">
        <f t="shared" si="116"/>
        <v>0</v>
      </c>
      <c r="H1930" s="9">
        <v>7248567</v>
      </c>
      <c r="I1930" s="404">
        <f t="shared" si="117"/>
        <v>7248567</v>
      </c>
      <c r="J1930" s="403"/>
      <c r="K1930" s="404">
        <f t="shared" si="118"/>
        <v>0</v>
      </c>
      <c r="L1930" s="405">
        <f t="shared" si="119"/>
        <v>0</v>
      </c>
      <c r="M1930" s="403"/>
    </row>
    <row r="1931" spans="1:13" ht="15.75" x14ac:dyDescent="0.25">
      <c r="A1931" s="6" t="s">
        <v>2341</v>
      </c>
      <c r="B1931" s="7" t="s">
        <v>2342</v>
      </c>
      <c r="C1931" s="6" t="s">
        <v>1867</v>
      </c>
      <c r="D1931" s="8">
        <v>2</v>
      </c>
      <c r="E1931" s="403"/>
      <c r="F1931" s="403">
        <f>BBNTHT!J1971</f>
        <v>0</v>
      </c>
      <c r="G1931" s="403">
        <f t="shared" si="116"/>
        <v>0</v>
      </c>
      <c r="H1931" s="9">
        <v>7248567</v>
      </c>
      <c r="I1931" s="404">
        <f t="shared" si="117"/>
        <v>14497134</v>
      </c>
      <c r="J1931" s="403"/>
      <c r="K1931" s="404">
        <f t="shared" si="118"/>
        <v>0</v>
      </c>
      <c r="L1931" s="405">
        <f t="shared" si="119"/>
        <v>0</v>
      </c>
      <c r="M1931" s="403"/>
    </row>
    <row r="1932" spans="1:13" ht="15.75" x14ac:dyDescent="0.25">
      <c r="A1932" s="6" t="s">
        <v>2343</v>
      </c>
      <c r="B1932" s="7" t="s">
        <v>2344</v>
      </c>
      <c r="C1932" s="6" t="s">
        <v>1867</v>
      </c>
      <c r="D1932" s="8">
        <v>1</v>
      </c>
      <c r="E1932" s="403"/>
      <c r="F1932" s="403">
        <f>BBNTHT!J1972</f>
        <v>0</v>
      </c>
      <c r="G1932" s="403">
        <f t="shared" si="116"/>
        <v>0</v>
      </c>
      <c r="H1932" s="9">
        <v>7248567</v>
      </c>
      <c r="I1932" s="404">
        <f t="shared" si="117"/>
        <v>7248567</v>
      </c>
      <c r="J1932" s="403"/>
      <c r="K1932" s="404">
        <f t="shared" si="118"/>
        <v>0</v>
      </c>
      <c r="L1932" s="405">
        <f t="shared" si="119"/>
        <v>0</v>
      </c>
      <c r="M1932" s="403"/>
    </row>
    <row r="1933" spans="1:13" ht="15.75" x14ac:dyDescent="0.25">
      <c r="A1933" s="6" t="s">
        <v>2345</v>
      </c>
      <c r="B1933" s="7" t="s">
        <v>2346</v>
      </c>
      <c r="C1933" s="6" t="s">
        <v>1867</v>
      </c>
      <c r="D1933" s="8">
        <v>2</v>
      </c>
      <c r="E1933" s="403"/>
      <c r="F1933" s="403">
        <f>BBNTHT!J1973</f>
        <v>0</v>
      </c>
      <c r="G1933" s="403">
        <f t="shared" si="116"/>
        <v>0</v>
      </c>
      <c r="H1933" s="9">
        <v>7248567</v>
      </c>
      <c r="I1933" s="404">
        <f t="shared" si="117"/>
        <v>14497134</v>
      </c>
      <c r="J1933" s="403"/>
      <c r="K1933" s="404">
        <f t="shared" si="118"/>
        <v>0</v>
      </c>
      <c r="L1933" s="405">
        <f t="shared" si="119"/>
        <v>0</v>
      </c>
      <c r="M1933" s="403"/>
    </row>
    <row r="1934" spans="1:13" ht="15.75" x14ac:dyDescent="0.25">
      <c r="A1934" s="6" t="s">
        <v>2347</v>
      </c>
      <c r="B1934" s="7" t="s">
        <v>2348</v>
      </c>
      <c r="C1934" s="6" t="s">
        <v>1867</v>
      </c>
      <c r="D1934" s="8">
        <v>13</v>
      </c>
      <c r="E1934" s="403"/>
      <c r="F1934" s="403">
        <f>BBNTHT!J1974</f>
        <v>0</v>
      </c>
      <c r="G1934" s="403">
        <f t="shared" si="116"/>
        <v>0</v>
      </c>
      <c r="H1934" s="9">
        <v>10872849</v>
      </c>
      <c r="I1934" s="404">
        <f t="shared" si="117"/>
        <v>141347037</v>
      </c>
      <c r="J1934" s="403"/>
      <c r="K1934" s="404">
        <f t="shared" si="118"/>
        <v>0</v>
      </c>
      <c r="L1934" s="405">
        <f t="shared" si="119"/>
        <v>0</v>
      </c>
      <c r="M1934" s="403"/>
    </row>
    <row r="1935" spans="1:13" ht="15.75" x14ac:dyDescent="0.25">
      <c r="A1935" s="6" t="s">
        <v>2349</v>
      </c>
      <c r="B1935" s="7" t="s">
        <v>2350</v>
      </c>
      <c r="C1935" s="6" t="s">
        <v>1867</v>
      </c>
      <c r="D1935" s="8">
        <v>1</v>
      </c>
      <c r="E1935" s="403"/>
      <c r="F1935" s="403">
        <f>BBNTHT!J1975</f>
        <v>0</v>
      </c>
      <c r="G1935" s="403">
        <f t="shared" si="116"/>
        <v>0</v>
      </c>
      <c r="H1935" s="9">
        <v>3758900</v>
      </c>
      <c r="I1935" s="404">
        <f t="shared" si="117"/>
        <v>3758900</v>
      </c>
      <c r="J1935" s="403"/>
      <c r="K1935" s="404">
        <f t="shared" si="118"/>
        <v>0</v>
      </c>
      <c r="L1935" s="405">
        <f t="shared" si="119"/>
        <v>0</v>
      </c>
      <c r="M1935" s="403"/>
    </row>
    <row r="1936" spans="1:13" ht="15.75" x14ac:dyDescent="0.25">
      <c r="A1936" s="6" t="s">
        <v>2351</v>
      </c>
      <c r="B1936" s="7" t="s">
        <v>2352</v>
      </c>
      <c r="C1936" s="6" t="s">
        <v>1867</v>
      </c>
      <c r="D1936" s="8">
        <v>5</v>
      </c>
      <c r="E1936" s="403"/>
      <c r="F1936" s="403">
        <f>BBNTHT!J1976</f>
        <v>0</v>
      </c>
      <c r="G1936" s="403">
        <f t="shared" si="116"/>
        <v>0</v>
      </c>
      <c r="H1936" s="9">
        <v>3758900</v>
      </c>
      <c r="I1936" s="404">
        <f t="shared" si="117"/>
        <v>18794500</v>
      </c>
      <c r="J1936" s="403"/>
      <c r="K1936" s="404">
        <f t="shared" si="118"/>
        <v>0</v>
      </c>
      <c r="L1936" s="405">
        <f t="shared" si="119"/>
        <v>0</v>
      </c>
      <c r="M1936" s="403"/>
    </row>
    <row r="1937" spans="1:13" ht="15.75" x14ac:dyDescent="0.25">
      <c r="A1937" s="6" t="s">
        <v>2353</v>
      </c>
      <c r="B1937" s="7" t="s">
        <v>2354</v>
      </c>
      <c r="C1937" s="6" t="s">
        <v>1867</v>
      </c>
      <c r="D1937" s="8">
        <v>2</v>
      </c>
      <c r="E1937" s="403"/>
      <c r="F1937" s="403">
        <f>BBNTHT!J1977</f>
        <v>0</v>
      </c>
      <c r="G1937" s="403">
        <f t="shared" si="116"/>
        <v>0</v>
      </c>
      <c r="H1937" s="9">
        <v>3758900</v>
      </c>
      <c r="I1937" s="404">
        <f t="shared" si="117"/>
        <v>7517800</v>
      </c>
      <c r="J1937" s="403"/>
      <c r="K1937" s="404">
        <f t="shared" si="118"/>
        <v>0</v>
      </c>
      <c r="L1937" s="405">
        <f t="shared" si="119"/>
        <v>0</v>
      </c>
      <c r="M1937" s="403"/>
    </row>
    <row r="1938" spans="1:13" ht="15.75" x14ac:dyDescent="0.25">
      <c r="A1938" s="6" t="s">
        <v>2355</v>
      </c>
      <c r="B1938" s="7" t="s">
        <v>2356</v>
      </c>
      <c r="C1938" s="6" t="s">
        <v>1867</v>
      </c>
      <c r="D1938" s="8">
        <v>4</v>
      </c>
      <c r="E1938" s="403"/>
      <c r="F1938" s="403">
        <f>BBNTHT!J1978</f>
        <v>0</v>
      </c>
      <c r="G1938" s="403">
        <f t="shared" ref="G1938:G2001" si="120">F1938+E1938</f>
        <v>0</v>
      </c>
      <c r="H1938" s="9">
        <v>3758900</v>
      </c>
      <c r="I1938" s="404">
        <f t="shared" ref="I1938:I2001" si="121">ROUND(D1938*H1938,0)</f>
        <v>15035600</v>
      </c>
      <c r="J1938" s="403"/>
      <c r="K1938" s="404">
        <f t="shared" ref="K1938:K2001" si="122">ROUND(F1938*H1938,0)</f>
        <v>0</v>
      </c>
      <c r="L1938" s="405">
        <f t="shared" ref="L1938:L2001" si="123">J1938+K1938</f>
        <v>0</v>
      </c>
      <c r="M1938" s="403"/>
    </row>
    <row r="1939" spans="1:13" ht="15.75" x14ac:dyDescent="0.25">
      <c r="A1939" s="6" t="s">
        <v>2357</v>
      </c>
      <c r="B1939" s="7" t="s">
        <v>2358</v>
      </c>
      <c r="C1939" s="6" t="s">
        <v>1867</v>
      </c>
      <c r="D1939" s="8">
        <v>25</v>
      </c>
      <c r="E1939" s="403"/>
      <c r="F1939" s="403">
        <f>BBNTHT!J1979</f>
        <v>0</v>
      </c>
      <c r="G1939" s="403">
        <f t="shared" si="120"/>
        <v>0</v>
      </c>
      <c r="H1939" s="9">
        <v>3758900</v>
      </c>
      <c r="I1939" s="404">
        <f t="shared" si="121"/>
        <v>93972500</v>
      </c>
      <c r="J1939" s="403"/>
      <c r="K1939" s="404">
        <f t="shared" si="122"/>
        <v>0</v>
      </c>
      <c r="L1939" s="405">
        <f t="shared" si="123"/>
        <v>0</v>
      </c>
      <c r="M1939" s="403"/>
    </row>
    <row r="1940" spans="1:13" ht="31.5" x14ac:dyDescent="0.25">
      <c r="A1940" s="2" t="s">
        <v>2359</v>
      </c>
      <c r="B1940" s="3" t="s">
        <v>2360</v>
      </c>
      <c r="C1940" s="2"/>
      <c r="D1940" s="4"/>
      <c r="E1940" s="403"/>
      <c r="F1940" s="403">
        <f>BBNTHT!J1980</f>
        <v>0</v>
      </c>
      <c r="G1940" s="403">
        <f t="shared" si="120"/>
        <v>0</v>
      </c>
      <c r="H1940" s="5"/>
      <c r="I1940" s="404">
        <f t="shared" si="121"/>
        <v>0</v>
      </c>
      <c r="J1940" s="403"/>
      <c r="K1940" s="404">
        <f t="shared" si="122"/>
        <v>0</v>
      </c>
      <c r="L1940" s="405">
        <f t="shared" si="123"/>
        <v>0</v>
      </c>
      <c r="M1940" s="403"/>
    </row>
    <row r="1941" spans="1:13" ht="31.5" x14ac:dyDescent="0.25">
      <c r="A1941" s="6" t="s">
        <v>2361</v>
      </c>
      <c r="B1941" s="7" t="s">
        <v>2362</v>
      </c>
      <c r="C1941" s="6" t="s">
        <v>248</v>
      </c>
      <c r="D1941" s="8">
        <v>3</v>
      </c>
      <c r="E1941" s="403"/>
      <c r="F1941" s="403">
        <f>BBNTHT!J1981</f>
        <v>0</v>
      </c>
      <c r="G1941" s="403">
        <f t="shared" si="120"/>
        <v>0</v>
      </c>
      <c r="H1941" s="9">
        <v>83522747</v>
      </c>
      <c r="I1941" s="404">
        <f t="shared" si="121"/>
        <v>250568241</v>
      </c>
      <c r="J1941" s="403"/>
      <c r="K1941" s="404">
        <f t="shared" si="122"/>
        <v>0</v>
      </c>
      <c r="L1941" s="405">
        <f t="shared" si="123"/>
        <v>0</v>
      </c>
      <c r="M1941" s="403"/>
    </row>
    <row r="1942" spans="1:13" ht="31.5" x14ac:dyDescent="0.25">
      <c r="A1942" s="6" t="s">
        <v>2363</v>
      </c>
      <c r="B1942" s="7" t="s">
        <v>2364</v>
      </c>
      <c r="C1942" s="6" t="s">
        <v>2365</v>
      </c>
      <c r="D1942" s="8">
        <v>1</v>
      </c>
      <c r="E1942" s="403"/>
      <c r="F1942" s="403">
        <f>BBNTHT!J1982</f>
        <v>0</v>
      </c>
      <c r="G1942" s="403">
        <f t="shared" si="120"/>
        <v>0</v>
      </c>
      <c r="H1942" s="9">
        <v>5449265</v>
      </c>
      <c r="I1942" s="404">
        <f t="shared" si="121"/>
        <v>5449265</v>
      </c>
      <c r="J1942" s="403"/>
      <c r="K1942" s="404">
        <f t="shared" si="122"/>
        <v>0</v>
      </c>
      <c r="L1942" s="405">
        <f t="shared" si="123"/>
        <v>0</v>
      </c>
      <c r="M1942" s="403"/>
    </row>
    <row r="1943" spans="1:13" ht="110.25" x14ac:dyDescent="0.25">
      <c r="A1943" s="6" t="s">
        <v>2366</v>
      </c>
      <c r="B1943" s="7" t="s">
        <v>2367</v>
      </c>
      <c r="C1943" s="6" t="s">
        <v>2368</v>
      </c>
      <c r="D1943" s="8">
        <v>1</v>
      </c>
      <c r="E1943" s="403"/>
      <c r="F1943" s="403">
        <f>BBNTHT!J1983</f>
        <v>0</v>
      </c>
      <c r="G1943" s="403">
        <f t="shared" si="120"/>
        <v>0</v>
      </c>
      <c r="H1943" s="9">
        <v>13030852</v>
      </c>
      <c r="I1943" s="404">
        <f t="shared" si="121"/>
        <v>13030852</v>
      </c>
      <c r="J1943" s="403"/>
      <c r="K1943" s="404">
        <f t="shared" si="122"/>
        <v>0</v>
      </c>
      <c r="L1943" s="405">
        <f t="shared" si="123"/>
        <v>0</v>
      </c>
      <c r="M1943" s="403"/>
    </row>
    <row r="1944" spans="1:13" ht="47.25" x14ac:dyDescent="0.25">
      <c r="A1944" s="6" t="s">
        <v>2369</v>
      </c>
      <c r="B1944" s="7" t="s">
        <v>2370</v>
      </c>
      <c r="C1944" s="6" t="s">
        <v>248</v>
      </c>
      <c r="D1944" s="8">
        <v>1</v>
      </c>
      <c r="E1944" s="403"/>
      <c r="F1944" s="403">
        <f>BBNTHT!J1984</f>
        <v>0</v>
      </c>
      <c r="G1944" s="403">
        <f t="shared" si="120"/>
        <v>0</v>
      </c>
      <c r="H1944" s="9">
        <v>3998102</v>
      </c>
      <c r="I1944" s="404">
        <f t="shared" si="121"/>
        <v>3998102</v>
      </c>
      <c r="J1944" s="403"/>
      <c r="K1944" s="404">
        <f t="shared" si="122"/>
        <v>0</v>
      </c>
      <c r="L1944" s="405">
        <f t="shared" si="123"/>
        <v>0</v>
      </c>
      <c r="M1944" s="403"/>
    </row>
    <row r="1945" spans="1:13" ht="31.5" x14ac:dyDescent="0.25">
      <c r="A1945" s="2" t="s">
        <v>2371</v>
      </c>
      <c r="B1945" s="3" t="s">
        <v>2372</v>
      </c>
      <c r="C1945" s="2"/>
      <c r="D1945" s="4"/>
      <c r="E1945" s="403"/>
      <c r="F1945" s="403">
        <f>BBNTHT!J1985</f>
        <v>0</v>
      </c>
      <c r="G1945" s="403">
        <f t="shared" si="120"/>
        <v>0</v>
      </c>
      <c r="H1945" s="5"/>
      <c r="I1945" s="404">
        <f t="shared" si="121"/>
        <v>0</v>
      </c>
      <c r="J1945" s="403"/>
      <c r="K1945" s="404">
        <f t="shared" si="122"/>
        <v>0</v>
      </c>
      <c r="L1945" s="405">
        <f t="shared" si="123"/>
        <v>0</v>
      </c>
      <c r="M1945" s="403"/>
    </row>
    <row r="1946" spans="1:13" ht="15.75" x14ac:dyDescent="0.25">
      <c r="A1946" s="6" t="s">
        <v>2373</v>
      </c>
      <c r="B1946" s="7" t="s">
        <v>2374</v>
      </c>
      <c r="C1946" s="6" t="s">
        <v>248</v>
      </c>
      <c r="D1946" s="8">
        <v>104</v>
      </c>
      <c r="E1946" s="403"/>
      <c r="F1946" s="403">
        <f>BBNTHT!J1986</f>
        <v>0</v>
      </c>
      <c r="G1946" s="403">
        <f t="shared" si="120"/>
        <v>0</v>
      </c>
      <c r="H1946" s="9">
        <v>1925013</v>
      </c>
      <c r="I1946" s="404">
        <f t="shared" si="121"/>
        <v>200201352</v>
      </c>
      <c r="J1946" s="403"/>
      <c r="K1946" s="404">
        <f t="shared" si="122"/>
        <v>0</v>
      </c>
      <c r="L1946" s="405">
        <f t="shared" si="123"/>
        <v>0</v>
      </c>
      <c r="M1946" s="403"/>
    </row>
    <row r="1947" spans="1:13" ht="15.75" x14ac:dyDescent="0.25">
      <c r="A1947" s="6" t="s">
        <v>2375</v>
      </c>
      <c r="B1947" s="7" t="s">
        <v>2376</v>
      </c>
      <c r="C1947" s="6" t="s">
        <v>248</v>
      </c>
      <c r="D1947" s="8">
        <v>8</v>
      </c>
      <c r="E1947" s="403"/>
      <c r="F1947" s="403">
        <f>BBNTHT!J1987</f>
        <v>0</v>
      </c>
      <c r="G1947" s="403">
        <f t="shared" si="120"/>
        <v>0</v>
      </c>
      <c r="H1947" s="9">
        <v>1925013</v>
      </c>
      <c r="I1947" s="404">
        <f t="shared" si="121"/>
        <v>15400104</v>
      </c>
      <c r="J1947" s="403"/>
      <c r="K1947" s="404">
        <f t="shared" si="122"/>
        <v>0</v>
      </c>
      <c r="L1947" s="405">
        <f t="shared" si="123"/>
        <v>0</v>
      </c>
      <c r="M1947" s="403"/>
    </row>
    <row r="1948" spans="1:13" ht="31.5" x14ac:dyDescent="0.25">
      <c r="A1948" s="6" t="s">
        <v>2377</v>
      </c>
      <c r="B1948" s="7" t="s">
        <v>2378</v>
      </c>
      <c r="C1948" s="6" t="s">
        <v>248</v>
      </c>
      <c r="D1948" s="8">
        <v>12</v>
      </c>
      <c r="E1948" s="403"/>
      <c r="F1948" s="403">
        <f>BBNTHT!J1988</f>
        <v>0</v>
      </c>
      <c r="G1948" s="403">
        <f t="shared" si="120"/>
        <v>0</v>
      </c>
      <c r="H1948" s="9">
        <v>17208128</v>
      </c>
      <c r="I1948" s="404">
        <f t="shared" si="121"/>
        <v>206497536</v>
      </c>
      <c r="J1948" s="403"/>
      <c r="K1948" s="404">
        <f t="shared" si="122"/>
        <v>0</v>
      </c>
      <c r="L1948" s="405">
        <f t="shared" si="123"/>
        <v>0</v>
      </c>
      <c r="M1948" s="403"/>
    </row>
    <row r="1949" spans="1:13" ht="31.5" x14ac:dyDescent="0.25">
      <c r="A1949" s="6" t="s">
        <v>2379</v>
      </c>
      <c r="B1949" s="7" t="s">
        <v>2380</v>
      </c>
      <c r="C1949" s="6" t="s">
        <v>248</v>
      </c>
      <c r="D1949" s="8">
        <v>6</v>
      </c>
      <c r="E1949" s="403"/>
      <c r="F1949" s="403">
        <f>BBNTHT!J1989</f>
        <v>0</v>
      </c>
      <c r="G1949" s="403">
        <f t="shared" si="120"/>
        <v>0</v>
      </c>
      <c r="H1949" s="9">
        <v>19694356</v>
      </c>
      <c r="I1949" s="404">
        <f t="shared" si="121"/>
        <v>118166136</v>
      </c>
      <c r="J1949" s="403"/>
      <c r="K1949" s="404">
        <f t="shared" si="122"/>
        <v>0</v>
      </c>
      <c r="L1949" s="405">
        <f t="shared" si="123"/>
        <v>0</v>
      </c>
      <c r="M1949" s="403"/>
    </row>
    <row r="1950" spans="1:13" ht="47.25" x14ac:dyDescent="0.25">
      <c r="A1950" s="6" t="s">
        <v>2381</v>
      </c>
      <c r="B1950" s="7" t="s">
        <v>2382</v>
      </c>
      <c r="C1950" s="6" t="s">
        <v>1867</v>
      </c>
      <c r="D1950" s="8">
        <v>6</v>
      </c>
      <c r="E1950" s="403"/>
      <c r="F1950" s="403">
        <f>BBNTHT!J1990</f>
        <v>0</v>
      </c>
      <c r="G1950" s="403">
        <f t="shared" si="120"/>
        <v>0</v>
      </c>
      <c r="H1950" s="9">
        <v>5330803</v>
      </c>
      <c r="I1950" s="404">
        <f t="shared" si="121"/>
        <v>31984818</v>
      </c>
      <c r="J1950" s="403"/>
      <c r="K1950" s="404">
        <f t="shared" si="122"/>
        <v>0</v>
      </c>
      <c r="L1950" s="405">
        <f t="shared" si="123"/>
        <v>0</v>
      </c>
      <c r="M1950" s="403"/>
    </row>
    <row r="1951" spans="1:13" ht="31.5" x14ac:dyDescent="0.25">
      <c r="A1951" s="6" t="s">
        <v>2383</v>
      </c>
      <c r="B1951" s="7" t="s">
        <v>2384</v>
      </c>
      <c r="C1951" s="6" t="s">
        <v>1867</v>
      </c>
      <c r="D1951" s="8">
        <v>6</v>
      </c>
      <c r="E1951" s="403"/>
      <c r="F1951" s="403">
        <f>BBNTHT!J1991</f>
        <v>0</v>
      </c>
      <c r="G1951" s="403">
        <f t="shared" si="120"/>
        <v>0</v>
      </c>
      <c r="H1951" s="9">
        <v>21175135</v>
      </c>
      <c r="I1951" s="404">
        <f t="shared" si="121"/>
        <v>127050810</v>
      </c>
      <c r="J1951" s="403"/>
      <c r="K1951" s="404">
        <f t="shared" si="122"/>
        <v>0</v>
      </c>
      <c r="L1951" s="405">
        <f t="shared" si="123"/>
        <v>0</v>
      </c>
      <c r="M1951" s="403"/>
    </row>
    <row r="1952" spans="1:13" ht="15.75" x14ac:dyDescent="0.25">
      <c r="A1952" s="6" t="s">
        <v>2385</v>
      </c>
      <c r="B1952" s="7" t="s">
        <v>2386</v>
      </c>
      <c r="C1952" s="6" t="s">
        <v>248</v>
      </c>
      <c r="D1952" s="8">
        <v>1</v>
      </c>
      <c r="E1952" s="403"/>
      <c r="F1952" s="403">
        <f>BBNTHT!J1992</f>
        <v>0</v>
      </c>
      <c r="G1952" s="403">
        <f t="shared" si="120"/>
        <v>0</v>
      </c>
      <c r="H1952" s="9">
        <v>38204089</v>
      </c>
      <c r="I1952" s="404">
        <f t="shared" si="121"/>
        <v>38204089</v>
      </c>
      <c r="J1952" s="403"/>
      <c r="K1952" s="404">
        <f t="shared" si="122"/>
        <v>0</v>
      </c>
      <c r="L1952" s="405">
        <f t="shared" si="123"/>
        <v>0</v>
      </c>
      <c r="M1952" s="403"/>
    </row>
    <row r="1953" spans="1:13" ht="15.75" x14ac:dyDescent="0.25">
      <c r="A1953" s="6" t="s">
        <v>2387</v>
      </c>
      <c r="B1953" s="7" t="s">
        <v>2388</v>
      </c>
      <c r="C1953" s="6" t="s">
        <v>248</v>
      </c>
      <c r="D1953" s="8">
        <v>1</v>
      </c>
      <c r="E1953" s="403"/>
      <c r="F1953" s="403">
        <f>BBNTHT!J1993</f>
        <v>0</v>
      </c>
      <c r="G1953" s="403">
        <f t="shared" si="120"/>
        <v>0</v>
      </c>
      <c r="H1953" s="9">
        <v>9474912</v>
      </c>
      <c r="I1953" s="404">
        <f t="shared" si="121"/>
        <v>9474912</v>
      </c>
      <c r="J1953" s="403"/>
      <c r="K1953" s="404">
        <f t="shared" si="122"/>
        <v>0</v>
      </c>
      <c r="L1953" s="405">
        <f t="shared" si="123"/>
        <v>0</v>
      </c>
      <c r="M1953" s="403"/>
    </row>
    <row r="1954" spans="1:13" ht="31.5" x14ac:dyDescent="0.25">
      <c r="A1954" s="2" t="s">
        <v>2389</v>
      </c>
      <c r="B1954" s="3" t="s">
        <v>2390</v>
      </c>
      <c r="C1954" s="2"/>
      <c r="D1954" s="4"/>
      <c r="E1954" s="403"/>
      <c r="F1954" s="403">
        <f>BBNTHT!J1994</f>
        <v>0</v>
      </c>
      <c r="G1954" s="403">
        <f t="shared" si="120"/>
        <v>0</v>
      </c>
      <c r="H1954" s="5"/>
      <c r="I1954" s="404">
        <f t="shared" si="121"/>
        <v>0</v>
      </c>
      <c r="J1954" s="403"/>
      <c r="K1954" s="404">
        <f t="shared" si="122"/>
        <v>0</v>
      </c>
      <c r="L1954" s="405">
        <f t="shared" si="123"/>
        <v>0</v>
      </c>
      <c r="M1954" s="403"/>
    </row>
    <row r="1955" spans="1:13" ht="15.75" x14ac:dyDescent="0.25">
      <c r="A1955" s="6" t="s">
        <v>2391</v>
      </c>
      <c r="B1955" s="7" t="s">
        <v>2392</v>
      </c>
      <c r="C1955" s="6" t="s">
        <v>1867</v>
      </c>
      <c r="D1955" s="8">
        <v>1</v>
      </c>
      <c r="E1955" s="403"/>
      <c r="F1955" s="403">
        <f>BBNTHT!J1995</f>
        <v>0</v>
      </c>
      <c r="G1955" s="403">
        <f t="shared" si="120"/>
        <v>0</v>
      </c>
      <c r="H1955" s="9">
        <v>217866672</v>
      </c>
      <c r="I1955" s="404">
        <f t="shared" si="121"/>
        <v>217866672</v>
      </c>
      <c r="J1955" s="403"/>
      <c r="K1955" s="404">
        <f t="shared" si="122"/>
        <v>0</v>
      </c>
      <c r="L1955" s="405">
        <f t="shared" si="123"/>
        <v>0</v>
      </c>
      <c r="M1955" s="403"/>
    </row>
    <row r="1956" spans="1:13" ht="15.75" x14ac:dyDescent="0.25">
      <c r="A1956" s="6" t="s">
        <v>2393</v>
      </c>
      <c r="B1956" s="7" t="s">
        <v>2394</v>
      </c>
      <c r="C1956" s="6" t="s">
        <v>1867</v>
      </c>
      <c r="D1956" s="8">
        <v>6</v>
      </c>
      <c r="E1956" s="403"/>
      <c r="F1956" s="403">
        <f>BBNTHT!J1996</f>
        <v>0</v>
      </c>
      <c r="G1956" s="403">
        <f t="shared" si="120"/>
        <v>0</v>
      </c>
      <c r="H1956" s="9">
        <v>72284065</v>
      </c>
      <c r="I1956" s="404">
        <f t="shared" si="121"/>
        <v>433704390</v>
      </c>
      <c r="J1956" s="403"/>
      <c r="K1956" s="404">
        <f t="shared" si="122"/>
        <v>0</v>
      </c>
      <c r="L1956" s="405">
        <f t="shared" si="123"/>
        <v>0</v>
      </c>
      <c r="M1956" s="403"/>
    </row>
    <row r="1957" spans="1:13" ht="15.75" x14ac:dyDescent="0.25">
      <c r="A1957" s="6" t="s">
        <v>2395</v>
      </c>
      <c r="B1957" s="7" t="s">
        <v>2396</v>
      </c>
      <c r="C1957" s="6" t="s">
        <v>1867</v>
      </c>
      <c r="D1957" s="8">
        <v>3</v>
      </c>
      <c r="E1957" s="403"/>
      <c r="F1957" s="403">
        <f>BBNTHT!J1997</f>
        <v>0</v>
      </c>
      <c r="G1957" s="403">
        <f t="shared" si="120"/>
        <v>0</v>
      </c>
      <c r="H1957" s="9">
        <v>72284065</v>
      </c>
      <c r="I1957" s="404">
        <f t="shared" si="121"/>
        <v>216852195</v>
      </c>
      <c r="J1957" s="403"/>
      <c r="K1957" s="404">
        <f t="shared" si="122"/>
        <v>0</v>
      </c>
      <c r="L1957" s="405">
        <f t="shared" si="123"/>
        <v>0</v>
      </c>
      <c r="M1957" s="403"/>
    </row>
    <row r="1958" spans="1:13" ht="31.5" x14ac:dyDescent="0.25">
      <c r="A1958" s="2" t="s">
        <v>2397</v>
      </c>
      <c r="B1958" s="3" t="s">
        <v>2398</v>
      </c>
      <c r="C1958" s="2"/>
      <c r="D1958" s="4"/>
      <c r="E1958" s="403"/>
      <c r="F1958" s="403">
        <f>BBNTHT!J1998</f>
        <v>0</v>
      </c>
      <c r="G1958" s="403">
        <f t="shared" si="120"/>
        <v>0</v>
      </c>
      <c r="H1958" s="5"/>
      <c r="I1958" s="404">
        <f t="shared" si="121"/>
        <v>0</v>
      </c>
      <c r="J1958" s="403"/>
      <c r="K1958" s="404">
        <f t="shared" si="122"/>
        <v>0</v>
      </c>
      <c r="L1958" s="405">
        <f t="shared" si="123"/>
        <v>0</v>
      </c>
      <c r="M1958" s="403"/>
    </row>
    <row r="1959" spans="1:13" ht="15.75" x14ac:dyDescent="0.25">
      <c r="A1959" s="6" t="s">
        <v>2399</v>
      </c>
      <c r="B1959" s="7" t="s">
        <v>2400</v>
      </c>
      <c r="C1959" s="6" t="s">
        <v>1867</v>
      </c>
      <c r="D1959" s="8">
        <v>2</v>
      </c>
      <c r="E1959" s="403"/>
      <c r="F1959" s="403">
        <f>BBNTHT!J1999</f>
        <v>0</v>
      </c>
      <c r="G1959" s="403">
        <f t="shared" si="120"/>
        <v>0</v>
      </c>
      <c r="H1959" s="9">
        <v>112523033</v>
      </c>
      <c r="I1959" s="404">
        <f t="shared" si="121"/>
        <v>225046066</v>
      </c>
      <c r="J1959" s="403"/>
      <c r="K1959" s="404">
        <f t="shared" si="122"/>
        <v>0</v>
      </c>
      <c r="L1959" s="405">
        <f t="shared" si="123"/>
        <v>0</v>
      </c>
      <c r="M1959" s="403"/>
    </row>
    <row r="1960" spans="1:13" ht="15.75" x14ac:dyDescent="0.25">
      <c r="A1960" s="6" t="s">
        <v>2401</v>
      </c>
      <c r="B1960" s="7" t="s">
        <v>2402</v>
      </c>
      <c r="C1960" s="6" t="s">
        <v>1867</v>
      </c>
      <c r="D1960" s="8">
        <v>2</v>
      </c>
      <c r="E1960" s="403"/>
      <c r="F1960" s="403">
        <f>BBNTHT!J2000</f>
        <v>0</v>
      </c>
      <c r="G1960" s="403">
        <f t="shared" si="120"/>
        <v>0</v>
      </c>
      <c r="H1960" s="9">
        <v>45376684</v>
      </c>
      <c r="I1960" s="404">
        <f t="shared" si="121"/>
        <v>90753368</v>
      </c>
      <c r="J1960" s="403"/>
      <c r="K1960" s="404">
        <f t="shared" si="122"/>
        <v>0</v>
      </c>
      <c r="L1960" s="405">
        <f t="shared" si="123"/>
        <v>0</v>
      </c>
      <c r="M1960" s="403"/>
    </row>
    <row r="1961" spans="1:13" ht="15.75" x14ac:dyDescent="0.25">
      <c r="A1961" s="6" t="s">
        <v>2403</v>
      </c>
      <c r="B1961" s="7" t="s">
        <v>2404</v>
      </c>
      <c r="C1961" s="6" t="s">
        <v>1867</v>
      </c>
      <c r="D1961" s="8">
        <v>1</v>
      </c>
      <c r="E1961" s="403"/>
      <c r="F1961" s="403">
        <f>BBNTHT!J2001</f>
        <v>0</v>
      </c>
      <c r="G1961" s="403">
        <f t="shared" si="120"/>
        <v>0</v>
      </c>
      <c r="H1961" s="9">
        <v>26358155</v>
      </c>
      <c r="I1961" s="404">
        <f t="shared" si="121"/>
        <v>26358155</v>
      </c>
      <c r="J1961" s="403"/>
      <c r="K1961" s="404">
        <f t="shared" si="122"/>
        <v>0</v>
      </c>
      <c r="L1961" s="405">
        <f t="shared" si="123"/>
        <v>0</v>
      </c>
      <c r="M1961" s="403"/>
    </row>
    <row r="1962" spans="1:13" ht="15.75" x14ac:dyDescent="0.25">
      <c r="A1962" s="6" t="s">
        <v>2405</v>
      </c>
      <c r="B1962" s="7" t="s">
        <v>2406</v>
      </c>
      <c r="C1962" s="6" t="s">
        <v>1867</v>
      </c>
      <c r="D1962" s="8">
        <v>1</v>
      </c>
      <c r="E1962" s="403"/>
      <c r="F1962" s="403">
        <f>BBNTHT!J2002</f>
        <v>0</v>
      </c>
      <c r="G1962" s="403">
        <f t="shared" si="120"/>
        <v>0</v>
      </c>
      <c r="H1962" s="9">
        <v>14724863</v>
      </c>
      <c r="I1962" s="404">
        <f t="shared" si="121"/>
        <v>14724863</v>
      </c>
      <c r="J1962" s="403"/>
      <c r="K1962" s="404">
        <f t="shared" si="122"/>
        <v>0</v>
      </c>
      <c r="L1962" s="405">
        <f t="shared" si="123"/>
        <v>0</v>
      </c>
      <c r="M1962" s="403"/>
    </row>
    <row r="1963" spans="1:13" ht="15.75" x14ac:dyDescent="0.25">
      <c r="A1963" s="6" t="s">
        <v>2407</v>
      </c>
      <c r="B1963" s="7" t="s">
        <v>2408</v>
      </c>
      <c r="C1963" s="6" t="s">
        <v>1867</v>
      </c>
      <c r="D1963" s="8">
        <v>1</v>
      </c>
      <c r="E1963" s="403"/>
      <c r="F1963" s="403">
        <f>BBNTHT!J2003</f>
        <v>0</v>
      </c>
      <c r="G1963" s="403">
        <f t="shared" si="120"/>
        <v>0</v>
      </c>
      <c r="H1963" s="9">
        <v>20148955</v>
      </c>
      <c r="I1963" s="404">
        <f t="shared" si="121"/>
        <v>20148955</v>
      </c>
      <c r="J1963" s="403"/>
      <c r="K1963" s="404">
        <f t="shared" si="122"/>
        <v>0</v>
      </c>
      <c r="L1963" s="405">
        <f t="shared" si="123"/>
        <v>0</v>
      </c>
      <c r="M1963" s="403"/>
    </row>
    <row r="1964" spans="1:13" ht="15.75" x14ac:dyDescent="0.25">
      <c r="A1964" s="6" t="s">
        <v>2409</v>
      </c>
      <c r="B1964" s="7" t="s">
        <v>2410</v>
      </c>
      <c r="C1964" s="6" t="s">
        <v>1867</v>
      </c>
      <c r="D1964" s="8">
        <v>4</v>
      </c>
      <c r="E1964" s="403"/>
      <c r="F1964" s="403">
        <f>BBNTHT!J2004</f>
        <v>0</v>
      </c>
      <c r="G1964" s="403">
        <f t="shared" si="120"/>
        <v>0</v>
      </c>
      <c r="H1964" s="9">
        <v>42830781</v>
      </c>
      <c r="I1964" s="404">
        <f t="shared" si="121"/>
        <v>171323124</v>
      </c>
      <c r="J1964" s="403"/>
      <c r="K1964" s="404">
        <f t="shared" si="122"/>
        <v>0</v>
      </c>
      <c r="L1964" s="405">
        <f t="shared" si="123"/>
        <v>0</v>
      </c>
      <c r="M1964" s="403"/>
    </row>
    <row r="1965" spans="1:13" ht="15.75" x14ac:dyDescent="0.25">
      <c r="A1965" s="6" t="s">
        <v>2411</v>
      </c>
      <c r="B1965" s="7" t="s">
        <v>2412</v>
      </c>
      <c r="C1965" s="6" t="s">
        <v>1867</v>
      </c>
      <c r="D1965" s="8">
        <v>252</v>
      </c>
      <c r="E1965" s="403"/>
      <c r="F1965" s="403">
        <f>BBNTHT!J2005</f>
        <v>0</v>
      </c>
      <c r="G1965" s="403">
        <f t="shared" si="120"/>
        <v>0</v>
      </c>
      <c r="H1965" s="9">
        <v>710181</v>
      </c>
      <c r="I1965" s="404">
        <f t="shared" si="121"/>
        <v>178965612</v>
      </c>
      <c r="J1965" s="403"/>
      <c r="K1965" s="404">
        <f t="shared" si="122"/>
        <v>0</v>
      </c>
      <c r="L1965" s="405">
        <f t="shared" si="123"/>
        <v>0</v>
      </c>
      <c r="M1965" s="403"/>
    </row>
    <row r="1966" spans="1:13" ht="15.75" x14ac:dyDescent="0.25">
      <c r="A1966" s="6" t="s">
        <v>2413</v>
      </c>
      <c r="B1966" s="7" t="s">
        <v>2414</v>
      </c>
      <c r="C1966" s="6" t="s">
        <v>1867</v>
      </c>
      <c r="D1966" s="8">
        <v>26</v>
      </c>
      <c r="E1966" s="403"/>
      <c r="F1966" s="403">
        <f>BBNTHT!J2006</f>
        <v>0</v>
      </c>
      <c r="G1966" s="403">
        <f t="shared" si="120"/>
        <v>0</v>
      </c>
      <c r="H1966" s="9">
        <v>1366611</v>
      </c>
      <c r="I1966" s="404">
        <f t="shared" si="121"/>
        <v>35531886</v>
      </c>
      <c r="J1966" s="403"/>
      <c r="K1966" s="404">
        <f t="shared" si="122"/>
        <v>0</v>
      </c>
      <c r="L1966" s="405">
        <f t="shared" si="123"/>
        <v>0</v>
      </c>
      <c r="M1966" s="403"/>
    </row>
    <row r="1967" spans="1:13" ht="15.75" x14ac:dyDescent="0.25">
      <c r="A1967" s="6" t="s">
        <v>2415</v>
      </c>
      <c r="B1967" s="7" t="s">
        <v>2416</v>
      </c>
      <c r="C1967" s="6" t="s">
        <v>1867</v>
      </c>
      <c r="D1967" s="8">
        <v>4</v>
      </c>
      <c r="E1967" s="403"/>
      <c r="F1967" s="403">
        <f>BBNTHT!J2007</f>
        <v>0</v>
      </c>
      <c r="G1967" s="403">
        <f t="shared" si="120"/>
        <v>0</v>
      </c>
      <c r="H1967" s="9">
        <v>3169755</v>
      </c>
      <c r="I1967" s="404">
        <f t="shared" si="121"/>
        <v>12679020</v>
      </c>
      <c r="J1967" s="403"/>
      <c r="K1967" s="404">
        <f t="shared" si="122"/>
        <v>0</v>
      </c>
      <c r="L1967" s="405">
        <f t="shared" si="123"/>
        <v>0</v>
      </c>
      <c r="M1967" s="403"/>
    </row>
    <row r="1968" spans="1:13" ht="31.5" x14ac:dyDescent="0.25">
      <c r="A1968" s="2" t="s">
        <v>2417</v>
      </c>
      <c r="B1968" s="3" t="s">
        <v>2418</v>
      </c>
      <c r="C1968" s="2"/>
      <c r="D1968" s="4"/>
      <c r="E1968" s="403"/>
      <c r="F1968" s="403">
        <f>BBNTHT!J2008</f>
        <v>0</v>
      </c>
      <c r="G1968" s="403">
        <f t="shared" si="120"/>
        <v>0</v>
      </c>
      <c r="H1968" s="5"/>
      <c r="I1968" s="404">
        <f t="shared" si="121"/>
        <v>0</v>
      </c>
      <c r="J1968" s="403"/>
      <c r="K1968" s="404">
        <f t="shared" si="122"/>
        <v>0</v>
      </c>
      <c r="L1968" s="405">
        <f t="shared" si="123"/>
        <v>0</v>
      </c>
      <c r="M1968" s="403"/>
    </row>
    <row r="1969" spans="1:13" ht="15.75" x14ac:dyDescent="0.25">
      <c r="A1969" s="6" t="s">
        <v>2419</v>
      </c>
      <c r="B1969" s="7" t="s">
        <v>2420</v>
      </c>
      <c r="C1969" s="6" t="s">
        <v>1867</v>
      </c>
      <c r="D1969" s="8">
        <v>114</v>
      </c>
      <c r="E1969" s="403"/>
      <c r="F1969" s="403">
        <f>BBNTHT!J2009</f>
        <v>0</v>
      </c>
      <c r="G1969" s="403">
        <f t="shared" si="120"/>
        <v>0</v>
      </c>
      <c r="H1969" s="9">
        <v>266540</v>
      </c>
      <c r="I1969" s="404">
        <f t="shared" si="121"/>
        <v>30385560</v>
      </c>
      <c r="J1969" s="403"/>
      <c r="K1969" s="404">
        <f t="shared" si="122"/>
        <v>0</v>
      </c>
      <c r="L1969" s="405">
        <f t="shared" si="123"/>
        <v>0</v>
      </c>
      <c r="M1969" s="403"/>
    </row>
    <row r="1970" spans="1:13" ht="15.75" x14ac:dyDescent="0.25">
      <c r="A1970" s="6" t="s">
        <v>2421</v>
      </c>
      <c r="B1970" s="7" t="s">
        <v>2422</v>
      </c>
      <c r="C1970" s="6" t="s">
        <v>1867</v>
      </c>
      <c r="D1970" s="8">
        <v>8</v>
      </c>
      <c r="E1970" s="403"/>
      <c r="F1970" s="403">
        <f>BBNTHT!J2010</f>
        <v>0</v>
      </c>
      <c r="G1970" s="403">
        <f t="shared" si="120"/>
        <v>0</v>
      </c>
      <c r="H1970" s="9">
        <v>385003</v>
      </c>
      <c r="I1970" s="404">
        <f t="shared" si="121"/>
        <v>3080024</v>
      </c>
      <c r="J1970" s="403"/>
      <c r="K1970" s="404">
        <f t="shared" si="122"/>
        <v>0</v>
      </c>
      <c r="L1970" s="405">
        <f t="shared" si="123"/>
        <v>0</v>
      </c>
      <c r="M1970" s="403"/>
    </row>
    <row r="1971" spans="1:13" ht="15.75" x14ac:dyDescent="0.25">
      <c r="A1971" s="6" t="s">
        <v>2423</v>
      </c>
      <c r="B1971" s="7" t="s">
        <v>2424</v>
      </c>
      <c r="C1971" s="6" t="s">
        <v>248</v>
      </c>
      <c r="D1971" s="8">
        <v>1</v>
      </c>
      <c r="E1971" s="403"/>
      <c r="F1971" s="403">
        <f>BBNTHT!J2011</f>
        <v>0</v>
      </c>
      <c r="G1971" s="403">
        <f t="shared" si="120"/>
        <v>0</v>
      </c>
      <c r="H1971" s="9">
        <v>74927397</v>
      </c>
      <c r="I1971" s="404">
        <f t="shared" si="121"/>
        <v>74927397</v>
      </c>
      <c r="J1971" s="403"/>
      <c r="K1971" s="404">
        <f t="shared" si="122"/>
        <v>0</v>
      </c>
      <c r="L1971" s="405">
        <f t="shared" si="123"/>
        <v>0</v>
      </c>
      <c r="M1971" s="403"/>
    </row>
    <row r="1972" spans="1:13" ht="15.75" x14ac:dyDescent="0.25">
      <c r="A1972" s="6" t="s">
        <v>2425</v>
      </c>
      <c r="B1972" s="7" t="s">
        <v>2426</v>
      </c>
      <c r="C1972" s="6" t="s">
        <v>248</v>
      </c>
      <c r="D1972" s="8">
        <v>2</v>
      </c>
      <c r="E1972" s="403"/>
      <c r="F1972" s="403">
        <f>BBNTHT!J2012</f>
        <v>0</v>
      </c>
      <c r="G1972" s="403">
        <f t="shared" si="120"/>
        <v>0</v>
      </c>
      <c r="H1972" s="9">
        <v>370195</v>
      </c>
      <c r="I1972" s="404">
        <f t="shared" si="121"/>
        <v>740390</v>
      </c>
      <c r="J1972" s="403"/>
      <c r="K1972" s="404">
        <f t="shared" si="122"/>
        <v>0</v>
      </c>
      <c r="L1972" s="405">
        <f t="shared" si="123"/>
        <v>0</v>
      </c>
      <c r="M1972" s="403"/>
    </row>
    <row r="1973" spans="1:13" ht="15.75" x14ac:dyDescent="0.25">
      <c r="A1973" s="6" t="s">
        <v>2427</v>
      </c>
      <c r="B1973" s="7" t="s">
        <v>2428</v>
      </c>
      <c r="C1973" s="6" t="s">
        <v>248</v>
      </c>
      <c r="D1973" s="8">
        <v>15</v>
      </c>
      <c r="E1973" s="403"/>
      <c r="F1973" s="403">
        <f>BBNTHT!J2013</f>
        <v>0</v>
      </c>
      <c r="G1973" s="403">
        <f t="shared" si="120"/>
        <v>0</v>
      </c>
      <c r="H1973" s="9">
        <v>414618</v>
      </c>
      <c r="I1973" s="404">
        <f t="shared" si="121"/>
        <v>6219270</v>
      </c>
      <c r="J1973" s="403"/>
      <c r="K1973" s="404">
        <f t="shared" si="122"/>
        <v>0</v>
      </c>
      <c r="L1973" s="405">
        <f t="shared" si="123"/>
        <v>0</v>
      </c>
      <c r="M1973" s="403"/>
    </row>
    <row r="1974" spans="1:13" ht="15.75" x14ac:dyDescent="0.25">
      <c r="A1974" s="6" t="s">
        <v>2429</v>
      </c>
      <c r="B1974" s="7" t="s">
        <v>2430</v>
      </c>
      <c r="C1974" s="6" t="s">
        <v>248</v>
      </c>
      <c r="D1974" s="8">
        <v>30</v>
      </c>
      <c r="E1974" s="403"/>
      <c r="F1974" s="403">
        <f>BBNTHT!J2014</f>
        <v>0</v>
      </c>
      <c r="G1974" s="403">
        <f t="shared" si="120"/>
        <v>0</v>
      </c>
      <c r="H1974" s="9">
        <v>444234</v>
      </c>
      <c r="I1974" s="404">
        <f t="shared" si="121"/>
        <v>13327020</v>
      </c>
      <c r="J1974" s="403"/>
      <c r="K1974" s="404">
        <f t="shared" si="122"/>
        <v>0</v>
      </c>
      <c r="L1974" s="405">
        <f t="shared" si="123"/>
        <v>0</v>
      </c>
      <c r="M1974" s="403"/>
    </row>
    <row r="1975" spans="1:13" ht="31.5" x14ac:dyDescent="0.25">
      <c r="A1975" s="2" t="s">
        <v>2431</v>
      </c>
      <c r="B1975" s="3" t="s">
        <v>2432</v>
      </c>
      <c r="C1975" s="2"/>
      <c r="D1975" s="4"/>
      <c r="E1975" s="403"/>
      <c r="F1975" s="403">
        <f>BBNTHT!J2015</f>
        <v>0</v>
      </c>
      <c r="G1975" s="403">
        <f t="shared" si="120"/>
        <v>0</v>
      </c>
      <c r="H1975" s="5"/>
      <c r="I1975" s="404">
        <f t="shared" si="121"/>
        <v>0</v>
      </c>
      <c r="J1975" s="403"/>
      <c r="K1975" s="404">
        <f t="shared" si="122"/>
        <v>0</v>
      </c>
      <c r="L1975" s="405">
        <f t="shared" si="123"/>
        <v>0</v>
      </c>
      <c r="M1975" s="403"/>
    </row>
    <row r="1976" spans="1:13" ht="15.75" x14ac:dyDescent="0.25">
      <c r="A1976" s="6" t="s">
        <v>2433</v>
      </c>
      <c r="B1976" s="7" t="s">
        <v>2434</v>
      </c>
      <c r="C1976" s="6" t="s">
        <v>248</v>
      </c>
      <c r="D1976" s="8">
        <v>2</v>
      </c>
      <c r="E1976" s="403"/>
      <c r="F1976" s="403">
        <f>BBNTHT!J2016</f>
        <v>0</v>
      </c>
      <c r="G1976" s="403">
        <f t="shared" si="120"/>
        <v>0</v>
      </c>
      <c r="H1976" s="9">
        <v>32589488</v>
      </c>
      <c r="I1976" s="404">
        <f t="shared" si="121"/>
        <v>65178976</v>
      </c>
      <c r="J1976" s="403"/>
      <c r="K1976" s="404">
        <f t="shared" si="122"/>
        <v>0</v>
      </c>
      <c r="L1976" s="405">
        <f t="shared" si="123"/>
        <v>0</v>
      </c>
      <c r="M1976" s="403"/>
    </row>
    <row r="1977" spans="1:13" ht="15.75" x14ac:dyDescent="0.25">
      <c r="A1977" s="6" t="s">
        <v>2435</v>
      </c>
      <c r="B1977" s="7" t="s">
        <v>2436</v>
      </c>
      <c r="C1977" s="6" t="s">
        <v>248</v>
      </c>
      <c r="D1977" s="8">
        <v>2</v>
      </c>
      <c r="E1977" s="403"/>
      <c r="F1977" s="403">
        <f>BBNTHT!J2017</f>
        <v>0</v>
      </c>
      <c r="G1977" s="403">
        <f t="shared" si="120"/>
        <v>0</v>
      </c>
      <c r="H1977" s="9">
        <v>2652587</v>
      </c>
      <c r="I1977" s="404">
        <f t="shared" si="121"/>
        <v>5305174</v>
      </c>
      <c r="J1977" s="403"/>
      <c r="K1977" s="404">
        <f t="shared" si="122"/>
        <v>0</v>
      </c>
      <c r="L1977" s="405">
        <f t="shared" si="123"/>
        <v>0</v>
      </c>
      <c r="M1977" s="403"/>
    </row>
    <row r="1978" spans="1:13" ht="15.75" x14ac:dyDescent="0.25">
      <c r="A1978" s="6" t="s">
        <v>2437</v>
      </c>
      <c r="B1978" s="7" t="s">
        <v>2438</v>
      </c>
      <c r="C1978" s="6" t="s">
        <v>248</v>
      </c>
      <c r="D1978" s="8">
        <v>2</v>
      </c>
      <c r="E1978" s="403"/>
      <c r="F1978" s="403">
        <f>BBNTHT!J2018</f>
        <v>0</v>
      </c>
      <c r="G1978" s="403">
        <f t="shared" si="120"/>
        <v>0</v>
      </c>
      <c r="H1978" s="9">
        <v>5228288</v>
      </c>
      <c r="I1978" s="404">
        <f t="shared" si="121"/>
        <v>10456576</v>
      </c>
      <c r="J1978" s="403"/>
      <c r="K1978" s="404">
        <f t="shared" si="122"/>
        <v>0</v>
      </c>
      <c r="L1978" s="405">
        <f t="shared" si="123"/>
        <v>0</v>
      </c>
      <c r="M1978" s="403"/>
    </row>
    <row r="1979" spans="1:13" ht="15.75" x14ac:dyDescent="0.25">
      <c r="A1979" s="6" t="s">
        <v>2439</v>
      </c>
      <c r="B1979" s="7" t="s">
        <v>2440</v>
      </c>
      <c r="C1979" s="6" t="s">
        <v>248</v>
      </c>
      <c r="D1979" s="8">
        <v>2</v>
      </c>
      <c r="E1979" s="403"/>
      <c r="F1979" s="403">
        <f>BBNTHT!J2019</f>
        <v>0</v>
      </c>
      <c r="G1979" s="403">
        <f t="shared" si="120"/>
        <v>0</v>
      </c>
      <c r="H1979" s="9">
        <v>36350268</v>
      </c>
      <c r="I1979" s="404">
        <f t="shared" si="121"/>
        <v>72700536</v>
      </c>
      <c r="J1979" s="403"/>
      <c r="K1979" s="404">
        <f t="shared" si="122"/>
        <v>0</v>
      </c>
      <c r="L1979" s="405">
        <f t="shared" si="123"/>
        <v>0</v>
      </c>
      <c r="M1979" s="403"/>
    </row>
    <row r="1980" spans="1:13" ht="15.75" x14ac:dyDescent="0.25">
      <c r="A1980" s="6" t="s">
        <v>2441</v>
      </c>
      <c r="B1980" s="7" t="s">
        <v>2442</v>
      </c>
      <c r="C1980" s="6" t="s">
        <v>248</v>
      </c>
      <c r="D1980" s="8">
        <v>2</v>
      </c>
      <c r="E1980" s="403"/>
      <c r="F1980" s="403">
        <f>BBNTHT!J2020</f>
        <v>0</v>
      </c>
      <c r="G1980" s="403">
        <f t="shared" si="120"/>
        <v>0</v>
      </c>
      <c r="H1980" s="9">
        <v>12301853</v>
      </c>
      <c r="I1980" s="404">
        <f t="shared" si="121"/>
        <v>24603706</v>
      </c>
      <c r="J1980" s="403"/>
      <c r="K1980" s="404">
        <f t="shared" si="122"/>
        <v>0</v>
      </c>
      <c r="L1980" s="405">
        <f t="shared" si="123"/>
        <v>0</v>
      </c>
      <c r="M1980" s="403"/>
    </row>
    <row r="1981" spans="1:13" ht="15.75" x14ac:dyDescent="0.25">
      <c r="A1981" s="6" t="s">
        <v>2443</v>
      </c>
      <c r="B1981" s="7" t="s">
        <v>2444</v>
      </c>
      <c r="C1981" s="6" t="s">
        <v>248</v>
      </c>
      <c r="D1981" s="8">
        <v>1</v>
      </c>
      <c r="E1981" s="403"/>
      <c r="F1981" s="403">
        <f>BBNTHT!J2021</f>
        <v>0</v>
      </c>
      <c r="G1981" s="403">
        <f t="shared" si="120"/>
        <v>0</v>
      </c>
      <c r="H1981" s="9">
        <v>23578552</v>
      </c>
      <c r="I1981" s="404">
        <f t="shared" si="121"/>
        <v>23578552</v>
      </c>
      <c r="J1981" s="403"/>
      <c r="K1981" s="404">
        <f t="shared" si="122"/>
        <v>0</v>
      </c>
      <c r="L1981" s="405">
        <f t="shared" si="123"/>
        <v>0</v>
      </c>
      <c r="M1981" s="403"/>
    </row>
    <row r="1982" spans="1:13" ht="15.75" x14ac:dyDescent="0.25">
      <c r="A1982" s="6" t="s">
        <v>2445</v>
      </c>
      <c r="B1982" s="7" t="s">
        <v>2446</v>
      </c>
      <c r="C1982" s="6" t="s">
        <v>248</v>
      </c>
      <c r="D1982" s="8">
        <v>2</v>
      </c>
      <c r="E1982" s="403"/>
      <c r="F1982" s="403">
        <f>BBNTHT!J2022</f>
        <v>0</v>
      </c>
      <c r="G1982" s="403">
        <f t="shared" si="120"/>
        <v>0</v>
      </c>
      <c r="H1982" s="9">
        <v>6663504</v>
      </c>
      <c r="I1982" s="404">
        <f t="shared" si="121"/>
        <v>13327008</v>
      </c>
      <c r="J1982" s="403"/>
      <c r="K1982" s="404">
        <f t="shared" si="122"/>
        <v>0</v>
      </c>
      <c r="L1982" s="405">
        <f t="shared" si="123"/>
        <v>0</v>
      </c>
      <c r="M1982" s="403"/>
    </row>
    <row r="1983" spans="1:13" ht="15.75" x14ac:dyDescent="0.25">
      <c r="A1983" s="6" t="s">
        <v>2447</v>
      </c>
      <c r="B1983" s="7" t="s">
        <v>2448</v>
      </c>
      <c r="C1983" s="6" t="s">
        <v>248</v>
      </c>
      <c r="D1983" s="8">
        <v>2</v>
      </c>
      <c r="E1983" s="403"/>
      <c r="F1983" s="403">
        <f>BBNTHT!J2023</f>
        <v>0</v>
      </c>
      <c r="G1983" s="403">
        <f t="shared" si="120"/>
        <v>0</v>
      </c>
      <c r="H1983" s="9">
        <v>6663504</v>
      </c>
      <c r="I1983" s="404">
        <f t="shared" si="121"/>
        <v>13327008</v>
      </c>
      <c r="J1983" s="403"/>
      <c r="K1983" s="404">
        <f t="shared" si="122"/>
        <v>0</v>
      </c>
      <c r="L1983" s="405">
        <f t="shared" si="123"/>
        <v>0</v>
      </c>
      <c r="M1983" s="403"/>
    </row>
    <row r="1984" spans="1:13" ht="15.75" x14ac:dyDescent="0.25">
      <c r="A1984" s="6" t="s">
        <v>2449</v>
      </c>
      <c r="B1984" s="7" t="s">
        <v>2450</v>
      </c>
      <c r="C1984" s="6" t="s">
        <v>248</v>
      </c>
      <c r="D1984" s="8">
        <v>2</v>
      </c>
      <c r="E1984" s="403"/>
      <c r="F1984" s="403">
        <f>BBNTHT!J2024</f>
        <v>0</v>
      </c>
      <c r="G1984" s="403">
        <f t="shared" si="120"/>
        <v>0</v>
      </c>
      <c r="H1984" s="9">
        <v>3013954</v>
      </c>
      <c r="I1984" s="404">
        <f t="shared" si="121"/>
        <v>6027908</v>
      </c>
      <c r="J1984" s="403"/>
      <c r="K1984" s="404">
        <f t="shared" si="122"/>
        <v>0</v>
      </c>
      <c r="L1984" s="405">
        <f t="shared" si="123"/>
        <v>0</v>
      </c>
      <c r="M1984" s="403"/>
    </row>
    <row r="1985" spans="1:13" ht="15.75" x14ac:dyDescent="0.25">
      <c r="A1985" s="6" t="s">
        <v>2451</v>
      </c>
      <c r="B1985" s="7" t="s">
        <v>2452</v>
      </c>
      <c r="C1985" s="6" t="s">
        <v>248</v>
      </c>
      <c r="D1985" s="8">
        <v>2</v>
      </c>
      <c r="E1985" s="403"/>
      <c r="F1985" s="403">
        <f>BBNTHT!J2025</f>
        <v>0</v>
      </c>
      <c r="G1985" s="403">
        <f t="shared" si="120"/>
        <v>0</v>
      </c>
      <c r="H1985" s="9">
        <v>16231612</v>
      </c>
      <c r="I1985" s="404">
        <f t="shared" si="121"/>
        <v>32463224</v>
      </c>
      <c r="J1985" s="403"/>
      <c r="K1985" s="404">
        <f t="shared" si="122"/>
        <v>0</v>
      </c>
      <c r="L1985" s="405">
        <f t="shared" si="123"/>
        <v>0</v>
      </c>
      <c r="M1985" s="403"/>
    </row>
    <row r="1986" spans="1:13" ht="15.75" x14ac:dyDescent="0.25">
      <c r="A1986" s="6" t="s">
        <v>2453</v>
      </c>
      <c r="B1986" s="7" t="s">
        <v>2454</v>
      </c>
      <c r="C1986" s="6" t="s">
        <v>248</v>
      </c>
      <c r="D1986" s="8">
        <v>1</v>
      </c>
      <c r="E1986" s="403"/>
      <c r="F1986" s="403">
        <f>BBNTHT!J2026</f>
        <v>0</v>
      </c>
      <c r="G1986" s="403">
        <f t="shared" si="120"/>
        <v>0</v>
      </c>
      <c r="H1986" s="9">
        <v>30080317</v>
      </c>
      <c r="I1986" s="404">
        <f t="shared" si="121"/>
        <v>30080317</v>
      </c>
      <c r="J1986" s="403"/>
      <c r="K1986" s="404">
        <f t="shared" si="122"/>
        <v>0</v>
      </c>
      <c r="L1986" s="405">
        <f t="shared" si="123"/>
        <v>0</v>
      </c>
      <c r="M1986" s="403"/>
    </row>
    <row r="1987" spans="1:13" ht="15.75" x14ac:dyDescent="0.25">
      <c r="A1987" s="6" t="s">
        <v>2455</v>
      </c>
      <c r="B1987" s="7" t="s">
        <v>2456</v>
      </c>
      <c r="C1987" s="6" t="s">
        <v>248</v>
      </c>
      <c r="D1987" s="8">
        <v>4</v>
      </c>
      <c r="E1987" s="403"/>
      <c r="F1987" s="403">
        <f>BBNTHT!J2027</f>
        <v>0</v>
      </c>
      <c r="G1987" s="403">
        <f t="shared" si="120"/>
        <v>0</v>
      </c>
      <c r="H1987" s="9">
        <v>2392027</v>
      </c>
      <c r="I1987" s="404">
        <f t="shared" si="121"/>
        <v>9568108</v>
      </c>
      <c r="J1987" s="403"/>
      <c r="K1987" s="404">
        <f t="shared" si="122"/>
        <v>0</v>
      </c>
      <c r="L1987" s="405">
        <f t="shared" si="123"/>
        <v>0</v>
      </c>
      <c r="M1987" s="403"/>
    </row>
    <row r="1988" spans="1:13" ht="31.5" x14ac:dyDescent="0.25">
      <c r="A1988" s="6" t="s">
        <v>2457</v>
      </c>
      <c r="B1988" s="7" t="s">
        <v>2458</v>
      </c>
      <c r="C1988" s="6" t="s">
        <v>248</v>
      </c>
      <c r="D1988" s="8">
        <v>1</v>
      </c>
      <c r="E1988" s="403"/>
      <c r="F1988" s="403">
        <f>BBNTHT!J2028</f>
        <v>0</v>
      </c>
      <c r="G1988" s="403">
        <f t="shared" si="120"/>
        <v>0</v>
      </c>
      <c r="H1988" s="9">
        <v>32804941</v>
      </c>
      <c r="I1988" s="404">
        <f t="shared" si="121"/>
        <v>32804941</v>
      </c>
      <c r="J1988" s="403"/>
      <c r="K1988" s="404">
        <f t="shared" si="122"/>
        <v>0</v>
      </c>
      <c r="L1988" s="405">
        <f t="shared" si="123"/>
        <v>0</v>
      </c>
      <c r="M1988" s="403"/>
    </row>
    <row r="1989" spans="1:13" ht="15.75" x14ac:dyDescent="0.25">
      <c r="A1989" s="6" t="s">
        <v>2459</v>
      </c>
      <c r="B1989" s="7" t="s">
        <v>1863</v>
      </c>
      <c r="C1989" s="6" t="s">
        <v>6</v>
      </c>
      <c r="D1989" s="8">
        <v>50</v>
      </c>
      <c r="E1989" s="403"/>
      <c r="F1989" s="403">
        <f>BBNTHT!J2029</f>
        <v>0</v>
      </c>
      <c r="G1989" s="403">
        <f t="shared" si="120"/>
        <v>0</v>
      </c>
      <c r="H1989" s="9">
        <v>4272</v>
      </c>
      <c r="I1989" s="404">
        <f t="shared" si="121"/>
        <v>213600</v>
      </c>
      <c r="J1989" s="403"/>
      <c r="K1989" s="404">
        <f t="shared" si="122"/>
        <v>0</v>
      </c>
      <c r="L1989" s="405">
        <f t="shared" si="123"/>
        <v>0</v>
      </c>
      <c r="M1989" s="403"/>
    </row>
    <row r="1990" spans="1:13" ht="47.25" x14ac:dyDescent="0.25">
      <c r="A1990" s="2" t="s">
        <v>2460</v>
      </c>
      <c r="B1990" s="3" t="s">
        <v>2461</v>
      </c>
      <c r="C1990" s="2"/>
      <c r="D1990" s="4"/>
      <c r="E1990" s="403"/>
      <c r="F1990" s="403">
        <f>BBNTHT!J2030</f>
        <v>0</v>
      </c>
      <c r="G1990" s="403">
        <f t="shared" si="120"/>
        <v>0</v>
      </c>
      <c r="H1990" s="5"/>
      <c r="I1990" s="404">
        <f t="shared" si="121"/>
        <v>0</v>
      </c>
      <c r="J1990" s="403"/>
      <c r="K1990" s="404">
        <f t="shared" si="122"/>
        <v>0</v>
      </c>
      <c r="L1990" s="405">
        <f t="shared" si="123"/>
        <v>0</v>
      </c>
      <c r="M1990" s="403"/>
    </row>
    <row r="1991" spans="1:13" ht="15.75" x14ac:dyDescent="0.25">
      <c r="A1991" s="6" t="s">
        <v>2462</v>
      </c>
      <c r="B1991" s="7" t="s">
        <v>2463</v>
      </c>
      <c r="C1991" s="6" t="s">
        <v>248</v>
      </c>
      <c r="D1991" s="8">
        <v>1</v>
      </c>
      <c r="E1991" s="403"/>
      <c r="F1991" s="403">
        <f>BBNTHT!J2031</f>
        <v>0</v>
      </c>
      <c r="G1991" s="403">
        <f t="shared" si="120"/>
        <v>0</v>
      </c>
      <c r="H1991" s="9">
        <v>8486000</v>
      </c>
      <c r="I1991" s="404">
        <f t="shared" si="121"/>
        <v>8486000</v>
      </c>
      <c r="J1991" s="403"/>
      <c r="K1991" s="404">
        <f t="shared" si="122"/>
        <v>0</v>
      </c>
      <c r="L1991" s="405">
        <f t="shared" si="123"/>
        <v>0</v>
      </c>
      <c r="M1991" s="403"/>
    </row>
    <row r="1992" spans="1:13" ht="31.5" x14ac:dyDescent="0.25">
      <c r="A1992" s="6" t="s">
        <v>2464</v>
      </c>
      <c r="B1992" s="7" t="s">
        <v>2465</v>
      </c>
      <c r="C1992" s="6" t="s">
        <v>248</v>
      </c>
      <c r="D1992" s="8">
        <v>2</v>
      </c>
      <c r="E1992" s="403"/>
      <c r="F1992" s="403">
        <f>BBNTHT!J2032</f>
        <v>0</v>
      </c>
      <c r="G1992" s="403">
        <f t="shared" si="120"/>
        <v>0</v>
      </c>
      <c r="H1992" s="9">
        <v>3986712</v>
      </c>
      <c r="I1992" s="404">
        <f t="shared" si="121"/>
        <v>7973424</v>
      </c>
      <c r="J1992" s="403"/>
      <c r="K1992" s="404">
        <f t="shared" si="122"/>
        <v>0</v>
      </c>
      <c r="L1992" s="405">
        <f t="shared" si="123"/>
        <v>0</v>
      </c>
      <c r="M1992" s="403"/>
    </row>
    <row r="1993" spans="1:13" ht="31.5" x14ac:dyDescent="0.25">
      <c r="A1993" s="6" t="s">
        <v>2466</v>
      </c>
      <c r="B1993" s="7" t="s">
        <v>2467</v>
      </c>
      <c r="C1993" s="6" t="s">
        <v>248</v>
      </c>
      <c r="D1993" s="8">
        <v>2</v>
      </c>
      <c r="E1993" s="403"/>
      <c r="F1993" s="403">
        <f>BBNTHT!J2033</f>
        <v>0</v>
      </c>
      <c r="G1993" s="403">
        <f t="shared" si="120"/>
        <v>0</v>
      </c>
      <c r="H1993" s="9">
        <v>20844807</v>
      </c>
      <c r="I1993" s="404">
        <f t="shared" si="121"/>
        <v>41689614</v>
      </c>
      <c r="J1993" s="403"/>
      <c r="K1993" s="404">
        <f t="shared" si="122"/>
        <v>0</v>
      </c>
      <c r="L1993" s="405">
        <f t="shared" si="123"/>
        <v>0</v>
      </c>
      <c r="M1993" s="403"/>
    </row>
    <row r="1994" spans="1:13" ht="15.75" x14ac:dyDescent="0.25">
      <c r="A1994" s="6" t="s">
        <v>2468</v>
      </c>
      <c r="B1994" s="7" t="s">
        <v>2469</v>
      </c>
      <c r="C1994" s="6" t="s">
        <v>248</v>
      </c>
      <c r="D1994" s="8">
        <v>2</v>
      </c>
      <c r="E1994" s="403"/>
      <c r="F1994" s="403">
        <f>BBNTHT!J2034</f>
        <v>0</v>
      </c>
      <c r="G1994" s="403">
        <f t="shared" si="120"/>
        <v>0</v>
      </c>
      <c r="H1994" s="9">
        <v>24489800</v>
      </c>
      <c r="I1994" s="404">
        <f t="shared" si="121"/>
        <v>48979600</v>
      </c>
      <c r="J1994" s="403"/>
      <c r="K1994" s="404">
        <f t="shared" si="122"/>
        <v>0</v>
      </c>
      <c r="L1994" s="405">
        <f t="shared" si="123"/>
        <v>0</v>
      </c>
      <c r="M1994" s="403"/>
    </row>
    <row r="1995" spans="1:13" ht="15.75" x14ac:dyDescent="0.25">
      <c r="A1995" s="6" t="s">
        <v>2470</v>
      </c>
      <c r="B1995" s="7" t="s">
        <v>2471</v>
      </c>
      <c r="C1995" s="6" t="s">
        <v>1867</v>
      </c>
      <c r="D1995" s="8">
        <v>2</v>
      </c>
      <c r="E1995" s="403"/>
      <c r="F1995" s="403">
        <f>BBNTHT!J2035</f>
        <v>0</v>
      </c>
      <c r="G1995" s="403">
        <f t="shared" si="120"/>
        <v>0</v>
      </c>
      <c r="H1995" s="9">
        <v>14352162</v>
      </c>
      <c r="I1995" s="404">
        <f t="shared" si="121"/>
        <v>28704324</v>
      </c>
      <c r="J1995" s="403"/>
      <c r="K1995" s="404">
        <f t="shared" si="122"/>
        <v>0</v>
      </c>
      <c r="L1995" s="405">
        <f t="shared" si="123"/>
        <v>0</v>
      </c>
      <c r="M1995" s="403"/>
    </row>
    <row r="1996" spans="1:13" ht="31.5" x14ac:dyDescent="0.25">
      <c r="A1996" s="2" t="s">
        <v>2472</v>
      </c>
      <c r="B1996" s="3" t="s">
        <v>2473</v>
      </c>
      <c r="C1996" s="2"/>
      <c r="D1996" s="4"/>
      <c r="E1996" s="403"/>
      <c r="F1996" s="403">
        <f>BBNTHT!J2036</f>
        <v>0</v>
      </c>
      <c r="G1996" s="403">
        <f t="shared" si="120"/>
        <v>0</v>
      </c>
      <c r="H1996" s="5"/>
      <c r="I1996" s="404">
        <f t="shared" si="121"/>
        <v>0</v>
      </c>
      <c r="J1996" s="403"/>
      <c r="K1996" s="404">
        <f t="shared" si="122"/>
        <v>0</v>
      </c>
      <c r="L1996" s="405">
        <f t="shared" si="123"/>
        <v>0</v>
      </c>
      <c r="M1996" s="403"/>
    </row>
    <row r="1997" spans="1:13" ht="31.5" x14ac:dyDescent="0.25">
      <c r="A1997" s="6" t="s">
        <v>2474</v>
      </c>
      <c r="B1997" s="7" t="s">
        <v>2475</v>
      </c>
      <c r="C1997" s="6" t="s">
        <v>248</v>
      </c>
      <c r="D1997" s="8">
        <v>10</v>
      </c>
      <c r="E1997" s="403"/>
      <c r="F1997" s="403">
        <f>BBNTHT!J2037</f>
        <v>0</v>
      </c>
      <c r="G1997" s="403">
        <f t="shared" si="120"/>
        <v>0</v>
      </c>
      <c r="H1997" s="9">
        <v>51257721</v>
      </c>
      <c r="I1997" s="404">
        <f t="shared" si="121"/>
        <v>512577210</v>
      </c>
      <c r="J1997" s="403"/>
      <c r="K1997" s="404">
        <f t="shared" si="122"/>
        <v>0</v>
      </c>
      <c r="L1997" s="405">
        <f t="shared" si="123"/>
        <v>0</v>
      </c>
      <c r="M1997" s="403"/>
    </row>
    <row r="1998" spans="1:13" ht="15.75" x14ac:dyDescent="0.25">
      <c r="A1998" s="6" t="s">
        <v>2476</v>
      </c>
      <c r="B1998" s="7" t="s">
        <v>2477</v>
      </c>
      <c r="C1998" s="6" t="s">
        <v>248</v>
      </c>
      <c r="D1998" s="8">
        <v>4</v>
      </c>
      <c r="E1998" s="403"/>
      <c r="F1998" s="403">
        <f>BBNTHT!J2038</f>
        <v>0</v>
      </c>
      <c r="G1998" s="403">
        <f t="shared" si="120"/>
        <v>0</v>
      </c>
      <c r="H1998" s="9">
        <v>45562419</v>
      </c>
      <c r="I1998" s="404">
        <f t="shared" si="121"/>
        <v>182249676</v>
      </c>
      <c r="J1998" s="403"/>
      <c r="K1998" s="404">
        <f t="shared" si="122"/>
        <v>0</v>
      </c>
      <c r="L1998" s="405">
        <f t="shared" si="123"/>
        <v>0</v>
      </c>
      <c r="M1998" s="403"/>
    </row>
    <row r="1999" spans="1:13" ht="15.75" x14ac:dyDescent="0.25">
      <c r="A1999" s="6" t="s">
        <v>2478</v>
      </c>
      <c r="B1999" s="7" t="s">
        <v>2479</v>
      </c>
      <c r="C1999" s="6" t="s">
        <v>248</v>
      </c>
      <c r="D1999" s="8">
        <v>4</v>
      </c>
      <c r="E1999" s="403"/>
      <c r="F1999" s="403">
        <f>BBNTHT!J2039</f>
        <v>0</v>
      </c>
      <c r="G1999" s="403">
        <f t="shared" si="120"/>
        <v>0</v>
      </c>
      <c r="H1999" s="9">
        <v>48979600</v>
      </c>
      <c r="I1999" s="404">
        <f t="shared" si="121"/>
        <v>195918400</v>
      </c>
      <c r="J1999" s="403"/>
      <c r="K1999" s="404">
        <f t="shared" si="122"/>
        <v>0</v>
      </c>
      <c r="L1999" s="405">
        <f t="shared" si="123"/>
        <v>0</v>
      </c>
      <c r="M1999" s="403"/>
    </row>
    <row r="2000" spans="1:13" ht="31.5" x14ac:dyDescent="0.25">
      <c r="A2000" s="6" t="s">
        <v>2480</v>
      </c>
      <c r="B2000" s="7" t="s">
        <v>2481</v>
      </c>
      <c r="C2000" s="6" t="s">
        <v>248</v>
      </c>
      <c r="D2000" s="8">
        <v>3</v>
      </c>
      <c r="E2000" s="403"/>
      <c r="F2000" s="403">
        <f>BBNTHT!J2040</f>
        <v>0</v>
      </c>
      <c r="G2000" s="403">
        <f t="shared" si="120"/>
        <v>0</v>
      </c>
      <c r="H2000" s="9">
        <v>54674902</v>
      </c>
      <c r="I2000" s="404">
        <f t="shared" si="121"/>
        <v>164024706</v>
      </c>
      <c r="J2000" s="403"/>
      <c r="K2000" s="404">
        <f t="shared" si="122"/>
        <v>0</v>
      </c>
      <c r="L2000" s="405">
        <f t="shared" si="123"/>
        <v>0</v>
      </c>
      <c r="M2000" s="403"/>
    </row>
    <row r="2001" spans="1:13" ht="31.5" x14ac:dyDescent="0.25">
      <c r="A2001" s="6" t="s">
        <v>2482</v>
      </c>
      <c r="B2001" s="7" t="s">
        <v>2483</v>
      </c>
      <c r="C2001" s="6" t="s">
        <v>248</v>
      </c>
      <c r="D2001" s="8">
        <v>1</v>
      </c>
      <c r="E2001" s="403"/>
      <c r="F2001" s="403">
        <f>BBNTHT!J2041</f>
        <v>0</v>
      </c>
      <c r="G2001" s="403">
        <f t="shared" si="120"/>
        <v>0</v>
      </c>
      <c r="H2001" s="9">
        <v>105932624</v>
      </c>
      <c r="I2001" s="404">
        <f t="shared" si="121"/>
        <v>105932624</v>
      </c>
      <c r="J2001" s="403"/>
      <c r="K2001" s="404">
        <f t="shared" si="122"/>
        <v>0</v>
      </c>
      <c r="L2001" s="405">
        <f t="shared" si="123"/>
        <v>0</v>
      </c>
      <c r="M2001" s="403"/>
    </row>
    <row r="2002" spans="1:13" ht="31.5" x14ac:dyDescent="0.25">
      <c r="A2002" s="6" t="s">
        <v>2484</v>
      </c>
      <c r="B2002" s="7" t="s">
        <v>2485</v>
      </c>
      <c r="C2002" s="6" t="s">
        <v>248</v>
      </c>
      <c r="D2002" s="8">
        <v>1</v>
      </c>
      <c r="E2002" s="403"/>
      <c r="F2002" s="403">
        <f>BBNTHT!J2042</f>
        <v>0</v>
      </c>
      <c r="G2002" s="403">
        <f t="shared" ref="G2002:G2065" si="124">F2002+E2002</f>
        <v>0</v>
      </c>
      <c r="H2002" s="9">
        <v>22781209</v>
      </c>
      <c r="I2002" s="404">
        <f t="shared" ref="I2002:I2065" si="125">ROUND(D2002*H2002,0)</f>
        <v>22781209</v>
      </c>
      <c r="J2002" s="403"/>
      <c r="K2002" s="404">
        <f t="shared" ref="K2002:K2065" si="126">ROUND(F2002*H2002,0)</f>
        <v>0</v>
      </c>
      <c r="L2002" s="405">
        <f t="shared" ref="L2002:L2065" si="127">J2002+K2002</f>
        <v>0</v>
      </c>
      <c r="M2002" s="403"/>
    </row>
    <row r="2003" spans="1:13" ht="15.75" x14ac:dyDescent="0.25">
      <c r="A2003" s="6" t="s">
        <v>2486</v>
      </c>
      <c r="B2003" s="7" t="s">
        <v>2487</v>
      </c>
      <c r="C2003" s="6" t="s">
        <v>248</v>
      </c>
      <c r="D2003" s="8">
        <v>1</v>
      </c>
      <c r="E2003" s="403"/>
      <c r="F2003" s="403">
        <f>BBNTHT!J2043</f>
        <v>0</v>
      </c>
      <c r="G2003" s="403">
        <f t="shared" si="124"/>
        <v>0</v>
      </c>
      <c r="H2003" s="9">
        <v>17313719</v>
      </c>
      <c r="I2003" s="404">
        <f t="shared" si="125"/>
        <v>17313719</v>
      </c>
      <c r="J2003" s="403"/>
      <c r="K2003" s="404">
        <f t="shared" si="126"/>
        <v>0</v>
      </c>
      <c r="L2003" s="405">
        <f t="shared" si="127"/>
        <v>0</v>
      </c>
      <c r="M2003" s="403"/>
    </row>
    <row r="2004" spans="1:13" ht="31.5" x14ac:dyDescent="0.25">
      <c r="A2004" s="6" t="s">
        <v>2488</v>
      </c>
      <c r="B2004" s="7" t="s">
        <v>2489</v>
      </c>
      <c r="C2004" s="6" t="s">
        <v>248</v>
      </c>
      <c r="D2004" s="8">
        <v>1</v>
      </c>
      <c r="E2004" s="403"/>
      <c r="F2004" s="403">
        <f>BBNTHT!J2044</f>
        <v>0</v>
      </c>
      <c r="G2004" s="403">
        <f t="shared" si="124"/>
        <v>0</v>
      </c>
      <c r="H2004" s="9">
        <v>28476512</v>
      </c>
      <c r="I2004" s="404">
        <f t="shared" si="125"/>
        <v>28476512</v>
      </c>
      <c r="J2004" s="403"/>
      <c r="K2004" s="404">
        <f t="shared" si="126"/>
        <v>0</v>
      </c>
      <c r="L2004" s="405">
        <f t="shared" si="127"/>
        <v>0</v>
      </c>
      <c r="M2004" s="403"/>
    </row>
    <row r="2005" spans="1:13" ht="31.5" x14ac:dyDescent="0.25">
      <c r="A2005" s="6" t="s">
        <v>2490</v>
      </c>
      <c r="B2005" s="7" t="s">
        <v>2491</v>
      </c>
      <c r="C2005" s="6" t="s">
        <v>248</v>
      </c>
      <c r="D2005" s="8">
        <v>1</v>
      </c>
      <c r="E2005" s="403"/>
      <c r="F2005" s="403">
        <f>BBNTHT!J2045</f>
        <v>0</v>
      </c>
      <c r="G2005" s="403">
        <f t="shared" si="124"/>
        <v>0</v>
      </c>
      <c r="H2005" s="9">
        <v>10251544</v>
      </c>
      <c r="I2005" s="404">
        <f t="shared" si="125"/>
        <v>10251544</v>
      </c>
      <c r="J2005" s="403"/>
      <c r="K2005" s="404">
        <f t="shared" si="126"/>
        <v>0</v>
      </c>
      <c r="L2005" s="405">
        <f t="shared" si="127"/>
        <v>0</v>
      </c>
      <c r="M2005" s="403"/>
    </row>
    <row r="2006" spans="1:13" ht="31.5" x14ac:dyDescent="0.25">
      <c r="A2006" s="6" t="s">
        <v>2492</v>
      </c>
      <c r="B2006" s="7" t="s">
        <v>2493</v>
      </c>
      <c r="C2006" s="6" t="s">
        <v>248</v>
      </c>
      <c r="D2006" s="8">
        <v>4</v>
      </c>
      <c r="E2006" s="403"/>
      <c r="F2006" s="403">
        <f>BBNTHT!J2046</f>
        <v>0</v>
      </c>
      <c r="G2006" s="403">
        <f t="shared" si="124"/>
        <v>0</v>
      </c>
      <c r="H2006" s="9">
        <v>2847651</v>
      </c>
      <c r="I2006" s="404">
        <f t="shared" si="125"/>
        <v>11390604</v>
      </c>
      <c r="J2006" s="403"/>
      <c r="K2006" s="404">
        <f t="shared" si="126"/>
        <v>0</v>
      </c>
      <c r="L2006" s="405">
        <f t="shared" si="127"/>
        <v>0</v>
      </c>
      <c r="M2006" s="403"/>
    </row>
    <row r="2007" spans="1:13" ht="15.75" x14ac:dyDescent="0.25">
      <c r="A2007" s="6" t="s">
        <v>2494</v>
      </c>
      <c r="B2007" s="7" t="s">
        <v>2495</v>
      </c>
      <c r="C2007" s="6" t="s">
        <v>248</v>
      </c>
      <c r="D2007" s="8">
        <v>1</v>
      </c>
      <c r="E2007" s="403"/>
      <c r="F2007" s="403">
        <f>BBNTHT!J2047</f>
        <v>0</v>
      </c>
      <c r="G2007" s="403">
        <f t="shared" si="124"/>
        <v>0</v>
      </c>
      <c r="H2007" s="9">
        <v>36449935</v>
      </c>
      <c r="I2007" s="404">
        <f t="shared" si="125"/>
        <v>36449935</v>
      </c>
      <c r="J2007" s="403"/>
      <c r="K2007" s="404">
        <f t="shared" si="126"/>
        <v>0</v>
      </c>
      <c r="L2007" s="405">
        <f t="shared" si="127"/>
        <v>0</v>
      </c>
      <c r="M2007" s="403"/>
    </row>
    <row r="2008" spans="1:13" ht="15.75" x14ac:dyDescent="0.25">
      <c r="A2008" s="6" t="s">
        <v>2496</v>
      </c>
      <c r="B2008" s="7" t="s">
        <v>2497</v>
      </c>
      <c r="C2008" s="6" t="s">
        <v>248</v>
      </c>
      <c r="D2008" s="8">
        <v>3</v>
      </c>
      <c r="E2008" s="403"/>
      <c r="F2008" s="403">
        <f>BBNTHT!J2048</f>
        <v>0</v>
      </c>
      <c r="G2008" s="403">
        <f t="shared" si="124"/>
        <v>0</v>
      </c>
      <c r="H2008" s="9">
        <v>956811</v>
      </c>
      <c r="I2008" s="404">
        <f t="shared" si="125"/>
        <v>2870433</v>
      </c>
      <c r="J2008" s="403"/>
      <c r="K2008" s="404">
        <f t="shared" si="126"/>
        <v>0</v>
      </c>
      <c r="L2008" s="405">
        <f t="shared" si="127"/>
        <v>0</v>
      </c>
      <c r="M2008" s="403"/>
    </row>
    <row r="2009" spans="1:13" ht="47.25" x14ac:dyDescent="0.25">
      <c r="A2009" s="2" t="s">
        <v>2498</v>
      </c>
      <c r="B2009" s="3" t="s">
        <v>2499</v>
      </c>
      <c r="C2009" s="2"/>
      <c r="D2009" s="4"/>
      <c r="E2009" s="403"/>
      <c r="F2009" s="403">
        <f>BBNTHT!J2049</f>
        <v>0</v>
      </c>
      <c r="G2009" s="403">
        <f t="shared" si="124"/>
        <v>0</v>
      </c>
      <c r="H2009" s="5"/>
      <c r="I2009" s="404">
        <f t="shared" si="125"/>
        <v>0</v>
      </c>
      <c r="J2009" s="403"/>
      <c r="K2009" s="404">
        <f t="shared" si="126"/>
        <v>0</v>
      </c>
      <c r="L2009" s="405">
        <f t="shared" si="127"/>
        <v>0</v>
      </c>
      <c r="M2009" s="403"/>
    </row>
    <row r="2010" spans="1:13" ht="31.5" x14ac:dyDescent="0.25">
      <c r="A2010" s="6" t="s">
        <v>2500</v>
      </c>
      <c r="B2010" s="7" t="s">
        <v>2501</v>
      </c>
      <c r="C2010" s="6" t="s">
        <v>2502</v>
      </c>
      <c r="D2010" s="8">
        <v>1</v>
      </c>
      <c r="E2010" s="403"/>
      <c r="F2010" s="403">
        <f>BBNTHT!J2050</f>
        <v>0</v>
      </c>
      <c r="G2010" s="403">
        <f t="shared" si="124"/>
        <v>0</v>
      </c>
      <c r="H2010" s="9">
        <v>420313313</v>
      </c>
      <c r="I2010" s="404">
        <f t="shared" si="125"/>
        <v>420313313</v>
      </c>
      <c r="J2010" s="403"/>
      <c r="K2010" s="404">
        <f t="shared" si="126"/>
        <v>0</v>
      </c>
      <c r="L2010" s="405">
        <f t="shared" si="127"/>
        <v>0</v>
      </c>
      <c r="M2010" s="403"/>
    </row>
    <row r="2011" spans="1:13" ht="31.5" x14ac:dyDescent="0.25">
      <c r="A2011" s="6" t="s">
        <v>2503</v>
      </c>
      <c r="B2011" s="7" t="s">
        <v>2504</v>
      </c>
      <c r="C2011" s="6" t="s">
        <v>248</v>
      </c>
      <c r="D2011" s="8">
        <v>2</v>
      </c>
      <c r="E2011" s="403"/>
      <c r="F2011" s="403">
        <f>BBNTHT!J2051</f>
        <v>0</v>
      </c>
      <c r="G2011" s="403">
        <f t="shared" si="124"/>
        <v>0</v>
      </c>
      <c r="H2011" s="9">
        <v>65495977</v>
      </c>
      <c r="I2011" s="404">
        <f t="shared" si="125"/>
        <v>130991954</v>
      </c>
      <c r="J2011" s="403"/>
      <c r="K2011" s="404">
        <f t="shared" si="126"/>
        <v>0</v>
      </c>
      <c r="L2011" s="405">
        <f t="shared" si="127"/>
        <v>0</v>
      </c>
      <c r="M2011" s="403"/>
    </row>
    <row r="2012" spans="1:13" ht="15.75" x14ac:dyDescent="0.25">
      <c r="A2012" s="2" t="s">
        <v>2505</v>
      </c>
      <c r="B2012" s="3" t="s">
        <v>2506</v>
      </c>
      <c r="C2012" s="2"/>
      <c r="D2012" s="4"/>
      <c r="E2012" s="403"/>
      <c r="F2012" s="403">
        <f>BBNTHT!J2052</f>
        <v>0</v>
      </c>
      <c r="G2012" s="403">
        <f t="shared" si="124"/>
        <v>0</v>
      </c>
      <c r="H2012" s="5"/>
      <c r="I2012" s="404">
        <f t="shared" si="125"/>
        <v>0</v>
      </c>
      <c r="J2012" s="403"/>
      <c r="K2012" s="404">
        <f t="shared" si="126"/>
        <v>0</v>
      </c>
      <c r="L2012" s="405">
        <f t="shared" si="127"/>
        <v>0</v>
      </c>
      <c r="M2012" s="403"/>
    </row>
    <row r="2013" spans="1:13" ht="31.5" x14ac:dyDescent="0.25">
      <c r="A2013" s="6" t="s">
        <v>2507</v>
      </c>
      <c r="B2013" s="7" t="s">
        <v>2508</v>
      </c>
      <c r="C2013" s="6" t="s">
        <v>248</v>
      </c>
      <c r="D2013" s="8">
        <v>20</v>
      </c>
      <c r="E2013" s="403"/>
      <c r="F2013" s="403">
        <f>BBNTHT!J2053</f>
        <v>0</v>
      </c>
      <c r="G2013" s="403">
        <f t="shared" si="124"/>
        <v>0</v>
      </c>
      <c r="H2013" s="9">
        <v>11390605</v>
      </c>
      <c r="I2013" s="404">
        <f t="shared" si="125"/>
        <v>227812100</v>
      </c>
      <c r="J2013" s="403"/>
      <c r="K2013" s="404">
        <f t="shared" si="126"/>
        <v>0</v>
      </c>
      <c r="L2013" s="405">
        <f t="shared" si="127"/>
        <v>0</v>
      </c>
      <c r="M2013" s="403"/>
    </row>
    <row r="2014" spans="1:13" ht="47.25" x14ac:dyDescent="0.25">
      <c r="A2014" s="6" t="s">
        <v>2509</v>
      </c>
      <c r="B2014" s="7" t="s">
        <v>2510</v>
      </c>
      <c r="C2014" s="6" t="s">
        <v>248</v>
      </c>
      <c r="D2014" s="8">
        <v>16</v>
      </c>
      <c r="E2014" s="403"/>
      <c r="F2014" s="403">
        <f>BBNTHT!J2054</f>
        <v>0</v>
      </c>
      <c r="G2014" s="403">
        <f t="shared" si="124"/>
        <v>0</v>
      </c>
      <c r="H2014" s="9">
        <v>18224967</v>
      </c>
      <c r="I2014" s="404">
        <f t="shared" si="125"/>
        <v>291599472</v>
      </c>
      <c r="J2014" s="403"/>
      <c r="K2014" s="404">
        <f t="shared" si="126"/>
        <v>0</v>
      </c>
      <c r="L2014" s="405">
        <f t="shared" si="127"/>
        <v>0</v>
      </c>
      <c r="M2014" s="403"/>
    </row>
    <row r="2015" spans="1:13" ht="31.5" x14ac:dyDescent="0.25">
      <c r="A2015" s="6" t="s">
        <v>2511</v>
      </c>
      <c r="B2015" s="7" t="s">
        <v>2512</v>
      </c>
      <c r="C2015" s="6" t="s">
        <v>248</v>
      </c>
      <c r="D2015" s="8">
        <v>1</v>
      </c>
      <c r="E2015" s="403"/>
      <c r="F2015" s="403">
        <f>BBNTHT!J2055</f>
        <v>0</v>
      </c>
      <c r="G2015" s="403">
        <f t="shared" si="124"/>
        <v>0</v>
      </c>
      <c r="H2015" s="9">
        <v>13554820</v>
      </c>
      <c r="I2015" s="404">
        <f t="shared" si="125"/>
        <v>13554820</v>
      </c>
      <c r="J2015" s="403"/>
      <c r="K2015" s="404">
        <f t="shared" si="126"/>
        <v>0</v>
      </c>
      <c r="L2015" s="405">
        <f t="shared" si="127"/>
        <v>0</v>
      </c>
      <c r="M2015" s="403"/>
    </row>
    <row r="2016" spans="1:13" ht="31.5" x14ac:dyDescent="0.25">
      <c r="A2016" s="6" t="s">
        <v>2513</v>
      </c>
      <c r="B2016" s="7" t="s">
        <v>2514</v>
      </c>
      <c r="C2016" s="6" t="s">
        <v>248</v>
      </c>
      <c r="D2016" s="8">
        <v>1</v>
      </c>
      <c r="E2016" s="403"/>
      <c r="F2016" s="403">
        <f>BBNTHT!J2056</f>
        <v>0</v>
      </c>
      <c r="G2016" s="403">
        <f t="shared" si="124"/>
        <v>0</v>
      </c>
      <c r="H2016" s="9">
        <v>42145237</v>
      </c>
      <c r="I2016" s="404">
        <f t="shared" si="125"/>
        <v>42145237</v>
      </c>
      <c r="J2016" s="403"/>
      <c r="K2016" s="404">
        <f t="shared" si="126"/>
        <v>0</v>
      </c>
      <c r="L2016" s="405">
        <f t="shared" si="127"/>
        <v>0</v>
      </c>
      <c r="M2016" s="403"/>
    </row>
    <row r="2017" spans="1:13" ht="31.5" x14ac:dyDescent="0.25">
      <c r="A2017" s="6" t="s">
        <v>2515</v>
      </c>
      <c r="B2017" s="7" t="s">
        <v>2516</v>
      </c>
      <c r="C2017" s="6" t="s">
        <v>248</v>
      </c>
      <c r="D2017" s="8">
        <v>2</v>
      </c>
      <c r="E2017" s="403"/>
      <c r="F2017" s="403">
        <f>BBNTHT!J2057</f>
        <v>0</v>
      </c>
      <c r="G2017" s="403">
        <f t="shared" si="124"/>
        <v>0</v>
      </c>
      <c r="H2017" s="9">
        <v>18794498</v>
      </c>
      <c r="I2017" s="404">
        <f t="shared" si="125"/>
        <v>37588996</v>
      </c>
      <c r="J2017" s="403"/>
      <c r="K2017" s="404">
        <f t="shared" si="126"/>
        <v>0</v>
      </c>
      <c r="L2017" s="405">
        <f t="shared" si="127"/>
        <v>0</v>
      </c>
      <c r="M2017" s="403"/>
    </row>
    <row r="2018" spans="1:13" ht="15.75" x14ac:dyDescent="0.25">
      <c r="A2018" s="6" t="s">
        <v>2517</v>
      </c>
      <c r="B2018" s="7" t="s">
        <v>2518</v>
      </c>
      <c r="C2018" s="6" t="s">
        <v>2519</v>
      </c>
      <c r="D2018" s="8">
        <v>10</v>
      </c>
      <c r="E2018" s="403"/>
      <c r="F2018" s="403">
        <f>BBNTHT!J2058</f>
        <v>0</v>
      </c>
      <c r="G2018" s="403">
        <f t="shared" si="124"/>
        <v>0</v>
      </c>
      <c r="H2018" s="9">
        <v>1116279</v>
      </c>
      <c r="I2018" s="404">
        <f t="shared" si="125"/>
        <v>11162790</v>
      </c>
      <c r="J2018" s="403"/>
      <c r="K2018" s="404">
        <f t="shared" si="126"/>
        <v>0</v>
      </c>
      <c r="L2018" s="405">
        <f t="shared" si="127"/>
        <v>0</v>
      </c>
      <c r="M2018" s="403"/>
    </row>
    <row r="2019" spans="1:13" ht="15.75" x14ac:dyDescent="0.25">
      <c r="A2019" s="6" t="s">
        <v>2520</v>
      </c>
      <c r="B2019" s="7" t="s">
        <v>2521</v>
      </c>
      <c r="C2019" s="6" t="s">
        <v>248</v>
      </c>
      <c r="D2019" s="8">
        <v>1</v>
      </c>
      <c r="E2019" s="403"/>
      <c r="F2019" s="403">
        <f>BBNTHT!J2059</f>
        <v>0</v>
      </c>
      <c r="G2019" s="403">
        <f t="shared" si="124"/>
        <v>0</v>
      </c>
      <c r="H2019" s="9">
        <v>39867116</v>
      </c>
      <c r="I2019" s="404">
        <f t="shared" si="125"/>
        <v>39867116</v>
      </c>
      <c r="J2019" s="403"/>
      <c r="K2019" s="404">
        <f t="shared" si="126"/>
        <v>0</v>
      </c>
      <c r="L2019" s="405">
        <f t="shared" si="127"/>
        <v>0</v>
      </c>
      <c r="M2019" s="403"/>
    </row>
    <row r="2020" spans="1:13" ht="31.5" x14ac:dyDescent="0.25">
      <c r="A2020" s="6" t="s">
        <v>2522</v>
      </c>
      <c r="B2020" s="7" t="s">
        <v>2523</v>
      </c>
      <c r="C2020" s="6" t="s">
        <v>248</v>
      </c>
      <c r="D2020" s="8">
        <v>1</v>
      </c>
      <c r="E2020" s="403"/>
      <c r="F2020" s="403">
        <f>BBNTHT!J2060</f>
        <v>0</v>
      </c>
      <c r="G2020" s="403">
        <f t="shared" si="124"/>
        <v>0</v>
      </c>
      <c r="H2020" s="9">
        <v>26710968</v>
      </c>
      <c r="I2020" s="404">
        <f t="shared" si="125"/>
        <v>26710968</v>
      </c>
      <c r="J2020" s="403"/>
      <c r="K2020" s="404">
        <f t="shared" si="126"/>
        <v>0</v>
      </c>
      <c r="L2020" s="405">
        <f t="shared" si="127"/>
        <v>0</v>
      </c>
      <c r="M2020" s="403"/>
    </row>
    <row r="2021" spans="1:13" ht="15.75" x14ac:dyDescent="0.25">
      <c r="A2021" s="6" t="s">
        <v>2524</v>
      </c>
      <c r="B2021" s="7" t="s">
        <v>2525</v>
      </c>
      <c r="C2021" s="6" t="s">
        <v>1867</v>
      </c>
      <c r="D2021" s="8">
        <v>160</v>
      </c>
      <c r="E2021" s="403"/>
      <c r="F2021" s="403">
        <f>BBNTHT!J2061</f>
        <v>0</v>
      </c>
      <c r="G2021" s="403">
        <f t="shared" si="124"/>
        <v>0</v>
      </c>
      <c r="H2021" s="9">
        <v>161746</v>
      </c>
      <c r="I2021" s="404">
        <f t="shared" si="125"/>
        <v>25879360</v>
      </c>
      <c r="J2021" s="403"/>
      <c r="K2021" s="404">
        <f t="shared" si="126"/>
        <v>0</v>
      </c>
      <c r="L2021" s="405">
        <f t="shared" si="127"/>
        <v>0</v>
      </c>
      <c r="M2021" s="403"/>
    </row>
    <row r="2022" spans="1:13" ht="15.75" x14ac:dyDescent="0.25">
      <c r="A2022" s="2" t="s">
        <v>2526</v>
      </c>
      <c r="B2022" s="3" t="s">
        <v>2527</v>
      </c>
      <c r="C2022" s="2"/>
      <c r="D2022" s="4"/>
      <c r="E2022" s="403"/>
      <c r="F2022" s="403">
        <f>BBNTHT!J2062</f>
        <v>0</v>
      </c>
      <c r="G2022" s="403">
        <f t="shared" si="124"/>
        <v>0</v>
      </c>
      <c r="H2022" s="5"/>
      <c r="I2022" s="404">
        <f t="shared" si="125"/>
        <v>0</v>
      </c>
      <c r="J2022" s="403"/>
      <c r="K2022" s="404">
        <f t="shared" si="126"/>
        <v>0</v>
      </c>
      <c r="L2022" s="405">
        <f t="shared" si="127"/>
        <v>0</v>
      </c>
      <c r="M2022" s="403"/>
    </row>
    <row r="2023" spans="1:13" ht="47.25" x14ac:dyDescent="0.25">
      <c r="A2023" s="6" t="s">
        <v>2528</v>
      </c>
      <c r="B2023" s="7" t="s">
        <v>2529</v>
      </c>
      <c r="C2023" s="6" t="s">
        <v>248</v>
      </c>
      <c r="D2023" s="8">
        <v>3</v>
      </c>
      <c r="E2023" s="403"/>
      <c r="F2023" s="403">
        <f>BBNTHT!J2063</f>
        <v>0</v>
      </c>
      <c r="G2023" s="403">
        <f t="shared" si="124"/>
        <v>0</v>
      </c>
      <c r="H2023" s="9">
        <v>68343628</v>
      </c>
      <c r="I2023" s="404">
        <f t="shared" si="125"/>
        <v>205030884</v>
      </c>
      <c r="J2023" s="403"/>
      <c r="K2023" s="404">
        <f t="shared" si="126"/>
        <v>0</v>
      </c>
      <c r="L2023" s="405">
        <f t="shared" si="127"/>
        <v>0</v>
      </c>
      <c r="M2023" s="403"/>
    </row>
    <row r="2024" spans="1:13" ht="47.25" x14ac:dyDescent="0.25">
      <c r="A2024" s="6" t="s">
        <v>2530</v>
      </c>
      <c r="B2024" s="7" t="s">
        <v>2531</v>
      </c>
      <c r="C2024" s="6" t="s">
        <v>2532</v>
      </c>
      <c r="D2024" s="8">
        <v>1</v>
      </c>
      <c r="E2024" s="403"/>
      <c r="F2024" s="403">
        <f>BBNTHT!J2064</f>
        <v>0</v>
      </c>
      <c r="G2024" s="403">
        <f t="shared" si="124"/>
        <v>0</v>
      </c>
      <c r="H2024" s="9">
        <v>62648326</v>
      </c>
      <c r="I2024" s="404">
        <f t="shared" si="125"/>
        <v>62648326</v>
      </c>
      <c r="J2024" s="403"/>
      <c r="K2024" s="404">
        <f t="shared" si="126"/>
        <v>0</v>
      </c>
      <c r="L2024" s="405">
        <f t="shared" si="127"/>
        <v>0</v>
      </c>
      <c r="M2024" s="403"/>
    </row>
    <row r="2025" spans="1:13" ht="31.5" x14ac:dyDescent="0.25">
      <c r="A2025" s="6" t="s">
        <v>2533</v>
      </c>
      <c r="B2025" s="7" t="s">
        <v>2534</v>
      </c>
      <c r="C2025" s="6" t="s">
        <v>2535</v>
      </c>
      <c r="D2025" s="8">
        <v>24</v>
      </c>
      <c r="E2025" s="403"/>
      <c r="F2025" s="403">
        <f>BBNTHT!J2065</f>
        <v>0</v>
      </c>
      <c r="G2025" s="403">
        <f t="shared" si="124"/>
        <v>0</v>
      </c>
      <c r="H2025" s="9">
        <v>2266731</v>
      </c>
      <c r="I2025" s="404">
        <f t="shared" si="125"/>
        <v>54401544</v>
      </c>
      <c r="J2025" s="403"/>
      <c r="K2025" s="404">
        <f t="shared" si="126"/>
        <v>0</v>
      </c>
      <c r="L2025" s="405">
        <f t="shared" si="127"/>
        <v>0</v>
      </c>
      <c r="M2025" s="403"/>
    </row>
    <row r="2026" spans="1:13" ht="15.75" x14ac:dyDescent="0.25">
      <c r="A2026" s="6" t="s">
        <v>2536</v>
      </c>
      <c r="B2026" s="7" t="s">
        <v>2537</v>
      </c>
      <c r="C2026" s="6" t="s">
        <v>2532</v>
      </c>
      <c r="D2026" s="8">
        <v>1</v>
      </c>
      <c r="E2026" s="403"/>
      <c r="F2026" s="403">
        <f>BBNTHT!J2066</f>
        <v>0</v>
      </c>
      <c r="G2026" s="403">
        <f t="shared" si="124"/>
        <v>0</v>
      </c>
      <c r="H2026" s="9">
        <v>34171814</v>
      </c>
      <c r="I2026" s="404">
        <f t="shared" si="125"/>
        <v>34171814</v>
      </c>
      <c r="J2026" s="403"/>
      <c r="K2026" s="404">
        <f t="shared" si="126"/>
        <v>0</v>
      </c>
      <c r="L2026" s="405">
        <f t="shared" si="127"/>
        <v>0</v>
      </c>
      <c r="M2026" s="403"/>
    </row>
    <row r="2027" spans="1:13" ht="15.75" x14ac:dyDescent="0.25">
      <c r="A2027" s="6" t="s">
        <v>2538</v>
      </c>
      <c r="B2027" s="7" t="s">
        <v>2539</v>
      </c>
      <c r="C2027" s="6" t="s">
        <v>1867</v>
      </c>
      <c r="D2027" s="8">
        <v>2</v>
      </c>
      <c r="E2027" s="403"/>
      <c r="F2027" s="403">
        <f>BBNTHT!J2067</f>
        <v>0</v>
      </c>
      <c r="G2027" s="403">
        <f t="shared" si="124"/>
        <v>0</v>
      </c>
      <c r="H2027" s="9">
        <v>18224967</v>
      </c>
      <c r="I2027" s="404">
        <f t="shared" si="125"/>
        <v>36449934</v>
      </c>
      <c r="J2027" s="403"/>
      <c r="K2027" s="404">
        <f t="shared" si="126"/>
        <v>0</v>
      </c>
      <c r="L2027" s="405">
        <f t="shared" si="127"/>
        <v>0</v>
      </c>
      <c r="M2027" s="403"/>
    </row>
    <row r="2028" spans="1:13" ht="15.75" x14ac:dyDescent="0.25">
      <c r="A2028" s="6" t="s">
        <v>2540</v>
      </c>
      <c r="B2028" s="7" t="s">
        <v>2541</v>
      </c>
      <c r="C2028" s="6" t="s">
        <v>1867</v>
      </c>
      <c r="D2028" s="8">
        <v>1</v>
      </c>
      <c r="E2028" s="403"/>
      <c r="F2028" s="403">
        <f>BBNTHT!J2068</f>
        <v>0</v>
      </c>
      <c r="G2028" s="403">
        <f t="shared" si="124"/>
        <v>0</v>
      </c>
      <c r="H2028" s="9">
        <v>17085907</v>
      </c>
      <c r="I2028" s="404">
        <f t="shared" si="125"/>
        <v>17085907</v>
      </c>
      <c r="J2028" s="403"/>
      <c r="K2028" s="404">
        <f t="shared" si="126"/>
        <v>0</v>
      </c>
      <c r="L2028" s="405">
        <f t="shared" si="127"/>
        <v>0</v>
      </c>
      <c r="M2028" s="403"/>
    </row>
    <row r="2029" spans="1:13" ht="31.5" x14ac:dyDescent="0.25">
      <c r="A2029" s="2" t="s">
        <v>2542</v>
      </c>
      <c r="B2029" s="3" t="s">
        <v>2543</v>
      </c>
      <c r="C2029" s="2"/>
      <c r="D2029" s="4"/>
      <c r="E2029" s="403"/>
      <c r="F2029" s="403">
        <f>BBNTHT!J2069</f>
        <v>0</v>
      </c>
      <c r="G2029" s="403">
        <f t="shared" si="124"/>
        <v>0</v>
      </c>
      <c r="H2029" s="5"/>
      <c r="I2029" s="404">
        <f t="shared" si="125"/>
        <v>0</v>
      </c>
      <c r="J2029" s="403"/>
      <c r="K2029" s="404">
        <f t="shared" si="126"/>
        <v>0</v>
      </c>
      <c r="L2029" s="405">
        <f t="shared" si="127"/>
        <v>0</v>
      </c>
      <c r="M2029" s="403"/>
    </row>
    <row r="2030" spans="1:13" ht="47.25" x14ac:dyDescent="0.25">
      <c r="A2030" s="6" t="s">
        <v>2544</v>
      </c>
      <c r="B2030" s="7" t="s">
        <v>2545</v>
      </c>
      <c r="C2030" s="6" t="s">
        <v>248</v>
      </c>
      <c r="D2030" s="8">
        <v>1</v>
      </c>
      <c r="E2030" s="403"/>
      <c r="F2030" s="403">
        <f>BBNTHT!J2070</f>
        <v>0</v>
      </c>
      <c r="G2030" s="403">
        <f t="shared" si="124"/>
        <v>0</v>
      </c>
      <c r="H2030" s="9">
        <v>74038930</v>
      </c>
      <c r="I2030" s="404">
        <f t="shared" si="125"/>
        <v>74038930</v>
      </c>
      <c r="J2030" s="403"/>
      <c r="K2030" s="404">
        <f t="shared" si="126"/>
        <v>0</v>
      </c>
      <c r="L2030" s="405">
        <f t="shared" si="127"/>
        <v>0</v>
      </c>
      <c r="M2030" s="403"/>
    </row>
    <row r="2031" spans="1:13" ht="15.75" x14ac:dyDescent="0.25">
      <c r="A2031" s="6" t="s">
        <v>2546</v>
      </c>
      <c r="B2031" s="7" t="s">
        <v>2547</v>
      </c>
      <c r="C2031" s="6" t="s">
        <v>248</v>
      </c>
      <c r="D2031" s="8">
        <v>2</v>
      </c>
      <c r="E2031" s="403"/>
      <c r="F2031" s="403">
        <f>BBNTHT!J2071</f>
        <v>0</v>
      </c>
      <c r="G2031" s="403">
        <f t="shared" si="124"/>
        <v>0</v>
      </c>
      <c r="H2031" s="9">
        <v>21983867</v>
      </c>
      <c r="I2031" s="404">
        <f t="shared" si="125"/>
        <v>43967734</v>
      </c>
      <c r="J2031" s="403"/>
      <c r="K2031" s="404">
        <f t="shared" si="126"/>
        <v>0</v>
      </c>
      <c r="L2031" s="405">
        <f t="shared" si="127"/>
        <v>0</v>
      </c>
      <c r="M2031" s="403"/>
    </row>
    <row r="2032" spans="1:13" ht="15.75" x14ac:dyDescent="0.25">
      <c r="A2032" s="6" t="s">
        <v>2548</v>
      </c>
      <c r="B2032" s="7" t="s">
        <v>2549</v>
      </c>
      <c r="C2032" s="6" t="s">
        <v>248</v>
      </c>
      <c r="D2032" s="8">
        <v>2</v>
      </c>
      <c r="E2032" s="403"/>
      <c r="F2032" s="403">
        <f>BBNTHT!J2072</f>
        <v>0</v>
      </c>
      <c r="G2032" s="403">
        <f t="shared" si="124"/>
        <v>0</v>
      </c>
      <c r="H2032" s="9">
        <v>74038930</v>
      </c>
      <c r="I2032" s="404">
        <f t="shared" si="125"/>
        <v>148077860</v>
      </c>
      <c r="J2032" s="403"/>
      <c r="K2032" s="404">
        <f t="shared" si="126"/>
        <v>0</v>
      </c>
      <c r="L2032" s="405">
        <f t="shared" si="127"/>
        <v>0</v>
      </c>
      <c r="M2032" s="403"/>
    </row>
    <row r="2033" spans="1:13" ht="31.5" x14ac:dyDescent="0.25">
      <c r="A2033" s="6" t="s">
        <v>2550</v>
      </c>
      <c r="B2033" s="7" t="s">
        <v>2551</v>
      </c>
      <c r="C2033" s="6" t="s">
        <v>248</v>
      </c>
      <c r="D2033" s="8">
        <v>2</v>
      </c>
      <c r="E2033" s="403"/>
      <c r="F2033" s="403">
        <f>BBNTHT!J2073</f>
        <v>0</v>
      </c>
      <c r="G2033" s="403">
        <f t="shared" si="124"/>
        <v>0</v>
      </c>
      <c r="H2033" s="9">
        <v>7859517</v>
      </c>
      <c r="I2033" s="404">
        <f t="shared" si="125"/>
        <v>15719034</v>
      </c>
      <c r="J2033" s="403"/>
      <c r="K2033" s="404">
        <f t="shared" si="126"/>
        <v>0</v>
      </c>
      <c r="L2033" s="405">
        <f t="shared" si="127"/>
        <v>0</v>
      </c>
      <c r="M2033" s="403"/>
    </row>
    <row r="2034" spans="1:13" ht="15.75" x14ac:dyDescent="0.25">
      <c r="A2034" s="6" t="s">
        <v>2552</v>
      </c>
      <c r="B2034" s="7" t="s">
        <v>2525</v>
      </c>
      <c r="C2034" s="6" t="s">
        <v>1867</v>
      </c>
      <c r="D2034" s="8">
        <v>60</v>
      </c>
      <c r="E2034" s="403"/>
      <c r="F2034" s="403">
        <f>BBNTHT!J2074</f>
        <v>0</v>
      </c>
      <c r="G2034" s="403">
        <f t="shared" si="124"/>
        <v>0</v>
      </c>
      <c r="H2034" s="9">
        <v>159469</v>
      </c>
      <c r="I2034" s="404">
        <f t="shared" si="125"/>
        <v>9568140</v>
      </c>
      <c r="J2034" s="403"/>
      <c r="K2034" s="404">
        <f t="shared" si="126"/>
        <v>0</v>
      </c>
      <c r="L2034" s="405">
        <f t="shared" si="127"/>
        <v>0</v>
      </c>
      <c r="M2034" s="403"/>
    </row>
    <row r="2035" spans="1:13" ht="15.75" x14ac:dyDescent="0.25">
      <c r="A2035" s="6" t="s">
        <v>2553</v>
      </c>
      <c r="B2035" s="7" t="s">
        <v>2554</v>
      </c>
      <c r="C2035" s="6" t="s">
        <v>2555</v>
      </c>
      <c r="D2035" s="8">
        <v>20</v>
      </c>
      <c r="E2035" s="403"/>
      <c r="F2035" s="403">
        <f>BBNTHT!J2075</f>
        <v>0</v>
      </c>
      <c r="G2035" s="403">
        <f t="shared" si="124"/>
        <v>0</v>
      </c>
      <c r="H2035" s="9">
        <v>136687</v>
      </c>
      <c r="I2035" s="404">
        <f t="shared" si="125"/>
        <v>2733740</v>
      </c>
      <c r="J2035" s="403"/>
      <c r="K2035" s="404">
        <f t="shared" si="126"/>
        <v>0</v>
      </c>
      <c r="L2035" s="405">
        <f t="shared" si="127"/>
        <v>0</v>
      </c>
      <c r="M2035" s="403"/>
    </row>
    <row r="2036" spans="1:13" ht="15.75" x14ac:dyDescent="0.25">
      <c r="A2036" s="2" t="s">
        <v>2556</v>
      </c>
      <c r="B2036" s="3" t="s">
        <v>2557</v>
      </c>
      <c r="C2036" s="2"/>
      <c r="D2036" s="4"/>
      <c r="E2036" s="403"/>
      <c r="F2036" s="403">
        <f>BBNTHT!J2076</f>
        <v>0</v>
      </c>
      <c r="G2036" s="403">
        <f t="shared" si="124"/>
        <v>0</v>
      </c>
      <c r="H2036" s="5"/>
      <c r="I2036" s="404">
        <f t="shared" si="125"/>
        <v>0</v>
      </c>
      <c r="J2036" s="403"/>
      <c r="K2036" s="404">
        <f t="shared" si="126"/>
        <v>0</v>
      </c>
      <c r="L2036" s="405">
        <f t="shared" si="127"/>
        <v>0</v>
      </c>
      <c r="M2036" s="403"/>
    </row>
    <row r="2037" spans="1:13" ht="31.5" x14ac:dyDescent="0.25">
      <c r="A2037" s="6" t="s">
        <v>2558</v>
      </c>
      <c r="B2037" s="7" t="s">
        <v>2559</v>
      </c>
      <c r="C2037" s="6" t="s">
        <v>248</v>
      </c>
      <c r="D2037" s="8">
        <v>2</v>
      </c>
      <c r="E2037" s="403"/>
      <c r="F2037" s="403">
        <f>BBNTHT!J2077</f>
        <v>0</v>
      </c>
      <c r="G2037" s="403">
        <f t="shared" si="124"/>
        <v>0</v>
      </c>
      <c r="H2037" s="9">
        <v>54105372</v>
      </c>
      <c r="I2037" s="404">
        <f t="shared" si="125"/>
        <v>108210744</v>
      </c>
      <c r="J2037" s="403"/>
      <c r="K2037" s="404">
        <f t="shared" si="126"/>
        <v>0</v>
      </c>
      <c r="L2037" s="405">
        <f t="shared" si="127"/>
        <v>0</v>
      </c>
      <c r="M2037" s="403"/>
    </row>
    <row r="2038" spans="1:13" ht="31.5" x14ac:dyDescent="0.25">
      <c r="A2038" s="6" t="s">
        <v>2560</v>
      </c>
      <c r="B2038" s="7" t="s">
        <v>2559</v>
      </c>
      <c r="C2038" s="6" t="s">
        <v>248</v>
      </c>
      <c r="D2038" s="8">
        <v>3</v>
      </c>
      <c r="E2038" s="403"/>
      <c r="F2038" s="403">
        <f>BBNTHT!J2078</f>
        <v>0</v>
      </c>
      <c r="G2038" s="403">
        <f t="shared" si="124"/>
        <v>0</v>
      </c>
      <c r="H2038" s="9">
        <v>38158526</v>
      </c>
      <c r="I2038" s="404">
        <f t="shared" si="125"/>
        <v>114475578</v>
      </c>
      <c r="J2038" s="403"/>
      <c r="K2038" s="404">
        <f t="shared" si="126"/>
        <v>0</v>
      </c>
      <c r="L2038" s="405">
        <f t="shared" si="127"/>
        <v>0</v>
      </c>
      <c r="M2038" s="403"/>
    </row>
    <row r="2039" spans="1:13" ht="31.5" x14ac:dyDescent="0.25">
      <c r="A2039" s="6" t="s">
        <v>2561</v>
      </c>
      <c r="B2039" s="7" t="s">
        <v>2562</v>
      </c>
      <c r="C2039" s="6" t="s">
        <v>248</v>
      </c>
      <c r="D2039" s="8">
        <v>5</v>
      </c>
      <c r="E2039" s="403"/>
      <c r="F2039" s="403">
        <f>BBNTHT!J2079</f>
        <v>0</v>
      </c>
      <c r="G2039" s="403">
        <f t="shared" si="124"/>
        <v>0</v>
      </c>
      <c r="H2039" s="9">
        <v>38158526</v>
      </c>
      <c r="I2039" s="404">
        <f t="shared" si="125"/>
        <v>190792630</v>
      </c>
      <c r="J2039" s="403"/>
      <c r="K2039" s="404">
        <f t="shared" si="126"/>
        <v>0</v>
      </c>
      <c r="L2039" s="405">
        <f t="shared" si="127"/>
        <v>0</v>
      </c>
      <c r="M2039" s="403"/>
    </row>
    <row r="2040" spans="1:13" ht="31.5" x14ac:dyDescent="0.25">
      <c r="A2040" s="6" t="s">
        <v>2563</v>
      </c>
      <c r="B2040" s="7" t="s">
        <v>2564</v>
      </c>
      <c r="C2040" s="6" t="s">
        <v>248</v>
      </c>
      <c r="D2040" s="8">
        <v>1</v>
      </c>
      <c r="E2040" s="403"/>
      <c r="F2040" s="403">
        <f>BBNTHT!J2080</f>
        <v>0</v>
      </c>
      <c r="G2040" s="403">
        <f t="shared" si="124"/>
        <v>0</v>
      </c>
      <c r="H2040" s="9">
        <v>54105372</v>
      </c>
      <c r="I2040" s="404">
        <f t="shared" si="125"/>
        <v>54105372</v>
      </c>
      <c r="J2040" s="403"/>
      <c r="K2040" s="404">
        <f t="shared" si="126"/>
        <v>0</v>
      </c>
      <c r="L2040" s="405">
        <f t="shared" si="127"/>
        <v>0</v>
      </c>
      <c r="M2040" s="403"/>
    </row>
    <row r="2041" spans="1:13" ht="47.25" x14ac:dyDescent="0.25">
      <c r="A2041" s="6" t="s">
        <v>2565</v>
      </c>
      <c r="B2041" s="7" t="s">
        <v>2566</v>
      </c>
      <c r="C2041" s="6" t="s">
        <v>248</v>
      </c>
      <c r="D2041" s="8">
        <v>2</v>
      </c>
      <c r="E2041" s="403"/>
      <c r="F2041" s="403">
        <f>BBNTHT!J2081</f>
        <v>0</v>
      </c>
      <c r="G2041" s="403">
        <f t="shared" si="124"/>
        <v>0</v>
      </c>
      <c r="H2041" s="9">
        <v>19933558</v>
      </c>
      <c r="I2041" s="404">
        <f t="shared" si="125"/>
        <v>39867116</v>
      </c>
      <c r="J2041" s="403"/>
      <c r="K2041" s="404">
        <f t="shared" si="126"/>
        <v>0</v>
      </c>
      <c r="L2041" s="405">
        <f t="shared" si="127"/>
        <v>0</v>
      </c>
      <c r="M2041" s="403"/>
    </row>
    <row r="2042" spans="1:13" ht="15.75" x14ac:dyDescent="0.25">
      <c r="A2042" s="6" t="s">
        <v>2567</v>
      </c>
      <c r="B2042" s="7" t="s">
        <v>2568</v>
      </c>
      <c r="C2042" s="6" t="s">
        <v>248</v>
      </c>
      <c r="D2042" s="8">
        <v>2</v>
      </c>
      <c r="E2042" s="403"/>
      <c r="F2042" s="403">
        <f>BBNTHT!J2082</f>
        <v>0</v>
      </c>
      <c r="G2042" s="403">
        <f t="shared" si="124"/>
        <v>0</v>
      </c>
      <c r="H2042" s="9">
        <v>1708591</v>
      </c>
      <c r="I2042" s="404">
        <f t="shared" si="125"/>
        <v>3417182</v>
      </c>
      <c r="J2042" s="403"/>
      <c r="K2042" s="404">
        <f t="shared" si="126"/>
        <v>0</v>
      </c>
      <c r="L2042" s="405">
        <f t="shared" si="127"/>
        <v>0</v>
      </c>
      <c r="M2042" s="403"/>
    </row>
    <row r="2043" spans="1:13" ht="15.75" x14ac:dyDescent="0.25">
      <c r="A2043" s="6" t="s">
        <v>2569</v>
      </c>
      <c r="B2043" s="7" t="s">
        <v>2570</v>
      </c>
      <c r="C2043" s="6" t="s">
        <v>248</v>
      </c>
      <c r="D2043" s="8">
        <v>1</v>
      </c>
      <c r="E2043" s="403"/>
      <c r="F2043" s="403">
        <f>BBNTHT!J2083</f>
        <v>0</v>
      </c>
      <c r="G2043" s="403">
        <f t="shared" si="124"/>
        <v>0</v>
      </c>
      <c r="H2043" s="9">
        <v>27223545</v>
      </c>
      <c r="I2043" s="404">
        <f t="shared" si="125"/>
        <v>27223545</v>
      </c>
      <c r="J2043" s="403"/>
      <c r="K2043" s="404">
        <f t="shared" si="126"/>
        <v>0</v>
      </c>
      <c r="L2043" s="405">
        <f t="shared" si="127"/>
        <v>0</v>
      </c>
      <c r="M2043" s="403"/>
    </row>
    <row r="2044" spans="1:13" ht="15.75" x14ac:dyDescent="0.25">
      <c r="A2044" s="6" t="s">
        <v>2571</v>
      </c>
      <c r="B2044" s="7" t="s">
        <v>2572</v>
      </c>
      <c r="C2044" s="6" t="s">
        <v>2573</v>
      </c>
      <c r="D2044" s="8">
        <v>6</v>
      </c>
      <c r="E2044" s="403"/>
      <c r="F2044" s="403">
        <f>BBNTHT!J2084</f>
        <v>0</v>
      </c>
      <c r="G2044" s="403">
        <f t="shared" si="124"/>
        <v>0</v>
      </c>
      <c r="H2044" s="9">
        <v>1127670</v>
      </c>
      <c r="I2044" s="404">
        <f t="shared" si="125"/>
        <v>6766020</v>
      </c>
      <c r="J2044" s="403"/>
      <c r="K2044" s="404">
        <f t="shared" si="126"/>
        <v>0</v>
      </c>
      <c r="L2044" s="405">
        <f t="shared" si="127"/>
        <v>0</v>
      </c>
      <c r="M2044" s="403"/>
    </row>
    <row r="2045" spans="1:13" ht="15.75" x14ac:dyDescent="0.25">
      <c r="A2045" s="6" t="s">
        <v>2574</v>
      </c>
      <c r="B2045" s="7" t="s">
        <v>2575</v>
      </c>
      <c r="C2045" s="6" t="s">
        <v>2573</v>
      </c>
      <c r="D2045" s="8">
        <v>6</v>
      </c>
      <c r="E2045" s="403"/>
      <c r="F2045" s="403">
        <f>BBNTHT!J2085</f>
        <v>0</v>
      </c>
      <c r="G2045" s="403">
        <f t="shared" si="124"/>
        <v>0</v>
      </c>
      <c r="H2045" s="9">
        <v>1309920</v>
      </c>
      <c r="I2045" s="404">
        <f t="shared" si="125"/>
        <v>7859520</v>
      </c>
      <c r="J2045" s="403"/>
      <c r="K2045" s="404">
        <f t="shared" si="126"/>
        <v>0</v>
      </c>
      <c r="L2045" s="405">
        <f t="shared" si="127"/>
        <v>0</v>
      </c>
      <c r="M2045" s="403"/>
    </row>
    <row r="2046" spans="1:13" ht="15.75" x14ac:dyDescent="0.25">
      <c r="A2046" s="6" t="s">
        <v>2576</v>
      </c>
      <c r="B2046" s="7" t="s">
        <v>2577</v>
      </c>
      <c r="C2046" s="6" t="s">
        <v>2573</v>
      </c>
      <c r="D2046" s="8">
        <v>6</v>
      </c>
      <c r="E2046" s="403"/>
      <c r="F2046" s="403">
        <f>BBNTHT!J2086</f>
        <v>0</v>
      </c>
      <c r="G2046" s="403">
        <f t="shared" si="124"/>
        <v>0</v>
      </c>
      <c r="H2046" s="9">
        <v>1925013</v>
      </c>
      <c r="I2046" s="404">
        <f t="shared" si="125"/>
        <v>11550078</v>
      </c>
      <c r="J2046" s="403"/>
      <c r="K2046" s="404">
        <f t="shared" si="126"/>
        <v>0</v>
      </c>
      <c r="L2046" s="405">
        <f t="shared" si="127"/>
        <v>0</v>
      </c>
      <c r="M2046" s="403"/>
    </row>
    <row r="2047" spans="1:13" ht="15.75" x14ac:dyDescent="0.25">
      <c r="A2047" s="6" t="s">
        <v>2578</v>
      </c>
      <c r="B2047" s="7" t="s">
        <v>2579</v>
      </c>
      <c r="C2047" s="6" t="s">
        <v>2573</v>
      </c>
      <c r="D2047" s="8">
        <v>3</v>
      </c>
      <c r="E2047" s="403"/>
      <c r="F2047" s="403">
        <f>BBNTHT!J2087</f>
        <v>0</v>
      </c>
      <c r="G2047" s="403">
        <f t="shared" si="124"/>
        <v>0</v>
      </c>
      <c r="H2047" s="9">
        <v>2152825</v>
      </c>
      <c r="I2047" s="404">
        <f t="shared" si="125"/>
        <v>6458475</v>
      </c>
      <c r="J2047" s="403"/>
      <c r="K2047" s="404">
        <f t="shared" si="126"/>
        <v>0</v>
      </c>
      <c r="L2047" s="405">
        <f t="shared" si="127"/>
        <v>0</v>
      </c>
      <c r="M2047" s="403"/>
    </row>
    <row r="2048" spans="1:13" ht="31.5" x14ac:dyDescent="0.25">
      <c r="A2048" s="6" t="s">
        <v>2580</v>
      </c>
      <c r="B2048" s="7" t="s">
        <v>2581</v>
      </c>
      <c r="C2048" s="6" t="s">
        <v>2555</v>
      </c>
      <c r="D2048" s="8">
        <v>1</v>
      </c>
      <c r="E2048" s="403"/>
      <c r="F2048" s="403">
        <f>BBNTHT!J2088</f>
        <v>0</v>
      </c>
      <c r="G2048" s="403">
        <f t="shared" si="124"/>
        <v>0</v>
      </c>
      <c r="H2048" s="9">
        <v>11379214</v>
      </c>
      <c r="I2048" s="404">
        <f t="shared" si="125"/>
        <v>11379214</v>
      </c>
      <c r="J2048" s="403"/>
      <c r="K2048" s="404">
        <f t="shared" si="126"/>
        <v>0</v>
      </c>
      <c r="L2048" s="405">
        <f t="shared" si="127"/>
        <v>0</v>
      </c>
      <c r="M2048" s="403"/>
    </row>
    <row r="2049" spans="1:13" ht="15.75" x14ac:dyDescent="0.25">
      <c r="A2049" s="6" t="s">
        <v>2582</v>
      </c>
      <c r="B2049" s="7" t="s">
        <v>2583</v>
      </c>
      <c r="C2049" s="6" t="s">
        <v>2502</v>
      </c>
      <c r="D2049" s="8">
        <v>4</v>
      </c>
      <c r="E2049" s="403"/>
      <c r="F2049" s="403">
        <f>BBNTHT!J2089</f>
        <v>0</v>
      </c>
      <c r="G2049" s="403">
        <f t="shared" si="124"/>
        <v>0</v>
      </c>
      <c r="H2049" s="9">
        <v>1708591</v>
      </c>
      <c r="I2049" s="404">
        <f t="shared" si="125"/>
        <v>6834364</v>
      </c>
      <c r="J2049" s="403"/>
      <c r="K2049" s="404">
        <f t="shared" si="126"/>
        <v>0</v>
      </c>
      <c r="L2049" s="405">
        <f t="shared" si="127"/>
        <v>0</v>
      </c>
      <c r="M2049" s="403"/>
    </row>
    <row r="2050" spans="1:13" ht="31.5" x14ac:dyDescent="0.25">
      <c r="A2050" s="2" t="s">
        <v>2584</v>
      </c>
      <c r="B2050" s="3" t="s">
        <v>2585</v>
      </c>
      <c r="C2050" s="2"/>
      <c r="D2050" s="4"/>
      <c r="E2050" s="403"/>
      <c r="F2050" s="403">
        <f>BBNTHT!J2090</f>
        <v>0</v>
      </c>
      <c r="G2050" s="403">
        <f t="shared" si="124"/>
        <v>0</v>
      </c>
      <c r="H2050" s="5"/>
      <c r="I2050" s="404">
        <f t="shared" si="125"/>
        <v>0</v>
      </c>
      <c r="J2050" s="403"/>
      <c r="K2050" s="404">
        <f t="shared" si="126"/>
        <v>0</v>
      </c>
      <c r="L2050" s="405">
        <f t="shared" si="127"/>
        <v>0</v>
      </c>
      <c r="M2050" s="403"/>
    </row>
    <row r="2051" spans="1:13" ht="63" x14ac:dyDescent="0.25">
      <c r="A2051" s="6" t="s">
        <v>2586</v>
      </c>
      <c r="B2051" s="7" t="s">
        <v>2587</v>
      </c>
      <c r="C2051" s="6" t="s">
        <v>248</v>
      </c>
      <c r="D2051" s="8">
        <v>1</v>
      </c>
      <c r="E2051" s="403"/>
      <c r="F2051" s="403">
        <f>BBNTHT!J2091</f>
        <v>0</v>
      </c>
      <c r="G2051" s="403">
        <f t="shared" si="124"/>
        <v>0</v>
      </c>
      <c r="H2051" s="9">
        <v>52396782</v>
      </c>
      <c r="I2051" s="404">
        <f t="shared" si="125"/>
        <v>52396782</v>
      </c>
      <c r="J2051" s="403"/>
      <c r="K2051" s="404">
        <f t="shared" si="126"/>
        <v>0</v>
      </c>
      <c r="L2051" s="405">
        <f t="shared" si="127"/>
        <v>0</v>
      </c>
      <c r="M2051" s="403"/>
    </row>
    <row r="2052" spans="1:13" ht="15.75" x14ac:dyDescent="0.25">
      <c r="A2052" s="6" t="s">
        <v>2588</v>
      </c>
      <c r="B2052" s="7" t="s">
        <v>2589</v>
      </c>
      <c r="C2052" s="6" t="s">
        <v>1867</v>
      </c>
      <c r="D2052" s="8">
        <v>3</v>
      </c>
      <c r="E2052" s="403"/>
      <c r="F2052" s="403">
        <f>BBNTHT!J2092</f>
        <v>0</v>
      </c>
      <c r="G2052" s="403">
        <f t="shared" si="124"/>
        <v>0</v>
      </c>
      <c r="H2052" s="9">
        <v>8542954</v>
      </c>
      <c r="I2052" s="404">
        <f t="shared" si="125"/>
        <v>25628862</v>
      </c>
      <c r="J2052" s="403"/>
      <c r="K2052" s="404">
        <f t="shared" si="126"/>
        <v>0</v>
      </c>
      <c r="L2052" s="405">
        <f t="shared" si="127"/>
        <v>0</v>
      </c>
      <c r="M2052" s="403"/>
    </row>
    <row r="2053" spans="1:13" ht="31.5" x14ac:dyDescent="0.25">
      <c r="A2053" s="6" t="s">
        <v>2590</v>
      </c>
      <c r="B2053" s="7" t="s">
        <v>2591</v>
      </c>
      <c r="C2053" s="6" t="s">
        <v>248</v>
      </c>
      <c r="D2053" s="8">
        <v>1</v>
      </c>
      <c r="E2053" s="403"/>
      <c r="F2053" s="403">
        <f>BBNTHT!J2093</f>
        <v>0</v>
      </c>
      <c r="G2053" s="403">
        <f t="shared" si="124"/>
        <v>0</v>
      </c>
      <c r="H2053" s="9">
        <v>8542954</v>
      </c>
      <c r="I2053" s="404">
        <f t="shared" si="125"/>
        <v>8542954</v>
      </c>
      <c r="J2053" s="403"/>
      <c r="K2053" s="404">
        <f t="shared" si="126"/>
        <v>0</v>
      </c>
      <c r="L2053" s="405">
        <f t="shared" si="127"/>
        <v>0</v>
      </c>
      <c r="M2053" s="403"/>
    </row>
    <row r="2054" spans="1:13" ht="31.5" x14ac:dyDescent="0.25">
      <c r="A2054" s="6" t="s">
        <v>2592</v>
      </c>
      <c r="B2054" s="7" t="s">
        <v>2593</v>
      </c>
      <c r="C2054" s="6" t="s">
        <v>248</v>
      </c>
      <c r="D2054" s="8">
        <v>1</v>
      </c>
      <c r="E2054" s="403"/>
      <c r="F2054" s="403">
        <f>BBNTHT!J2094</f>
        <v>0</v>
      </c>
      <c r="G2054" s="403">
        <f t="shared" si="124"/>
        <v>0</v>
      </c>
      <c r="H2054" s="9">
        <v>22211679</v>
      </c>
      <c r="I2054" s="404">
        <f t="shared" si="125"/>
        <v>22211679</v>
      </c>
      <c r="J2054" s="403"/>
      <c r="K2054" s="404">
        <f t="shared" si="126"/>
        <v>0</v>
      </c>
      <c r="L2054" s="405">
        <f t="shared" si="127"/>
        <v>0</v>
      </c>
      <c r="M2054" s="403"/>
    </row>
    <row r="2055" spans="1:13" ht="31.5" x14ac:dyDescent="0.25">
      <c r="A2055" s="6" t="s">
        <v>2594</v>
      </c>
      <c r="B2055" s="7" t="s">
        <v>2595</v>
      </c>
      <c r="C2055" s="6" t="s">
        <v>248</v>
      </c>
      <c r="D2055" s="8">
        <v>1</v>
      </c>
      <c r="E2055" s="403"/>
      <c r="F2055" s="403">
        <f>BBNTHT!J2095</f>
        <v>0</v>
      </c>
      <c r="G2055" s="403">
        <f t="shared" si="124"/>
        <v>0</v>
      </c>
      <c r="H2055" s="9">
        <v>29046042</v>
      </c>
      <c r="I2055" s="404">
        <f t="shared" si="125"/>
        <v>29046042</v>
      </c>
      <c r="J2055" s="403"/>
      <c r="K2055" s="404">
        <f t="shared" si="126"/>
        <v>0</v>
      </c>
      <c r="L2055" s="405">
        <f t="shared" si="127"/>
        <v>0</v>
      </c>
      <c r="M2055" s="403"/>
    </row>
    <row r="2056" spans="1:13" ht="31.5" x14ac:dyDescent="0.25">
      <c r="A2056" s="6" t="s">
        <v>2596</v>
      </c>
      <c r="B2056" s="7" t="s">
        <v>2597</v>
      </c>
      <c r="C2056" s="6" t="s">
        <v>248</v>
      </c>
      <c r="D2056" s="8">
        <v>1</v>
      </c>
      <c r="E2056" s="403"/>
      <c r="F2056" s="403">
        <f>BBNTHT!J2096</f>
        <v>0</v>
      </c>
      <c r="G2056" s="403">
        <f t="shared" si="124"/>
        <v>0</v>
      </c>
      <c r="H2056" s="9">
        <v>44992888</v>
      </c>
      <c r="I2056" s="404">
        <f t="shared" si="125"/>
        <v>44992888</v>
      </c>
      <c r="J2056" s="403"/>
      <c r="K2056" s="404">
        <f t="shared" si="126"/>
        <v>0</v>
      </c>
      <c r="L2056" s="405">
        <f t="shared" si="127"/>
        <v>0</v>
      </c>
      <c r="M2056" s="403"/>
    </row>
    <row r="2057" spans="1:13" ht="31.5" x14ac:dyDescent="0.25">
      <c r="A2057" s="2" t="s">
        <v>2598</v>
      </c>
      <c r="B2057" s="3" t="s">
        <v>2599</v>
      </c>
      <c r="C2057" s="2"/>
      <c r="D2057" s="4"/>
      <c r="E2057" s="403"/>
      <c r="F2057" s="403">
        <f>BBNTHT!J2097</f>
        <v>0</v>
      </c>
      <c r="G2057" s="403">
        <f t="shared" si="124"/>
        <v>0</v>
      </c>
      <c r="H2057" s="5"/>
      <c r="I2057" s="404">
        <f t="shared" si="125"/>
        <v>0</v>
      </c>
      <c r="J2057" s="403"/>
      <c r="K2057" s="404">
        <f t="shared" si="126"/>
        <v>0</v>
      </c>
      <c r="L2057" s="405">
        <f t="shared" si="127"/>
        <v>0</v>
      </c>
      <c r="M2057" s="403"/>
    </row>
    <row r="2058" spans="1:13" ht="78.75" x14ac:dyDescent="0.25">
      <c r="A2058" s="6" t="s">
        <v>2600</v>
      </c>
      <c r="B2058" s="7" t="s">
        <v>2601</v>
      </c>
      <c r="C2058" s="6" t="s">
        <v>2532</v>
      </c>
      <c r="D2058" s="8">
        <v>1</v>
      </c>
      <c r="E2058" s="403"/>
      <c r="F2058" s="403">
        <f>BBNTHT!J2098</f>
        <v>0</v>
      </c>
      <c r="G2058" s="403">
        <f t="shared" si="124"/>
        <v>0</v>
      </c>
      <c r="H2058" s="9">
        <v>44992888</v>
      </c>
      <c r="I2058" s="404">
        <f t="shared" si="125"/>
        <v>44992888</v>
      </c>
      <c r="J2058" s="403"/>
      <c r="K2058" s="404">
        <f t="shared" si="126"/>
        <v>0</v>
      </c>
      <c r="L2058" s="405">
        <f t="shared" si="127"/>
        <v>0</v>
      </c>
      <c r="M2058" s="403"/>
    </row>
    <row r="2059" spans="1:13" ht="15.75" x14ac:dyDescent="0.25">
      <c r="A2059" s="6" t="s">
        <v>2602</v>
      </c>
      <c r="B2059" s="7" t="s">
        <v>2603</v>
      </c>
      <c r="C2059" s="6" t="s">
        <v>248</v>
      </c>
      <c r="D2059" s="8">
        <v>3</v>
      </c>
      <c r="E2059" s="403"/>
      <c r="F2059" s="403">
        <f>BBNTHT!J2099</f>
        <v>0</v>
      </c>
      <c r="G2059" s="403">
        <f t="shared" si="124"/>
        <v>0</v>
      </c>
      <c r="H2059" s="9">
        <v>3986712</v>
      </c>
      <c r="I2059" s="404">
        <f t="shared" si="125"/>
        <v>11960136</v>
      </c>
      <c r="J2059" s="403"/>
      <c r="K2059" s="404">
        <f t="shared" si="126"/>
        <v>0</v>
      </c>
      <c r="L2059" s="405">
        <f t="shared" si="127"/>
        <v>0</v>
      </c>
      <c r="M2059" s="403"/>
    </row>
    <row r="2060" spans="1:13" ht="31.5" x14ac:dyDescent="0.25">
      <c r="A2060" s="6" t="s">
        <v>2604</v>
      </c>
      <c r="B2060" s="7" t="s">
        <v>2605</v>
      </c>
      <c r="C2060" s="6" t="s">
        <v>248</v>
      </c>
      <c r="D2060" s="8">
        <v>5</v>
      </c>
      <c r="E2060" s="403"/>
      <c r="F2060" s="403">
        <f>BBNTHT!J2100</f>
        <v>0</v>
      </c>
      <c r="G2060" s="403">
        <f t="shared" si="124"/>
        <v>0</v>
      </c>
      <c r="H2060" s="9">
        <v>8258188</v>
      </c>
      <c r="I2060" s="404">
        <f t="shared" si="125"/>
        <v>41290940</v>
      </c>
      <c r="J2060" s="403"/>
      <c r="K2060" s="404">
        <f t="shared" si="126"/>
        <v>0</v>
      </c>
      <c r="L2060" s="405">
        <f t="shared" si="127"/>
        <v>0</v>
      </c>
      <c r="M2060" s="403"/>
    </row>
    <row r="2061" spans="1:13" ht="47.25" x14ac:dyDescent="0.25">
      <c r="A2061" s="6" t="s">
        <v>2606</v>
      </c>
      <c r="B2061" s="7" t="s">
        <v>2607</v>
      </c>
      <c r="C2061" s="6" t="s">
        <v>248</v>
      </c>
      <c r="D2061" s="8">
        <v>3</v>
      </c>
      <c r="E2061" s="403"/>
      <c r="F2061" s="403">
        <f>BBNTHT!J2101</f>
        <v>0</v>
      </c>
      <c r="G2061" s="403">
        <f t="shared" si="124"/>
        <v>0</v>
      </c>
      <c r="H2061" s="9">
        <v>24945424</v>
      </c>
      <c r="I2061" s="404">
        <f t="shared" si="125"/>
        <v>74836272</v>
      </c>
      <c r="J2061" s="403"/>
      <c r="K2061" s="404">
        <f t="shared" si="126"/>
        <v>0</v>
      </c>
      <c r="L2061" s="405">
        <f t="shared" si="127"/>
        <v>0</v>
      </c>
      <c r="M2061" s="403"/>
    </row>
    <row r="2062" spans="1:13" ht="31.5" x14ac:dyDescent="0.25">
      <c r="A2062" s="6" t="s">
        <v>2608</v>
      </c>
      <c r="B2062" s="7" t="s">
        <v>2609</v>
      </c>
      <c r="C2062" s="6" t="s">
        <v>2535</v>
      </c>
      <c r="D2062" s="8">
        <v>600</v>
      </c>
      <c r="E2062" s="403"/>
      <c r="F2062" s="403">
        <f>BBNTHT!J2102</f>
        <v>0</v>
      </c>
      <c r="G2062" s="403">
        <f t="shared" si="124"/>
        <v>0</v>
      </c>
      <c r="H2062" s="9">
        <v>20335</v>
      </c>
      <c r="I2062" s="404">
        <f t="shared" si="125"/>
        <v>12201000</v>
      </c>
      <c r="J2062" s="403"/>
      <c r="K2062" s="404">
        <f t="shared" si="126"/>
        <v>0</v>
      </c>
      <c r="L2062" s="405">
        <f t="shared" si="127"/>
        <v>0</v>
      </c>
      <c r="M2062" s="403"/>
    </row>
    <row r="2063" spans="1:13" ht="31.5" x14ac:dyDescent="0.25">
      <c r="A2063" s="6" t="s">
        <v>2610</v>
      </c>
      <c r="B2063" s="7" t="s">
        <v>2611</v>
      </c>
      <c r="C2063" s="6" t="s">
        <v>2535</v>
      </c>
      <c r="D2063" s="8">
        <v>300</v>
      </c>
      <c r="E2063" s="403"/>
      <c r="F2063" s="403">
        <f>BBNTHT!J2103</f>
        <v>0</v>
      </c>
      <c r="G2063" s="403">
        <f t="shared" si="124"/>
        <v>0</v>
      </c>
      <c r="H2063" s="9">
        <v>12284</v>
      </c>
      <c r="I2063" s="404">
        <f t="shared" si="125"/>
        <v>3685200</v>
      </c>
      <c r="J2063" s="403"/>
      <c r="K2063" s="404">
        <f t="shared" si="126"/>
        <v>0</v>
      </c>
      <c r="L2063" s="405">
        <f t="shared" si="127"/>
        <v>0</v>
      </c>
      <c r="M2063" s="403"/>
    </row>
    <row r="2064" spans="1:13" ht="15.75" x14ac:dyDescent="0.25">
      <c r="A2064" s="6" t="s">
        <v>2612</v>
      </c>
      <c r="B2064" s="7" t="s">
        <v>2613</v>
      </c>
      <c r="C2064" s="6" t="s">
        <v>2535</v>
      </c>
      <c r="D2064" s="8">
        <v>600</v>
      </c>
      <c r="E2064" s="403"/>
      <c r="F2064" s="403">
        <f>BBNTHT!J2104</f>
        <v>0</v>
      </c>
      <c r="G2064" s="403">
        <f t="shared" si="124"/>
        <v>0</v>
      </c>
      <c r="H2064" s="9">
        <v>30810</v>
      </c>
      <c r="I2064" s="404">
        <f t="shared" si="125"/>
        <v>18486000</v>
      </c>
      <c r="J2064" s="403"/>
      <c r="K2064" s="404">
        <f t="shared" si="126"/>
        <v>0</v>
      </c>
      <c r="L2064" s="405">
        <f t="shared" si="127"/>
        <v>0</v>
      </c>
      <c r="M2064" s="403"/>
    </row>
    <row r="2065" spans="1:13" ht="31.5" x14ac:dyDescent="0.25">
      <c r="A2065" s="6" t="s">
        <v>2614</v>
      </c>
      <c r="B2065" s="7" t="s">
        <v>2615</v>
      </c>
      <c r="C2065" s="6" t="s">
        <v>2535</v>
      </c>
      <c r="D2065" s="8">
        <v>600</v>
      </c>
      <c r="E2065" s="403"/>
      <c r="F2065" s="403">
        <f>BBNTHT!J2105</f>
        <v>0</v>
      </c>
      <c r="G2065" s="403">
        <f t="shared" si="124"/>
        <v>0</v>
      </c>
      <c r="H2065" s="9">
        <v>26768</v>
      </c>
      <c r="I2065" s="404">
        <f t="shared" si="125"/>
        <v>16060800</v>
      </c>
      <c r="J2065" s="403"/>
      <c r="K2065" s="404">
        <f t="shared" si="126"/>
        <v>0</v>
      </c>
      <c r="L2065" s="405">
        <f t="shared" si="127"/>
        <v>0</v>
      </c>
      <c r="M2065" s="403"/>
    </row>
    <row r="2066" spans="1:13" ht="15.75" x14ac:dyDescent="0.25">
      <c r="A2066" s="6" t="s">
        <v>2616</v>
      </c>
      <c r="B2066" s="7" t="s">
        <v>2617</v>
      </c>
      <c r="C2066" s="6" t="s">
        <v>2535</v>
      </c>
      <c r="D2066" s="8">
        <v>300</v>
      </c>
      <c r="E2066" s="403"/>
      <c r="F2066" s="403">
        <f>BBNTHT!J2106</f>
        <v>0</v>
      </c>
      <c r="G2066" s="403">
        <f t="shared" ref="G2066:G2129" si="128">F2066+E2066</f>
        <v>0</v>
      </c>
      <c r="H2066" s="9">
        <v>29046</v>
      </c>
      <c r="I2066" s="404">
        <f t="shared" ref="I2066:I2129" si="129">ROUND(D2066*H2066,0)</f>
        <v>8713800</v>
      </c>
      <c r="J2066" s="403"/>
      <c r="K2066" s="404">
        <f t="shared" ref="K2066:K2129" si="130">ROUND(F2066*H2066,0)</f>
        <v>0</v>
      </c>
      <c r="L2066" s="405">
        <f t="shared" ref="L2066:L2129" si="131">J2066+K2066</f>
        <v>0</v>
      </c>
      <c r="M2066" s="403"/>
    </row>
    <row r="2067" spans="1:13" ht="15.75" x14ac:dyDescent="0.25">
      <c r="A2067" s="6" t="s">
        <v>2618</v>
      </c>
      <c r="B2067" s="7" t="s">
        <v>2619</v>
      </c>
      <c r="C2067" s="6" t="s">
        <v>1867</v>
      </c>
      <c r="D2067" s="8">
        <v>36</v>
      </c>
      <c r="E2067" s="403"/>
      <c r="F2067" s="403">
        <f>BBNTHT!J2107</f>
        <v>0</v>
      </c>
      <c r="G2067" s="403">
        <f t="shared" si="128"/>
        <v>0</v>
      </c>
      <c r="H2067" s="9">
        <v>626483</v>
      </c>
      <c r="I2067" s="404">
        <f t="shared" si="129"/>
        <v>22553388</v>
      </c>
      <c r="J2067" s="403"/>
      <c r="K2067" s="404">
        <f t="shared" si="130"/>
        <v>0</v>
      </c>
      <c r="L2067" s="405">
        <f t="shared" si="131"/>
        <v>0</v>
      </c>
      <c r="M2067" s="403"/>
    </row>
    <row r="2068" spans="1:13" ht="15.75" x14ac:dyDescent="0.25">
      <c r="A2068" s="6" t="s">
        <v>2620</v>
      </c>
      <c r="B2068" s="7" t="s">
        <v>2621</v>
      </c>
      <c r="C2068" s="6" t="s">
        <v>1867</v>
      </c>
      <c r="D2068" s="8">
        <v>36</v>
      </c>
      <c r="E2068" s="403"/>
      <c r="F2068" s="403">
        <f>BBNTHT!J2108</f>
        <v>0</v>
      </c>
      <c r="G2068" s="403">
        <f t="shared" si="128"/>
        <v>0</v>
      </c>
      <c r="H2068" s="9">
        <v>284765</v>
      </c>
      <c r="I2068" s="404">
        <f t="shared" si="129"/>
        <v>10251540</v>
      </c>
      <c r="J2068" s="403"/>
      <c r="K2068" s="404">
        <f t="shared" si="130"/>
        <v>0</v>
      </c>
      <c r="L2068" s="405">
        <f t="shared" si="131"/>
        <v>0</v>
      </c>
      <c r="M2068" s="403"/>
    </row>
    <row r="2069" spans="1:13" ht="47.25" x14ac:dyDescent="0.25">
      <c r="A2069" s="6" t="s">
        <v>2622</v>
      </c>
      <c r="B2069" s="7" t="s">
        <v>2623</v>
      </c>
      <c r="C2069" s="6" t="s">
        <v>248</v>
      </c>
      <c r="D2069" s="8">
        <v>2</v>
      </c>
      <c r="E2069" s="403"/>
      <c r="F2069" s="403">
        <f>BBNTHT!J2109</f>
        <v>0</v>
      </c>
      <c r="G2069" s="403">
        <f t="shared" si="128"/>
        <v>0</v>
      </c>
      <c r="H2069" s="9">
        <v>6540485</v>
      </c>
      <c r="I2069" s="404">
        <f t="shared" si="129"/>
        <v>13080970</v>
      </c>
      <c r="J2069" s="403"/>
      <c r="K2069" s="404">
        <f t="shared" si="130"/>
        <v>0</v>
      </c>
      <c r="L2069" s="405">
        <f t="shared" si="131"/>
        <v>0</v>
      </c>
      <c r="M2069" s="403"/>
    </row>
    <row r="2070" spans="1:13" ht="47.25" x14ac:dyDescent="0.25">
      <c r="A2070" s="6" t="s">
        <v>2624</v>
      </c>
      <c r="B2070" s="7" t="s">
        <v>2625</v>
      </c>
      <c r="C2070" s="6" t="s">
        <v>248</v>
      </c>
      <c r="D2070" s="8">
        <v>1</v>
      </c>
      <c r="E2070" s="403"/>
      <c r="F2070" s="403">
        <f>BBNTHT!J2110</f>
        <v>0</v>
      </c>
      <c r="G2070" s="403">
        <f t="shared" si="128"/>
        <v>0</v>
      </c>
      <c r="H2070" s="9">
        <v>17290938</v>
      </c>
      <c r="I2070" s="404">
        <f t="shared" si="129"/>
        <v>17290938</v>
      </c>
      <c r="J2070" s="403"/>
      <c r="K2070" s="404">
        <f t="shared" si="130"/>
        <v>0</v>
      </c>
      <c r="L2070" s="405">
        <f t="shared" si="131"/>
        <v>0</v>
      </c>
      <c r="M2070" s="403"/>
    </row>
    <row r="2071" spans="1:13" ht="31.5" x14ac:dyDescent="0.25">
      <c r="A2071" s="2" t="s">
        <v>2626</v>
      </c>
      <c r="B2071" s="3" t="s">
        <v>2627</v>
      </c>
      <c r="C2071" s="2"/>
      <c r="D2071" s="4"/>
      <c r="E2071" s="403"/>
      <c r="F2071" s="403">
        <f>BBNTHT!J2111</f>
        <v>0</v>
      </c>
      <c r="G2071" s="403">
        <f t="shared" si="128"/>
        <v>0</v>
      </c>
      <c r="H2071" s="5"/>
      <c r="I2071" s="404">
        <f t="shared" si="129"/>
        <v>0</v>
      </c>
      <c r="J2071" s="403"/>
      <c r="K2071" s="404">
        <f t="shared" si="130"/>
        <v>0</v>
      </c>
      <c r="L2071" s="405">
        <f t="shared" si="131"/>
        <v>0</v>
      </c>
      <c r="M2071" s="403"/>
    </row>
    <row r="2072" spans="1:13" ht="94.5" x14ac:dyDescent="0.25">
      <c r="A2072" s="6" t="s">
        <v>2628</v>
      </c>
      <c r="B2072" s="7" t="s">
        <v>2629</v>
      </c>
      <c r="C2072" s="6" t="s">
        <v>2502</v>
      </c>
      <c r="D2072" s="8">
        <v>1</v>
      </c>
      <c r="E2072" s="403"/>
      <c r="F2072" s="403">
        <f>BBNTHT!J2112</f>
        <v>0</v>
      </c>
      <c r="G2072" s="403">
        <f t="shared" si="128"/>
        <v>0</v>
      </c>
      <c r="H2072" s="9">
        <v>39867116</v>
      </c>
      <c r="I2072" s="404">
        <f t="shared" si="129"/>
        <v>39867116</v>
      </c>
      <c r="J2072" s="403"/>
      <c r="K2072" s="404">
        <f t="shared" si="130"/>
        <v>0</v>
      </c>
      <c r="L2072" s="405">
        <f t="shared" si="131"/>
        <v>0</v>
      </c>
      <c r="M2072" s="403"/>
    </row>
    <row r="2073" spans="1:13" ht="94.5" x14ac:dyDescent="0.25">
      <c r="A2073" s="6" t="s">
        <v>2630</v>
      </c>
      <c r="B2073" s="7" t="s">
        <v>2631</v>
      </c>
      <c r="C2073" s="6" t="s">
        <v>2632</v>
      </c>
      <c r="D2073" s="8">
        <v>1</v>
      </c>
      <c r="E2073" s="403"/>
      <c r="F2073" s="403">
        <f>BBNTHT!J2113</f>
        <v>0</v>
      </c>
      <c r="G2073" s="403">
        <f t="shared" si="128"/>
        <v>0</v>
      </c>
      <c r="H2073" s="9">
        <v>34171814</v>
      </c>
      <c r="I2073" s="404">
        <f t="shared" si="129"/>
        <v>34171814</v>
      </c>
      <c r="J2073" s="403"/>
      <c r="K2073" s="404">
        <f t="shared" si="130"/>
        <v>0</v>
      </c>
      <c r="L2073" s="405">
        <f t="shared" si="131"/>
        <v>0</v>
      </c>
      <c r="M2073" s="403"/>
    </row>
    <row r="2074" spans="1:13" ht="110.25" x14ac:dyDescent="0.25">
      <c r="A2074" s="6" t="s">
        <v>2633</v>
      </c>
      <c r="B2074" s="7" t="s">
        <v>2634</v>
      </c>
      <c r="C2074" s="6" t="s">
        <v>2502</v>
      </c>
      <c r="D2074" s="8">
        <v>1</v>
      </c>
      <c r="E2074" s="403"/>
      <c r="F2074" s="403">
        <f>BBNTHT!J2114</f>
        <v>0</v>
      </c>
      <c r="G2074" s="403">
        <f t="shared" si="128"/>
        <v>0</v>
      </c>
      <c r="H2074" s="9">
        <v>39867116</v>
      </c>
      <c r="I2074" s="404">
        <f t="shared" si="129"/>
        <v>39867116</v>
      </c>
      <c r="J2074" s="403"/>
      <c r="K2074" s="404">
        <f t="shared" si="130"/>
        <v>0</v>
      </c>
      <c r="L2074" s="405">
        <f t="shared" si="131"/>
        <v>0</v>
      </c>
      <c r="M2074" s="403"/>
    </row>
    <row r="2075" spans="1:13" ht="110.25" x14ac:dyDescent="0.25">
      <c r="A2075" s="6" t="s">
        <v>2635</v>
      </c>
      <c r="B2075" s="7" t="s">
        <v>2636</v>
      </c>
      <c r="C2075" s="6" t="s">
        <v>2502</v>
      </c>
      <c r="D2075" s="8">
        <v>1</v>
      </c>
      <c r="E2075" s="403"/>
      <c r="F2075" s="403">
        <f>BBNTHT!J2115</f>
        <v>0</v>
      </c>
      <c r="G2075" s="403">
        <f t="shared" si="128"/>
        <v>0</v>
      </c>
      <c r="H2075" s="9">
        <v>28476512</v>
      </c>
      <c r="I2075" s="404">
        <f t="shared" si="129"/>
        <v>28476512</v>
      </c>
      <c r="J2075" s="403"/>
      <c r="K2075" s="404">
        <f t="shared" si="130"/>
        <v>0</v>
      </c>
      <c r="L2075" s="405">
        <f t="shared" si="131"/>
        <v>0</v>
      </c>
      <c r="M2075" s="403"/>
    </row>
    <row r="2076" spans="1:13" ht="63" x14ac:dyDescent="0.25">
      <c r="A2076" s="6" t="s">
        <v>2637</v>
      </c>
      <c r="B2076" s="7" t="s">
        <v>2638</v>
      </c>
      <c r="C2076" s="6" t="s">
        <v>2632</v>
      </c>
      <c r="D2076" s="8">
        <v>1</v>
      </c>
      <c r="E2076" s="403"/>
      <c r="F2076" s="403">
        <f>BBNTHT!J2116</f>
        <v>0</v>
      </c>
      <c r="G2076" s="403">
        <f t="shared" si="128"/>
        <v>0</v>
      </c>
      <c r="H2076" s="9">
        <v>28476512</v>
      </c>
      <c r="I2076" s="404">
        <f t="shared" si="129"/>
        <v>28476512</v>
      </c>
      <c r="J2076" s="403"/>
      <c r="K2076" s="404">
        <f t="shared" si="130"/>
        <v>0</v>
      </c>
      <c r="L2076" s="405">
        <f t="shared" si="131"/>
        <v>0</v>
      </c>
      <c r="M2076" s="403"/>
    </row>
    <row r="2077" spans="1:13" ht="63" x14ac:dyDescent="0.25">
      <c r="A2077" s="2" t="s">
        <v>3489</v>
      </c>
      <c r="B2077" s="3" t="s">
        <v>3490</v>
      </c>
      <c r="C2077" s="2"/>
      <c r="D2077" s="4"/>
      <c r="E2077" s="403"/>
      <c r="F2077" s="403">
        <f>BBNTHT!J2117</f>
        <v>0</v>
      </c>
      <c r="G2077" s="403">
        <f t="shared" si="128"/>
        <v>0</v>
      </c>
      <c r="H2077" s="5"/>
      <c r="I2077" s="404">
        <f t="shared" si="129"/>
        <v>0</v>
      </c>
      <c r="J2077" s="403"/>
      <c r="K2077" s="404">
        <f t="shared" si="130"/>
        <v>0</v>
      </c>
      <c r="L2077" s="405">
        <f t="shared" si="131"/>
        <v>0</v>
      </c>
      <c r="M2077" s="403"/>
    </row>
    <row r="2078" spans="1:13" ht="78.75" x14ac:dyDescent="0.25">
      <c r="A2078" s="2" t="s">
        <v>3491</v>
      </c>
      <c r="B2078" s="3" t="s">
        <v>3492</v>
      </c>
      <c r="C2078" s="2"/>
      <c r="D2078" s="4"/>
      <c r="E2078" s="403"/>
      <c r="F2078" s="403">
        <f>BBNTHT!J2118</f>
        <v>0</v>
      </c>
      <c r="G2078" s="403">
        <f t="shared" si="128"/>
        <v>0</v>
      </c>
      <c r="H2078" s="5"/>
      <c r="I2078" s="404">
        <f t="shared" si="129"/>
        <v>0</v>
      </c>
      <c r="J2078" s="403"/>
      <c r="K2078" s="404">
        <f t="shared" si="130"/>
        <v>0</v>
      </c>
      <c r="L2078" s="405">
        <f t="shared" si="131"/>
        <v>0</v>
      </c>
      <c r="M2078" s="403"/>
    </row>
    <row r="2079" spans="1:13" ht="31.5" x14ac:dyDescent="0.25">
      <c r="A2079" s="6" t="s">
        <v>3493</v>
      </c>
      <c r="B2079" s="7" t="s">
        <v>3494</v>
      </c>
      <c r="C2079" s="6" t="s">
        <v>3495</v>
      </c>
      <c r="D2079" s="8">
        <v>1</v>
      </c>
      <c r="E2079" s="403"/>
      <c r="F2079" s="403">
        <f>BBNTHT!J2119</f>
        <v>1</v>
      </c>
      <c r="G2079" s="403">
        <f t="shared" si="128"/>
        <v>1</v>
      </c>
      <c r="H2079" s="9">
        <v>183387899</v>
      </c>
      <c r="I2079" s="404">
        <f t="shared" si="129"/>
        <v>183387899</v>
      </c>
      <c r="J2079" s="403"/>
      <c r="K2079" s="404">
        <f t="shared" si="130"/>
        <v>183387899</v>
      </c>
      <c r="L2079" s="405">
        <f t="shared" si="131"/>
        <v>183387899</v>
      </c>
      <c r="M2079" s="403"/>
    </row>
    <row r="2080" spans="1:13" ht="31.5" x14ac:dyDescent="0.25">
      <c r="A2080" s="6" t="s">
        <v>3496</v>
      </c>
      <c r="B2080" s="7" t="s">
        <v>3494</v>
      </c>
      <c r="C2080" s="6" t="s">
        <v>3495</v>
      </c>
      <c r="D2080" s="8">
        <v>1</v>
      </c>
      <c r="E2080" s="403"/>
      <c r="F2080" s="403">
        <f>BBNTHT!J2120</f>
        <v>1</v>
      </c>
      <c r="G2080" s="403">
        <f t="shared" si="128"/>
        <v>1</v>
      </c>
      <c r="H2080" s="9">
        <v>183387899</v>
      </c>
      <c r="I2080" s="404">
        <f t="shared" si="129"/>
        <v>183387899</v>
      </c>
      <c r="J2080" s="403"/>
      <c r="K2080" s="404">
        <f t="shared" si="130"/>
        <v>183387899</v>
      </c>
      <c r="L2080" s="405">
        <f t="shared" si="131"/>
        <v>183387899</v>
      </c>
      <c r="M2080" s="403"/>
    </row>
    <row r="2081" spans="1:13" ht="31.5" x14ac:dyDescent="0.25">
      <c r="A2081" s="6" t="s">
        <v>3497</v>
      </c>
      <c r="B2081" s="7" t="s">
        <v>3494</v>
      </c>
      <c r="C2081" s="6" t="s">
        <v>3495</v>
      </c>
      <c r="D2081" s="8">
        <v>1</v>
      </c>
      <c r="E2081" s="403"/>
      <c r="F2081" s="403">
        <f>BBNTHT!J2121</f>
        <v>1</v>
      </c>
      <c r="G2081" s="403">
        <f t="shared" si="128"/>
        <v>1</v>
      </c>
      <c r="H2081" s="9">
        <v>183387899</v>
      </c>
      <c r="I2081" s="404">
        <f t="shared" si="129"/>
        <v>183387899</v>
      </c>
      <c r="J2081" s="403"/>
      <c r="K2081" s="404">
        <f t="shared" si="130"/>
        <v>183387899</v>
      </c>
      <c r="L2081" s="405">
        <f t="shared" si="131"/>
        <v>183387899</v>
      </c>
      <c r="M2081" s="403"/>
    </row>
    <row r="2082" spans="1:13" ht="31.5" x14ac:dyDescent="0.25">
      <c r="A2082" s="6" t="s">
        <v>3498</v>
      </c>
      <c r="B2082" s="7" t="s">
        <v>3499</v>
      </c>
      <c r="C2082" s="6" t="s">
        <v>248</v>
      </c>
      <c r="D2082" s="8">
        <v>1</v>
      </c>
      <c r="E2082" s="403"/>
      <c r="F2082" s="403">
        <f>BBNTHT!J2122</f>
        <v>1</v>
      </c>
      <c r="G2082" s="403">
        <f t="shared" si="128"/>
        <v>1</v>
      </c>
      <c r="H2082" s="9">
        <v>4621718</v>
      </c>
      <c r="I2082" s="404">
        <f t="shared" si="129"/>
        <v>4621718</v>
      </c>
      <c r="J2082" s="403"/>
      <c r="K2082" s="404">
        <f t="shared" si="130"/>
        <v>4621718</v>
      </c>
      <c r="L2082" s="405">
        <f t="shared" si="131"/>
        <v>4621718</v>
      </c>
      <c r="M2082" s="403"/>
    </row>
    <row r="2083" spans="1:13" ht="78.75" x14ac:dyDescent="0.25">
      <c r="A2083" s="2" t="s">
        <v>3500</v>
      </c>
      <c r="B2083" s="3" t="s">
        <v>3501</v>
      </c>
      <c r="C2083" s="2"/>
      <c r="D2083" s="4"/>
      <c r="E2083" s="403"/>
      <c r="F2083" s="403">
        <f>BBNTHT!J2123</f>
        <v>0</v>
      </c>
      <c r="G2083" s="403">
        <f t="shared" si="128"/>
        <v>0</v>
      </c>
      <c r="H2083" s="5"/>
      <c r="I2083" s="404">
        <f t="shared" si="129"/>
        <v>0</v>
      </c>
      <c r="J2083" s="403"/>
      <c r="K2083" s="404">
        <f t="shared" si="130"/>
        <v>0</v>
      </c>
      <c r="L2083" s="405">
        <f t="shared" si="131"/>
        <v>0</v>
      </c>
      <c r="M2083" s="403"/>
    </row>
    <row r="2084" spans="1:13" ht="31.5" x14ac:dyDescent="0.25">
      <c r="A2084" s="6" t="s">
        <v>3502</v>
      </c>
      <c r="B2084" s="7" t="s">
        <v>3503</v>
      </c>
      <c r="C2084" s="6" t="s">
        <v>3495</v>
      </c>
      <c r="D2084" s="8">
        <v>2</v>
      </c>
      <c r="E2084" s="403"/>
      <c r="F2084" s="403">
        <f>BBNTHT!J2124</f>
        <v>2</v>
      </c>
      <c r="G2084" s="403">
        <f t="shared" si="128"/>
        <v>2</v>
      </c>
      <c r="H2084" s="9">
        <v>165496397</v>
      </c>
      <c r="I2084" s="404">
        <f t="shared" si="129"/>
        <v>330992794</v>
      </c>
      <c r="J2084" s="403"/>
      <c r="K2084" s="404">
        <f t="shared" si="130"/>
        <v>330992794</v>
      </c>
      <c r="L2084" s="405">
        <f t="shared" si="131"/>
        <v>330992794</v>
      </c>
      <c r="M2084" s="403"/>
    </row>
    <row r="2085" spans="1:13" ht="31.5" x14ac:dyDescent="0.25">
      <c r="A2085" s="6" t="s">
        <v>3504</v>
      </c>
      <c r="B2085" s="7" t="s">
        <v>3505</v>
      </c>
      <c r="C2085" s="6" t="s">
        <v>3495</v>
      </c>
      <c r="D2085" s="8">
        <v>2</v>
      </c>
      <c r="E2085" s="403"/>
      <c r="F2085" s="403">
        <f>BBNTHT!J2125</f>
        <v>2</v>
      </c>
      <c r="G2085" s="403">
        <f t="shared" si="128"/>
        <v>2</v>
      </c>
      <c r="H2085" s="9">
        <v>183387899</v>
      </c>
      <c r="I2085" s="404">
        <f t="shared" si="129"/>
        <v>366775798</v>
      </c>
      <c r="J2085" s="403"/>
      <c r="K2085" s="404">
        <f t="shared" si="130"/>
        <v>366775798</v>
      </c>
      <c r="L2085" s="405">
        <f t="shared" si="131"/>
        <v>366775798</v>
      </c>
      <c r="M2085" s="403"/>
    </row>
    <row r="2086" spans="1:13" ht="31.5" x14ac:dyDescent="0.25">
      <c r="A2086" s="6" t="s">
        <v>3506</v>
      </c>
      <c r="B2086" s="7" t="s">
        <v>3505</v>
      </c>
      <c r="C2086" s="6" t="s">
        <v>3495</v>
      </c>
      <c r="D2086" s="8">
        <v>2</v>
      </c>
      <c r="E2086" s="403"/>
      <c r="F2086" s="403">
        <f>BBNTHT!J2126</f>
        <v>2</v>
      </c>
      <c r="G2086" s="403">
        <f t="shared" si="128"/>
        <v>2</v>
      </c>
      <c r="H2086" s="9">
        <v>183387899</v>
      </c>
      <c r="I2086" s="404">
        <f t="shared" si="129"/>
        <v>366775798</v>
      </c>
      <c r="J2086" s="403"/>
      <c r="K2086" s="404">
        <f t="shared" si="130"/>
        <v>366775798</v>
      </c>
      <c r="L2086" s="405">
        <f t="shared" si="131"/>
        <v>366775798</v>
      </c>
      <c r="M2086" s="403"/>
    </row>
    <row r="2087" spans="1:13" ht="31.5" x14ac:dyDescent="0.25">
      <c r="A2087" s="6" t="s">
        <v>3507</v>
      </c>
      <c r="B2087" s="7" t="s">
        <v>3508</v>
      </c>
      <c r="C2087" s="6" t="s">
        <v>248</v>
      </c>
      <c r="D2087" s="8">
        <v>2</v>
      </c>
      <c r="E2087" s="403"/>
      <c r="F2087" s="403">
        <f>BBNTHT!J2127</f>
        <v>2</v>
      </c>
      <c r="G2087" s="403">
        <f t="shared" si="128"/>
        <v>2</v>
      </c>
      <c r="H2087" s="9">
        <v>4621718</v>
      </c>
      <c r="I2087" s="404">
        <f t="shared" si="129"/>
        <v>9243436</v>
      </c>
      <c r="J2087" s="403"/>
      <c r="K2087" s="404">
        <f t="shared" si="130"/>
        <v>9243436</v>
      </c>
      <c r="L2087" s="405">
        <f t="shared" si="131"/>
        <v>9243436</v>
      </c>
      <c r="M2087" s="403"/>
    </row>
    <row r="2088" spans="1:13" ht="78.75" x14ac:dyDescent="0.25">
      <c r="A2088" s="2" t="s">
        <v>3509</v>
      </c>
      <c r="B2088" s="3" t="s">
        <v>3510</v>
      </c>
      <c r="C2088" s="2"/>
      <c r="D2088" s="4"/>
      <c r="E2088" s="403"/>
      <c r="F2088" s="403">
        <f>BBNTHT!J2128</f>
        <v>0</v>
      </c>
      <c r="G2088" s="403">
        <f t="shared" si="128"/>
        <v>0</v>
      </c>
      <c r="H2088" s="5"/>
      <c r="I2088" s="404">
        <f t="shared" si="129"/>
        <v>0</v>
      </c>
      <c r="J2088" s="403"/>
      <c r="K2088" s="404">
        <f t="shared" si="130"/>
        <v>0</v>
      </c>
      <c r="L2088" s="405">
        <f t="shared" si="131"/>
        <v>0</v>
      </c>
      <c r="M2088" s="403"/>
    </row>
    <row r="2089" spans="1:13" ht="31.5" x14ac:dyDescent="0.25">
      <c r="A2089" s="6" t="s">
        <v>3511</v>
      </c>
      <c r="B2089" s="7" t="s">
        <v>3503</v>
      </c>
      <c r="C2089" s="6" t="s">
        <v>3495</v>
      </c>
      <c r="D2089" s="8">
        <v>1</v>
      </c>
      <c r="E2089" s="403"/>
      <c r="F2089" s="403">
        <f>BBNTHT!J2129</f>
        <v>1</v>
      </c>
      <c r="G2089" s="403">
        <f t="shared" si="128"/>
        <v>1</v>
      </c>
      <c r="H2089" s="9">
        <v>165496397</v>
      </c>
      <c r="I2089" s="404">
        <f t="shared" si="129"/>
        <v>165496397</v>
      </c>
      <c r="J2089" s="403"/>
      <c r="K2089" s="404">
        <f t="shared" si="130"/>
        <v>165496397</v>
      </c>
      <c r="L2089" s="405">
        <f t="shared" si="131"/>
        <v>165496397</v>
      </c>
      <c r="M2089" s="403"/>
    </row>
    <row r="2090" spans="1:13" ht="31.5" x14ac:dyDescent="0.25">
      <c r="A2090" s="6" t="s">
        <v>3512</v>
      </c>
      <c r="B2090" s="7" t="s">
        <v>3503</v>
      </c>
      <c r="C2090" s="6" t="s">
        <v>3495</v>
      </c>
      <c r="D2090" s="8">
        <v>1</v>
      </c>
      <c r="E2090" s="403"/>
      <c r="F2090" s="403">
        <f>BBNTHT!J2130</f>
        <v>1</v>
      </c>
      <c r="G2090" s="403">
        <f t="shared" si="128"/>
        <v>1</v>
      </c>
      <c r="H2090" s="9">
        <v>165496397</v>
      </c>
      <c r="I2090" s="404">
        <f t="shared" si="129"/>
        <v>165496397</v>
      </c>
      <c r="J2090" s="403"/>
      <c r="K2090" s="404">
        <f t="shared" si="130"/>
        <v>165496397</v>
      </c>
      <c r="L2090" s="405">
        <f t="shared" si="131"/>
        <v>165496397</v>
      </c>
      <c r="M2090" s="403"/>
    </row>
    <row r="2091" spans="1:13" ht="31.5" x14ac:dyDescent="0.25">
      <c r="A2091" s="6" t="s">
        <v>3513</v>
      </c>
      <c r="B2091" s="7" t="s">
        <v>3494</v>
      </c>
      <c r="C2091" s="6" t="s">
        <v>3495</v>
      </c>
      <c r="D2091" s="8">
        <v>1</v>
      </c>
      <c r="E2091" s="403"/>
      <c r="F2091" s="403">
        <f>BBNTHT!J2131</f>
        <v>1</v>
      </c>
      <c r="G2091" s="403">
        <f t="shared" si="128"/>
        <v>1</v>
      </c>
      <c r="H2091" s="9">
        <v>183387899</v>
      </c>
      <c r="I2091" s="404">
        <f t="shared" si="129"/>
        <v>183387899</v>
      </c>
      <c r="J2091" s="403"/>
      <c r="K2091" s="404">
        <f t="shared" si="130"/>
        <v>183387899</v>
      </c>
      <c r="L2091" s="405">
        <f t="shared" si="131"/>
        <v>183387899</v>
      </c>
      <c r="M2091" s="403"/>
    </row>
    <row r="2092" spans="1:13" ht="31.5" x14ac:dyDescent="0.25">
      <c r="A2092" s="6" t="s">
        <v>3514</v>
      </c>
      <c r="B2092" s="7" t="s">
        <v>3508</v>
      </c>
      <c r="C2092" s="6" t="s">
        <v>248</v>
      </c>
      <c r="D2092" s="8">
        <v>1</v>
      </c>
      <c r="E2092" s="403"/>
      <c r="F2092" s="403">
        <f>BBNTHT!J2132</f>
        <v>1</v>
      </c>
      <c r="G2092" s="403">
        <f t="shared" si="128"/>
        <v>1</v>
      </c>
      <c r="H2092" s="9">
        <v>4621718</v>
      </c>
      <c r="I2092" s="404">
        <f t="shared" si="129"/>
        <v>4621718</v>
      </c>
      <c r="J2092" s="403"/>
      <c r="K2092" s="404">
        <f t="shared" si="130"/>
        <v>4621718</v>
      </c>
      <c r="L2092" s="405">
        <f t="shared" si="131"/>
        <v>4621718</v>
      </c>
      <c r="M2092" s="403"/>
    </row>
    <row r="2093" spans="1:13" ht="78.75" x14ac:dyDescent="0.25">
      <c r="A2093" s="2" t="s">
        <v>3515</v>
      </c>
      <c r="B2093" s="3" t="s">
        <v>3516</v>
      </c>
      <c r="C2093" s="2"/>
      <c r="D2093" s="4"/>
      <c r="E2093" s="403"/>
      <c r="F2093" s="403">
        <f>BBNTHT!J2133</f>
        <v>0</v>
      </c>
      <c r="G2093" s="403">
        <f t="shared" si="128"/>
        <v>0</v>
      </c>
      <c r="H2093" s="5"/>
      <c r="I2093" s="404">
        <f t="shared" si="129"/>
        <v>0</v>
      </c>
      <c r="J2093" s="403"/>
      <c r="K2093" s="404">
        <f t="shared" si="130"/>
        <v>0</v>
      </c>
      <c r="L2093" s="405">
        <f t="shared" si="131"/>
        <v>0</v>
      </c>
      <c r="M2093" s="403"/>
    </row>
    <row r="2094" spans="1:13" ht="31.5" x14ac:dyDescent="0.25">
      <c r="A2094" s="6" t="s">
        <v>3517</v>
      </c>
      <c r="B2094" s="7" t="s">
        <v>3518</v>
      </c>
      <c r="C2094" s="6" t="s">
        <v>3495</v>
      </c>
      <c r="D2094" s="8">
        <v>1</v>
      </c>
      <c r="E2094" s="403"/>
      <c r="F2094" s="403">
        <f>BBNTHT!J2134</f>
        <v>1</v>
      </c>
      <c r="G2094" s="403">
        <f t="shared" si="128"/>
        <v>1</v>
      </c>
      <c r="H2094" s="9">
        <v>153568729</v>
      </c>
      <c r="I2094" s="404">
        <f t="shared" si="129"/>
        <v>153568729</v>
      </c>
      <c r="J2094" s="403"/>
      <c r="K2094" s="404">
        <f t="shared" si="130"/>
        <v>153568729</v>
      </c>
      <c r="L2094" s="405">
        <f t="shared" si="131"/>
        <v>153568729</v>
      </c>
      <c r="M2094" s="403"/>
    </row>
    <row r="2095" spans="1:13" ht="31.5" x14ac:dyDescent="0.25">
      <c r="A2095" s="6" t="s">
        <v>3519</v>
      </c>
      <c r="B2095" s="7" t="s">
        <v>3503</v>
      </c>
      <c r="C2095" s="6" t="s">
        <v>3495</v>
      </c>
      <c r="D2095" s="8">
        <v>1</v>
      </c>
      <c r="E2095" s="403"/>
      <c r="F2095" s="403">
        <f>BBNTHT!J2135</f>
        <v>1</v>
      </c>
      <c r="G2095" s="403">
        <f t="shared" si="128"/>
        <v>1</v>
      </c>
      <c r="H2095" s="9">
        <v>165496397</v>
      </c>
      <c r="I2095" s="404">
        <f t="shared" si="129"/>
        <v>165496397</v>
      </c>
      <c r="J2095" s="403"/>
      <c r="K2095" s="404">
        <f t="shared" si="130"/>
        <v>165496397</v>
      </c>
      <c r="L2095" s="405">
        <f t="shared" si="131"/>
        <v>165496397</v>
      </c>
      <c r="M2095" s="403"/>
    </row>
    <row r="2096" spans="1:13" ht="31.5" x14ac:dyDescent="0.25">
      <c r="A2096" s="6" t="s">
        <v>3520</v>
      </c>
      <c r="B2096" s="7" t="s">
        <v>3503</v>
      </c>
      <c r="C2096" s="6" t="s">
        <v>3495</v>
      </c>
      <c r="D2096" s="8">
        <v>1</v>
      </c>
      <c r="E2096" s="403"/>
      <c r="F2096" s="403">
        <f>BBNTHT!J2136</f>
        <v>1</v>
      </c>
      <c r="G2096" s="403">
        <f t="shared" si="128"/>
        <v>1</v>
      </c>
      <c r="H2096" s="9">
        <v>165496397</v>
      </c>
      <c r="I2096" s="404">
        <f t="shared" si="129"/>
        <v>165496397</v>
      </c>
      <c r="J2096" s="403"/>
      <c r="K2096" s="404">
        <f t="shared" si="130"/>
        <v>165496397</v>
      </c>
      <c r="L2096" s="405">
        <f t="shared" si="131"/>
        <v>165496397</v>
      </c>
      <c r="M2096" s="403"/>
    </row>
    <row r="2097" spans="1:13" ht="31.5" x14ac:dyDescent="0.25">
      <c r="A2097" s="6" t="s">
        <v>3521</v>
      </c>
      <c r="B2097" s="7" t="s">
        <v>3508</v>
      </c>
      <c r="C2097" s="6" t="s">
        <v>248</v>
      </c>
      <c r="D2097" s="8">
        <v>1</v>
      </c>
      <c r="E2097" s="403"/>
      <c r="F2097" s="403">
        <f>BBNTHT!J2137</f>
        <v>1</v>
      </c>
      <c r="G2097" s="403">
        <f t="shared" si="128"/>
        <v>1</v>
      </c>
      <c r="H2097" s="9">
        <v>4621718</v>
      </c>
      <c r="I2097" s="404">
        <f t="shared" si="129"/>
        <v>4621718</v>
      </c>
      <c r="J2097" s="403"/>
      <c r="K2097" s="404">
        <f t="shared" si="130"/>
        <v>4621718</v>
      </c>
      <c r="L2097" s="405">
        <f t="shared" si="131"/>
        <v>4621718</v>
      </c>
      <c r="M2097" s="403"/>
    </row>
    <row r="2098" spans="1:13" ht="78.75" x14ac:dyDescent="0.25">
      <c r="A2098" s="2" t="s">
        <v>3522</v>
      </c>
      <c r="B2098" s="3" t="s">
        <v>3523</v>
      </c>
      <c r="C2098" s="2"/>
      <c r="D2098" s="4"/>
      <c r="E2098" s="403"/>
      <c r="F2098" s="403">
        <f>BBNTHT!J2138</f>
        <v>0</v>
      </c>
      <c r="G2098" s="403">
        <f t="shared" si="128"/>
        <v>0</v>
      </c>
      <c r="H2098" s="5"/>
      <c r="I2098" s="404">
        <f t="shared" si="129"/>
        <v>0</v>
      </c>
      <c r="J2098" s="403"/>
      <c r="K2098" s="404">
        <f t="shared" si="130"/>
        <v>0</v>
      </c>
      <c r="L2098" s="405">
        <f t="shared" si="131"/>
        <v>0</v>
      </c>
      <c r="M2098" s="403"/>
    </row>
    <row r="2099" spans="1:13" ht="31.5" x14ac:dyDescent="0.25">
      <c r="A2099" s="6" t="s">
        <v>3524</v>
      </c>
      <c r="B2099" s="7" t="s">
        <v>3525</v>
      </c>
      <c r="C2099" s="6" t="s">
        <v>3495</v>
      </c>
      <c r="D2099" s="8">
        <v>2</v>
      </c>
      <c r="E2099" s="403"/>
      <c r="F2099" s="403">
        <f>BBNTHT!J2139</f>
        <v>2</v>
      </c>
      <c r="G2099" s="403">
        <f t="shared" si="128"/>
        <v>2</v>
      </c>
      <c r="H2099" s="9">
        <v>134931747</v>
      </c>
      <c r="I2099" s="404">
        <f t="shared" si="129"/>
        <v>269863494</v>
      </c>
      <c r="J2099" s="403"/>
      <c r="K2099" s="404">
        <f t="shared" si="130"/>
        <v>269863494</v>
      </c>
      <c r="L2099" s="405">
        <f t="shared" si="131"/>
        <v>269863494</v>
      </c>
      <c r="M2099" s="403"/>
    </row>
    <row r="2100" spans="1:13" ht="31.5" x14ac:dyDescent="0.25">
      <c r="A2100" s="6" t="s">
        <v>3526</v>
      </c>
      <c r="B2100" s="7" t="s">
        <v>3518</v>
      </c>
      <c r="C2100" s="6" t="s">
        <v>3495</v>
      </c>
      <c r="D2100" s="8">
        <v>2</v>
      </c>
      <c r="E2100" s="403"/>
      <c r="F2100" s="403">
        <f>BBNTHT!J2140</f>
        <v>2</v>
      </c>
      <c r="G2100" s="403">
        <f t="shared" si="128"/>
        <v>2</v>
      </c>
      <c r="H2100" s="9">
        <v>153568729</v>
      </c>
      <c r="I2100" s="404">
        <f t="shared" si="129"/>
        <v>307137458</v>
      </c>
      <c r="J2100" s="403"/>
      <c r="K2100" s="404">
        <f t="shared" si="130"/>
        <v>307137458</v>
      </c>
      <c r="L2100" s="405">
        <f t="shared" si="131"/>
        <v>307137458</v>
      </c>
      <c r="M2100" s="403"/>
    </row>
    <row r="2101" spans="1:13" ht="31.5" x14ac:dyDescent="0.25">
      <c r="A2101" s="6" t="s">
        <v>3527</v>
      </c>
      <c r="B2101" s="7" t="s">
        <v>3503</v>
      </c>
      <c r="C2101" s="6" t="s">
        <v>3495</v>
      </c>
      <c r="D2101" s="8">
        <v>2</v>
      </c>
      <c r="E2101" s="403"/>
      <c r="F2101" s="403">
        <f>BBNTHT!J2141</f>
        <v>2</v>
      </c>
      <c r="G2101" s="403">
        <f t="shared" si="128"/>
        <v>2</v>
      </c>
      <c r="H2101" s="9">
        <v>165496397</v>
      </c>
      <c r="I2101" s="404">
        <f t="shared" si="129"/>
        <v>330992794</v>
      </c>
      <c r="J2101" s="403"/>
      <c r="K2101" s="404">
        <f t="shared" si="130"/>
        <v>330992794</v>
      </c>
      <c r="L2101" s="405">
        <f t="shared" si="131"/>
        <v>330992794</v>
      </c>
      <c r="M2101" s="403"/>
    </row>
    <row r="2102" spans="1:13" ht="31.5" x14ac:dyDescent="0.25">
      <c r="A2102" s="6" t="s">
        <v>3528</v>
      </c>
      <c r="B2102" s="7" t="s">
        <v>3508</v>
      </c>
      <c r="C2102" s="6" t="s">
        <v>248</v>
      </c>
      <c r="D2102" s="8">
        <v>2</v>
      </c>
      <c r="E2102" s="403"/>
      <c r="F2102" s="403">
        <f>BBNTHT!J2142</f>
        <v>2</v>
      </c>
      <c r="G2102" s="403">
        <f t="shared" si="128"/>
        <v>2</v>
      </c>
      <c r="H2102" s="9">
        <v>4621718</v>
      </c>
      <c r="I2102" s="404">
        <f t="shared" si="129"/>
        <v>9243436</v>
      </c>
      <c r="J2102" s="403"/>
      <c r="K2102" s="404">
        <f t="shared" si="130"/>
        <v>9243436</v>
      </c>
      <c r="L2102" s="405">
        <f t="shared" si="131"/>
        <v>9243436</v>
      </c>
      <c r="M2102" s="403"/>
    </row>
    <row r="2103" spans="1:13" ht="63" x14ac:dyDescent="0.25">
      <c r="A2103" s="2" t="s">
        <v>3529</v>
      </c>
      <c r="B2103" s="3" t="s">
        <v>3530</v>
      </c>
      <c r="C2103" s="2"/>
      <c r="D2103" s="4"/>
      <c r="E2103" s="403"/>
      <c r="F2103" s="403">
        <f>BBNTHT!J2143</f>
        <v>0</v>
      </c>
      <c r="G2103" s="403">
        <f t="shared" si="128"/>
        <v>0</v>
      </c>
      <c r="H2103" s="5"/>
      <c r="I2103" s="404">
        <f t="shared" si="129"/>
        <v>0</v>
      </c>
      <c r="J2103" s="403"/>
      <c r="K2103" s="404">
        <f t="shared" si="130"/>
        <v>0</v>
      </c>
      <c r="L2103" s="405">
        <f t="shared" si="131"/>
        <v>0</v>
      </c>
      <c r="M2103" s="403"/>
    </row>
    <row r="2104" spans="1:13" ht="31.5" x14ac:dyDescent="0.25">
      <c r="A2104" s="6" t="s">
        <v>3531</v>
      </c>
      <c r="B2104" s="7" t="s">
        <v>3532</v>
      </c>
      <c r="C2104" s="6" t="s">
        <v>3495</v>
      </c>
      <c r="D2104" s="8">
        <v>1</v>
      </c>
      <c r="E2104" s="403"/>
      <c r="F2104" s="403">
        <f>BBNTHT!J2144</f>
        <v>1</v>
      </c>
      <c r="G2104" s="403">
        <f t="shared" si="128"/>
        <v>1</v>
      </c>
      <c r="H2104" s="9">
        <v>116294765</v>
      </c>
      <c r="I2104" s="404">
        <f t="shared" si="129"/>
        <v>116294765</v>
      </c>
      <c r="J2104" s="403"/>
      <c r="K2104" s="404">
        <f t="shared" si="130"/>
        <v>116294765</v>
      </c>
      <c r="L2104" s="405">
        <f t="shared" si="131"/>
        <v>116294765</v>
      </c>
      <c r="M2104" s="403"/>
    </row>
    <row r="2105" spans="1:13" ht="31.5" x14ac:dyDescent="0.25">
      <c r="A2105" s="6" t="s">
        <v>3533</v>
      </c>
      <c r="B2105" s="7" t="s">
        <v>3532</v>
      </c>
      <c r="C2105" s="6" t="s">
        <v>3495</v>
      </c>
      <c r="D2105" s="8">
        <v>1</v>
      </c>
      <c r="E2105" s="403"/>
      <c r="F2105" s="403">
        <f>BBNTHT!J2145</f>
        <v>1</v>
      </c>
      <c r="G2105" s="403">
        <f t="shared" si="128"/>
        <v>1</v>
      </c>
      <c r="H2105" s="9">
        <v>116294765</v>
      </c>
      <c r="I2105" s="404">
        <f t="shared" si="129"/>
        <v>116294765</v>
      </c>
      <c r="J2105" s="403"/>
      <c r="K2105" s="404">
        <f t="shared" si="130"/>
        <v>116294765</v>
      </c>
      <c r="L2105" s="405">
        <f t="shared" si="131"/>
        <v>116294765</v>
      </c>
      <c r="M2105" s="403"/>
    </row>
    <row r="2106" spans="1:13" ht="31.5" x14ac:dyDescent="0.25">
      <c r="A2106" s="6" t="s">
        <v>3534</v>
      </c>
      <c r="B2106" s="7" t="s">
        <v>3503</v>
      </c>
      <c r="C2106" s="6" t="s">
        <v>3495</v>
      </c>
      <c r="D2106" s="8">
        <v>1</v>
      </c>
      <c r="E2106" s="403"/>
      <c r="F2106" s="403">
        <f>BBNTHT!J2146</f>
        <v>1</v>
      </c>
      <c r="G2106" s="403">
        <f t="shared" si="128"/>
        <v>1</v>
      </c>
      <c r="H2106" s="9">
        <v>165496397</v>
      </c>
      <c r="I2106" s="404">
        <f t="shared" si="129"/>
        <v>165496397</v>
      </c>
      <c r="J2106" s="403"/>
      <c r="K2106" s="404">
        <f t="shared" si="130"/>
        <v>165496397</v>
      </c>
      <c r="L2106" s="405">
        <f t="shared" si="131"/>
        <v>165496397</v>
      </c>
      <c r="M2106" s="403"/>
    </row>
    <row r="2107" spans="1:13" ht="31.5" x14ac:dyDescent="0.25">
      <c r="A2107" s="6" t="s">
        <v>3535</v>
      </c>
      <c r="B2107" s="7" t="s">
        <v>3508</v>
      </c>
      <c r="C2107" s="6" t="s">
        <v>248</v>
      </c>
      <c r="D2107" s="8">
        <v>1</v>
      </c>
      <c r="E2107" s="403"/>
      <c r="F2107" s="403">
        <f>BBNTHT!J2147</f>
        <v>1</v>
      </c>
      <c r="G2107" s="403">
        <f t="shared" si="128"/>
        <v>1</v>
      </c>
      <c r="H2107" s="9">
        <v>4621718</v>
      </c>
      <c r="I2107" s="404">
        <f t="shared" si="129"/>
        <v>4621718</v>
      </c>
      <c r="J2107" s="403"/>
      <c r="K2107" s="404">
        <f t="shared" si="130"/>
        <v>4621718</v>
      </c>
      <c r="L2107" s="405">
        <f t="shared" si="131"/>
        <v>4621718</v>
      </c>
      <c r="M2107" s="403"/>
    </row>
    <row r="2108" spans="1:13" ht="78.75" x14ac:dyDescent="0.25">
      <c r="A2108" s="2" t="s">
        <v>3536</v>
      </c>
      <c r="B2108" s="3" t="s">
        <v>3537</v>
      </c>
      <c r="C2108" s="2"/>
      <c r="D2108" s="4"/>
      <c r="E2108" s="403"/>
      <c r="F2108" s="403">
        <f>BBNTHT!J2148</f>
        <v>0</v>
      </c>
      <c r="G2108" s="403">
        <f t="shared" si="128"/>
        <v>0</v>
      </c>
      <c r="H2108" s="5"/>
      <c r="I2108" s="404">
        <f t="shared" si="129"/>
        <v>0</v>
      </c>
      <c r="J2108" s="403"/>
      <c r="K2108" s="404">
        <f t="shared" si="130"/>
        <v>0</v>
      </c>
      <c r="L2108" s="405">
        <f t="shared" si="131"/>
        <v>0</v>
      </c>
      <c r="M2108" s="403"/>
    </row>
    <row r="2109" spans="1:13" ht="15.75" x14ac:dyDescent="0.25">
      <c r="A2109" s="6" t="s">
        <v>3538</v>
      </c>
      <c r="B2109" s="7" t="s">
        <v>3539</v>
      </c>
      <c r="C2109" s="6" t="s">
        <v>3495</v>
      </c>
      <c r="D2109" s="8">
        <v>4</v>
      </c>
      <c r="E2109" s="403"/>
      <c r="F2109" s="403">
        <f>BBNTHT!J2149</f>
        <v>4</v>
      </c>
      <c r="G2109" s="403">
        <f t="shared" si="128"/>
        <v>4</v>
      </c>
      <c r="H2109" s="9">
        <v>153568729</v>
      </c>
      <c r="I2109" s="404">
        <f t="shared" si="129"/>
        <v>614274916</v>
      </c>
      <c r="J2109" s="403"/>
      <c r="K2109" s="404">
        <f t="shared" si="130"/>
        <v>614274916</v>
      </c>
      <c r="L2109" s="405">
        <f t="shared" si="131"/>
        <v>614274916</v>
      </c>
      <c r="M2109" s="403"/>
    </row>
    <row r="2110" spans="1:13" ht="15.75" x14ac:dyDescent="0.25">
      <c r="A2110" s="6" t="s">
        <v>3540</v>
      </c>
      <c r="B2110" s="7" t="s">
        <v>3541</v>
      </c>
      <c r="C2110" s="6" t="s">
        <v>3495</v>
      </c>
      <c r="D2110" s="8">
        <v>4</v>
      </c>
      <c r="E2110" s="403"/>
      <c r="F2110" s="403">
        <f>BBNTHT!J2150</f>
        <v>4</v>
      </c>
      <c r="G2110" s="403">
        <f t="shared" si="128"/>
        <v>4</v>
      </c>
      <c r="H2110" s="9">
        <v>165496397</v>
      </c>
      <c r="I2110" s="404">
        <f t="shared" si="129"/>
        <v>661985588</v>
      </c>
      <c r="J2110" s="403"/>
      <c r="K2110" s="404">
        <f t="shared" si="130"/>
        <v>661985588</v>
      </c>
      <c r="L2110" s="405">
        <f t="shared" si="131"/>
        <v>661985588</v>
      </c>
      <c r="M2110" s="403"/>
    </row>
    <row r="2111" spans="1:13" ht="31.5" x14ac:dyDescent="0.25">
      <c r="A2111" s="6" t="s">
        <v>3542</v>
      </c>
      <c r="B2111" s="7" t="s">
        <v>3543</v>
      </c>
      <c r="C2111" s="6" t="s">
        <v>248</v>
      </c>
      <c r="D2111" s="8">
        <v>4</v>
      </c>
      <c r="E2111" s="403"/>
      <c r="F2111" s="403">
        <f>BBNTHT!J2151</f>
        <v>4</v>
      </c>
      <c r="G2111" s="403">
        <f t="shared" si="128"/>
        <v>4</v>
      </c>
      <c r="H2111" s="9">
        <v>2385280</v>
      </c>
      <c r="I2111" s="404">
        <f t="shared" si="129"/>
        <v>9541120</v>
      </c>
      <c r="J2111" s="403"/>
      <c r="K2111" s="404">
        <f t="shared" si="130"/>
        <v>9541120</v>
      </c>
      <c r="L2111" s="405">
        <f t="shared" si="131"/>
        <v>9541120</v>
      </c>
      <c r="M2111" s="403"/>
    </row>
    <row r="2112" spans="1:13" ht="63" x14ac:dyDescent="0.25">
      <c r="A2112" s="2" t="s">
        <v>3544</v>
      </c>
      <c r="B2112" s="3" t="s">
        <v>3545</v>
      </c>
      <c r="C2112" s="2"/>
      <c r="D2112" s="4"/>
      <c r="E2112" s="403"/>
      <c r="F2112" s="403">
        <f>BBNTHT!J2152</f>
        <v>0</v>
      </c>
      <c r="G2112" s="403">
        <f t="shared" si="128"/>
        <v>0</v>
      </c>
      <c r="H2112" s="5"/>
      <c r="I2112" s="404">
        <f t="shared" si="129"/>
        <v>0</v>
      </c>
      <c r="J2112" s="403"/>
      <c r="K2112" s="404">
        <f t="shared" si="130"/>
        <v>0</v>
      </c>
      <c r="L2112" s="405">
        <f t="shared" si="131"/>
        <v>0</v>
      </c>
      <c r="M2112" s="403"/>
    </row>
    <row r="2113" spans="1:13" ht="31.5" x14ac:dyDescent="0.25">
      <c r="A2113" s="6" t="s">
        <v>3546</v>
      </c>
      <c r="B2113" s="7" t="s">
        <v>3525</v>
      </c>
      <c r="C2113" s="6" t="s">
        <v>3495</v>
      </c>
      <c r="D2113" s="8">
        <v>13</v>
      </c>
      <c r="E2113" s="403"/>
      <c r="F2113" s="403">
        <f>BBNTHT!J2153</f>
        <v>13</v>
      </c>
      <c r="G2113" s="403">
        <f t="shared" si="128"/>
        <v>13</v>
      </c>
      <c r="H2113" s="9">
        <v>134931747</v>
      </c>
      <c r="I2113" s="404">
        <f t="shared" si="129"/>
        <v>1754112711</v>
      </c>
      <c r="J2113" s="403"/>
      <c r="K2113" s="404">
        <f t="shared" si="130"/>
        <v>1754112711</v>
      </c>
      <c r="L2113" s="405">
        <f t="shared" si="131"/>
        <v>1754112711</v>
      </c>
      <c r="M2113" s="403"/>
    </row>
    <row r="2114" spans="1:13" ht="31.5" x14ac:dyDescent="0.25">
      <c r="A2114" s="6" t="s">
        <v>3547</v>
      </c>
      <c r="B2114" s="7" t="s">
        <v>3503</v>
      </c>
      <c r="C2114" s="6" t="s">
        <v>3495</v>
      </c>
      <c r="D2114" s="8">
        <v>13</v>
      </c>
      <c r="E2114" s="403"/>
      <c r="F2114" s="403">
        <f>BBNTHT!J2154</f>
        <v>13</v>
      </c>
      <c r="G2114" s="403">
        <f t="shared" si="128"/>
        <v>13</v>
      </c>
      <c r="H2114" s="9">
        <v>165496397</v>
      </c>
      <c r="I2114" s="404">
        <f t="shared" si="129"/>
        <v>2151453161</v>
      </c>
      <c r="J2114" s="403"/>
      <c r="K2114" s="404">
        <f t="shared" si="130"/>
        <v>2151453161</v>
      </c>
      <c r="L2114" s="405">
        <f t="shared" si="131"/>
        <v>2151453161</v>
      </c>
      <c r="M2114" s="403"/>
    </row>
    <row r="2115" spans="1:13" ht="31.5" x14ac:dyDescent="0.25">
      <c r="A2115" s="6" t="s">
        <v>3548</v>
      </c>
      <c r="B2115" s="7" t="s">
        <v>3543</v>
      </c>
      <c r="C2115" s="6" t="s">
        <v>248</v>
      </c>
      <c r="D2115" s="8">
        <v>13</v>
      </c>
      <c r="E2115" s="403"/>
      <c r="F2115" s="403">
        <f>BBNTHT!J2155</f>
        <v>13</v>
      </c>
      <c r="G2115" s="403">
        <f t="shared" si="128"/>
        <v>13</v>
      </c>
      <c r="H2115" s="9">
        <v>2385280</v>
      </c>
      <c r="I2115" s="404">
        <f t="shared" si="129"/>
        <v>31008640</v>
      </c>
      <c r="J2115" s="403"/>
      <c r="K2115" s="404">
        <f t="shared" si="130"/>
        <v>31008640</v>
      </c>
      <c r="L2115" s="405">
        <f t="shared" si="131"/>
        <v>31008640</v>
      </c>
      <c r="M2115" s="403"/>
    </row>
    <row r="2116" spans="1:13" ht="63" x14ac:dyDescent="0.25">
      <c r="A2116" s="2" t="s">
        <v>3549</v>
      </c>
      <c r="B2116" s="3" t="s">
        <v>3550</v>
      </c>
      <c r="C2116" s="2"/>
      <c r="D2116" s="4"/>
      <c r="E2116" s="403"/>
      <c r="F2116" s="403">
        <f>BBNTHT!J2156</f>
        <v>0</v>
      </c>
      <c r="G2116" s="403">
        <f t="shared" si="128"/>
        <v>0</v>
      </c>
      <c r="H2116" s="5"/>
      <c r="I2116" s="404">
        <f t="shared" si="129"/>
        <v>0</v>
      </c>
      <c r="J2116" s="403"/>
      <c r="K2116" s="404">
        <f t="shared" si="130"/>
        <v>0</v>
      </c>
      <c r="L2116" s="405">
        <f t="shared" si="131"/>
        <v>0</v>
      </c>
      <c r="M2116" s="403"/>
    </row>
    <row r="2117" spans="1:13" ht="31.5" x14ac:dyDescent="0.25">
      <c r="A2117" s="6" t="s">
        <v>3551</v>
      </c>
      <c r="B2117" s="7" t="s">
        <v>3552</v>
      </c>
      <c r="C2117" s="6" t="s">
        <v>3495</v>
      </c>
      <c r="D2117" s="8">
        <v>2</v>
      </c>
      <c r="E2117" s="403"/>
      <c r="F2117" s="403">
        <f>BBNTHT!J2157</f>
        <v>2</v>
      </c>
      <c r="G2117" s="403">
        <f t="shared" si="128"/>
        <v>2</v>
      </c>
      <c r="H2117" s="9">
        <v>17352737</v>
      </c>
      <c r="I2117" s="404">
        <f t="shared" si="129"/>
        <v>34705474</v>
      </c>
      <c r="J2117" s="403"/>
      <c r="K2117" s="404">
        <f t="shared" si="130"/>
        <v>34705474</v>
      </c>
      <c r="L2117" s="405">
        <f t="shared" si="131"/>
        <v>34705474</v>
      </c>
      <c r="M2117" s="403"/>
    </row>
    <row r="2118" spans="1:13" ht="31.5" x14ac:dyDescent="0.25">
      <c r="A2118" s="6" t="s">
        <v>3553</v>
      </c>
      <c r="B2118" s="7" t="s">
        <v>3554</v>
      </c>
      <c r="C2118" s="6" t="s">
        <v>3495</v>
      </c>
      <c r="D2118" s="8">
        <v>2</v>
      </c>
      <c r="E2118" s="403"/>
      <c r="F2118" s="403">
        <f>BBNTHT!J2158</f>
        <v>2</v>
      </c>
      <c r="G2118" s="403">
        <f t="shared" si="128"/>
        <v>2</v>
      </c>
      <c r="H2118" s="9">
        <v>17541023</v>
      </c>
      <c r="I2118" s="404">
        <f t="shared" si="129"/>
        <v>35082046</v>
      </c>
      <c r="J2118" s="403"/>
      <c r="K2118" s="404">
        <f t="shared" si="130"/>
        <v>35082046</v>
      </c>
      <c r="L2118" s="405">
        <f t="shared" si="131"/>
        <v>35082046</v>
      </c>
      <c r="M2118" s="403"/>
    </row>
    <row r="2119" spans="1:13" ht="31.5" x14ac:dyDescent="0.25">
      <c r="A2119" s="6" t="s">
        <v>3555</v>
      </c>
      <c r="B2119" s="7" t="s">
        <v>3556</v>
      </c>
      <c r="C2119" s="6" t="s">
        <v>3495</v>
      </c>
      <c r="D2119" s="8">
        <v>6</v>
      </c>
      <c r="E2119" s="403"/>
      <c r="F2119" s="403">
        <f>BBNTHT!J2159</f>
        <v>6</v>
      </c>
      <c r="G2119" s="403">
        <f t="shared" si="128"/>
        <v>6</v>
      </c>
      <c r="H2119" s="9">
        <v>17918395</v>
      </c>
      <c r="I2119" s="404">
        <f t="shared" si="129"/>
        <v>107510370</v>
      </c>
      <c r="J2119" s="403"/>
      <c r="K2119" s="404">
        <f t="shared" si="130"/>
        <v>107510370</v>
      </c>
      <c r="L2119" s="405">
        <f t="shared" si="131"/>
        <v>107510370</v>
      </c>
      <c r="M2119" s="403"/>
    </row>
    <row r="2120" spans="1:13" ht="31.5" x14ac:dyDescent="0.25">
      <c r="A2120" s="6" t="s">
        <v>3557</v>
      </c>
      <c r="B2120" s="7" t="s">
        <v>3558</v>
      </c>
      <c r="C2120" s="6" t="s">
        <v>3495</v>
      </c>
      <c r="D2120" s="8">
        <v>263</v>
      </c>
      <c r="E2120" s="403"/>
      <c r="F2120" s="403">
        <f>BBNTHT!J2160</f>
        <v>263</v>
      </c>
      <c r="G2120" s="403">
        <f t="shared" si="128"/>
        <v>263</v>
      </c>
      <c r="H2120" s="9">
        <v>18578597</v>
      </c>
      <c r="I2120" s="404">
        <f t="shared" si="129"/>
        <v>4886171011</v>
      </c>
      <c r="J2120" s="403"/>
      <c r="K2120" s="404">
        <f t="shared" si="130"/>
        <v>4886171011</v>
      </c>
      <c r="L2120" s="405">
        <f t="shared" si="131"/>
        <v>4886171011</v>
      </c>
      <c r="M2120" s="403"/>
    </row>
    <row r="2121" spans="1:13" ht="31.5" x14ac:dyDescent="0.25">
      <c r="A2121" s="6" t="s">
        <v>3559</v>
      </c>
      <c r="B2121" s="7" t="s">
        <v>3560</v>
      </c>
      <c r="C2121" s="6" t="s">
        <v>3495</v>
      </c>
      <c r="D2121" s="8">
        <v>1</v>
      </c>
      <c r="E2121" s="403"/>
      <c r="F2121" s="403">
        <f>BBNTHT!J2161</f>
        <v>1</v>
      </c>
      <c r="G2121" s="403">
        <f t="shared" si="128"/>
        <v>1</v>
      </c>
      <c r="H2121" s="9">
        <v>20370116</v>
      </c>
      <c r="I2121" s="404">
        <f t="shared" si="129"/>
        <v>20370116</v>
      </c>
      <c r="J2121" s="403"/>
      <c r="K2121" s="404">
        <f t="shared" si="130"/>
        <v>20370116</v>
      </c>
      <c r="L2121" s="405">
        <f t="shared" si="131"/>
        <v>20370116</v>
      </c>
      <c r="M2121" s="403"/>
    </row>
    <row r="2122" spans="1:13" ht="31.5" x14ac:dyDescent="0.25">
      <c r="A2122" s="6" t="s">
        <v>3561</v>
      </c>
      <c r="B2122" s="7" t="s">
        <v>3562</v>
      </c>
      <c r="C2122" s="6" t="s">
        <v>3495</v>
      </c>
      <c r="D2122" s="8">
        <v>17</v>
      </c>
      <c r="E2122" s="403"/>
      <c r="F2122" s="403">
        <f>BBNTHT!J2162</f>
        <v>17</v>
      </c>
      <c r="G2122" s="403">
        <f t="shared" si="128"/>
        <v>17</v>
      </c>
      <c r="H2122" s="9">
        <v>21784835</v>
      </c>
      <c r="I2122" s="404">
        <f t="shared" si="129"/>
        <v>370342195</v>
      </c>
      <c r="J2122" s="403"/>
      <c r="K2122" s="404">
        <f t="shared" si="130"/>
        <v>370342195</v>
      </c>
      <c r="L2122" s="405">
        <f t="shared" si="131"/>
        <v>370342195</v>
      </c>
      <c r="M2122" s="403"/>
    </row>
    <row r="2123" spans="1:13" ht="31.5" x14ac:dyDescent="0.25">
      <c r="A2123" s="6" t="s">
        <v>3563</v>
      </c>
      <c r="B2123" s="7" t="s">
        <v>3564</v>
      </c>
      <c r="C2123" s="6" t="s">
        <v>3495</v>
      </c>
      <c r="D2123" s="8">
        <v>25</v>
      </c>
      <c r="E2123" s="403"/>
      <c r="F2123" s="403">
        <f>BBNTHT!J2163</f>
        <v>25</v>
      </c>
      <c r="G2123" s="403">
        <f t="shared" si="128"/>
        <v>25</v>
      </c>
      <c r="H2123" s="9">
        <v>25746047</v>
      </c>
      <c r="I2123" s="404">
        <f t="shared" si="129"/>
        <v>643651175</v>
      </c>
      <c r="J2123" s="403"/>
      <c r="K2123" s="404">
        <f t="shared" si="130"/>
        <v>643651175</v>
      </c>
      <c r="L2123" s="405">
        <f t="shared" si="131"/>
        <v>643651175</v>
      </c>
      <c r="M2123" s="403"/>
    </row>
    <row r="2124" spans="1:13" ht="31.5" x14ac:dyDescent="0.25">
      <c r="A2124" s="6" t="s">
        <v>3565</v>
      </c>
      <c r="B2124" s="7" t="s">
        <v>3566</v>
      </c>
      <c r="C2124" s="6" t="s">
        <v>3495</v>
      </c>
      <c r="D2124" s="8">
        <v>38</v>
      </c>
      <c r="E2124" s="403"/>
      <c r="F2124" s="403">
        <f>BBNTHT!J2164</f>
        <v>38</v>
      </c>
      <c r="G2124" s="403">
        <f t="shared" si="128"/>
        <v>38</v>
      </c>
      <c r="H2124" s="9">
        <v>27631995</v>
      </c>
      <c r="I2124" s="404">
        <f t="shared" si="129"/>
        <v>1050015810</v>
      </c>
      <c r="J2124" s="403"/>
      <c r="K2124" s="404">
        <f t="shared" si="130"/>
        <v>1050015810</v>
      </c>
      <c r="L2124" s="405">
        <f t="shared" si="131"/>
        <v>1050015810</v>
      </c>
      <c r="M2124" s="403"/>
    </row>
    <row r="2125" spans="1:13" ht="31.5" x14ac:dyDescent="0.25">
      <c r="A2125" s="6" t="s">
        <v>3567</v>
      </c>
      <c r="B2125" s="7" t="s">
        <v>3568</v>
      </c>
      <c r="C2125" s="6" t="s">
        <v>3495</v>
      </c>
      <c r="D2125" s="8">
        <v>11</v>
      </c>
      <c r="E2125" s="403"/>
      <c r="F2125" s="403">
        <f>BBNTHT!J2165</f>
        <v>11</v>
      </c>
      <c r="G2125" s="403">
        <f t="shared" si="128"/>
        <v>11</v>
      </c>
      <c r="H2125" s="9">
        <v>31499122</v>
      </c>
      <c r="I2125" s="404">
        <f t="shared" si="129"/>
        <v>346490342</v>
      </c>
      <c r="J2125" s="403"/>
      <c r="K2125" s="404">
        <f t="shared" si="130"/>
        <v>346490342</v>
      </c>
      <c r="L2125" s="405">
        <f t="shared" si="131"/>
        <v>346490342</v>
      </c>
      <c r="M2125" s="403"/>
    </row>
    <row r="2126" spans="1:13" ht="31.5" x14ac:dyDescent="0.25">
      <c r="A2126" s="2" t="s">
        <v>3569</v>
      </c>
      <c r="B2126" s="3" t="s">
        <v>3570</v>
      </c>
      <c r="C2126" s="2"/>
      <c r="D2126" s="4"/>
      <c r="E2126" s="403"/>
      <c r="F2126" s="403">
        <f>BBNTHT!J2166</f>
        <v>0</v>
      </c>
      <c r="G2126" s="403">
        <f t="shared" si="128"/>
        <v>0</v>
      </c>
      <c r="H2126" s="5"/>
      <c r="I2126" s="404">
        <f t="shared" si="129"/>
        <v>0</v>
      </c>
      <c r="J2126" s="403"/>
      <c r="K2126" s="404">
        <f t="shared" si="130"/>
        <v>0</v>
      </c>
      <c r="L2126" s="405">
        <f t="shared" si="131"/>
        <v>0</v>
      </c>
      <c r="M2126" s="403"/>
    </row>
    <row r="2127" spans="1:13" ht="31.5" x14ac:dyDescent="0.25">
      <c r="A2127" s="6" t="s">
        <v>3571</v>
      </c>
      <c r="B2127" s="7" t="s">
        <v>3572</v>
      </c>
      <c r="C2127" s="6" t="s">
        <v>3495</v>
      </c>
      <c r="D2127" s="8">
        <v>1</v>
      </c>
      <c r="E2127" s="403"/>
      <c r="F2127" s="403">
        <f>BBNTHT!J2167</f>
        <v>0</v>
      </c>
      <c r="G2127" s="403">
        <f t="shared" si="128"/>
        <v>0</v>
      </c>
      <c r="H2127" s="9">
        <v>1258644061</v>
      </c>
      <c r="I2127" s="404">
        <f t="shared" si="129"/>
        <v>1258644061</v>
      </c>
      <c r="J2127" s="403"/>
      <c r="K2127" s="404">
        <f t="shared" si="130"/>
        <v>0</v>
      </c>
      <c r="L2127" s="405">
        <f t="shared" si="131"/>
        <v>0</v>
      </c>
      <c r="M2127" s="403"/>
    </row>
    <row r="2128" spans="1:13" ht="15.75" x14ac:dyDescent="0.25">
      <c r="A2128" s="2" t="s">
        <v>3573</v>
      </c>
      <c r="B2128" s="3" t="s">
        <v>3574</v>
      </c>
      <c r="C2128" s="2"/>
      <c r="D2128" s="4"/>
      <c r="E2128" s="403"/>
      <c r="F2128" s="403">
        <f>BBNTHT!J2168</f>
        <v>0</v>
      </c>
      <c r="G2128" s="403">
        <f t="shared" si="128"/>
        <v>0</v>
      </c>
      <c r="H2128" s="5"/>
      <c r="I2128" s="404">
        <f t="shared" si="129"/>
        <v>0</v>
      </c>
      <c r="J2128" s="403"/>
      <c r="K2128" s="404">
        <f t="shared" si="130"/>
        <v>0</v>
      </c>
      <c r="L2128" s="405">
        <f t="shared" si="131"/>
        <v>0</v>
      </c>
      <c r="M2128" s="403"/>
    </row>
    <row r="2129" spans="1:13" ht="47.25" x14ac:dyDescent="0.25">
      <c r="A2129" s="6" t="s">
        <v>3575</v>
      </c>
      <c r="B2129" s="7" t="s">
        <v>3576</v>
      </c>
      <c r="C2129" s="6" t="s">
        <v>496</v>
      </c>
      <c r="D2129" s="8">
        <v>344</v>
      </c>
      <c r="E2129" s="403"/>
      <c r="F2129" s="403">
        <f>BBNTHT!J2169</f>
        <v>344</v>
      </c>
      <c r="G2129" s="403">
        <f t="shared" si="128"/>
        <v>344</v>
      </c>
      <c r="H2129" s="9">
        <v>4084589</v>
      </c>
      <c r="I2129" s="404">
        <f t="shared" si="129"/>
        <v>1405098616</v>
      </c>
      <c r="J2129" s="403"/>
      <c r="K2129" s="404">
        <f t="shared" si="130"/>
        <v>1405098616</v>
      </c>
      <c r="L2129" s="405">
        <f t="shared" si="131"/>
        <v>1405098616</v>
      </c>
      <c r="M2129" s="403"/>
    </row>
    <row r="2130" spans="1:13" ht="31.5" x14ac:dyDescent="0.25">
      <c r="A2130" s="6" t="s">
        <v>3577</v>
      </c>
      <c r="B2130" s="7" t="s">
        <v>3578</v>
      </c>
      <c r="C2130" s="6" t="s">
        <v>496</v>
      </c>
      <c r="D2130" s="8">
        <v>1</v>
      </c>
      <c r="E2130" s="403"/>
      <c r="F2130" s="403">
        <f>BBNTHT!J2170</f>
        <v>0</v>
      </c>
      <c r="G2130" s="403">
        <f t="shared" ref="G2130:G2193" si="132">F2130+E2130</f>
        <v>0</v>
      </c>
      <c r="H2130" s="9">
        <v>59740101</v>
      </c>
      <c r="I2130" s="404">
        <f t="shared" ref="I2130:I2193" si="133">ROUND(D2130*H2130,0)</f>
        <v>59740101</v>
      </c>
      <c r="J2130" s="403"/>
      <c r="K2130" s="404">
        <f t="shared" ref="K2130:K2193" si="134">ROUND(F2130*H2130,0)</f>
        <v>0</v>
      </c>
      <c r="L2130" s="405">
        <f t="shared" ref="L2130:L2193" si="135">J2130+K2130</f>
        <v>0</v>
      </c>
      <c r="M2130" s="403"/>
    </row>
    <row r="2131" spans="1:13" ht="31.5" x14ac:dyDescent="0.25">
      <c r="A2131" s="6" t="s">
        <v>3579</v>
      </c>
      <c r="B2131" s="7" t="s">
        <v>3580</v>
      </c>
      <c r="C2131" s="6" t="s">
        <v>496</v>
      </c>
      <c r="D2131" s="8">
        <v>7</v>
      </c>
      <c r="E2131" s="403"/>
      <c r="F2131" s="403">
        <f>BBNTHT!J2171</f>
        <v>0</v>
      </c>
      <c r="G2131" s="403">
        <f t="shared" si="132"/>
        <v>0</v>
      </c>
      <c r="H2131" s="9">
        <v>34853554</v>
      </c>
      <c r="I2131" s="404">
        <f t="shared" si="133"/>
        <v>243974878</v>
      </c>
      <c r="J2131" s="403"/>
      <c r="K2131" s="404">
        <f t="shared" si="134"/>
        <v>0</v>
      </c>
      <c r="L2131" s="405">
        <f t="shared" si="135"/>
        <v>0</v>
      </c>
      <c r="M2131" s="403"/>
    </row>
    <row r="2132" spans="1:13" ht="31.5" x14ac:dyDescent="0.25">
      <c r="A2132" s="6" t="s">
        <v>3581</v>
      </c>
      <c r="B2132" s="7" t="s">
        <v>3582</v>
      </c>
      <c r="C2132" s="6" t="s">
        <v>496</v>
      </c>
      <c r="D2132" s="8">
        <v>5</v>
      </c>
      <c r="E2132" s="403"/>
      <c r="F2132" s="403">
        <f>BBNTHT!J2172</f>
        <v>0</v>
      </c>
      <c r="G2132" s="403">
        <f t="shared" si="132"/>
        <v>0</v>
      </c>
      <c r="H2132" s="9">
        <v>9722085</v>
      </c>
      <c r="I2132" s="404">
        <f t="shared" si="133"/>
        <v>48610425</v>
      </c>
      <c r="J2132" s="403"/>
      <c r="K2132" s="404">
        <f t="shared" si="134"/>
        <v>0</v>
      </c>
      <c r="L2132" s="405">
        <f t="shared" si="135"/>
        <v>0</v>
      </c>
      <c r="M2132" s="403"/>
    </row>
    <row r="2133" spans="1:13" ht="31.5" x14ac:dyDescent="0.25">
      <c r="A2133" s="6" t="s">
        <v>3583</v>
      </c>
      <c r="B2133" s="7" t="s">
        <v>3584</v>
      </c>
      <c r="C2133" s="6" t="s">
        <v>496</v>
      </c>
      <c r="D2133" s="8">
        <v>366</v>
      </c>
      <c r="E2133" s="403"/>
      <c r="F2133" s="403">
        <f>BBNTHT!J2173</f>
        <v>366</v>
      </c>
      <c r="G2133" s="403">
        <f t="shared" si="132"/>
        <v>366</v>
      </c>
      <c r="H2133" s="9">
        <v>1489665</v>
      </c>
      <c r="I2133" s="404">
        <f t="shared" si="133"/>
        <v>545217390</v>
      </c>
      <c r="J2133" s="403"/>
      <c r="K2133" s="404">
        <f t="shared" si="134"/>
        <v>545217390</v>
      </c>
      <c r="L2133" s="405">
        <f t="shared" si="135"/>
        <v>545217390</v>
      </c>
      <c r="M2133" s="403"/>
    </row>
    <row r="2134" spans="1:13" ht="31.5" x14ac:dyDescent="0.25">
      <c r="A2134" s="6" t="s">
        <v>3585</v>
      </c>
      <c r="B2134" s="7" t="s">
        <v>3586</v>
      </c>
      <c r="C2134" s="6" t="s">
        <v>496</v>
      </c>
      <c r="D2134" s="8">
        <v>1</v>
      </c>
      <c r="E2134" s="403"/>
      <c r="F2134" s="403">
        <f>BBNTHT!J2174</f>
        <v>0</v>
      </c>
      <c r="G2134" s="403">
        <f t="shared" si="132"/>
        <v>0</v>
      </c>
      <c r="H2134" s="9">
        <v>236682202</v>
      </c>
      <c r="I2134" s="404">
        <f t="shared" si="133"/>
        <v>236682202</v>
      </c>
      <c r="J2134" s="403"/>
      <c r="K2134" s="404">
        <f t="shared" si="134"/>
        <v>0</v>
      </c>
      <c r="L2134" s="405">
        <f t="shared" si="135"/>
        <v>0</v>
      </c>
      <c r="M2134" s="403"/>
    </row>
    <row r="2135" spans="1:13" ht="31.5" x14ac:dyDescent="0.25">
      <c r="A2135" s="2" t="s">
        <v>4712</v>
      </c>
      <c r="B2135" s="3" t="s">
        <v>4713</v>
      </c>
      <c r="C2135" s="2"/>
      <c r="D2135" s="4"/>
      <c r="E2135" s="403"/>
      <c r="F2135" s="403">
        <f>BBNTHT!J2175</f>
        <v>0</v>
      </c>
      <c r="G2135" s="403">
        <f t="shared" si="132"/>
        <v>0</v>
      </c>
      <c r="H2135" s="5"/>
      <c r="I2135" s="404">
        <f t="shared" si="133"/>
        <v>0</v>
      </c>
      <c r="J2135" s="403"/>
      <c r="K2135" s="404">
        <f t="shared" si="134"/>
        <v>0</v>
      </c>
      <c r="L2135" s="405">
        <f t="shared" si="135"/>
        <v>0</v>
      </c>
      <c r="M2135" s="403"/>
    </row>
    <row r="2136" spans="1:13" ht="47.25" x14ac:dyDescent="0.25">
      <c r="A2136" s="6" t="s">
        <v>3587</v>
      </c>
      <c r="B2136" s="7" t="s">
        <v>3588</v>
      </c>
      <c r="C2136" s="6" t="s">
        <v>3495</v>
      </c>
      <c r="D2136" s="8">
        <v>2</v>
      </c>
      <c r="E2136" s="403"/>
      <c r="F2136" s="403">
        <f>BBNTHT!J2176</f>
        <v>1</v>
      </c>
      <c r="G2136" s="403">
        <f t="shared" si="132"/>
        <v>1</v>
      </c>
      <c r="H2136" s="9">
        <v>17491813</v>
      </c>
      <c r="I2136" s="404">
        <f t="shared" si="133"/>
        <v>34983626</v>
      </c>
      <c r="J2136" s="403"/>
      <c r="K2136" s="404">
        <f t="shared" si="134"/>
        <v>17491813</v>
      </c>
      <c r="L2136" s="405">
        <f t="shared" si="135"/>
        <v>17491813</v>
      </c>
      <c r="M2136" s="403"/>
    </row>
    <row r="2137" spans="1:13" ht="47.25" x14ac:dyDescent="0.25">
      <c r="A2137" s="6" t="s">
        <v>3589</v>
      </c>
      <c r="B2137" s="7" t="s">
        <v>3590</v>
      </c>
      <c r="C2137" s="6" t="s">
        <v>3495</v>
      </c>
      <c r="D2137" s="8">
        <v>15</v>
      </c>
      <c r="E2137" s="403"/>
      <c r="F2137" s="403">
        <f>BBNTHT!J2177</f>
        <v>10</v>
      </c>
      <c r="G2137" s="403">
        <f t="shared" si="132"/>
        <v>10</v>
      </c>
      <c r="H2137" s="9">
        <v>20896425</v>
      </c>
      <c r="I2137" s="404">
        <f t="shared" si="133"/>
        <v>313446375</v>
      </c>
      <c r="J2137" s="403"/>
      <c r="K2137" s="404">
        <f t="shared" si="134"/>
        <v>208964250</v>
      </c>
      <c r="L2137" s="405">
        <f t="shared" si="135"/>
        <v>208964250</v>
      </c>
      <c r="M2137" s="403"/>
    </row>
    <row r="2138" spans="1:13" ht="47.25" x14ac:dyDescent="0.25">
      <c r="A2138" s="6" t="s">
        <v>3591</v>
      </c>
      <c r="B2138" s="7" t="s">
        <v>3592</v>
      </c>
      <c r="C2138" s="6" t="s">
        <v>3495</v>
      </c>
      <c r="D2138" s="8">
        <v>7</v>
      </c>
      <c r="E2138" s="403"/>
      <c r="F2138" s="403">
        <f>BBNTHT!J2178</f>
        <v>4</v>
      </c>
      <c r="G2138" s="403">
        <f t="shared" si="132"/>
        <v>4</v>
      </c>
      <c r="H2138" s="9">
        <v>20896425</v>
      </c>
      <c r="I2138" s="404">
        <f t="shared" si="133"/>
        <v>146274975</v>
      </c>
      <c r="J2138" s="403"/>
      <c r="K2138" s="404">
        <f t="shared" si="134"/>
        <v>83585700</v>
      </c>
      <c r="L2138" s="405">
        <f t="shared" si="135"/>
        <v>83585700</v>
      </c>
      <c r="M2138" s="403"/>
    </row>
    <row r="2139" spans="1:13" ht="47.25" x14ac:dyDescent="0.25">
      <c r="A2139" s="6" t="s">
        <v>3593</v>
      </c>
      <c r="B2139" s="7" t="s">
        <v>3594</v>
      </c>
      <c r="C2139" s="6" t="s">
        <v>3495</v>
      </c>
      <c r="D2139" s="8">
        <v>26</v>
      </c>
      <c r="E2139" s="403"/>
      <c r="F2139" s="403">
        <f>BBNTHT!J2179</f>
        <v>18</v>
      </c>
      <c r="G2139" s="403">
        <f t="shared" si="132"/>
        <v>18</v>
      </c>
      <c r="H2139" s="9">
        <v>20896425</v>
      </c>
      <c r="I2139" s="404">
        <f t="shared" si="133"/>
        <v>543307050</v>
      </c>
      <c r="J2139" s="403"/>
      <c r="K2139" s="404">
        <f t="shared" si="134"/>
        <v>376135650</v>
      </c>
      <c r="L2139" s="405">
        <f t="shared" si="135"/>
        <v>376135650</v>
      </c>
      <c r="M2139" s="403"/>
    </row>
    <row r="2140" spans="1:13" ht="47.25" x14ac:dyDescent="0.25">
      <c r="A2140" s="6" t="s">
        <v>3595</v>
      </c>
      <c r="B2140" s="7" t="s">
        <v>3596</v>
      </c>
      <c r="C2140" s="6" t="s">
        <v>3495</v>
      </c>
      <c r="D2140" s="8">
        <v>8</v>
      </c>
      <c r="E2140" s="403"/>
      <c r="F2140" s="403">
        <f>BBNTHT!J2180</f>
        <v>5</v>
      </c>
      <c r="G2140" s="403">
        <f t="shared" si="132"/>
        <v>5</v>
      </c>
      <c r="H2140" s="9">
        <v>20896425</v>
      </c>
      <c r="I2140" s="404">
        <f t="shared" si="133"/>
        <v>167171400</v>
      </c>
      <c r="J2140" s="403"/>
      <c r="K2140" s="404">
        <f t="shared" si="134"/>
        <v>104482125</v>
      </c>
      <c r="L2140" s="405">
        <f t="shared" si="135"/>
        <v>104482125</v>
      </c>
      <c r="M2140" s="403"/>
    </row>
    <row r="2141" spans="1:13" ht="15.75" x14ac:dyDescent="0.25">
      <c r="A2141" s="2" t="s">
        <v>3597</v>
      </c>
      <c r="B2141" s="3" t="s">
        <v>3598</v>
      </c>
      <c r="C2141" s="2"/>
      <c r="D2141" s="4"/>
      <c r="E2141" s="403"/>
      <c r="F2141" s="403">
        <f>BBNTHT!J2181</f>
        <v>0</v>
      </c>
      <c r="G2141" s="403">
        <f t="shared" si="132"/>
        <v>0</v>
      </c>
      <c r="H2141" s="5"/>
      <c r="I2141" s="404">
        <f t="shared" si="133"/>
        <v>0</v>
      </c>
      <c r="J2141" s="403"/>
      <c r="K2141" s="404">
        <f t="shared" si="134"/>
        <v>0</v>
      </c>
      <c r="L2141" s="405">
        <f t="shared" si="135"/>
        <v>0</v>
      </c>
      <c r="M2141" s="403"/>
    </row>
    <row r="2142" spans="1:13" ht="63" x14ac:dyDescent="0.25">
      <c r="A2142" s="6" t="s">
        <v>3599</v>
      </c>
      <c r="B2142" s="7" t="s">
        <v>3600</v>
      </c>
      <c r="C2142" s="6" t="s">
        <v>496</v>
      </c>
      <c r="D2142" s="8">
        <v>1</v>
      </c>
      <c r="E2142" s="403"/>
      <c r="F2142" s="403">
        <f>BBNTHT!J2182</f>
        <v>1</v>
      </c>
      <c r="G2142" s="403">
        <f t="shared" si="132"/>
        <v>1</v>
      </c>
      <c r="H2142" s="9">
        <v>14098695</v>
      </c>
      <c r="I2142" s="404">
        <f t="shared" si="133"/>
        <v>14098695</v>
      </c>
      <c r="J2142" s="403"/>
      <c r="K2142" s="404">
        <f t="shared" si="134"/>
        <v>14098695</v>
      </c>
      <c r="L2142" s="405">
        <f t="shared" si="135"/>
        <v>14098695</v>
      </c>
      <c r="M2142" s="403"/>
    </row>
    <row r="2143" spans="1:13" ht="63" x14ac:dyDescent="0.25">
      <c r="A2143" s="6" t="s">
        <v>3601</v>
      </c>
      <c r="B2143" s="7" t="s">
        <v>3602</v>
      </c>
      <c r="C2143" s="6" t="s">
        <v>496</v>
      </c>
      <c r="D2143" s="8">
        <v>1</v>
      </c>
      <c r="E2143" s="403"/>
      <c r="F2143" s="403">
        <f>BBNTHT!J2183</f>
        <v>1</v>
      </c>
      <c r="G2143" s="403">
        <f t="shared" si="132"/>
        <v>1</v>
      </c>
      <c r="H2143" s="9">
        <v>14098695</v>
      </c>
      <c r="I2143" s="404">
        <f t="shared" si="133"/>
        <v>14098695</v>
      </c>
      <c r="J2143" s="403"/>
      <c r="K2143" s="404">
        <f t="shared" si="134"/>
        <v>14098695</v>
      </c>
      <c r="L2143" s="405">
        <f t="shared" si="135"/>
        <v>14098695</v>
      </c>
      <c r="M2143" s="403"/>
    </row>
    <row r="2144" spans="1:13" ht="63" x14ac:dyDescent="0.25">
      <c r="A2144" s="6" t="s">
        <v>3603</v>
      </c>
      <c r="B2144" s="7" t="s">
        <v>3604</v>
      </c>
      <c r="C2144" s="6" t="s">
        <v>496</v>
      </c>
      <c r="D2144" s="8">
        <v>1</v>
      </c>
      <c r="E2144" s="403"/>
      <c r="F2144" s="403">
        <f>BBNTHT!J2184</f>
        <v>1</v>
      </c>
      <c r="G2144" s="403">
        <f t="shared" si="132"/>
        <v>1</v>
      </c>
      <c r="H2144" s="9">
        <v>14098695</v>
      </c>
      <c r="I2144" s="404">
        <f t="shared" si="133"/>
        <v>14098695</v>
      </c>
      <c r="J2144" s="403"/>
      <c r="K2144" s="404">
        <f t="shared" si="134"/>
        <v>14098695</v>
      </c>
      <c r="L2144" s="405">
        <f t="shared" si="135"/>
        <v>14098695</v>
      </c>
      <c r="M2144" s="403"/>
    </row>
    <row r="2145" spans="1:13" ht="63" x14ac:dyDescent="0.25">
      <c r="A2145" s="6" t="s">
        <v>3605</v>
      </c>
      <c r="B2145" s="7" t="s">
        <v>3606</v>
      </c>
      <c r="C2145" s="6" t="s">
        <v>496</v>
      </c>
      <c r="D2145" s="8">
        <v>2</v>
      </c>
      <c r="E2145" s="403"/>
      <c r="F2145" s="403">
        <f>BBNTHT!J2185</f>
        <v>2</v>
      </c>
      <c r="G2145" s="403">
        <f t="shared" si="132"/>
        <v>2</v>
      </c>
      <c r="H2145" s="9">
        <v>14098695</v>
      </c>
      <c r="I2145" s="404">
        <f t="shared" si="133"/>
        <v>28197390</v>
      </c>
      <c r="J2145" s="403"/>
      <c r="K2145" s="404">
        <f t="shared" si="134"/>
        <v>28197390</v>
      </c>
      <c r="L2145" s="405">
        <f t="shared" si="135"/>
        <v>28197390</v>
      </c>
      <c r="M2145" s="403"/>
    </row>
    <row r="2146" spans="1:13" ht="63" x14ac:dyDescent="0.25">
      <c r="A2146" s="6" t="s">
        <v>3607</v>
      </c>
      <c r="B2146" s="7" t="s">
        <v>3608</v>
      </c>
      <c r="C2146" s="6" t="s">
        <v>496</v>
      </c>
      <c r="D2146" s="8">
        <v>1</v>
      </c>
      <c r="E2146" s="403"/>
      <c r="F2146" s="403">
        <f>BBNTHT!J2186</f>
        <v>1</v>
      </c>
      <c r="G2146" s="403">
        <f t="shared" si="132"/>
        <v>1</v>
      </c>
      <c r="H2146" s="9">
        <v>14098695</v>
      </c>
      <c r="I2146" s="404">
        <f t="shared" si="133"/>
        <v>14098695</v>
      </c>
      <c r="J2146" s="403"/>
      <c r="K2146" s="404">
        <f t="shared" si="134"/>
        <v>14098695</v>
      </c>
      <c r="L2146" s="405">
        <f t="shared" si="135"/>
        <v>14098695</v>
      </c>
      <c r="M2146" s="403"/>
    </row>
    <row r="2147" spans="1:13" ht="63" x14ac:dyDescent="0.25">
      <c r="A2147" s="6" t="s">
        <v>3609</v>
      </c>
      <c r="B2147" s="7" t="s">
        <v>3610</v>
      </c>
      <c r="C2147" s="6" t="s">
        <v>496</v>
      </c>
      <c r="D2147" s="8">
        <v>1</v>
      </c>
      <c r="E2147" s="403"/>
      <c r="F2147" s="403">
        <f>BBNTHT!J2187</f>
        <v>1</v>
      </c>
      <c r="G2147" s="403">
        <f t="shared" si="132"/>
        <v>1</v>
      </c>
      <c r="H2147" s="9">
        <v>14098695</v>
      </c>
      <c r="I2147" s="404">
        <f t="shared" si="133"/>
        <v>14098695</v>
      </c>
      <c r="J2147" s="403"/>
      <c r="K2147" s="404">
        <f t="shared" si="134"/>
        <v>14098695</v>
      </c>
      <c r="L2147" s="405">
        <f t="shared" si="135"/>
        <v>14098695</v>
      </c>
      <c r="M2147" s="403"/>
    </row>
    <row r="2148" spans="1:13" ht="63" x14ac:dyDescent="0.25">
      <c r="A2148" s="6" t="s">
        <v>3611</v>
      </c>
      <c r="B2148" s="7" t="s">
        <v>3612</v>
      </c>
      <c r="C2148" s="6" t="s">
        <v>496</v>
      </c>
      <c r="D2148" s="8">
        <v>1</v>
      </c>
      <c r="E2148" s="403"/>
      <c r="F2148" s="403">
        <f>BBNTHT!J2188</f>
        <v>1</v>
      </c>
      <c r="G2148" s="403">
        <f t="shared" si="132"/>
        <v>1</v>
      </c>
      <c r="H2148" s="9">
        <v>14259933</v>
      </c>
      <c r="I2148" s="404">
        <f t="shared" si="133"/>
        <v>14259933</v>
      </c>
      <c r="J2148" s="403"/>
      <c r="K2148" s="404">
        <f t="shared" si="134"/>
        <v>14259933</v>
      </c>
      <c r="L2148" s="405">
        <f t="shared" si="135"/>
        <v>14259933</v>
      </c>
      <c r="M2148" s="403"/>
    </row>
    <row r="2149" spans="1:13" ht="63" x14ac:dyDescent="0.25">
      <c r="A2149" s="6" t="s">
        <v>3613</v>
      </c>
      <c r="B2149" s="7" t="s">
        <v>3614</v>
      </c>
      <c r="C2149" s="6" t="s">
        <v>496</v>
      </c>
      <c r="D2149" s="8">
        <v>1</v>
      </c>
      <c r="E2149" s="403"/>
      <c r="F2149" s="403">
        <f>BBNTHT!J2189</f>
        <v>1</v>
      </c>
      <c r="G2149" s="403">
        <f t="shared" si="132"/>
        <v>1</v>
      </c>
      <c r="H2149" s="9">
        <v>23390333</v>
      </c>
      <c r="I2149" s="404">
        <f t="shared" si="133"/>
        <v>23390333</v>
      </c>
      <c r="J2149" s="403"/>
      <c r="K2149" s="404">
        <f t="shared" si="134"/>
        <v>23390333</v>
      </c>
      <c r="L2149" s="405">
        <f t="shared" si="135"/>
        <v>23390333</v>
      </c>
      <c r="M2149" s="403"/>
    </row>
    <row r="2150" spans="1:13" ht="63" x14ac:dyDescent="0.25">
      <c r="A2150" s="6" t="s">
        <v>3615</v>
      </c>
      <c r="B2150" s="7" t="s">
        <v>3616</v>
      </c>
      <c r="C2150" s="6" t="s">
        <v>496</v>
      </c>
      <c r="D2150" s="8">
        <v>1</v>
      </c>
      <c r="E2150" s="403"/>
      <c r="F2150" s="403">
        <f>BBNTHT!J2190</f>
        <v>1</v>
      </c>
      <c r="G2150" s="403">
        <f t="shared" si="132"/>
        <v>1</v>
      </c>
      <c r="H2150" s="9">
        <v>31507079</v>
      </c>
      <c r="I2150" s="404">
        <f t="shared" si="133"/>
        <v>31507079</v>
      </c>
      <c r="J2150" s="403"/>
      <c r="K2150" s="404">
        <f t="shared" si="134"/>
        <v>31507079</v>
      </c>
      <c r="L2150" s="405">
        <f t="shared" si="135"/>
        <v>31507079</v>
      </c>
      <c r="M2150" s="403"/>
    </row>
    <row r="2151" spans="1:13" ht="63" x14ac:dyDescent="0.25">
      <c r="A2151" s="6" t="s">
        <v>3617</v>
      </c>
      <c r="B2151" s="7" t="s">
        <v>3618</v>
      </c>
      <c r="C2151" s="6" t="s">
        <v>496</v>
      </c>
      <c r="D2151" s="8">
        <v>1</v>
      </c>
      <c r="E2151" s="403"/>
      <c r="F2151" s="403">
        <f>BBNTHT!J2191</f>
        <v>1</v>
      </c>
      <c r="G2151" s="403">
        <f t="shared" si="132"/>
        <v>1</v>
      </c>
      <c r="H2151" s="9">
        <v>31507079</v>
      </c>
      <c r="I2151" s="404">
        <f t="shared" si="133"/>
        <v>31507079</v>
      </c>
      <c r="J2151" s="403"/>
      <c r="K2151" s="404">
        <f t="shared" si="134"/>
        <v>31507079</v>
      </c>
      <c r="L2151" s="405">
        <f t="shared" si="135"/>
        <v>31507079</v>
      </c>
      <c r="M2151" s="403"/>
    </row>
    <row r="2152" spans="1:13" ht="63" x14ac:dyDescent="0.25">
      <c r="A2152" s="6" t="s">
        <v>3619</v>
      </c>
      <c r="B2152" s="7" t="s">
        <v>3620</v>
      </c>
      <c r="C2152" s="6" t="s">
        <v>496</v>
      </c>
      <c r="D2152" s="8">
        <v>1</v>
      </c>
      <c r="E2152" s="403"/>
      <c r="F2152" s="403">
        <f>BBNTHT!J2192</f>
        <v>1</v>
      </c>
      <c r="G2152" s="403">
        <f t="shared" si="132"/>
        <v>1</v>
      </c>
      <c r="H2152" s="9">
        <v>36951566</v>
      </c>
      <c r="I2152" s="404">
        <f t="shared" si="133"/>
        <v>36951566</v>
      </c>
      <c r="J2152" s="403"/>
      <c r="K2152" s="404">
        <f t="shared" si="134"/>
        <v>36951566</v>
      </c>
      <c r="L2152" s="405">
        <f t="shared" si="135"/>
        <v>36951566</v>
      </c>
      <c r="M2152" s="403"/>
    </row>
    <row r="2153" spans="1:13" ht="63" x14ac:dyDescent="0.25">
      <c r="A2153" s="6" t="s">
        <v>3621</v>
      </c>
      <c r="B2153" s="7" t="s">
        <v>3622</v>
      </c>
      <c r="C2153" s="6" t="s">
        <v>496</v>
      </c>
      <c r="D2153" s="8">
        <v>1</v>
      </c>
      <c r="E2153" s="403"/>
      <c r="F2153" s="403">
        <f>BBNTHT!J2193</f>
        <v>1</v>
      </c>
      <c r="G2153" s="403">
        <f t="shared" si="132"/>
        <v>1</v>
      </c>
      <c r="H2153" s="9">
        <v>36951566</v>
      </c>
      <c r="I2153" s="404">
        <f t="shared" si="133"/>
        <v>36951566</v>
      </c>
      <c r="J2153" s="403"/>
      <c r="K2153" s="404">
        <f t="shared" si="134"/>
        <v>36951566</v>
      </c>
      <c r="L2153" s="405">
        <f t="shared" si="135"/>
        <v>36951566</v>
      </c>
      <c r="M2153" s="403"/>
    </row>
    <row r="2154" spans="1:13" ht="63" x14ac:dyDescent="0.25">
      <c r="A2154" s="6" t="s">
        <v>3623</v>
      </c>
      <c r="B2154" s="7" t="s">
        <v>3624</v>
      </c>
      <c r="C2154" s="6" t="s">
        <v>496</v>
      </c>
      <c r="D2154" s="8">
        <v>1</v>
      </c>
      <c r="E2154" s="403"/>
      <c r="F2154" s="403">
        <f>BBNTHT!J2194</f>
        <v>1</v>
      </c>
      <c r="G2154" s="403">
        <f t="shared" si="132"/>
        <v>1</v>
      </c>
      <c r="H2154" s="9">
        <v>36740881</v>
      </c>
      <c r="I2154" s="404">
        <f t="shared" si="133"/>
        <v>36740881</v>
      </c>
      <c r="J2154" s="403"/>
      <c r="K2154" s="404">
        <f t="shared" si="134"/>
        <v>36740881</v>
      </c>
      <c r="L2154" s="405">
        <f t="shared" si="135"/>
        <v>36740881</v>
      </c>
      <c r="M2154" s="403"/>
    </row>
    <row r="2155" spans="1:13" ht="63" x14ac:dyDescent="0.25">
      <c r="A2155" s="6" t="s">
        <v>3625</v>
      </c>
      <c r="B2155" s="7" t="s">
        <v>3626</v>
      </c>
      <c r="C2155" s="6" t="s">
        <v>496</v>
      </c>
      <c r="D2155" s="8">
        <v>1</v>
      </c>
      <c r="E2155" s="403"/>
      <c r="F2155" s="403">
        <f>BBNTHT!J2195</f>
        <v>1</v>
      </c>
      <c r="G2155" s="403">
        <f t="shared" si="132"/>
        <v>1</v>
      </c>
      <c r="H2155" s="9">
        <v>38396263</v>
      </c>
      <c r="I2155" s="404">
        <f t="shared" si="133"/>
        <v>38396263</v>
      </c>
      <c r="J2155" s="403"/>
      <c r="K2155" s="404">
        <f t="shared" si="134"/>
        <v>38396263</v>
      </c>
      <c r="L2155" s="405">
        <f t="shared" si="135"/>
        <v>38396263</v>
      </c>
      <c r="M2155" s="403"/>
    </row>
    <row r="2156" spans="1:13" ht="78.75" x14ac:dyDescent="0.25">
      <c r="A2156" s="6" t="s">
        <v>3627</v>
      </c>
      <c r="B2156" s="7" t="s">
        <v>3628</v>
      </c>
      <c r="C2156" s="6" t="s">
        <v>496</v>
      </c>
      <c r="D2156" s="8">
        <v>2</v>
      </c>
      <c r="E2156" s="403"/>
      <c r="F2156" s="403">
        <f>BBNTHT!J2196</f>
        <v>2</v>
      </c>
      <c r="G2156" s="403">
        <f t="shared" si="132"/>
        <v>2</v>
      </c>
      <c r="H2156" s="9">
        <v>56022856</v>
      </c>
      <c r="I2156" s="404">
        <f t="shared" si="133"/>
        <v>112045712</v>
      </c>
      <c r="J2156" s="403"/>
      <c r="K2156" s="404">
        <f t="shared" si="134"/>
        <v>112045712</v>
      </c>
      <c r="L2156" s="405">
        <f t="shared" si="135"/>
        <v>112045712</v>
      </c>
      <c r="M2156" s="403"/>
    </row>
    <row r="2157" spans="1:13" ht="78.75" x14ac:dyDescent="0.25">
      <c r="A2157" s="6" t="s">
        <v>3629</v>
      </c>
      <c r="B2157" s="7" t="s">
        <v>3630</v>
      </c>
      <c r="C2157" s="6" t="s">
        <v>496</v>
      </c>
      <c r="D2157" s="8">
        <v>2</v>
      </c>
      <c r="E2157" s="403"/>
      <c r="F2157" s="403">
        <f>BBNTHT!J2197</f>
        <v>2</v>
      </c>
      <c r="G2157" s="403">
        <f t="shared" si="132"/>
        <v>2</v>
      </c>
      <c r="H2157" s="9">
        <v>166120808</v>
      </c>
      <c r="I2157" s="404">
        <f t="shared" si="133"/>
        <v>332241616</v>
      </c>
      <c r="J2157" s="403"/>
      <c r="K2157" s="404">
        <f t="shared" si="134"/>
        <v>332241616</v>
      </c>
      <c r="L2157" s="405">
        <f t="shared" si="135"/>
        <v>332241616</v>
      </c>
      <c r="M2157" s="403"/>
    </row>
    <row r="2158" spans="1:13" ht="63" x14ac:dyDescent="0.25">
      <c r="A2158" s="6" t="s">
        <v>3631</v>
      </c>
      <c r="B2158" s="7" t="s">
        <v>3632</v>
      </c>
      <c r="C2158" s="6" t="s">
        <v>496</v>
      </c>
      <c r="D2158" s="8">
        <v>1</v>
      </c>
      <c r="E2158" s="403"/>
      <c r="F2158" s="403">
        <f>BBNTHT!J2198</f>
        <v>1</v>
      </c>
      <c r="G2158" s="403">
        <f t="shared" si="132"/>
        <v>1</v>
      </c>
      <c r="H2158" s="9">
        <v>36263615</v>
      </c>
      <c r="I2158" s="404">
        <f t="shared" si="133"/>
        <v>36263615</v>
      </c>
      <c r="J2158" s="403"/>
      <c r="K2158" s="404">
        <f t="shared" si="134"/>
        <v>36263615</v>
      </c>
      <c r="L2158" s="405">
        <f t="shared" si="135"/>
        <v>36263615</v>
      </c>
      <c r="M2158" s="403"/>
    </row>
    <row r="2159" spans="1:13" ht="63" x14ac:dyDescent="0.25">
      <c r="A2159" s="6" t="s">
        <v>3633</v>
      </c>
      <c r="B2159" s="7" t="s">
        <v>3634</v>
      </c>
      <c r="C2159" s="6" t="s">
        <v>496</v>
      </c>
      <c r="D2159" s="8">
        <v>1</v>
      </c>
      <c r="E2159" s="403"/>
      <c r="F2159" s="403">
        <f>BBNTHT!J2199</f>
        <v>1</v>
      </c>
      <c r="G2159" s="403">
        <f t="shared" si="132"/>
        <v>1</v>
      </c>
      <c r="H2159" s="9">
        <v>40733146</v>
      </c>
      <c r="I2159" s="404">
        <f t="shared" si="133"/>
        <v>40733146</v>
      </c>
      <c r="J2159" s="403"/>
      <c r="K2159" s="404">
        <f t="shared" si="134"/>
        <v>40733146</v>
      </c>
      <c r="L2159" s="405">
        <f t="shared" si="135"/>
        <v>40733146</v>
      </c>
      <c r="M2159" s="403"/>
    </row>
    <row r="2160" spans="1:13" ht="63" x14ac:dyDescent="0.25">
      <c r="A2160" s="6" t="s">
        <v>3635</v>
      </c>
      <c r="B2160" s="7" t="s">
        <v>3636</v>
      </c>
      <c r="C2160" s="6" t="s">
        <v>496</v>
      </c>
      <c r="D2160" s="8">
        <v>2</v>
      </c>
      <c r="E2160" s="403"/>
      <c r="F2160" s="403">
        <f>BBNTHT!J2200</f>
        <v>2</v>
      </c>
      <c r="G2160" s="403">
        <f t="shared" si="132"/>
        <v>2</v>
      </c>
      <c r="H2160" s="9">
        <v>3203272</v>
      </c>
      <c r="I2160" s="404">
        <f t="shared" si="133"/>
        <v>6406544</v>
      </c>
      <c r="J2160" s="403"/>
      <c r="K2160" s="404">
        <f t="shared" si="134"/>
        <v>6406544</v>
      </c>
      <c r="L2160" s="405">
        <f t="shared" si="135"/>
        <v>6406544</v>
      </c>
      <c r="M2160" s="403"/>
    </row>
    <row r="2161" spans="1:13" ht="63" x14ac:dyDescent="0.25">
      <c r="A2161" s="6" t="s">
        <v>3637</v>
      </c>
      <c r="B2161" s="7" t="s">
        <v>3638</v>
      </c>
      <c r="C2161" s="6" t="s">
        <v>496</v>
      </c>
      <c r="D2161" s="8">
        <v>2</v>
      </c>
      <c r="E2161" s="403"/>
      <c r="F2161" s="403">
        <f>BBNTHT!J2201</f>
        <v>2</v>
      </c>
      <c r="G2161" s="403">
        <f t="shared" si="132"/>
        <v>2</v>
      </c>
      <c r="H2161" s="9">
        <v>3203272</v>
      </c>
      <c r="I2161" s="404">
        <f t="shared" si="133"/>
        <v>6406544</v>
      </c>
      <c r="J2161" s="403"/>
      <c r="K2161" s="404">
        <f t="shared" si="134"/>
        <v>6406544</v>
      </c>
      <c r="L2161" s="405">
        <f t="shared" si="135"/>
        <v>6406544</v>
      </c>
      <c r="M2161" s="403"/>
    </row>
    <row r="2162" spans="1:13" ht="63" x14ac:dyDescent="0.25">
      <c r="A2162" s="6" t="s">
        <v>3639</v>
      </c>
      <c r="B2162" s="7" t="s">
        <v>3640</v>
      </c>
      <c r="C2162" s="6" t="s">
        <v>496</v>
      </c>
      <c r="D2162" s="8">
        <v>2</v>
      </c>
      <c r="E2162" s="403"/>
      <c r="F2162" s="403">
        <f>BBNTHT!J2202</f>
        <v>2</v>
      </c>
      <c r="G2162" s="403">
        <f t="shared" si="132"/>
        <v>2</v>
      </c>
      <c r="H2162" s="9">
        <v>6559182</v>
      </c>
      <c r="I2162" s="404">
        <f t="shared" si="133"/>
        <v>13118364</v>
      </c>
      <c r="J2162" s="403"/>
      <c r="K2162" s="404">
        <f t="shared" si="134"/>
        <v>13118364</v>
      </c>
      <c r="L2162" s="405">
        <f t="shared" si="135"/>
        <v>13118364</v>
      </c>
      <c r="M2162" s="403"/>
    </row>
    <row r="2163" spans="1:13" ht="63" x14ac:dyDescent="0.25">
      <c r="A2163" s="6" t="s">
        <v>3641</v>
      </c>
      <c r="B2163" s="7" t="s">
        <v>3642</v>
      </c>
      <c r="C2163" s="6" t="s">
        <v>496</v>
      </c>
      <c r="D2163" s="8">
        <v>249</v>
      </c>
      <c r="E2163" s="403"/>
      <c r="F2163" s="403">
        <f>BBNTHT!J2203</f>
        <v>130</v>
      </c>
      <c r="G2163" s="403">
        <f t="shared" si="132"/>
        <v>130</v>
      </c>
      <c r="H2163" s="9">
        <v>1833819</v>
      </c>
      <c r="I2163" s="404">
        <f t="shared" si="133"/>
        <v>456620931</v>
      </c>
      <c r="J2163" s="403"/>
      <c r="K2163" s="404">
        <f t="shared" si="134"/>
        <v>238396470</v>
      </c>
      <c r="L2163" s="405">
        <f t="shared" si="135"/>
        <v>238396470</v>
      </c>
      <c r="M2163" s="403"/>
    </row>
    <row r="2164" spans="1:13" ht="63" x14ac:dyDescent="0.25">
      <c r="A2164" s="6" t="s">
        <v>3643</v>
      </c>
      <c r="B2164" s="7" t="s">
        <v>3644</v>
      </c>
      <c r="C2164" s="6" t="s">
        <v>496</v>
      </c>
      <c r="D2164" s="8">
        <v>13</v>
      </c>
      <c r="E2164" s="403"/>
      <c r="F2164" s="403">
        <f>BBNTHT!J2204</f>
        <v>13</v>
      </c>
      <c r="G2164" s="403">
        <f t="shared" si="132"/>
        <v>13</v>
      </c>
      <c r="H2164" s="9">
        <v>14259933</v>
      </c>
      <c r="I2164" s="404">
        <f t="shared" si="133"/>
        <v>185379129</v>
      </c>
      <c r="J2164" s="403"/>
      <c r="K2164" s="404">
        <f t="shared" si="134"/>
        <v>185379129</v>
      </c>
      <c r="L2164" s="405">
        <f t="shared" si="135"/>
        <v>185379129</v>
      </c>
      <c r="M2164" s="403"/>
    </row>
    <row r="2165" spans="1:13" ht="31.5" x14ac:dyDescent="0.25">
      <c r="A2165" s="2" t="s">
        <v>4415</v>
      </c>
      <c r="B2165" s="3" t="s">
        <v>4416</v>
      </c>
      <c r="C2165" s="2"/>
      <c r="D2165" s="4"/>
      <c r="E2165" s="403"/>
      <c r="F2165" s="403">
        <f>BBNTHT!J2205</f>
        <v>0</v>
      </c>
      <c r="G2165" s="403">
        <f t="shared" si="132"/>
        <v>0</v>
      </c>
      <c r="H2165" s="5"/>
      <c r="I2165" s="404">
        <f t="shared" si="133"/>
        <v>0</v>
      </c>
      <c r="J2165" s="403"/>
      <c r="K2165" s="404">
        <f t="shared" si="134"/>
        <v>0</v>
      </c>
      <c r="L2165" s="405">
        <f t="shared" si="135"/>
        <v>0</v>
      </c>
      <c r="M2165" s="403"/>
    </row>
    <row r="2166" spans="1:13" ht="15.75" x14ac:dyDescent="0.25">
      <c r="A2166" s="2" t="s">
        <v>4417</v>
      </c>
      <c r="B2166" s="3" t="s">
        <v>4418</v>
      </c>
      <c r="C2166" s="2"/>
      <c r="D2166" s="4"/>
      <c r="E2166" s="403"/>
      <c r="F2166" s="403">
        <f>BBNTHT!J2206</f>
        <v>0</v>
      </c>
      <c r="G2166" s="403">
        <f t="shared" si="132"/>
        <v>0</v>
      </c>
      <c r="H2166" s="5"/>
      <c r="I2166" s="404">
        <f t="shared" si="133"/>
        <v>0</v>
      </c>
      <c r="J2166" s="403"/>
      <c r="K2166" s="404">
        <f t="shared" si="134"/>
        <v>0</v>
      </c>
      <c r="L2166" s="405">
        <f t="shared" si="135"/>
        <v>0</v>
      </c>
      <c r="M2166" s="403"/>
    </row>
    <row r="2167" spans="1:13" ht="31.5" x14ac:dyDescent="0.25">
      <c r="A2167" s="6" t="s">
        <v>4419</v>
      </c>
      <c r="B2167" s="7" t="s">
        <v>4420</v>
      </c>
      <c r="C2167" s="6" t="s">
        <v>1867</v>
      </c>
      <c r="D2167" s="8">
        <v>2</v>
      </c>
      <c r="E2167" s="403"/>
      <c r="F2167" s="403">
        <f>BBNTHT!J2207</f>
        <v>2</v>
      </c>
      <c r="G2167" s="403">
        <f t="shared" si="132"/>
        <v>2</v>
      </c>
      <c r="H2167" s="9">
        <v>97439813</v>
      </c>
      <c r="I2167" s="404">
        <f t="shared" si="133"/>
        <v>194879626</v>
      </c>
      <c r="J2167" s="403"/>
      <c r="K2167" s="404">
        <f t="shared" si="134"/>
        <v>194879626</v>
      </c>
      <c r="L2167" s="405">
        <f t="shared" si="135"/>
        <v>194879626</v>
      </c>
      <c r="M2167" s="403"/>
    </row>
    <row r="2168" spans="1:13" ht="15.75" x14ac:dyDescent="0.25">
      <c r="A2168" s="2" t="s">
        <v>4421</v>
      </c>
      <c r="B2168" s="3" t="s">
        <v>4422</v>
      </c>
      <c r="C2168" s="2"/>
      <c r="D2168" s="4"/>
      <c r="E2168" s="403"/>
      <c r="F2168" s="403">
        <f>BBNTHT!J2208</f>
        <v>0</v>
      </c>
      <c r="G2168" s="403">
        <f t="shared" si="132"/>
        <v>0</v>
      </c>
      <c r="H2168" s="5"/>
      <c r="I2168" s="404">
        <f t="shared" si="133"/>
        <v>0</v>
      </c>
      <c r="J2168" s="403"/>
      <c r="K2168" s="404">
        <f t="shared" si="134"/>
        <v>0</v>
      </c>
      <c r="L2168" s="405">
        <f t="shared" si="135"/>
        <v>0</v>
      </c>
      <c r="M2168" s="403"/>
    </row>
    <row r="2169" spans="1:13" ht="47.25" x14ac:dyDescent="0.25">
      <c r="A2169" s="6" t="s">
        <v>4423</v>
      </c>
      <c r="B2169" s="7" t="s">
        <v>4424</v>
      </c>
      <c r="C2169" s="6" t="s">
        <v>1867</v>
      </c>
      <c r="D2169" s="8">
        <v>1</v>
      </c>
      <c r="E2169" s="403"/>
      <c r="F2169" s="403">
        <f>BBNTHT!J2209</f>
        <v>1</v>
      </c>
      <c r="G2169" s="403">
        <f t="shared" si="132"/>
        <v>1</v>
      </c>
      <c r="H2169" s="9">
        <v>246256982</v>
      </c>
      <c r="I2169" s="404">
        <f t="shared" si="133"/>
        <v>246256982</v>
      </c>
      <c r="J2169" s="403"/>
      <c r="K2169" s="404">
        <f t="shared" si="134"/>
        <v>246256982</v>
      </c>
      <c r="L2169" s="405">
        <f t="shared" si="135"/>
        <v>246256982</v>
      </c>
      <c r="M2169" s="403"/>
    </row>
    <row r="2170" spans="1:13" ht="47.25" x14ac:dyDescent="0.25">
      <c r="A2170" s="6" t="s">
        <v>4425</v>
      </c>
      <c r="B2170" s="7" t="s">
        <v>4426</v>
      </c>
      <c r="C2170" s="6" t="s">
        <v>1867</v>
      </c>
      <c r="D2170" s="8">
        <v>1</v>
      </c>
      <c r="E2170" s="403"/>
      <c r="F2170" s="403">
        <f>BBNTHT!J2210</f>
        <v>1</v>
      </c>
      <c r="G2170" s="403">
        <f t="shared" si="132"/>
        <v>1</v>
      </c>
      <c r="H2170" s="9">
        <v>344759775</v>
      </c>
      <c r="I2170" s="404">
        <f t="shared" si="133"/>
        <v>344759775</v>
      </c>
      <c r="J2170" s="403"/>
      <c r="K2170" s="404">
        <f t="shared" si="134"/>
        <v>344759775</v>
      </c>
      <c r="L2170" s="405">
        <f t="shared" si="135"/>
        <v>344759775</v>
      </c>
      <c r="M2170" s="403"/>
    </row>
    <row r="2171" spans="1:13" ht="31.5" x14ac:dyDescent="0.25">
      <c r="A2171" s="6" t="s">
        <v>4427</v>
      </c>
      <c r="B2171" s="7" t="s">
        <v>4428</v>
      </c>
      <c r="C2171" s="6" t="s">
        <v>1867</v>
      </c>
      <c r="D2171" s="8">
        <v>1</v>
      </c>
      <c r="E2171" s="403"/>
      <c r="F2171" s="403">
        <f>BBNTHT!J2211</f>
        <v>1</v>
      </c>
      <c r="G2171" s="403">
        <f t="shared" si="132"/>
        <v>1</v>
      </c>
      <c r="H2171" s="9">
        <v>89024557</v>
      </c>
      <c r="I2171" s="404">
        <f t="shared" si="133"/>
        <v>89024557</v>
      </c>
      <c r="J2171" s="403"/>
      <c r="K2171" s="404">
        <f t="shared" si="134"/>
        <v>89024557</v>
      </c>
      <c r="L2171" s="405">
        <f t="shared" si="135"/>
        <v>89024557</v>
      </c>
      <c r="M2171" s="403"/>
    </row>
    <row r="2172" spans="1:13" ht="31.5" x14ac:dyDescent="0.25">
      <c r="A2172" s="6" t="s">
        <v>4429</v>
      </c>
      <c r="B2172" s="7" t="s">
        <v>4430</v>
      </c>
      <c r="C2172" s="6" t="s">
        <v>499</v>
      </c>
      <c r="D2172" s="8">
        <v>1</v>
      </c>
      <c r="E2172" s="403"/>
      <c r="F2172" s="403">
        <f>BBNTHT!J2212</f>
        <v>1</v>
      </c>
      <c r="G2172" s="403">
        <f t="shared" si="132"/>
        <v>1</v>
      </c>
      <c r="H2172" s="9">
        <v>26620380</v>
      </c>
      <c r="I2172" s="404">
        <f t="shared" si="133"/>
        <v>26620380</v>
      </c>
      <c r="J2172" s="403"/>
      <c r="K2172" s="404">
        <f t="shared" si="134"/>
        <v>26620380</v>
      </c>
      <c r="L2172" s="405">
        <f t="shared" si="135"/>
        <v>26620380</v>
      </c>
      <c r="M2172" s="403"/>
    </row>
    <row r="2173" spans="1:13" ht="31.5" x14ac:dyDescent="0.25">
      <c r="A2173" s="6" t="s">
        <v>4431</v>
      </c>
      <c r="B2173" s="7" t="s">
        <v>4432</v>
      </c>
      <c r="C2173" s="6" t="s">
        <v>499</v>
      </c>
      <c r="D2173" s="8">
        <v>1</v>
      </c>
      <c r="E2173" s="403"/>
      <c r="F2173" s="403">
        <f>BBNTHT!J2213</f>
        <v>1</v>
      </c>
      <c r="G2173" s="403">
        <f t="shared" si="132"/>
        <v>1</v>
      </c>
      <c r="H2173" s="9">
        <v>22163128</v>
      </c>
      <c r="I2173" s="404">
        <f t="shared" si="133"/>
        <v>22163128</v>
      </c>
      <c r="J2173" s="403"/>
      <c r="K2173" s="404">
        <f t="shared" si="134"/>
        <v>22163128</v>
      </c>
      <c r="L2173" s="405">
        <f t="shared" si="135"/>
        <v>22163128</v>
      </c>
      <c r="M2173" s="403"/>
    </row>
    <row r="2174" spans="1:13" ht="15.75" x14ac:dyDescent="0.25">
      <c r="A2174" s="6" t="s">
        <v>4433</v>
      </c>
      <c r="B2174" s="7" t="s">
        <v>4434</v>
      </c>
      <c r="C2174" s="6" t="s">
        <v>499</v>
      </c>
      <c r="D2174" s="8">
        <v>1</v>
      </c>
      <c r="E2174" s="403"/>
      <c r="F2174" s="403">
        <f>BBNTHT!J2214</f>
        <v>1</v>
      </c>
      <c r="G2174" s="403">
        <f t="shared" si="132"/>
        <v>1</v>
      </c>
      <c r="H2174" s="9">
        <v>2462570</v>
      </c>
      <c r="I2174" s="404">
        <f t="shared" si="133"/>
        <v>2462570</v>
      </c>
      <c r="J2174" s="403"/>
      <c r="K2174" s="404">
        <f t="shared" si="134"/>
        <v>2462570</v>
      </c>
      <c r="L2174" s="405">
        <f t="shared" si="135"/>
        <v>2462570</v>
      </c>
      <c r="M2174" s="403"/>
    </row>
    <row r="2175" spans="1:13" ht="47.25" x14ac:dyDescent="0.25">
      <c r="A2175" s="6" t="s">
        <v>4435</v>
      </c>
      <c r="B2175" s="7" t="s">
        <v>4436</v>
      </c>
      <c r="C2175" s="6" t="s">
        <v>1867</v>
      </c>
      <c r="D2175" s="8">
        <v>1</v>
      </c>
      <c r="E2175" s="403"/>
      <c r="F2175" s="403">
        <f>BBNTHT!J2215</f>
        <v>1</v>
      </c>
      <c r="G2175" s="403">
        <f t="shared" si="132"/>
        <v>1</v>
      </c>
      <c r="H2175" s="9">
        <v>137903910</v>
      </c>
      <c r="I2175" s="404">
        <f t="shared" si="133"/>
        <v>137903910</v>
      </c>
      <c r="J2175" s="403"/>
      <c r="K2175" s="404">
        <f t="shared" si="134"/>
        <v>137903910</v>
      </c>
      <c r="L2175" s="405">
        <f t="shared" si="135"/>
        <v>137903910</v>
      </c>
      <c r="M2175" s="403"/>
    </row>
    <row r="2176" spans="1:13" ht="47.25" x14ac:dyDescent="0.25">
      <c r="A2176" s="6" t="s">
        <v>4437</v>
      </c>
      <c r="B2176" s="7" t="s">
        <v>4438</v>
      </c>
      <c r="C2176" s="6" t="s">
        <v>1867</v>
      </c>
      <c r="D2176" s="8">
        <v>1</v>
      </c>
      <c r="E2176" s="403"/>
      <c r="F2176" s="403">
        <f>BBNTHT!J2216</f>
        <v>1</v>
      </c>
      <c r="G2176" s="403">
        <f t="shared" si="132"/>
        <v>1</v>
      </c>
      <c r="H2176" s="9">
        <v>179767597</v>
      </c>
      <c r="I2176" s="404">
        <f t="shared" si="133"/>
        <v>179767597</v>
      </c>
      <c r="J2176" s="403"/>
      <c r="K2176" s="404">
        <f t="shared" si="134"/>
        <v>179767597</v>
      </c>
      <c r="L2176" s="405">
        <f t="shared" si="135"/>
        <v>179767597</v>
      </c>
      <c r="M2176" s="403"/>
    </row>
    <row r="2177" spans="1:13" ht="31.5" x14ac:dyDescent="0.25">
      <c r="A2177" s="6" t="s">
        <v>4439</v>
      </c>
      <c r="B2177" s="7" t="s">
        <v>4440</v>
      </c>
      <c r="C2177" s="6" t="s">
        <v>1867</v>
      </c>
      <c r="D2177" s="8">
        <v>1</v>
      </c>
      <c r="E2177" s="403"/>
      <c r="F2177" s="403">
        <f>BBNTHT!J2217</f>
        <v>1</v>
      </c>
      <c r="G2177" s="403">
        <f t="shared" si="132"/>
        <v>1</v>
      </c>
      <c r="H2177" s="9">
        <v>80060094</v>
      </c>
      <c r="I2177" s="404">
        <f t="shared" si="133"/>
        <v>80060094</v>
      </c>
      <c r="J2177" s="403"/>
      <c r="K2177" s="404">
        <f t="shared" si="134"/>
        <v>80060094</v>
      </c>
      <c r="L2177" s="405">
        <f t="shared" si="135"/>
        <v>80060094</v>
      </c>
      <c r="M2177" s="403"/>
    </row>
    <row r="2178" spans="1:13" ht="31.5" x14ac:dyDescent="0.25">
      <c r="A2178" s="6" t="s">
        <v>4441</v>
      </c>
      <c r="B2178" s="7" t="s">
        <v>4430</v>
      </c>
      <c r="C2178" s="6" t="s">
        <v>499</v>
      </c>
      <c r="D2178" s="8">
        <v>1</v>
      </c>
      <c r="E2178" s="403"/>
      <c r="F2178" s="403">
        <f>BBNTHT!J2218</f>
        <v>1</v>
      </c>
      <c r="G2178" s="403">
        <f t="shared" si="132"/>
        <v>1</v>
      </c>
      <c r="H2178" s="9">
        <v>26620380</v>
      </c>
      <c r="I2178" s="404">
        <f t="shared" si="133"/>
        <v>26620380</v>
      </c>
      <c r="J2178" s="403"/>
      <c r="K2178" s="404">
        <f t="shared" si="134"/>
        <v>26620380</v>
      </c>
      <c r="L2178" s="405">
        <f t="shared" si="135"/>
        <v>26620380</v>
      </c>
      <c r="M2178" s="403"/>
    </row>
    <row r="2179" spans="1:13" ht="31.5" x14ac:dyDescent="0.25">
      <c r="A2179" s="6" t="s">
        <v>4442</v>
      </c>
      <c r="B2179" s="7" t="s">
        <v>4432</v>
      </c>
      <c r="C2179" s="6" t="s">
        <v>499</v>
      </c>
      <c r="D2179" s="8">
        <v>1</v>
      </c>
      <c r="E2179" s="403"/>
      <c r="F2179" s="403">
        <f>BBNTHT!J2219</f>
        <v>1</v>
      </c>
      <c r="G2179" s="403">
        <f t="shared" si="132"/>
        <v>1</v>
      </c>
      <c r="H2179" s="9">
        <v>22163128</v>
      </c>
      <c r="I2179" s="404">
        <f t="shared" si="133"/>
        <v>22163128</v>
      </c>
      <c r="J2179" s="403"/>
      <c r="K2179" s="404">
        <f t="shared" si="134"/>
        <v>22163128</v>
      </c>
      <c r="L2179" s="405">
        <f t="shared" si="135"/>
        <v>22163128</v>
      </c>
      <c r="M2179" s="403"/>
    </row>
    <row r="2180" spans="1:13" ht="15.75" x14ac:dyDescent="0.25">
      <c r="A2180" s="6" t="s">
        <v>4443</v>
      </c>
      <c r="B2180" s="7" t="s">
        <v>4434</v>
      </c>
      <c r="C2180" s="6" t="s">
        <v>499</v>
      </c>
      <c r="D2180" s="8">
        <v>1</v>
      </c>
      <c r="E2180" s="403"/>
      <c r="F2180" s="403">
        <f>BBNTHT!J2220</f>
        <v>1</v>
      </c>
      <c r="G2180" s="403">
        <f t="shared" si="132"/>
        <v>1</v>
      </c>
      <c r="H2180" s="9">
        <v>2462570</v>
      </c>
      <c r="I2180" s="404">
        <f t="shared" si="133"/>
        <v>2462570</v>
      </c>
      <c r="J2180" s="403"/>
      <c r="K2180" s="404">
        <f t="shared" si="134"/>
        <v>2462570</v>
      </c>
      <c r="L2180" s="405">
        <f t="shared" si="135"/>
        <v>2462570</v>
      </c>
      <c r="M2180" s="403"/>
    </row>
    <row r="2181" spans="1:13" ht="15.75" x14ac:dyDescent="0.25">
      <c r="A2181" s="2" t="s">
        <v>4444</v>
      </c>
      <c r="B2181" s="3" t="s">
        <v>4445</v>
      </c>
      <c r="C2181" s="2"/>
      <c r="D2181" s="4"/>
      <c r="E2181" s="403"/>
      <c r="F2181" s="403">
        <f>BBNTHT!J2221</f>
        <v>0</v>
      </c>
      <c r="G2181" s="403">
        <f t="shared" si="132"/>
        <v>0</v>
      </c>
      <c r="H2181" s="5"/>
      <c r="I2181" s="404">
        <f t="shared" si="133"/>
        <v>0</v>
      </c>
      <c r="J2181" s="403"/>
      <c r="K2181" s="404">
        <f t="shared" si="134"/>
        <v>0</v>
      </c>
      <c r="L2181" s="405">
        <f t="shared" si="135"/>
        <v>0</v>
      </c>
      <c r="M2181" s="403"/>
    </row>
    <row r="2182" spans="1:13" ht="47.25" x14ac:dyDescent="0.25">
      <c r="A2182" s="6" t="s">
        <v>4446</v>
      </c>
      <c r="B2182" s="7" t="s">
        <v>4447</v>
      </c>
      <c r="C2182" s="6" t="s">
        <v>1867</v>
      </c>
      <c r="D2182" s="8">
        <v>1</v>
      </c>
      <c r="E2182" s="403"/>
      <c r="F2182" s="403">
        <f>BBNTHT!J2222</f>
        <v>1</v>
      </c>
      <c r="G2182" s="403">
        <f t="shared" si="132"/>
        <v>1</v>
      </c>
      <c r="H2182" s="9">
        <v>23998974</v>
      </c>
      <c r="I2182" s="404">
        <f t="shared" si="133"/>
        <v>23998974</v>
      </c>
      <c r="J2182" s="403"/>
      <c r="K2182" s="404">
        <f t="shared" si="134"/>
        <v>23998974</v>
      </c>
      <c r="L2182" s="405">
        <f t="shared" si="135"/>
        <v>23998974</v>
      </c>
      <c r="M2182" s="403"/>
    </row>
    <row r="2183" spans="1:13" ht="47.25" x14ac:dyDescent="0.25">
      <c r="A2183" s="6" t="s">
        <v>4448</v>
      </c>
      <c r="B2183" s="7" t="s">
        <v>4449</v>
      </c>
      <c r="C2183" s="6" t="s">
        <v>1867</v>
      </c>
      <c r="D2183" s="8">
        <v>1</v>
      </c>
      <c r="E2183" s="403"/>
      <c r="F2183" s="403">
        <f>BBNTHT!J2223</f>
        <v>1</v>
      </c>
      <c r="G2183" s="403">
        <f t="shared" si="132"/>
        <v>1</v>
      </c>
      <c r="H2183" s="9">
        <v>28712333</v>
      </c>
      <c r="I2183" s="404">
        <f t="shared" si="133"/>
        <v>28712333</v>
      </c>
      <c r="J2183" s="403"/>
      <c r="K2183" s="404">
        <f t="shared" si="134"/>
        <v>28712333</v>
      </c>
      <c r="L2183" s="405">
        <f t="shared" si="135"/>
        <v>28712333</v>
      </c>
      <c r="M2183" s="403"/>
    </row>
    <row r="2184" spans="1:13" ht="47.25" x14ac:dyDescent="0.25">
      <c r="A2184" s="6" t="s">
        <v>4450</v>
      </c>
      <c r="B2184" s="7" t="s">
        <v>4451</v>
      </c>
      <c r="C2184" s="6" t="s">
        <v>1867</v>
      </c>
      <c r="D2184" s="8">
        <v>1</v>
      </c>
      <c r="E2184" s="403"/>
      <c r="F2184" s="403">
        <f>BBNTHT!J2224</f>
        <v>1</v>
      </c>
      <c r="G2184" s="403">
        <f t="shared" si="132"/>
        <v>1</v>
      </c>
      <c r="H2184" s="9">
        <v>56857659</v>
      </c>
      <c r="I2184" s="404">
        <f t="shared" si="133"/>
        <v>56857659</v>
      </c>
      <c r="J2184" s="403"/>
      <c r="K2184" s="404">
        <f t="shared" si="134"/>
        <v>56857659</v>
      </c>
      <c r="L2184" s="405">
        <f t="shared" si="135"/>
        <v>56857659</v>
      </c>
      <c r="M2184" s="403"/>
    </row>
    <row r="2185" spans="1:13" ht="47.25" x14ac:dyDescent="0.25">
      <c r="A2185" s="6" t="s">
        <v>4452</v>
      </c>
      <c r="B2185" s="7" t="s">
        <v>4453</v>
      </c>
      <c r="C2185" s="6" t="s">
        <v>1867</v>
      </c>
      <c r="D2185" s="8">
        <v>2</v>
      </c>
      <c r="E2185" s="403"/>
      <c r="F2185" s="403">
        <f>BBNTHT!J2225</f>
        <v>2</v>
      </c>
      <c r="G2185" s="403">
        <f t="shared" si="132"/>
        <v>2</v>
      </c>
      <c r="H2185" s="9">
        <v>66962198</v>
      </c>
      <c r="I2185" s="404">
        <f t="shared" si="133"/>
        <v>133924396</v>
      </c>
      <c r="J2185" s="403"/>
      <c r="K2185" s="404">
        <f t="shared" si="134"/>
        <v>133924396</v>
      </c>
      <c r="L2185" s="405">
        <f t="shared" si="135"/>
        <v>133924396</v>
      </c>
      <c r="M2185" s="403"/>
    </row>
    <row r="2186" spans="1:13" ht="47.25" x14ac:dyDescent="0.25">
      <c r="A2186" s="6" t="s">
        <v>4454</v>
      </c>
      <c r="B2186" s="7" t="s">
        <v>4455</v>
      </c>
      <c r="C2186" s="6" t="s">
        <v>1867</v>
      </c>
      <c r="D2186" s="8">
        <v>1</v>
      </c>
      <c r="E2186" s="403"/>
      <c r="F2186" s="403">
        <f>BBNTHT!J2226</f>
        <v>1</v>
      </c>
      <c r="G2186" s="403">
        <f t="shared" si="132"/>
        <v>1</v>
      </c>
      <c r="H2186" s="9">
        <v>55010731</v>
      </c>
      <c r="I2186" s="404">
        <f t="shared" si="133"/>
        <v>55010731</v>
      </c>
      <c r="J2186" s="403"/>
      <c r="K2186" s="404">
        <f t="shared" si="134"/>
        <v>55010731</v>
      </c>
      <c r="L2186" s="405">
        <f t="shared" si="135"/>
        <v>55010731</v>
      </c>
      <c r="M2186" s="403"/>
    </row>
    <row r="2187" spans="1:13" ht="47.25" x14ac:dyDescent="0.25">
      <c r="A2187" s="6" t="s">
        <v>4456</v>
      </c>
      <c r="B2187" s="7" t="s">
        <v>4457</v>
      </c>
      <c r="C2187" s="6" t="s">
        <v>1867</v>
      </c>
      <c r="D2187" s="8">
        <v>1</v>
      </c>
      <c r="E2187" s="403"/>
      <c r="F2187" s="403">
        <f>BBNTHT!J2227</f>
        <v>1</v>
      </c>
      <c r="G2187" s="403">
        <f t="shared" si="132"/>
        <v>1</v>
      </c>
      <c r="H2187" s="9">
        <v>66962198</v>
      </c>
      <c r="I2187" s="404">
        <f t="shared" si="133"/>
        <v>66962198</v>
      </c>
      <c r="J2187" s="403"/>
      <c r="K2187" s="404">
        <f t="shared" si="134"/>
        <v>66962198</v>
      </c>
      <c r="L2187" s="405">
        <f t="shared" si="135"/>
        <v>66962198</v>
      </c>
      <c r="M2187" s="403"/>
    </row>
    <row r="2188" spans="1:13" ht="47.25" x14ac:dyDescent="0.25">
      <c r="A2188" s="6" t="s">
        <v>4458</v>
      </c>
      <c r="B2188" s="7" t="s">
        <v>4459</v>
      </c>
      <c r="C2188" s="6" t="s">
        <v>1867</v>
      </c>
      <c r="D2188" s="8">
        <v>2</v>
      </c>
      <c r="E2188" s="403"/>
      <c r="F2188" s="403">
        <f>BBNTHT!J2228</f>
        <v>2</v>
      </c>
      <c r="G2188" s="403">
        <f t="shared" si="132"/>
        <v>2</v>
      </c>
      <c r="H2188" s="9">
        <v>28996760</v>
      </c>
      <c r="I2188" s="404">
        <f t="shared" si="133"/>
        <v>57993520</v>
      </c>
      <c r="J2188" s="403"/>
      <c r="K2188" s="404">
        <f t="shared" si="134"/>
        <v>57993520</v>
      </c>
      <c r="L2188" s="405">
        <f t="shared" si="135"/>
        <v>57993520</v>
      </c>
      <c r="M2188" s="403"/>
    </row>
    <row r="2189" spans="1:13" ht="47.25" x14ac:dyDescent="0.25">
      <c r="A2189" s="6" t="s">
        <v>4460</v>
      </c>
      <c r="B2189" s="7" t="s">
        <v>4461</v>
      </c>
      <c r="C2189" s="6" t="s">
        <v>1867</v>
      </c>
      <c r="D2189" s="8">
        <v>1</v>
      </c>
      <c r="E2189" s="403"/>
      <c r="F2189" s="403">
        <f>BBNTHT!J2229</f>
        <v>1</v>
      </c>
      <c r="G2189" s="403">
        <f t="shared" si="132"/>
        <v>1</v>
      </c>
      <c r="H2189" s="9">
        <v>33013827</v>
      </c>
      <c r="I2189" s="404">
        <f t="shared" si="133"/>
        <v>33013827</v>
      </c>
      <c r="J2189" s="403"/>
      <c r="K2189" s="404">
        <f t="shared" si="134"/>
        <v>33013827</v>
      </c>
      <c r="L2189" s="405">
        <f t="shared" si="135"/>
        <v>33013827</v>
      </c>
      <c r="M2189" s="403"/>
    </row>
    <row r="2190" spans="1:13" ht="47.25" x14ac:dyDescent="0.25">
      <c r="A2190" s="6" t="s">
        <v>4462</v>
      </c>
      <c r="B2190" s="7" t="s">
        <v>4463</v>
      </c>
      <c r="C2190" s="6" t="s">
        <v>1867</v>
      </c>
      <c r="D2190" s="8">
        <v>1</v>
      </c>
      <c r="E2190" s="403"/>
      <c r="F2190" s="403">
        <f>BBNTHT!J2230</f>
        <v>1</v>
      </c>
      <c r="G2190" s="403">
        <f t="shared" si="132"/>
        <v>1</v>
      </c>
      <c r="H2190" s="9">
        <v>23998974</v>
      </c>
      <c r="I2190" s="404">
        <f t="shared" si="133"/>
        <v>23998974</v>
      </c>
      <c r="J2190" s="403"/>
      <c r="K2190" s="404">
        <f t="shared" si="134"/>
        <v>23998974</v>
      </c>
      <c r="L2190" s="405">
        <f t="shared" si="135"/>
        <v>23998974</v>
      </c>
      <c r="M2190" s="403"/>
    </row>
    <row r="2191" spans="1:13" ht="47.25" x14ac:dyDescent="0.25">
      <c r="A2191" s="6" t="s">
        <v>4464</v>
      </c>
      <c r="B2191" s="7" t="s">
        <v>4465</v>
      </c>
      <c r="C2191" s="6" t="s">
        <v>1867</v>
      </c>
      <c r="D2191" s="8">
        <v>1</v>
      </c>
      <c r="E2191" s="403"/>
      <c r="F2191" s="403">
        <f>BBNTHT!J2231</f>
        <v>1</v>
      </c>
      <c r="G2191" s="403">
        <f t="shared" si="132"/>
        <v>1</v>
      </c>
      <c r="H2191" s="9">
        <v>42468248</v>
      </c>
      <c r="I2191" s="404">
        <f t="shared" si="133"/>
        <v>42468248</v>
      </c>
      <c r="J2191" s="403"/>
      <c r="K2191" s="404">
        <f t="shared" si="134"/>
        <v>42468248</v>
      </c>
      <c r="L2191" s="405">
        <f t="shared" si="135"/>
        <v>42468248</v>
      </c>
      <c r="M2191" s="403"/>
    </row>
    <row r="2192" spans="1:13" ht="47.25" x14ac:dyDescent="0.25">
      <c r="A2192" s="6" t="s">
        <v>4466</v>
      </c>
      <c r="B2192" s="7" t="s">
        <v>4467</v>
      </c>
      <c r="C2192" s="6" t="s">
        <v>1867</v>
      </c>
      <c r="D2192" s="8">
        <v>1</v>
      </c>
      <c r="E2192" s="403"/>
      <c r="F2192" s="403">
        <f>BBNTHT!J2232</f>
        <v>1</v>
      </c>
      <c r="G2192" s="403">
        <f t="shared" si="132"/>
        <v>1</v>
      </c>
      <c r="H2192" s="9">
        <v>35054681</v>
      </c>
      <c r="I2192" s="404">
        <f t="shared" si="133"/>
        <v>35054681</v>
      </c>
      <c r="J2192" s="403"/>
      <c r="K2192" s="404">
        <f t="shared" si="134"/>
        <v>35054681</v>
      </c>
      <c r="L2192" s="405">
        <f t="shared" si="135"/>
        <v>35054681</v>
      </c>
      <c r="M2192" s="403"/>
    </row>
    <row r="2193" spans="1:13" ht="47.25" x14ac:dyDescent="0.25">
      <c r="A2193" s="6" t="s">
        <v>4468</v>
      </c>
      <c r="B2193" s="7" t="s">
        <v>4469</v>
      </c>
      <c r="C2193" s="6" t="s">
        <v>1867</v>
      </c>
      <c r="D2193" s="8">
        <v>2</v>
      </c>
      <c r="E2193" s="403"/>
      <c r="F2193" s="403">
        <f>BBNTHT!J2233</f>
        <v>2</v>
      </c>
      <c r="G2193" s="403">
        <f t="shared" si="132"/>
        <v>2</v>
      </c>
      <c r="H2193" s="9">
        <v>58098794</v>
      </c>
      <c r="I2193" s="404">
        <f t="shared" si="133"/>
        <v>116197588</v>
      </c>
      <c r="J2193" s="403"/>
      <c r="K2193" s="404">
        <f t="shared" si="134"/>
        <v>116197588</v>
      </c>
      <c r="L2193" s="405">
        <f t="shared" si="135"/>
        <v>116197588</v>
      </c>
      <c r="M2193" s="403"/>
    </row>
    <row r="2194" spans="1:13" ht="47.25" x14ac:dyDescent="0.25">
      <c r="A2194" s="6" t="s">
        <v>4470</v>
      </c>
      <c r="B2194" s="7" t="s">
        <v>4471</v>
      </c>
      <c r="C2194" s="6" t="s">
        <v>1867</v>
      </c>
      <c r="D2194" s="8">
        <v>3</v>
      </c>
      <c r="E2194" s="403"/>
      <c r="F2194" s="403">
        <f>BBNTHT!J2234</f>
        <v>3</v>
      </c>
      <c r="G2194" s="403">
        <f t="shared" ref="G2194:G2212" si="136">F2194+E2194</f>
        <v>3</v>
      </c>
      <c r="H2194" s="9">
        <v>53265385</v>
      </c>
      <c r="I2194" s="404">
        <f t="shared" ref="I2194:I2212" si="137">ROUND(D2194*H2194,0)</f>
        <v>159796155</v>
      </c>
      <c r="J2194" s="403"/>
      <c r="K2194" s="404">
        <f t="shared" ref="K2194:K2212" si="138">ROUND(F2194*H2194,0)</f>
        <v>159796155</v>
      </c>
      <c r="L2194" s="405">
        <f t="shared" ref="L2194:L2212" si="139">J2194+K2194</f>
        <v>159796155</v>
      </c>
      <c r="M2194" s="403"/>
    </row>
    <row r="2195" spans="1:13" ht="47.25" x14ac:dyDescent="0.25">
      <c r="A2195" s="6" t="s">
        <v>4472</v>
      </c>
      <c r="B2195" s="7" t="s">
        <v>4473</v>
      </c>
      <c r="C2195" s="6" t="s">
        <v>1867</v>
      </c>
      <c r="D2195" s="8">
        <v>1</v>
      </c>
      <c r="E2195" s="403"/>
      <c r="F2195" s="403">
        <f>BBNTHT!J2235</f>
        <v>1</v>
      </c>
      <c r="G2195" s="403">
        <f t="shared" si="136"/>
        <v>1</v>
      </c>
      <c r="H2195" s="9">
        <v>52223635</v>
      </c>
      <c r="I2195" s="404">
        <f t="shared" si="137"/>
        <v>52223635</v>
      </c>
      <c r="J2195" s="403"/>
      <c r="K2195" s="404">
        <f t="shared" si="138"/>
        <v>52223635</v>
      </c>
      <c r="L2195" s="405">
        <f t="shared" si="139"/>
        <v>52223635</v>
      </c>
      <c r="M2195" s="403"/>
    </row>
    <row r="2196" spans="1:13" ht="47.25" x14ac:dyDescent="0.25">
      <c r="A2196" s="6" t="s">
        <v>4474</v>
      </c>
      <c r="B2196" s="7" t="s">
        <v>4475</v>
      </c>
      <c r="C2196" s="6" t="s">
        <v>1867</v>
      </c>
      <c r="D2196" s="8">
        <v>2</v>
      </c>
      <c r="E2196" s="403"/>
      <c r="F2196" s="403">
        <f>BBNTHT!J2236</f>
        <v>2</v>
      </c>
      <c r="G2196" s="403">
        <f t="shared" si="136"/>
        <v>2</v>
      </c>
      <c r="H2196" s="9">
        <v>60190740</v>
      </c>
      <c r="I2196" s="404">
        <f t="shared" si="137"/>
        <v>120381480</v>
      </c>
      <c r="J2196" s="403"/>
      <c r="K2196" s="404">
        <f t="shared" si="138"/>
        <v>120381480</v>
      </c>
      <c r="L2196" s="405">
        <f t="shared" si="139"/>
        <v>120381480</v>
      </c>
      <c r="M2196" s="403"/>
    </row>
    <row r="2197" spans="1:13" ht="47.25" x14ac:dyDescent="0.25">
      <c r="A2197" s="6" t="s">
        <v>4476</v>
      </c>
      <c r="B2197" s="7" t="s">
        <v>4477</v>
      </c>
      <c r="C2197" s="6" t="s">
        <v>1867</v>
      </c>
      <c r="D2197" s="8">
        <v>1</v>
      </c>
      <c r="E2197" s="403"/>
      <c r="F2197" s="403">
        <f>BBNTHT!J2237</f>
        <v>1</v>
      </c>
      <c r="G2197" s="403">
        <f t="shared" si="136"/>
        <v>1</v>
      </c>
      <c r="H2197" s="9">
        <v>69512536</v>
      </c>
      <c r="I2197" s="404">
        <f t="shared" si="137"/>
        <v>69512536</v>
      </c>
      <c r="J2197" s="403"/>
      <c r="K2197" s="404">
        <f t="shared" si="138"/>
        <v>69512536</v>
      </c>
      <c r="L2197" s="405">
        <f t="shared" si="139"/>
        <v>69512536</v>
      </c>
      <c r="M2197" s="403"/>
    </row>
    <row r="2198" spans="1:13" ht="47.25" x14ac:dyDescent="0.25">
      <c r="A2198" s="6" t="s">
        <v>4478</v>
      </c>
      <c r="B2198" s="7" t="s">
        <v>4479</v>
      </c>
      <c r="C2198" s="6" t="s">
        <v>1867</v>
      </c>
      <c r="D2198" s="8">
        <v>1</v>
      </c>
      <c r="E2198" s="403"/>
      <c r="F2198" s="403">
        <f>BBNTHT!J2238</f>
        <v>1</v>
      </c>
      <c r="G2198" s="403">
        <f t="shared" si="136"/>
        <v>1</v>
      </c>
      <c r="H2198" s="9">
        <v>47878998</v>
      </c>
      <c r="I2198" s="404">
        <f t="shared" si="137"/>
        <v>47878998</v>
      </c>
      <c r="J2198" s="403"/>
      <c r="K2198" s="404">
        <f t="shared" si="138"/>
        <v>47878998</v>
      </c>
      <c r="L2198" s="405">
        <f t="shared" si="139"/>
        <v>47878998</v>
      </c>
      <c r="M2198" s="403"/>
    </row>
    <row r="2199" spans="1:13" ht="47.25" x14ac:dyDescent="0.25">
      <c r="A2199" s="6" t="s">
        <v>4480</v>
      </c>
      <c r="B2199" s="7" t="s">
        <v>4481</v>
      </c>
      <c r="C2199" s="6" t="s">
        <v>1867</v>
      </c>
      <c r="D2199" s="8">
        <v>2</v>
      </c>
      <c r="E2199" s="403"/>
      <c r="F2199" s="403">
        <f>BBNTHT!J2239</f>
        <v>2</v>
      </c>
      <c r="G2199" s="403">
        <f t="shared" si="136"/>
        <v>2</v>
      </c>
      <c r="H2199" s="9">
        <v>60190740</v>
      </c>
      <c r="I2199" s="404">
        <f t="shared" si="137"/>
        <v>120381480</v>
      </c>
      <c r="J2199" s="403"/>
      <c r="K2199" s="404">
        <f t="shared" si="138"/>
        <v>120381480</v>
      </c>
      <c r="L2199" s="405">
        <f t="shared" si="139"/>
        <v>120381480</v>
      </c>
      <c r="M2199" s="403"/>
    </row>
    <row r="2200" spans="1:13" ht="31.5" x14ac:dyDescent="0.25">
      <c r="A2200" s="6" t="s">
        <v>4482</v>
      </c>
      <c r="B2200" s="7" t="s">
        <v>4483</v>
      </c>
      <c r="C2200" s="6" t="s">
        <v>499</v>
      </c>
      <c r="D2200" s="8">
        <v>1</v>
      </c>
      <c r="E2200" s="403"/>
      <c r="F2200" s="403">
        <f>BBNTHT!J2240</f>
        <v>1</v>
      </c>
      <c r="G2200" s="403">
        <f t="shared" si="136"/>
        <v>1</v>
      </c>
      <c r="H2200" s="9">
        <v>32539125</v>
      </c>
      <c r="I2200" s="404">
        <f t="shared" si="137"/>
        <v>32539125</v>
      </c>
      <c r="J2200" s="403"/>
      <c r="K2200" s="404">
        <f t="shared" si="138"/>
        <v>32539125</v>
      </c>
      <c r="L2200" s="405">
        <f t="shared" si="139"/>
        <v>32539125</v>
      </c>
      <c r="M2200" s="403"/>
    </row>
    <row r="2201" spans="1:13" ht="31.5" x14ac:dyDescent="0.25">
      <c r="A2201" s="6" t="s">
        <v>4484</v>
      </c>
      <c r="B2201" s="7" t="s">
        <v>4485</v>
      </c>
      <c r="C2201" s="6" t="s">
        <v>499</v>
      </c>
      <c r="D2201" s="8">
        <v>1</v>
      </c>
      <c r="E2201" s="403"/>
      <c r="F2201" s="403">
        <f>BBNTHT!J2241</f>
        <v>1</v>
      </c>
      <c r="G2201" s="403">
        <f t="shared" si="136"/>
        <v>1</v>
      </c>
      <c r="H2201" s="9">
        <v>69726696</v>
      </c>
      <c r="I2201" s="404">
        <f t="shared" si="137"/>
        <v>69726696</v>
      </c>
      <c r="J2201" s="403"/>
      <c r="K2201" s="404">
        <f t="shared" si="138"/>
        <v>69726696</v>
      </c>
      <c r="L2201" s="405">
        <f t="shared" si="139"/>
        <v>69726696</v>
      </c>
      <c r="M2201" s="403"/>
    </row>
    <row r="2202" spans="1:13" ht="31.5" x14ac:dyDescent="0.25">
      <c r="A2202" s="6" t="s">
        <v>4486</v>
      </c>
      <c r="B2202" s="7" t="s">
        <v>4487</v>
      </c>
      <c r="C2202" s="6" t="s">
        <v>499</v>
      </c>
      <c r="D2202" s="8">
        <v>1</v>
      </c>
      <c r="E2202" s="403"/>
      <c r="F2202" s="403">
        <f>BBNTHT!J2242</f>
        <v>1</v>
      </c>
      <c r="G2202" s="403">
        <f t="shared" si="136"/>
        <v>1</v>
      </c>
      <c r="H2202" s="9">
        <v>34863348</v>
      </c>
      <c r="I2202" s="404">
        <f t="shared" si="137"/>
        <v>34863348</v>
      </c>
      <c r="J2202" s="403"/>
      <c r="K2202" s="404">
        <f t="shared" si="138"/>
        <v>34863348</v>
      </c>
      <c r="L2202" s="405">
        <f t="shared" si="139"/>
        <v>34863348</v>
      </c>
      <c r="M2202" s="403"/>
    </row>
    <row r="2203" spans="1:13" ht="31.5" x14ac:dyDescent="0.25">
      <c r="A2203" s="6" t="s">
        <v>4488</v>
      </c>
      <c r="B2203" s="7" t="s">
        <v>4489</v>
      </c>
      <c r="C2203" s="6" t="s">
        <v>499</v>
      </c>
      <c r="D2203" s="8">
        <v>1</v>
      </c>
      <c r="E2203" s="403"/>
      <c r="F2203" s="403">
        <f>BBNTHT!J2243</f>
        <v>1</v>
      </c>
      <c r="G2203" s="403">
        <f t="shared" si="136"/>
        <v>1</v>
      </c>
      <c r="H2203" s="9">
        <v>34863348</v>
      </c>
      <c r="I2203" s="404">
        <f t="shared" si="137"/>
        <v>34863348</v>
      </c>
      <c r="J2203" s="403"/>
      <c r="K2203" s="404">
        <f t="shared" si="138"/>
        <v>34863348</v>
      </c>
      <c r="L2203" s="405">
        <f t="shared" si="139"/>
        <v>34863348</v>
      </c>
      <c r="M2203" s="403"/>
    </row>
    <row r="2204" spans="1:13" ht="31.5" x14ac:dyDescent="0.25">
      <c r="A2204" s="6" t="s">
        <v>4490</v>
      </c>
      <c r="B2204" s="7" t="s">
        <v>4491</v>
      </c>
      <c r="C2204" s="6" t="s">
        <v>499</v>
      </c>
      <c r="D2204" s="8">
        <v>1</v>
      </c>
      <c r="E2204" s="403"/>
      <c r="F2204" s="403">
        <f>BBNTHT!J2244</f>
        <v>1</v>
      </c>
      <c r="G2204" s="403">
        <f t="shared" si="136"/>
        <v>1</v>
      </c>
      <c r="H2204" s="9">
        <v>116211160</v>
      </c>
      <c r="I2204" s="404">
        <f t="shared" si="137"/>
        <v>116211160</v>
      </c>
      <c r="J2204" s="403"/>
      <c r="K2204" s="404">
        <f t="shared" si="138"/>
        <v>116211160</v>
      </c>
      <c r="L2204" s="405">
        <f t="shared" si="139"/>
        <v>116211160</v>
      </c>
      <c r="M2204" s="403"/>
    </row>
    <row r="2205" spans="1:13" ht="31.5" x14ac:dyDescent="0.25">
      <c r="A2205" s="2" t="s">
        <v>2639</v>
      </c>
      <c r="B2205" s="3" t="s">
        <v>2640</v>
      </c>
      <c r="C2205" s="2"/>
      <c r="D2205" s="4"/>
      <c r="E2205" s="403"/>
      <c r="F2205" s="403">
        <f>BBNTHT!J2245</f>
        <v>0</v>
      </c>
      <c r="G2205" s="403">
        <f t="shared" si="136"/>
        <v>0</v>
      </c>
      <c r="H2205" s="5"/>
      <c r="I2205" s="404">
        <f t="shared" si="137"/>
        <v>0</v>
      </c>
      <c r="J2205" s="403"/>
      <c r="K2205" s="404">
        <f t="shared" si="138"/>
        <v>0</v>
      </c>
      <c r="L2205" s="405">
        <f t="shared" si="139"/>
        <v>0</v>
      </c>
      <c r="M2205" s="403"/>
    </row>
    <row r="2206" spans="1:13" ht="31.5" x14ac:dyDescent="0.25">
      <c r="A2206" s="2" t="s">
        <v>2641</v>
      </c>
      <c r="B2206" s="3" t="s">
        <v>2642</v>
      </c>
      <c r="C2206" s="2"/>
      <c r="D2206" s="4"/>
      <c r="E2206" s="403"/>
      <c r="F2206" s="403">
        <f>BBNTHT!J2246</f>
        <v>0</v>
      </c>
      <c r="G2206" s="403">
        <f t="shared" si="136"/>
        <v>0</v>
      </c>
      <c r="H2206" s="5"/>
      <c r="I2206" s="404">
        <f t="shared" si="137"/>
        <v>0</v>
      </c>
      <c r="J2206" s="403"/>
      <c r="K2206" s="404">
        <f t="shared" si="138"/>
        <v>0</v>
      </c>
      <c r="L2206" s="405">
        <f t="shared" si="139"/>
        <v>0</v>
      </c>
      <c r="M2206" s="403"/>
    </row>
    <row r="2207" spans="1:13" ht="31.5" x14ac:dyDescent="0.25">
      <c r="A2207" s="6" t="s">
        <v>2643</v>
      </c>
      <c r="B2207" s="7" t="s">
        <v>2644</v>
      </c>
      <c r="C2207" s="6" t="s">
        <v>2555</v>
      </c>
      <c r="D2207" s="8">
        <v>2</v>
      </c>
      <c r="E2207" s="403"/>
      <c r="F2207" s="403">
        <f>BBNTHT!J2247</f>
        <v>2</v>
      </c>
      <c r="G2207" s="403">
        <f t="shared" si="136"/>
        <v>2</v>
      </c>
      <c r="H2207" s="9">
        <v>62648326</v>
      </c>
      <c r="I2207" s="404">
        <f t="shared" si="137"/>
        <v>125296652</v>
      </c>
      <c r="J2207" s="403"/>
      <c r="K2207" s="404">
        <f t="shared" si="138"/>
        <v>125296652</v>
      </c>
      <c r="L2207" s="405">
        <f t="shared" si="139"/>
        <v>125296652</v>
      </c>
      <c r="M2207" s="403"/>
    </row>
    <row r="2208" spans="1:13" ht="31.5" x14ac:dyDescent="0.25">
      <c r="A2208" s="6" t="s">
        <v>2645</v>
      </c>
      <c r="B2208" s="7" t="s">
        <v>2646</v>
      </c>
      <c r="C2208" s="6" t="s">
        <v>2555</v>
      </c>
      <c r="D2208" s="8">
        <v>2</v>
      </c>
      <c r="E2208" s="403"/>
      <c r="F2208" s="403">
        <f>BBNTHT!J2248</f>
        <v>2</v>
      </c>
      <c r="G2208" s="403">
        <f t="shared" si="136"/>
        <v>2</v>
      </c>
      <c r="H2208" s="9">
        <v>26198391</v>
      </c>
      <c r="I2208" s="404">
        <f t="shared" si="137"/>
        <v>52396782</v>
      </c>
      <c r="J2208" s="403"/>
      <c r="K2208" s="404">
        <f t="shared" si="138"/>
        <v>52396782</v>
      </c>
      <c r="L2208" s="405">
        <f t="shared" si="139"/>
        <v>52396782</v>
      </c>
      <c r="M2208" s="403"/>
    </row>
    <row r="2209" spans="1:13" ht="31.5" x14ac:dyDescent="0.25">
      <c r="A2209" s="6" t="s">
        <v>2647</v>
      </c>
      <c r="B2209" s="7" t="s">
        <v>2648</v>
      </c>
      <c r="C2209" s="6" t="s">
        <v>2555</v>
      </c>
      <c r="D2209" s="8">
        <v>2</v>
      </c>
      <c r="E2209" s="403"/>
      <c r="F2209" s="403">
        <f>BBNTHT!J2249</f>
        <v>2</v>
      </c>
      <c r="G2209" s="403">
        <f t="shared" si="136"/>
        <v>2</v>
      </c>
      <c r="H2209" s="9">
        <v>19136216</v>
      </c>
      <c r="I2209" s="404">
        <f t="shared" si="137"/>
        <v>38272432</v>
      </c>
      <c r="J2209" s="403"/>
      <c r="K2209" s="404">
        <f t="shared" si="138"/>
        <v>38272432</v>
      </c>
      <c r="L2209" s="405">
        <f t="shared" si="139"/>
        <v>38272432</v>
      </c>
      <c r="M2209" s="403"/>
    </row>
    <row r="2210" spans="1:13" ht="31.5" x14ac:dyDescent="0.25">
      <c r="A2210" s="6" t="s">
        <v>2649</v>
      </c>
      <c r="B2210" s="7" t="s">
        <v>2650</v>
      </c>
      <c r="C2210" s="6" t="s">
        <v>2555</v>
      </c>
      <c r="D2210" s="8">
        <v>6</v>
      </c>
      <c r="E2210" s="403"/>
      <c r="F2210" s="403">
        <f>BBNTHT!J2250</f>
        <v>6</v>
      </c>
      <c r="G2210" s="403">
        <f t="shared" si="136"/>
        <v>6</v>
      </c>
      <c r="H2210" s="9">
        <v>10251544</v>
      </c>
      <c r="I2210" s="404">
        <f t="shared" si="137"/>
        <v>61509264</v>
      </c>
      <c r="J2210" s="403"/>
      <c r="K2210" s="404">
        <f t="shared" si="138"/>
        <v>61509264</v>
      </c>
      <c r="L2210" s="405">
        <f t="shared" si="139"/>
        <v>61509264</v>
      </c>
      <c r="M2210" s="403"/>
    </row>
    <row r="2211" spans="1:13" ht="15.75" x14ac:dyDescent="0.25">
      <c r="A2211" s="2" t="s">
        <v>2651</v>
      </c>
      <c r="B2211" s="3" t="s">
        <v>2652</v>
      </c>
      <c r="C2211" s="2"/>
      <c r="D2211" s="4"/>
      <c r="E2211" s="403"/>
      <c r="F2211" s="403">
        <f>BBNTHT!J2251</f>
        <v>0</v>
      </c>
      <c r="G2211" s="403">
        <f t="shared" si="136"/>
        <v>0</v>
      </c>
      <c r="H2211" s="5"/>
      <c r="I2211" s="404">
        <f t="shared" si="137"/>
        <v>0</v>
      </c>
      <c r="J2211" s="403"/>
      <c r="K2211" s="404">
        <f t="shared" si="138"/>
        <v>0</v>
      </c>
      <c r="L2211" s="405">
        <f t="shared" si="139"/>
        <v>0</v>
      </c>
      <c r="M2211" s="403"/>
    </row>
    <row r="2212" spans="1:13" ht="15.75" x14ac:dyDescent="0.25">
      <c r="A2212" s="6" t="s">
        <v>2653</v>
      </c>
      <c r="B2212" s="7" t="s">
        <v>2654</v>
      </c>
      <c r="C2212" s="6" t="s">
        <v>2555</v>
      </c>
      <c r="D2212" s="8">
        <v>240</v>
      </c>
      <c r="E2212" s="403"/>
      <c r="F2212" s="403">
        <f>BBNTHT!J2252</f>
        <v>0</v>
      </c>
      <c r="G2212" s="403">
        <f t="shared" si="136"/>
        <v>0</v>
      </c>
      <c r="H2212" s="9">
        <v>4310205</v>
      </c>
      <c r="I2212" s="404">
        <f t="shared" si="137"/>
        <v>1034449200</v>
      </c>
      <c r="J2212" s="403"/>
      <c r="K2212" s="404">
        <f t="shared" si="138"/>
        <v>0</v>
      </c>
      <c r="L2212" s="405">
        <f t="shared" si="139"/>
        <v>0</v>
      </c>
      <c r="M2212" s="403"/>
    </row>
    <row r="2213" spans="1:13" ht="15.75" x14ac:dyDescent="0.25">
      <c r="A2213" s="403"/>
      <c r="B2213" s="523" t="s">
        <v>4718</v>
      </c>
      <c r="C2213" s="524"/>
      <c r="D2213" s="525"/>
      <c r="E2213" s="403"/>
      <c r="F2213" s="403"/>
      <c r="G2213" s="403"/>
      <c r="H2213" s="403"/>
      <c r="I2213" s="5">
        <f>SUM(I17:I2212)</f>
        <v>274272520615</v>
      </c>
      <c r="J2213" s="403"/>
      <c r="K2213" s="5">
        <f>SUM(K17:K2212)</f>
        <v>64246157384</v>
      </c>
      <c r="L2213" s="5">
        <f>SUM(L17:L2212)</f>
        <v>64246157384</v>
      </c>
      <c r="M2213" s="403"/>
    </row>
    <row r="2214" spans="1:13" ht="15.75" x14ac:dyDescent="0.25">
      <c r="A2214" s="403"/>
      <c r="B2214" s="523" t="s">
        <v>4719</v>
      </c>
      <c r="C2214" s="524"/>
      <c r="D2214" s="525"/>
      <c r="E2214" s="403"/>
      <c r="F2214" s="403"/>
      <c r="G2214" s="403"/>
      <c r="H2214" s="403"/>
      <c r="I2214" s="5">
        <f>ROUND(I2213,-3)</f>
        <v>274272521000</v>
      </c>
      <c r="J2214" s="403"/>
      <c r="K2214" s="5">
        <f>ROUND(K2213,-3)</f>
        <v>64246157000</v>
      </c>
      <c r="L2214" s="5">
        <f>ROUND(L2213,-3)</f>
        <v>64246157000</v>
      </c>
      <c r="M2214" s="403"/>
    </row>
    <row r="2215" spans="1:13" x14ac:dyDescent="0.25">
      <c r="A2215" s="403"/>
      <c r="B2215" s="523" t="s">
        <v>4720</v>
      </c>
      <c r="C2215" s="524"/>
      <c r="D2215" s="525"/>
      <c r="E2215" s="403"/>
      <c r="F2215" s="403"/>
      <c r="G2215" s="403"/>
      <c r="H2215" s="403"/>
      <c r="I2215" s="407">
        <f>ROUND(I2214/1.1*1.08,-3)</f>
        <v>269285748000</v>
      </c>
      <c r="J2215" s="403"/>
      <c r="K2215" s="407">
        <f>ROUND(K2214/1.1*1.08,-3)</f>
        <v>63078045000</v>
      </c>
      <c r="L2215" s="407">
        <f>ROUND(L2214/1.1*1.08,-3)</f>
        <v>63078045000</v>
      </c>
      <c r="M2215" s="403"/>
    </row>
    <row r="2216" spans="1:13" x14ac:dyDescent="0.25">
      <c r="A2216" s="79"/>
      <c r="B2216" s="79"/>
      <c r="C2216" s="79"/>
      <c r="D2216" s="79"/>
      <c r="E2216" s="79"/>
      <c r="F2216" s="79"/>
      <c r="G2216" s="79"/>
      <c r="H2216" s="79"/>
      <c r="I2216" s="406"/>
      <c r="J2216" s="79"/>
      <c r="K2216" s="79"/>
      <c r="L2216" s="79"/>
      <c r="M2216" s="79"/>
    </row>
    <row r="2217" spans="1:13" ht="17.25" x14ac:dyDescent="0.3">
      <c r="A2217" s="135"/>
      <c r="B2217" s="519" t="s">
        <v>4721</v>
      </c>
      <c r="C2217" s="519"/>
      <c r="D2217" s="519"/>
      <c r="E2217" s="138"/>
      <c r="F2217" s="250"/>
      <c r="G2217" s="135"/>
      <c r="H2217" s="135"/>
      <c r="I2217" s="139"/>
      <c r="J2217" s="140">
        <f>I2214</f>
        <v>274272521000</v>
      </c>
      <c r="K2217" s="260" t="s">
        <v>2667</v>
      </c>
      <c r="L2217" s="521"/>
      <c r="M2217" s="521"/>
    </row>
    <row r="2218" spans="1:13" ht="17.25" x14ac:dyDescent="0.3">
      <c r="A2218" s="172"/>
      <c r="B2218" s="520" t="s">
        <v>2668</v>
      </c>
      <c r="C2218" s="520"/>
      <c r="D2218" s="520"/>
      <c r="E2218" s="520"/>
      <c r="F2218" s="520"/>
      <c r="G2218" s="520"/>
      <c r="H2218" s="520"/>
      <c r="I2218" s="520"/>
      <c r="J2218" s="147">
        <v>137136260500</v>
      </c>
      <c r="K2218" s="261" t="s">
        <v>2667</v>
      </c>
      <c r="L2218" s="522"/>
      <c r="M2218" s="522"/>
    </row>
    <row r="2219" spans="1:13" ht="17.25" x14ac:dyDescent="0.3">
      <c r="A2219" s="135"/>
      <c r="B2219" s="519" t="s">
        <v>2669</v>
      </c>
      <c r="C2219" s="519"/>
      <c r="D2219" s="519"/>
      <c r="E2219" s="519"/>
      <c r="F2219" s="519"/>
      <c r="G2219" s="519"/>
      <c r="H2219" s="519"/>
      <c r="I2219" s="519"/>
      <c r="J2219" s="140">
        <f>J2215</f>
        <v>0</v>
      </c>
      <c r="K2219" s="260" t="s">
        <v>2667</v>
      </c>
      <c r="L2219" s="193"/>
      <c r="M2219" s="175"/>
    </row>
    <row r="2220" spans="1:13" ht="17.25" x14ac:dyDescent="0.3">
      <c r="A2220" s="173"/>
      <c r="B2220" s="519" t="s">
        <v>2670</v>
      </c>
      <c r="C2220" s="519"/>
      <c r="D2220" s="519"/>
      <c r="E2220" s="519"/>
      <c r="F2220" s="519"/>
      <c r="G2220" s="519"/>
      <c r="H2220" s="519"/>
      <c r="I2220" s="519"/>
      <c r="J2220" s="140">
        <f>L2215</f>
        <v>63078045000</v>
      </c>
      <c r="K2220" s="260" t="s">
        <v>2667</v>
      </c>
      <c r="L2220" s="194"/>
      <c r="M2220" s="176"/>
    </row>
    <row r="2221" spans="1:13" ht="17.25" x14ac:dyDescent="0.3">
      <c r="A2221" s="172"/>
      <c r="B2221" s="520" t="s">
        <v>2671</v>
      </c>
      <c r="C2221" s="520"/>
      <c r="D2221" s="520"/>
      <c r="E2221" s="520"/>
      <c r="F2221" s="520"/>
      <c r="G2221" s="520"/>
      <c r="H2221" s="520"/>
      <c r="I2221" s="520"/>
      <c r="J2221" s="178">
        <v>6000000000</v>
      </c>
      <c r="K2221" s="261" t="s">
        <v>2667</v>
      </c>
      <c r="L2221" s="522"/>
      <c r="M2221" s="522"/>
    </row>
    <row r="2222" spans="1:13" ht="17.25" x14ac:dyDescent="0.3">
      <c r="A2222" s="135"/>
      <c r="B2222" s="519" t="s">
        <v>2672</v>
      </c>
      <c r="C2222" s="519"/>
      <c r="D2222" s="519"/>
      <c r="E2222" s="519"/>
      <c r="F2222" s="519"/>
      <c r="G2222" s="519"/>
      <c r="H2222" s="519"/>
      <c r="I2222" s="519"/>
      <c r="J2222" s="142">
        <f>J2225+J2226</f>
        <v>57078045000</v>
      </c>
      <c r="K2222" s="260" t="s">
        <v>2667</v>
      </c>
      <c r="L2222" s="193"/>
      <c r="M2222" s="175"/>
    </row>
    <row r="2223" spans="1:13" ht="17.25" x14ac:dyDescent="0.3">
      <c r="A2223" s="135"/>
      <c r="B2223" s="143" t="s">
        <v>2680</v>
      </c>
      <c r="C2223" s="144" t="e">
        <f>'đọc số'!G54</f>
        <v>#REF!</v>
      </c>
      <c r="D2223" s="145"/>
      <c r="E2223" s="145"/>
      <c r="F2223" s="251"/>
      <c r="G2223" s="145"/>
      <c r="H2223" s="145"/>
      <c r="I2223" s="143"/>
      <c r="J2223" s="135"/>
      <c r="K2223" s="262"/>
      <c r="L2223" s="193"/>
      <c r="M2223" s="175"/>
    </row>
    <row r="2224" spans="1:13" ht="17.25" x14ac:dyDescent="0.3">
      <c r="A2224" s="135"/>
      <c r="B2224" s="136" t="s">
        <v>2673</v>
      </c>
      <c r="C2224" s="137"/>
      <c r="D2224" s="137"/>
      <c r="E2224" s="137"/>
      <c r="F2224" s="252"/>
      <c r="G2224" s="140"/>
      <c r="H2224" s="140"/>
      <c r="I2224" s="141"/>
      <c r="J2224" s="135"/>
      <c r="K2224" s="262"/>
      <c r="L2224" s="193"/>
      <c r="M2224" s="175"/>
    </row>
    <row r="2225" spans="1:13" ht="17.25" x14ac:dyDescent="0.3">
      <c r="A2225" s="135"/>
      <c r="B2225" s="136" t="s">
        <v>2674</v>
      </c>
      <c r="C2225" s="137"/>
      <c r="D2225" s="137"/>
      <c r="E2225" s="137"/>
      <c r="F2225" s="252"/>
      <c r="G2225" s="135"/>
      <c r="H2225" s="135"/>
      <c r="I2225" s="139"/>
      <c r="J2225" s="140">
        <v>0</v>
      </c>
      <c r="K2225" s="260" t="s">
        <v>2667</v>
      </c>
      <c r="L2225" s="193"/>
      <c r="M2225" s="175"/>
    </row>
    <row r="2226" spans="1:13" ht="17.25" x14ac:dyDescent="0.3">
      <c r="A2226" s="135"/>
      <c r="B2226" s="519" t="s">
        <v>2675</v>
      </c>
      <c r="C2226" s="519"/>
      <c r="D2226" s="519"/>
      <c r="E2226" s="519"/>
      <c r="F2226" s="519"/>
      <c r="G2226" s="519"/>
      <c r="H2226" s="519"/>
      <c r="I2226" s="519"/>
      <c r="J2226" s="140">
        <f>J2220-J2219-J2221</f>
        <v>57078045000</v>
      </c>
      <c r="K2226" s="260" t="s">
        <v>2667</v>
      </c>
      <c r="L2226" s="193"/>
      <c r="M2226" s="175"/>
    </row>
    <row r="2227" spans="1:13" ht="17.25" x14ac:dyDescent="0.3">
      <c r="A2227" s="173"/>
      <c r="B2227" s="519" t="s">
        <v>2676</v>
      </c>
      <c r="C2227" s="519"/>
      <c r="D2227" s="519"/>
      <c r="E2227" s="519"/>
      <c r="F2227" s="519"/>
      <c r="G2227" s="519"/>
      <c r="H2227" s="519"/>
      <c r="I2227" s="519"/>
      <c r="J2227" s="174">
        <f>J2229+J2230</f>
        <v>194214305500</v>
      </c>
      <c r="K2227" s="260" t="s">
        <v>2667</v>
      </c>
      <c r="L2227" s="194"/>
      <c r="M2227" s="176"/>
    </row>
    <row r="2228" spans="1:13" ht="17.25" x14ac:dyDescent="0.3">
      <c r="A2228" s="135"/>
      <c r="B2228" s="136" t="s">
        <v>2673</v>
      </c>
      <c r="C2228" s="146"/>
      <c r="D2228" s="137"/>
      <c r="E2228" s="137"/>
      <c r="F2228" s="252"/>
      <c r="G2228" s="135"/>
      <c r="H2228" s="135"/>
      <c r="I2228" s="139"/>
      <c r="J2228" s="140"/>
      <c r="K2228" s="260"/>
      <c r="L2228" s="193"/>
      <c r="M2228" s="175"/>
    </row>
    <row r="2229" spans="1:13" ht="17.25" x14ac:dyDescent="0.3">
      <c r="A2229" s="135"/>
      <c r="B2229" s="527" t="s">
        <v>2677</v>
      </c>
      <c r="C2229" s="527"/>
      <c r="D2229" s="527"/>
      <c r="E2229" s="527"/>
      <c r="F2229" s="527"/>
      <c r="G2229" s="527"/>
      <c r="H2229" s="527"/>
      <c r="I2229" s="527"/>
      <c r="J2229" s="147">
        <f>J2218-J2221</f>
        <v>131136260500</v>
      </c>
      <c r="K2229" s="260" t="s">
        <v>2667</v>
      </c>
      <c r="L2229" s="521" t="s">
        <v>3464</v>
      </c>
      <c r="M2229" s="521"/>
    </row>
    <row r="2230" spans="1:13" ht="17.25" x14ac:dyDescent="0.3">
      <c r="A2230" s="135"/>
      <c r="B2230" s="527" t="s">
        <v>2678</v>
      </c>
      <c r="C2230" s="527"/>
      <c r="D2230" s="527"/>
      <c r="E2230" s="527"/>
      <c r="F2230" s="527"/>
      <c r="G2230" s="527"/>
      <c r="H2230" s="527"/>
      <c r="I2230" s="527"/>
      <c r="J2230" s="147">
        <f>J2219+J2221+J2222</f>
        <v>63078045000</v>
      </c>
      <c r="K2230" s="260" t="s">
        <v>2667</v>
      </c>
      <c r="L2230" s="521" t="s">
        <v>3463</v>
      </c>
      <c r="M2230" s="528"/>
    </row>
    <row r="2231" spans="1:13" ht="17.25" x14ac:dyDescent="0.3">
      <c r="A2231" s="148"/>
      <c r="B2231" s="148"/>
      <c r="C2231" s="148"/>
      <c r="D2231" s="148"/>
      <c r="E2231" s="148"/>
      <c r="F2231" s="253"/>
      <c r="G2231" s="148"/>
      <c r="H2231" s="148"/>
      <c r="I2231" s="529" t="s">
        <v>2679</v>
      </c>
      <c r="J2231" s="529"/>
      <c r="K2231" s="529"/>
      <c r="L2231" s="529"/>
      <c r="M2231" s="529"/>
    </row>
    <row r="2232" spans="1:13" ht="16.5" x14ac:dyDescent="0.25">
      <c r="A2232" s="526" t="s">
        <v>2657</v>
      </c>
      <c r="B2232" s="526"/>
      <c r="C2232" s="526"/>
      <c r="D2232" s="526"/>
      <c r="E2232" s="149"/>
      <c r="F2232" s="254"/>
      <c r="G2232" s="149"/>
      <c r="H2232" s="526" t="s">
        <v>2656</v>
      </c>
      <c r="I2232" s="526"/>
      <c r="J2232" s="526"/>
      <c r="K2232" s="526"/>
      <c r="L2232" s="526"/>
      <c r="M2232" s="526"/>
    </row>
    <row r="2233" spans="1:13" x14ac:dyDescent="0.25">
      <c r="A2233" s="1"/>
      <c r="B2233" s="13"/>
      <c r="C2233" s="13"/>
      <c r="D2233" s="10"/>
      <c r="E2233" s="10"/>
      <c r="F2233" s="151"/>
      <c r="G2233" s="150"/>
      <c r="H2233" s="11"/>
      <c r="I2233" s="12"/>
      <c r="J2233" s="12"/>
      <c r="K2233" s="263"/>
      <c r="L2233" s="195"/>
      <c r="M2233" s="158"/>
    </row>
    <row r="2234" spans="1:13" x14ac:dyDescent="0.25">
      <c r="A2234" s="1"/>
      <c r="B2234" s="13"/>
      <c r="C2234" s="13"/>
      <c r="D2234" s="10"/>
      <c r="E2234" s="10"/>
      <c r="F2234" s="151"/>
      <c r="G2234" s="150"/>
      <c r="H2234" s="11"/>
      <c r="I2234" s="12"/>
      <c r="J2234" s="12"/>
      <c r="K2234" s="263"/>
      <c r="L2234" s="195"/>
      <c r="M2234" s="158"/>
    </row>
    <row r="2235" spans="1:13" x14ac:dyDescent="0.25">
      <c r="A2235" s="1"/>
      <c r="B2235" s="13"/>
      <c r="C2235" s="13"/>
      <c r="D2235" s="10"/>
      <c r="E2235" s="10"/>
      <c r="F2235" s="151"/>
      <c r="G2235" s="150"/>
      <c r="H2235" s="11"/>
      <c r="I2235" s="12"/>
      <c r="J2235" s="12"/>
      <c r="K2235" s="263"/>
      <c r="L2235" s="195"/>
      <c r="M2235" s="158"/>
    </row>
    <row r="2236" spans="1:13" x14ac:dyDescent="0.25">
      <c r="A2236" s="1"/>
      <c r="B2236" s="13"/>
      <c r="C2236" s="13"/>
      <c r="D2236" s="10"/>
      <c r="E2236" s="10"/>
      <c r="F2236" s="151"/>
      <c r="G2236" s="150"/>
      <c r="H2236" s="11"/>
      <c r="I2236" s="12"/>
      <c r="J2236" s="12"/>
      <c r="K2236" s="263"/>
      <c r="L2236" s="195"/>
      <c r="M2236" s="158"/>
    </row>
  </sheetData>
  <autoFilter ref="A16:M2214" xr:uid="{00000000-0009-0000-0000-000004000000}"/>
  <mergeCells count="40">
    <mergeCell ref="B2222:I2222"/>
    <mergeCell ref="A2232:D2232"/>
    <mergeCell ref="H2232:M2232"/>
    <mergeCell ref="B2227:I2227"/>
    <mergeCell ref="B2229:I2229"/>
    <mergeCell ref="L2229:M2229"/>
    <mergeCell ref="B2230:I2230"/>
    <mergeCell ref="L2230:M2230"/>
    <mergeCell ref="I2231:M2231"/>
    <mergeCell ref="B2226:I2226"/>
    <mergeCell ref="B2213:D2213"/>
    <mergeCell ref="B2214:D2214"/>
    <mergeCell ref="B2215:D2215"/>
    <mergeCell ref="B2217:D2217"/>
    <mergeCell ref="B2219:I2219"/>
    <mergeCell ref="B2220:I2220"/>
    <mergeCell ref="B2221:I2221"/>
    <mergeCell ref="L2217:M2217"/>
    <mergeCell ref="B2218:I2218"/>
    <mergeCell ref="L2218:M2218"/>
    <mergeCell ref="L2221:M2221"/>
    <mergeCell ref="H13:H15"/>
    <mergeCell ref="I13:M13"/>
    <mergeCell ref="D14:D15"/>
    <mergeCell ref="E14:G14"/>
    <mergeCell ref="I14:I15"/>
    <mergeCell ref="J14:L14"/>
    <mergeCell ref="A8:F8"/>
    <mergeCell ref="A10:B10"/>
    <mergeCell ref="A11:F11"/>
    <mergeCell ref="A13:A15"/>
    <mergeCell ref="B13:B15"/>
    <mergeCell ref="C13:C15"/>
    <mergeCell ref="D13:G13"/>
    <mergeCell ref="A6:I6"/>
    <mergeCell ref="A2:M2"/>
    <mergeCell ref="A3:K3"/>
    <mergeCell ref="L3:M3"/>
    <mergeCell ref="A4:F4"/>
    <mergeCell ref="A5:M5"/>
  </mergeCells>
  <dataValidations count="1">
    <dataValidation type="whole" showErrorMessage="1" errorTitle="Lưu ý" error="Nhập số nguyên lớn hơn -999,999,999,999,999 và nhỏ hơn 999,999,999,999,999" promptTitle="Lưu ý" prompt="Nhập số nguyên lớn hơn -999,999,999,999,999 và nhỏ hơn 999,999,999,999,999" sqref="H17:H266 H268:H2212" xr:uid="{00000000-0002-0000-0400-000000000000}">
      <formula1>-999999999999999</formula1>
      <formula2>999999999999999</formula2>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5:P1612"/>
  <sheetViews>
    <sheetView topLeftCell="A5" workbookViewId="0">
      <pane ySplit="3" topLeftCell="A1611" activePane="bottomLeft" state="frozen"/>
      <selection activeCell="A5" sqref="A5"/>
      <selection pane="bottomLeft" activeCell="N1554" sqref="N1554"/>
    </sheetView>
  </sheetViews>
  <sheetFormatPr defaultColWidth="9.140625" defaultRowHeight="15" x14ac:dyDescent="0.25"/>
  <cols>
    <col min="1" max="1" width="9.140625" style="79"/>
    <col min="2" max="2" width="39.140625" style="79" customWidth="1"/>
    <col min="3" max="8" width="9.140625" style="79"/>
    <col min="9" max="9" width="10.42578125" style="79" bestFit="1" customWidth="1"/>
    <col min="10" max="10" width="10.42578125" style="90" bestFit="1" customWidth="1"/>
    <col min="11" max="11" width="11" style="79" bestFit="1" customWidth="1"/>
    <col min="12" max="12" width="9.140625" style="79"/>
    <col min="13" max="13" width="11" style="79" bestFit="1" customWidth="1"/>
    <col min="14" max="14" width="11.7109375" style="79" bestFit="1" customWidth="1"/>
    <col min="15" max="16384" width="9.140625" style="79"/>
  </cols>
  <sheetData>
    <row r="5" spans="1:14" ht="15.75" x14ac:dyDescent="0.25">
      <c r="A5" s="530" t="s">
        <v>0</v>
      </c>
      <c r="B5" s="531" t="s">
        <v>2773</v>
      </c>
      <c r="C5" s="533" t="s">
        <v>2774</v>
      </c>
      <c r="D5" s="535" t="s">
        <v>2775</v>
      </c>
      <c r="E5" s="537" t="s">
        <v>2776</v>
      </c>
      <c r="F5" s="538"/>
      <c r="G5" s="539"/>
      <c r="H5" s="540" t="s">
        <v>2777</v>
      </c>
      <c r="I5" s="530" t="s">
        <v>2755</v>
      </c>
      <c r="J5" s="530"/>
      <c r="K5" s="530"/>
      <c r="L5" s="530"/>
      <c r="M5" s="530"/>
      <c r="N5" s="530"/>
    </row>
    <row r="6" spans="1:14" ht="63" x14ac:dyDescent="0.25">
      <c r="A6" s="530"/>
      <c r="B6" s="532"/>
      <c r="C6" s="534"/>
      <c r="D6" s="536"/>
      <c r="E6" s="51" t="s">
        <v>2778</v>
      </c>
      <c r="F6" s="51" t="s">
        <v>2779</v>
      </c>
      <c r="G6" s="51" t="s">
        <v>2780</v>
      </c>
      <c r="H6" s="541"/>
      <c r="I6" s="50" t="s">
        <v>2781</v>
      </c>
      <c r="J6" s="70" t="s">
        <v>2782</v>
      </c>
      <c r="K6" s="52" t="s">
        <v>2783</v>
      </c>
      <c r="L6" s="53" t="s">
        <v>2784</v>
      </c>
      <c r="M6" s="54" t="s">
        <v>2785</v>
      </c>
      <c r="N6" s="54" t="s">
        <v>2786</v>
      </c>
    </row>
    <row r="7" spans="1:14" ht="15.75" x14ac:dyDescent="0.25">
      <c r="A7" s="55">
        <v>1</v>
      </c>
      <c r="B7" s="56">
        <v>2</v>
      </c>
      <c r="C7" s="56">
        <v>3</v>
      </c>
      <c r="D7" s="56">
        <v>4</v>
      </c>
      <c r="E7" s="56">
        <v>5</v>
      </c>
      <c r="F7" s="56">
        <v>6</v>
      </c>
      <c r="G7" s="56">
        <v>7</v>
      </c>
      <c r="H7" s="56">
        <v>8</v>
      </c>
      <c r="I7" s="56">
        <v>9</v>
      </c>
      <c r="J7" s="71">
        <v>10</v>
      </c>
      <c r="K7" s="78">
        <v>11</v>
      </c>
      <c r="L7" s="78">
        <v>12</v>
      </c>
      <c r="M7" s="78">
        <v>13</v>
      </c>
      <c r="N7" s="78">
        <v>14</v>
      </c>
    </row>
    <row r="8" spans="1:14" x14ac:dyDescent="0.25">
      <c r="A8" s="80"/>
      <c r="B8" s="57" t="s">
        <v>2787</v>
      </c>
      <c r="C8" s="57"/>
      <c r="D8" s="58"/>
      <c r="E8" s="58"/>
      <c r="F8" s="58"/>
      <c r="G8" s="58"/>
      <c r="H8" s="58"/>
      <c r="I8" s="58"/>
      <c r="J8" s="81"/>
      <c r="K8" s="80"/>
      <c r="L8" s="80"/>
      <c r="M8" s="80"/>
      <c r="N8" s="80"/>
    </row>
    <row r="9" spans="1:14" x14ac:dyDescent="0.25">
      <c r="A9" s="82">
        <v>1</v>
      </c>
      <c r="B9" s="59" t="s">
        <v>5</v>
      </c>
      <c r="C9" s="60" t="s">
        <v>6</v>
      </c>
      <c r="D9" s="61"/>
      <c r="E9" s="61"/>
      <c r="F9" s="61"/>
      <c r="G9" s="61"/>
      <c r="H9" s="61"/>
      <c r="I9" s="61">
        <f>ROUND(SUM(I10:I11),3)</f>
        <v>6556.9</v>
      </c>
      <c r="J9" s="83" t="e">
        <f>PL03a!#REF!</f>
        <v>#REF!</v>
      </c>
      <c r="K9" s="84">
        <f>I9</f>
        <v>6556.9</v>
      </c>
      <c r="L9" s="85"/>
      <c r="M9" s="84">
        <f>K9</f>
        <v>6556.9</v>
      </c>
      <c r="N9" s="86">
        <f>L9+M9</f>
        <v>6556.9</v>
      </c>
    </row>
    <row r="10" spans="1:14" x14ac:dyDescent="0.25">
      <c r="A10" s="82"/>
      <c r="B10" s="62" t="s">
        <v>2788</v>
      </c>
      <c r="C10" s="63"/>
      <c r="D10" s="64">
        <v>2</v>
      </c>
      <c r="E10" s="64">
        <v>32.299999999999997</v>
      </c>
      <c r="F10" s="64"/>
      <c r="G10" s="64"/>
      <c r="H10" s="64"/>
      <c r="I10" s="64">
        <f>ROUND(PRODUCT(D10:E10),3)</f>
        <v>64.599999999999994</v>
      </c>
      <c r="J10" s="83"/>
      <c r="K10" s="85"/>
      <c r="L10" s="85"/>
      <c r="M10" s="85"/>
      <c r="N10" s="85"/>
    </row>
    <row r="11" spans="1:14" x14ac:dyDescent="0.25">
      <c r="A11" s="82"/>
      <c r="B11" s="62" t="s">
        <v>2789</v>
      </c>
      <c r="C11" s="63"/>
      <c r="D11" s="64">
        <v>201</v>
      </c>
      <c r="E11" s="64">
        <f>32+0.3</f>
        <v>32.299999999999997</v>
      </c>
      <c r="F11" s="64"/>
      <c r="G11" s="64"/>
      <c r="H11" s="64"/>
      <c r="I11" s="64">
        <f>ROUND(PRODUCT(D11:E11),3)</f>
        <v>6492.3</v>
      </c>
      <c r="J11" s="83"/>
      <c r="K11" s="85"/>
      <c r="L11" s="85"/>
      <c r="M11" s="85"/>
      <c r="N11" s="85"/>
    </row>
    <row r="12" spans="1:14" x14ac:dyDescent="0.25">
      <c r="A12" s="82">
        <v>2</v>
      </c>
      <c r="B12" s="59" t="s">
        <v>8</v>
      </c>
      <c r="C12" s="60" t="s">
        <v>9</v>
      </c>
      <c r="D12" s="61"/>
      <c r="E12" s="61"/>
      <c r="F12" s="61"/>
      <c r="G12" s="61"/>
      <c r="H12" s="61"/>
      <c r="I12" s="61">
        <f>ROUND(SUM(I13:I14),3)</f>
        <v>203</v>
      </c>
      <c r="J12" s="83" t="e">
        <f>PL03a!#REF!</f>
        <v>#REF!</v>
      </c>
      <c r="K12" s="84">
        <f>I12</f>
        <v>203</v>
      </c>
      <c r="L12" s="85"/>
      <c r="M12" s="84">
        <f>K12</f>
        <v>203</v>
      </c>
      <c r="N12" s="86">
        <f>L12+M12</f>
        <v>203</v>
      </c>
    </row>
    <row r="13" spans="1:14" x14ac:dyDescent="0.25">
      <c r="A13" s="82"/>
      <c r="B13" s="62" t="s">
        <v>2788</v>
      </c>
      <c r="C13" s="63"/>
      <c r="D13" s="64">
        <v>2</v>
      </c>
      <c r="E13" s="64"/>
      <c r="F13" s="64"/>
      <c r="G13" s="64"/>
      <c r="H13" s="64"/>
      <c r="I13" s="64">
        <f>ROUND(PRODUCT(D13:E13),3)</f>
        <v>2</v>
      </c>
      <c r="J13" s="83"/>
      <c r="K13" s="85"/>
      <c r="L13" s="85"/>
      <c r="M13" s="85"/>
      <c r="N13" s="85"/>
    </row>
    <row r="14" spans="1:14" x14ac:dyDescent="0.25">
      <c r="A14" s="82"/>
      <c r="B14" s="62" t="s">
        <v>2789</v>
      </c>
      <c r="C14" s="63"/>
      <c r="D14" s="64">
        <v>201</v>
      </c>
      <c r="E14" s="64"/>
      <c r="F14" s="64"/>
      <c r="G14" s="64"/>
      <c r="H14" s="64"/>
      <c r="I14" s="64">
        <f>ROUND(PRODUCT(D14:E14),3)</f>
        <v>201</v>
      </c>
      <c r="J14" s="83"/>
      <c r="K14" s="85"/>
      <c r="L14" s="85"/>
      <c r="M14" s="85"/>
      <c r="N14" s="85"/>
    </row>
    <row r="15" spans="1:14" ht="25.5" x14ac:dyDescent="0.25">
      <c r="A15" s="82">
        <v>3</v>
      </c>
      <c r="B15" s="65" t="s">
        <v>11</v>
      </c>
      <c r="C15" s="63" t="s">
        <v>6</v>
      </c>
      <c r="D15" s="64"/>
      <c r="E15" s="64"/>
      <c r="F15" s="64"/>
      <c r="G15" s="64"/>
      <c r="H15" s="64"/>
      <c r="I15" s="64">
        <f>ROUND(SUM(I16:I18),3)</f>
        <v>4466</v>
      </c>
      <c r="J15" s="83" t="e">
        <f>PL03a!#REF!</f>
        <v>#REF!</v>
      </c>
      <c r="K15" s="84">
        <f>I15</f>
        <v>4466</v>
      </c>
      <c r="L15" s="85"/>
      <c r="M15" s="84" t="e">
        <f>J15</f>
        <v>#REF!</v>
      </c>
      <c r="N15" s="86" t="e">
        <f>L15+M15</f>
        <v>#REF!</v>
      </c>
    </row>
    <row r="16" spans="1:14" x14ac:dyDescent="0.25">
      <c r="A16" s="82"/>
      <c r="B16" s="66" t="s">
        <v>2790</v>
      </c>
      <c r="C16" s="63"/>
      <c r="D16" s="64"/>
      <c r="E16" s="64"/>
      <c r="F16" s="64"/>
      <c r="G16" s="64"/>
      <c r="H16" s="64"/>
      <c r="I16" s="64"/>
      <c r="J16" s="83"/>
      <c r="K16" s="85"/>
      <c r="L16" s="85"/>
      <c r="M16" s="85"/>
      <c r="N16" s="85"/>
    </row>
    <row r="17" spans="1:14" x14ac:dyDescent="0.25">
      <c r="A17" s="82"/>
      <c r="B17" s="62" t="s">
        <v>2788</v>
      </c>
      <c r="C17" s="63"/>
      <c r="D17" s="64">
        <v>2</v>
      </c>
      <c r="E17" s="72">
        <v>22</v>
      </c>
      <c r="F17" s="64"/>
      <c r="G17" s="64"/>
      <c r="H17" s="64"/>
      <c r="I17" s="64">
        <f>ROUND(PRODUCT(D17:E17),3)</f>
        <v>44</v>
      </c>
      <c r="J17" s="83"/>
      <c r="K17" s="85"/>
      <c r="L17" s="85"/>
      <c r="M17" s="85"/>
      <c r="N17" s="85"/>
    </row>
    <row r="18" spans="1:14" x14ac:dyDescent="0.25">
      <c r="A18" s="82"/>
      <c r="B18" s="62" t="s">
        <v>2789</v>
      </c>
      <c r="C18" s="63"/>
      <c r="D18" s="64">
        <v>201</v>
      </c>
      <c r="E18" s="72">
        <v>22</v>
      </c>
      <c r="F18" s="64"/>
      <c r="G18" s="64"/>
      <c r="H18" s="64"/>
      <c r="I18" s="64">
        <f>ROUND(PRODUCT(D18:E18),3)</f>
        <v>4422</v>
      </c>
      <c r="J18" s="83"/>
      <c r="K18" s="85"/>
      <c r="L18" s="85"/>
      <c r="M18" s="85"/>
      <c r="N18" s="85"/>
    </row>
    <row r="19" spans="1:14" ht="38.25" x14ac:dyDescent="0.25">
      <c r="A19" s="82">
        <v>4</v>
      </c>
      <c r="B19" s="65" t="s">
        <v>2791</v>
      </c>
      <c r="C19" s="63" t="s">
        <v>14</v>
      </c>
      <c r="D19" s="64"/>
      <c r="E19" s="64"/>
      <c r="F19" s="64"/>
      <c r="G19" s="64"/>
      <c r="H19" s="64"/>
      <c r="I19" s="64">
        <f>ROUND(SUM(I20:I23),3)</f>
        <v>57.631</v>
      </c>
      <c r="J19" s="83" t="e">
        <f>PL03a!#REF!</f>
        <v>#REF!</v>
      </c>
      <c r="K19" s="84">
        <f>I19</f>
        <v>57.631</v>
      </c>
      <c r="L19" s="85"/>
      <c r="M19" s="84">
        <f>K19</f>
        <v>57.631</v>
      </c>
      <c r="N19" s="86">
        <f>L19+M19</f>
        <v>57.631</v>
      </c>
    </row>
    <row r="20" spans="1:14" x14ac:dyDescent="0.25">
      <c r="A20" s="82"/>
      <c r="B20" s="62" t="s">
        <v>2788</v>
      </c>
      <c r="C20" s="63"/>
      <c r="D20" s="64">
        <v>2</v>
      </c>
      <c r="E20" s="64">
        <v>32</v>
      </c>
      <c r="F20" s="64"/>
      <c r="G20" s="64"/>
      <c r="H20" s="64">
        <v>0.01</v>
      </c>
      <c r="I20" s="64">
        <f>ROUND(PRODUCT(D20:H20),3)</f>
        <v>0.64</v>
      </c>
      <c r="J20" s="83"/>
      <c r="K20" s="84"/>
      <c r="L20" s="85"/>
      <c r="M20" s="85"/>
      <c r="N20" s="85"/>
    </row>
    <row r="21" spans="1:14" x14ac:dyDescent="0.25">
      <c r="A21" s="82"/>
      <c r="B21" s="62" t="s">
        <v>2792</v>
      </c>
      <c r="C21" s="63"/>
      <c r="D21" s="64">
        <v>11</v>
      </c>
      <c r="E21" s="64">
        <v>28.95</v>
      </c>
      <c r="F21" s="64"/>
      <c r="G21" s="64"/>
      <c r="H21" s="64">
        <v>0.01</v>
      </c>
      <c r="I21" s="64">
        <f t="shared" ref="I21:I23" si="0">ROUND(PRODUCT(D21:H21),3)</f>
        <v>3.1850000000000001</v>
      </c>
      <c r="J21" s="83"/>
      <c r="K21" s="84"/>
      <c r="L21" s="85"/>
      <c r="M21" s="85"/>
      <c r="N21" s="85"/>
    </row>
    <row r="22" spans="1:14" x14ac:dyDescent="0.25">
      <c r="A22" s="82"/>
      <c r="B22" s="62" t="s">
        <v>2793</v>
      </c>
      <c r="C22" s="63"/>
      <c r="D22" s="64">
        <v>165</v>
      </c>
      <c r="E22" s="64">
        <v>28.45</v>
      </c>
      <c r="F22" s="64"/>
      <c r="G22" s="64"/>
      <c r="H22" s="64">
        <v>0.01</v>
      </c>
      <c r="I22" s="64">
        <f t="shared" si="0"/>
        <v>46.942999999999998</v>
      </c>
      <c r="J22" s="83"/>
      <c r="K22" s="84"/>
      <c r="L22" s="85"/>
      <c r="M22" s="85"/>
      <c r="N22" s="85"/>
    </row>
    <row r="23" spans="1:14" x14ac:dyDescent="0.25">
      <c r="A23" s="82"/>
      <c r="B23" s="62" t="s">
        <v>2794</v>
      </c>
      <c r="C23" s="63"/>
      <c r="D23" s="64">
        <v>25</v>
      </c>
      <c r="E23" s="64">
        <v>27.45</v>
      </c>
      <c r="F23" s="64"/>
      <c r="G23" s="64"/>
      <c r="H23" s="64">
        <v>0.01</v>
      </c>
      <c r="I23" s="64">
        <f t="shared" si="0"/>
        <v>6.8630000000000004</v>
      </c>
      <c r="J23" s="83"/>
      <c r="K23" s="84"/>
      <c r="L23" s="85"/>
      <c r="M23" s="85"/>
      <c r="N23" s="85"/>
    </row>
    <row r="24" spans="1:14" ht="51" x14ac:dyDescent="0.25">
      <c r="A24" s="82">
        <v>5</v>
      </c>
      <c r="B24" s="65" t="s">
        <v>2795</v>
      </c>
      <c r="C24" s="63" t="s">
        <v>14</v>
      </c>
      <c r="D24" s="64"/>
      <c r="E24" s="64"/>
      <c r="F24" s="64"/>
      <c r="G24" s="64"/>
      <c r="H24" s="64"/>
      <c r="I24" s="64">
        <f>ROUND(SUM(I25:I25),3)</f>
        <v>6.0000000000000001E-3</v>
      </c>
      <c r="J24" s="83" t="e">
        <f>PL03a!#REF!</f>
        <v>#REF!</v>
      </c>
      <c r="K24" s="84">
        <f t="shared" ref="K24:K41" si="1">I24</f>
        <v>6.0000000000000001E-3</v>
      </c>
      <c r="L24" s="85"/>
      <c r="M24" s="84">
        <f>K24</f>
        <v>6.0000000000000001E-3</v>
      </c>
      <c r="N24" s="86">
        <f>L24+M24</f>
        <v>6.0000000000000001E-3</v>
      </c>
    </row>
    <row r="25" spans="1:14" x14ac:dyDescent="0.25">
      <c r="A25" s="82"/>
      <c r="B25" s="62" t="s">
        <v>2788</v>
      </c>
      <c r="C25" s="63"/>
      <c r="D25" s="64">
        <v>2</v>
      </c>
      <c r="E25" s="64">
        <v>0.3</v>
      </c>
      <c r="F25" s="64"/>
      <c r="G25" s="64"/>
      <c r="H25" s="64">
        <v>0.01</v>
      </c>
      <c r="I25" s="64">
        <f>ROUND(PRODUCT(D25:H25),3)</f>
        <v>6.0000000000000001E-3</v>
      </c>
      <c r="J25" s="83"/>
      <c r="K25" s="84">
        <f t="shared" si="1"/>
        <v>6.0000000000000001E-3</v>
      </c>
      <c r="L25" s="85"/>
      <c r="M25" s="84">
        <f>K25</f>
        <v>6.0000000000000001E-3</v>
      </c>
      <c r="N25" s="86">
        <f>L25+M25</f>
        <v>6.0000000000000001E-3</v>
      </c>
    </row>
    <row r="26" spans="1:14" ht="51" x14ac:dyDescent="0.25">
      <c r="A26" s="82">
        <v>6</v>
      </c>
      <c r="B26" s="65" t="s">
        <v>2796</v>
      </c>
      <c r="C26" s="63" t="s">
        <v>14</v>
      </c>
      <c r="D26" s="64"/>
      <c r="E26" s="64"/>
      <c r="F26" s="64"/>
      <c r="G26" s="64"/>
      <c r="H26" s="64"/>
      <c r="I26" s="64">
        <f>ROUND(SUM(I27:I29),3)</f>
        <v>6.7290000000000001</v>
      </c>
      <c r="J26" s="83" t="e">
        <f>PL03a!#REF!</f>
        <v>#REF!</v>
      </c>
      <c r="K26" s="84">
        <f>I26</f>
        <v>6.7290000000000001</v>
      </c>
      <c r="L26" s="85"/>
      <c r="M26" s="84">
        <f>K26</f>
        <v>6.7290000000000001</v>
      </c>
      <c r="N26" s="86">
        <f>L26+M26</f>
        <v>6.7290000000000001</v>
      </c>
    </row>
    <row r="27" spans="1:14" x14ac:dyDescent="0.25">
      <c r="A27" s="82"/>
      <c r="B27" s="62" t="s">
        <v>2792</v>
      </c>
      <c r="C27" s="63"/>
      <c r="D27" s="64">
        <v>11</v>
      </c>
      <c r="E27" s="64">
        <v>2.75</v>
      </c>
      <c r="F27" s="64"/>
      <c r="G27" s="64"/>
      <c r="H27" s="64">
        <v>0.01</v>
      </c>
      <c r="I27" s="64">
        <f>ROUND(PRODUCT(D27:H27),3)</f>
        <v>0.30299999999999999</v>
      </c>
      <c r="J27" s="83"/>
      <c r="K27" s="84"/>
      <c r="L27" s="85"/>
      <c r="M27" s="85"/>
      <c r="N27" s="85"/>
    </row>
    <row r="28" spans="1:14" x14ac:dyDescent="0.25">
      <c r="A28" s="82"/>
      <c r="B28" s="62" t="s">
        <v>2793</v>
      </c>
      <c r="C28" s="63"/>
      <c r="D28" s="64">
        <v>165</v>
      </c>
      <c r="E28" s="64">
        <v>3.25</v>
      </c>
      <c r="F28" s="64"/>
      <c r="G28" s="64"/>
      <c r="H28" s="64">
        <v>0.01</v>
      </c>
      <c r="I28" s="64">
        <f t="shared" ref="I28:I29" si="2">ROUND(PRODUCT(D28:H28),3)</f>
        <v>5.3630000000000004</v>
      </c>
      <c r="J28" s="83"/>
      <c r="K28" s="84"/>
      <c r="L28" s="85"/>
      <c r="M28" s="85"/>
      <c r="N28" s="85"/>
    </row>
    <row r="29" spans="1:14" x14ac:dyDescent="0.25">
      <c r="A29" s="82"/>
      <c r="B29" s="62" t="s">
        <v>2794</v>
      </c>
      <c r="C29" s="63"/>
      <c r="D29" s="64">
        <v>25</v>
      </c>
      <c r="E29" s="64">
        <v>4.25</v>
      </c>
      <c r="F29" s="64"/>
      <c r="G29" s="64"/>
      <c r="H29" s="64">
        <v>0.01</v>
      </c>
      <c r="I29" s="64">
        <f t="shared" si="2"/>
        <v>1.0629999999999999</v>
      </c>
      <c r="J29" s="83"/>
      <c r="K29" s="84"/>
      <c r="L29" s="85"/>
      <c r="M29" s="85"/>
      <c r="N29" s="85"/>
    </row>
    <row r="30" spans="1:14" ht="25.5" x14ac:dyDescent="0.25">
      <c r="A30" s="82">
        <v>7</v>
      </c>
      <c r="B30" s="65" t="s">
        <v>20</v>
      </c>
      <c r="C30" s="63" t="s">
        <v>21</v>
      </c>
      <c r="D30" s="64"/>
      <c r="E30" s="64">
        <v>203</v>
      </c>
      <c r="F30" s="64"/>
      <c r="G30" s="64"/>
      <c r="H30" s="64"/>
      <c r="I30" s="64">
        <f>ROUND(PRODUCT(D30:E30),3)</f>
        <v>203</v>
      </c>
      <c r="J30" s="83" t="e">
        <f>PL03a!#REF!</f>
        <v>#REF!</v>
      </c>
      <c r="K30" s="84">
        <f t="shared" si="1"/>
        <v>203</v>
      </c>
      <c r="L30" s="85"/>
      <c r="M30" s="84">
        <f>K30</f>
        <v>203</v>
      </c>
      <c r="N30" s="86">
        <f>L30+M30</f>
        <v>203</v>
      </c>
    </row>
    <row r="31" spans="1:14" x14ac:dyDescent="0.25">
      <c r="A31" s="82">
        <v>8</v>
      </c>
      <c r="B31" s="65" t="s">
        <v>2797</v>
      </c>
      <c r="C31" s="63" t="s">
        <v>24</v>
      </c>
      <c r="D31" s="64"/>
      <c r="E31" s="64"/>
      <c r="F31" s="64"/>
      <c r="G31" s="64"/>
      <c r="H31" s="64"/>
      <c r="I31" s="64">
        <f>ROUND(SUM(I32:I33),3)</f>
        <v>205</v>
      </c>
      <c r="J31" s="83">
        <v>203</v>
      </c>
      <c r="K31" s="84">
        <f t="shared" si="1"/>
        <v>205</v>
      </c>
      <c r="L31" s="85"/>
      <c r="M31" s="84">
        <f>J31</f>
        <v>203</v>
      </c>
      <c r="N31" s="86">
        <f>L31+M31</f>
        <v>203</v>
      </c>
    </row>
    <row r="32" spans="1:14" x14ac:dyDescent="0.25">
      <c r="A32" s="82"/>
      <c r="B32" s="62" t="s">
        <v>2788</v>
      </c>
      <c r="C32" s="63"/>
      <c r="D32" s="72">
        <v>4</v>
      </c>
      <c r="E32" s="64"/>
      <c r="F32" s="64"/>
      <c r="G32" s="64"/>
      <c r="H32" s="64"/>
      <c r="I32" s="64">
        <f>ROUND(PRODUCT(D32:E32),3)</f>
        <v>4</v>
      </c>
      <c r="J32" s="83"/>
      <c r="K32" s="84"/>
      <c r="L32" s="85"/>
      <c r="M32" s="85"/>
      <c r="N32" s="85"/>
    </row>
    <row r="33" spans="1:14" x14ac:dyDescent="0.25">
      <c r="A33" s="82"/>
      <c r="B33" s="62" t="s">
        <v>2789</v>
      </c>
      <c r="C33" s="63"/>
      <c r="D33" s="64">
        <v>201</v>
      </c>
      <c r="E33" s="64"/>
      <c r="F33" s="64"/>
      <c r="G33" s="64"/>
      <c r="H33" s="64"/>
      <c r="I33" s="64">
        <f>ROUND(PRODUCT(D33:E33),3)</f>
        <v>201</v>
      </c>
      <c r="J33" s="83"/>
      <c r="K33" s="84"/>
      <c r="L33" s="85"/>
      <c r="M33" s="85"/>
      <c r="N33" s="85"/>
    </row>
    <row r="34" spans="1:14" ht="25.5" x14ac:dyDescent="0.25">
      <c r="A34" s="82">
        <v>9</v>
      </c>
      <c r="B34" s="65" t="s">
        <v>2798</v>
      </c>
      <c r="C34" s="63" t="s">
        <v>27</v>
      </c>
      <c r="D34" s="64"/>
      <c r="E34" s="64"/>
      <c r="F34" s="64"/>
      <c r="G34" s="64"/>
      <c r="H34" s="64"/>
      <c r="I34" s="64">
        <f>I35</f>
        <v>0.34420680000000003</v>
      </c>
      <c r="J34" s="83" t="e">
        <f>PL03a!#REF!</f>
        <v>#REF!</v>
      </c>
      <c r="K34" s="84">
        <f>I34</f>
        <v>0.34420680000000003</v>
      </c>
      <c r="L34" s="85"/>
      <c r="M34" s="84">
        <f>K34</f>
        <v>0.34420680000000003</v>
      </c>
      <c r="N34" s="86">
        <f>L34+M34</f>
        <v>0.34420680000000003</v>
      </c>
    </row>
    <row r="35" spans="1:14" x14ac:dyDescent="0.25">
      <c r="A35" s="82"/>
      <c r="B35" s="62" t="s">
        <v>2799</v>
      </c>
      <c r="C35" s="63"/>
      <c r="D35" s="64"/>
      <c r="E35" s="64"/>
      <c r="F35" s="64"/>
      <c r="G35" s="64"/>
      <c r="H35" s="64"/>
      <c r="I35" s="64">
        <f>203*3.14*0.3*0.3*0.6*0.01</f>
        <v>0.34420680000000003</v>
      </c>
      <c r="J35" s="83"/>
      <c r="K35" s="84"/>
      <c r="L35" s="85"/>
      <c r="M35" s="85"/>
      <c r="N35" s="85"/>
    </row>
    <row r="36" spans="1:14" ht="25.5" x14ac:dyDescent="0.25">
      <c r="A36" s="82">
        <v>10</v>
      </c>
      <c r="B36" s="65" t="s">
        <v>2800</v>
      </c>
      <c r="C36" s="63" t="s">
        <v>27</v>
      </c>
      <c r="D36" s="64"/>
      <c r="E36" s="64"/>
      <c r="F36" s="64"/>
      <c r="G36" s="64"/>
      <c r="H36" s="64"/>
      <c r="I36" s="64">
        <f>ROUND(SUM(I37:I37),3)</f>
        <v>0.34399999999999997</v>
      </c>
      <c r="J36" s="83">
        <v>3.44</v>
      </c>
      <c r="K36" s="84">
        <f t="shared" si="1"/>
        <v>0.34399999999999997</v>
      </c>
      <c r="L36" s="85"/>
      <c r="M36" s="84">
        <f>K36</f>
        <v>0.34399999999999997</v>
      </c>
      <c r="N36" s="86">
        <f>L36+M36</f>
        <v>0.34399999999999997</v>
      </c>
    </row>
    <row r="37" spans="1:14" x14ac:dyDescent="0.25">
      <c r="A37" s="82"/>
      <c r="B37" s="62" t="s">
        <v>2801</v>
      </c>
      <c r="C37" s="63"/>
      <c r="D37" s="64"/>
      <c r="E37" s="64">
        <f>L34</f>
        <v>0</v>
      </c>
      <c r="F37" s="64"/>
      <c r="G37" s="64"/>
      <c r="H37" s="64"/>
      <c r="I37" s="64">
        <f>I35</f>
        <v>0.34420680000000003</v>
      </c>
      <c r="J37" s="83"/>
      <c r="K37" s="84"/>
      <c r="L37" s="85"/>
      <c r="M37" s="85"/>
      <c r="N37" s="85"/>
    </row>
    <row r="38" spans="1:14" ht="25.5" x14ac:dyDescent="0.25">
      <c r="A38" s="82">
        <v>11</v>
      </c>
      <c r="B38" s="65" t="s">
        <v>31</v>
      </c>
      <c r="C38" s="63" t="s">
        <v>32</v>
      </c>
      <c r="D38" s="64"/>
      <c r="E38" s="64"/>
      <c r="F38" s="64"/>
      <c r="G38" s="64"/>
      <c r="H38" s="64"/>
      <c r="I38" s="64">
        <f>ROUND(SUM(I39:I39),3)</f>
        <v>9.3539999999999992</v>
      </c>
      <c r="J38" s="83" t="e">
        <f>PL03a!#REF!</f>
        <v>#REF!</v>
      </c>
      <c r="K38" s="84">
        <f t="shared" si="1"/>
        <v>9.3539999999999992</v>
      </c>
      <c r="L38" s="85"/>
      <c r="M38" s="84">
        <f>K38</f>
        <v>9.3539999999999992</v>
      </c>
      <c r="N38" s="86">
        <f>L38+M38</f>
        <v>9.3539999999999992</v>
      </c>
    </row>
    <row r="39" spans="1:14" x14ac:dyDescent="0.25">
      <c r="A39" s="82"/>
      <c r="B39" s="62" t="s">
        <v>2802</v>
      </c>
      <c r="C39" s="63"/>
      <c r="D39" s="64">
        <v>203</v>
      </c>
      <c r="E39" s="64">
        <f>34.3+3.39+7.13+1.26</f>
        <v>46.08</v>
      </c>
      <c r="F39" s="64"/>
      <c r="G39" s="64"/>
      <c r="H39" s="64">
        <v>1E-3</v>
      </c>
      <c r="I39" s="64">
        <f>ROUND(PRODUCT(D39:H39),3)</f>
        <v>9.3539999999999992</v>
      </c>
      <c r="J39" s="83"/>
      <c r="K39" s="84"/>
      <c r="L39" s="85"/>
      <c r="M39" s="85"/>
      <c r="N39" s="85"/>
    </row>
    <row r="40" spans="1:14" ht="25.5" x14ac:dyDescent="0.25">
      <c r="A40" s="82">
        <v>12</v>
      </c>
      <c r="B40" s="65" t="s">
        <v>34</v>
      </c>
      <c r="C40" s="63" t="s">
        <v>32</v>
      </c>
      <c r="D40" s="64"/>
      <c r="E40" s="64" t="e">
        <f>J38</f>
        <v>#REF!</v>
      </c>
      <c r="F40" s="64"/>
      <c r="G40" s="64"/>
      <c r="H40" s="64"/>
      <c r="I40" s="64" t="e">
        <f>ROUND(PRODUCT(D40:E40),3)</f>
        <v>#REF!</v>
      </c>
      <c r="J40" s="83" t="e">
        <f>PL03a!#REF!</f>
        <v>#REF!</v>
      </c>
      <c r="K40" s="84" t="e">
        <f t="shared" si="1"/>
        <v>#REF!</v>
      </c>
      <c r="L40" s="85"/>
      <c r="M40" s="84" t="e">
        <f>K40</f>
        <v>#REF!</v>
      </c>
      <c r="N40" s="86" t="e">
        <f>L40+M40</f>
        <v>#REF!</v>
      </c>
    </row>
    <row r="41" spans="1:14" ht="25.5" x14ac:dyDescent="0.25">
      <c r="A41" s="82">
        <v>13</v>
      </c>
      <c r="B41" s="65" t="s">
        <v>36</v>
      </c>
      <c r="C41" s="63" t="s">
        <v>37</v>
      </c>
      <c r="D41" s="64"/>
      <c r="E41" s="64"/>
      <c r="F41" s="64"/>
      <c r="G41" s="64"/>
      <c r="H41" s="64"/>
      <c r="I41" s="64">
        <f>ROUND(SUM(I42:I42),3)</f>
        <v>53.408999999999999</v>
      </c>
      <c r="J41" s="83" t="e">
        <f>PL03a!#REF!</f>
        <v>#REF!</v>
      </c>
      <c r="K41" s="84">
        <f t="shared" si="1"/>
        <v>53.408999999999999</v>
      </c>
      <c r="L41" s="85"/>
      <c r="M41" s="84">
        <f>K41</f>
        <v>53.408999999999999</v>
      </c>
      <c r="N41" s="86">
        <f>L41+M41</f>
        <v>53.408999999999999</v>
      </c>
    </row>
    <row r="42" spans="1:14" x14ac:dyDescent="0.25">
      <c r="A42" s="87"/>
      <c r="B42" s="67" t="s">
        <v>2803</v>
      </c>
      <c r="C42" s="68"/>
      <c r="D42" s="69">
        <v>203</v>
      </c>
      <c r="E42" s="69">
        <v>3.14</v>
      </c>
      <c r="F42" s="69">
        <f>0.21*0.21</f>
        <v>4.4099999999999993E-2</v>
      </c>
      <c r="G42" s="69">
        <v>1.9</v>
      </c>
      <c r="H42" s="69"/>
      <c r="I42" s="69">
        <f>ROUND(PRODUCT(D42:H42),3)</f>
        <v>53.408999999999999</v>
      </c>
      <c r="J42" s="88"/>
      <c r="K42" s="84"/>
      <c r="L42" s="87"/>
      <c r="M42" s="87"/>
      <c r="N42" s="87"/>
    </row>
    <row r="43" spans="1:14" x14ac:dyDescent="0.25">
      <c r="A43" s="80"/>
      <c r="B43" s="57" t="s">
        <v>2804</v>
      </c>
      <c r="C43" s="57"/>
      <c r="D43" s="58"/>
      <c r="E43" s="58"/>
      <c r="F43" s="58"/>
      <c r="G43" s="58"/>
      <c r="H43" s="58"/>
      <c r="I43" s="58"/>
      <c r="J43" s="81"/>
      <c r="K43" s="80"/>
      <c r="L43" s="80"/>
      <c r="M43" s="80"/>
      <c r="N43" s="80"/>
    </row>
    <row r="44" spans="1:14" ht="25.5" x14ac:dyDescent="0.25">
      <c r="A44" s="73">
        <v>1</v>
      </c>
      <c r="B44" s="65" t="s">
        <v>2805</v>
      </c>
      <c r="C44" s="63" t="s">
        <v>27</v>
      </c>
      <c r="D44" s="64"/>
      <c r="E44" s="64"/>
      <c r="F44" s="64"/>
      <c r="G44" s="64"/>
      <c r="H44" s="64"/>
      <c r="I44" s="76">
        <f>SUM(I45:I141)</f>
        <v>48.676000000000045</v>
      </c>
      <c r="J44" s="83" t="e">
        <f>PL03a!#REF!</f>
        <v>#REF!</v>
      </c>
      <c r="K44" s="84">
        <f t="shared" ref="K44" si="3">I44</f>
        <v>48.676000000000045</v>
      </c>
      <c r="L44" s="85"/>
      <c r="M44" s="84">
        <f>K44</f>
        <v>48.676000000000045</v>
      </c>
      <c r="N44" s="86">
        <f>L44+M44</f>
        <v>48.676000000000045</v>
      </c>
    </row>
    <row r="45" spans="1:14" x14ac:dyDescent="0.25">
      <c r="A45" s="73"/>
      <c r="B45" s="66" t="s">
        <v>2806</v>
      </c>
      <c r="C45" s="63"/>
      <c r="D45" s="64"/>
      <c r="E45" s="64"/>
      <c r="F45" s="64"/>
      <c r="G45" s="64"/>
      <c r="H45" s="64"/>
      <c r="I45" s="76"/>
      <c r="J45" s="83"/>
      <c r="K45" s="84"/>
      <c r="L45" s="85"/>
      <c r="M45" s="84"/>
      <c r="N45" s="86"/>
    </row>
    <row r="46" spans="1:14" x14ac:dyDescent="0.25">
      <c r="A46" s="73"/>
      <c r="B46" s="62" t="s">
        <v>2807</v>
      </c>
      <c r="C46" s="63"/>
      <c r="D46" s="64"/>
      <c r="E46" s="64">
        <v>25.25</v>
      </c>
      <c r="F46" s="64">
        <v>27.2</v>
      </c>
      <c r="G46" s="64">
        <v>2.25</v>
      </c>
      <c r="H46" s="64">
        <v>0.01</v>
      </c>
      <c r="I46" s="76">
        <f>ROUND(PRODUCT(D46:H46),3)</f>
        <v>15.452999999999999</v>
      </c>
      <c r="J46" s="83"/>
      <c r="K46" s="84"/>
      <c r="L46" s="85"/>
      <c r="M46" s="84"/>
      <c r="N46" s="86"/>
    </row>
    <row r="47" spans="1:14" x14ac:dyDescent="0.25">
      <c r="A47" s="73"/>
      <c r="B47" s="62" t="s">
        <v>2808</v>
      </c>
      <c r="C47" s="63"/>
      <c r="D47" s="64"/>
      <c r="E47" s="64">
        <v>30.8</v>
      </c>
      <c r="F47" s="64">
        <v>30.4</v>
      </c>
      <c r="G47" s="64">
        <v>2.25</v>
      </c>
      <c r="H47" s="64">
        <v>0.01</v>
      </c>
      <c r="I47" s="76">
        <f>ROUND(PRODUCT(D47:H47),3)</f>
        <v>21.067</v>
      </c>
      <c r="J47" s="83"/>
      <c r="K47" s="84"/>
      <c r="L47" s="85"/>
      <c r="M47" s="84"/>
      <c r="N47" s="86"/>
    </row>
    <row r="48" spans="1:14" x14ac:dyDescent="0.25">
      <c r="A48" s="73"/>
      <c r="B48" s="66" t="s">
        <v>2809</v>
      </c>
      <c r="C48" s="63"/>
      <c r="D48" s="64"/>
      <c r="E48" s="64"/>
      <c r="F48" s="64"/>
      <c r="G48" s="64"/>
      <c r="H48" s="64"/>
      <c r="I48" s="76"/>
      <c r="J48" s="83"/>
      <c r="K48" s="84"/>
      <c r="L48" s="85"/>
      <c r="M48" s="84"/>
      <c r="N48" s="86"/>
    </row>
    <row r="49" spans="1:14" x14ac:dyDescent="0.25">
      <c r="A49" s="73"/>
      <c r="B49" s="62" t="s">
        <v>2810</v>
      </c>
      <c r="C49" s="63"/>
      <c r="D49" s="64">
        <v>5</v>
      </c>
      <c r="E49" s="64">
        <v>1.3</v>
      </c>
      <c r="F49" s="64">
        <v>1.3</v>
      </c>
      <c r="G49" s="64">
        <v>1.1000000000000001</v>
      </c>
      <c r="H49" s="64">
        <v>0.01</v>
      </c>
      <c r="I49" s="76">
        <f t="shared" ref="I49:I111" si="4">ROUND(PRODUCT(D49:H49),3)</f>
        <v>9.2999999999999999E-2</v>
      </c>
      <c r="J49" s="83"/>
      <c r="K49" s="84"/>
      <c r="L49" s="85"/>
      <c r="M49" s="84"/>
      <c r="N49" s="86"/>
    </row>
    <row r="50" spans="1:14" x14ac:dyDescent="0.25">
      <c r="A50" s="73"/>
      <c r="B50" s="62" t="s">
        <v>2811</v>
      </c>
      <c r="C50" s="63"/>
      <c r="D50" s="64">
        <v>3</v>
      </c>
      <c r="E50" s="64">
        <v>1.3</v>
      </c>
      <c r="F50" s="64">
        <v>3.1</v>
      </c>
      <c r="G50" s="64">
        <v>1.1000000000000001</v>
      </c>
      <c r="H50" s="64">
        <v>0.01</v>
      </c>
      <c r="I50" s="76">
        <f t="shared" si="4"/>
        <v>0.13300000000000001</v>
      </c>
      <c r="J50" s="83"/>
      <c r="K50" s="84"/>
      <c r="L50" s="85"/>
      <c r="M50" s="84"/>
      <c r="N50" s="86"/>
    </row>
    <row r="51" spans="1:14" x14ac:dyDescent="0.25">
      <c r="A51" s="73"/>
      <c r="B51" s="62" t="s">
        <v>2812</v>
      </c>
      <c r="C51" s="63"/>
      <c r="D51" s="64">
        <v>2</v>
      </c>
      <c r="E51" s="64">
        <v>3.1</v>
      </c>
      <c r="F51" s="64">
        <v>3.1</v>
      </c>
      <c r="G51" s="64">
        <v>1.6</v>
      </c>
      <c r="H51" s="64">
        <v>0.01</v>
      </c>
      <c r="I51" s="76">
        <f t="shared" si="4"/>
        <v>0.308</v>
      </c>
      <c r="J51" s="83"/>
      <c r="K51" s="84"/>
      <c r="L51" s="85"/>
      <c r="M51" s="84"/>
      <c r="N51" s="86"/>
    </row>
    <row r="52" spans="1:14" x14ac:dyDescent="0.25">
      <c r="A52" s="73"/>
      <c r="B52" s="62" t="s">
        <v>2813</v>
      </c>
      <c r="C52" s="63"/>
      <c r="D52" s="64"/>
      <c r="E52" s="64">
        <v>3.1</v>
      </c>
      <c r="F52" s="64">
        <v>4.5</v>
      </c>
      <c r="G52" s="64">
        <v>1.6</v>
      </c>
      <c r="H52" s="64">
        <v>0.01</v>
      </c>
      <c r="I52" s="76">
        <f t="shared" si="4"/>
        <v>0.223</v>
      </c>
      <c r="J52" s="83"/>
      <c r="K52" s="84"/>
      <c r="L52" s="85"/>
      <c r="M52" s="84"/>
      <c r="N52" s="86"/>
    </row>
    <row r="53" spans="1:14" x14ac:dyDescent="0.25">
      <c r="A53" s="73"/>
      <c r="B53" s="62" t="s">
        <v>2814</v>
      </c>
      <c r="C53" s="63"/>
      <c r="D53" s="64"/>
      <c r="E53" s="64">
        <v>3.1</v>
      </c>
      <c r="F53" s="64">
        <v>4.9000000000000004</v>
      </c>
      <c r="G53" s="64">
        <v>1.6</v>
      </c>
      <c r="H53" s="64">
        <v>0.01</v>
      </c>
      <c r="I53" s="76">
        <f t="shared" si="4"/>
        <v>0.24299999999999999</v>
      </c>
      <c r="J53" s="83"/>
      <c r="K53" s="84"/>
      <c r="L53" s="85"/>
      <c r="M53" s="84"/>
      <c r="N53" s="86"/>
    </row>
    <row r="54" spans="1:14" x14ac:dyDescent="0.25">
      <c r="A54" s="73"/>
      <c r="B54" s="62" t="s">
        <v>2815</v>
      </c>
      <c r="C54" s="63"/>
      <c r="D54" s="64"/>
      <c r="E54" s="64">
        <v>4.9000000000000004</v>
      </c>
      <c r="F54" s="64">
        <v>3.1</v>
      </c>
      <c r="G54" s="64">
        <v>1.6</v>
      </c>
      <c r="H54" s="64">
        <v>0.01</v>
      </c>
      <c r="I54" s="76">
        <f t="shared" si="4"/>
        <v>0.24299999999999999</v>
      </c>
      <c r="J54" s="83"/>
      <c r="K54" s="84"/>
      <c r="L54" s="85"/>
      <c r="M54" s="84"/>
      <c r="N54" s="86"/>
    </row>
    <row r="55" spans="1:14" x14ac:dyDescent="0.25">
      <c r="A55" s="73"/>
      <c r="B55" s="62" t="s">
        <v>2816</v>
      </c>
      <c r="C55" s="63"/>
      <c r="D55" s="64">
        <v>3</v>
      </c>
      <c r="E55" s="64">
        <v>3.1</v>
      </c>
      <c r="F55" s="64">
        <v>6.7</v>
      </c>
      <c r="G55" s="64">
        <v>1.6</v>
      </c>
      <c r="H55" s="64">
        <v>0.01</v>
      </c>
      <c r="I55" s="76">
        <f t="shared" si="4"/>
        <v>0.997</v>
      </c>
      <c r="J55" s="83"/>
      <c r="K55" s="84"/>
      <c r="L55" s="85"/>
      <c r="M55" s="84"/>
      <c r="N55" s="86"/>
    </row>
    <row r="56" spans="1:14" x14ac:dyDescent="0.25">
      <c r="A56" s="73"/>
      <c r="B56" s="62" t="s">
        <v>2817</v>
      </c>
      <c r="C56" s="63"/>
      <c r="D56" s="64"/>
      <c r="E56" s="64">
        <v>4.5</v>
      </c>
      <c r="F56" s="64">
        <v>4.9000000000000004</v>
      </c>
      <c r="G56" s="64">
        <v>1.6</v>
      </c>
      <c r="H56" s="64">
        <v>0.01</v>
      </c>
      <c r="I56" s="76">
        <f t="shared" si="4"/>
        <v>0.35299999999999998</v>
      </c>
      <c r="J56" s="83"/>
      <c r="K56" s="84"/>
      <c r="L56" s="85"/>
      <c r="M56" s="84"/>
      <c r="N56" s="86"/>
    </row>
    <row r="57" spans="1:14" x14ac:dyDescent="0.25">
      <c r="A57" s="73"/>
      <c r="B57" s="62" t="s">
        <v>2818</v>
      </c>
      <c r="C57" s="63"/>
      <c r="D57" s="64"/>
      <c r="E57" s="64">
        <v>4.5</v>
      </c>
      <c r="F57" s="64">
        <v>4.9000000000000004</v>
      </c>
      <c r="G57" s="64">
        <v>1.6</v>
      </c>
      <c r="H57" s="64">
        <v>0.01</v>
      </c>
      <c r="I57" s="76">
        <f t="shared" si="4"/>
        <v>0.35299999999999998</v>
      </c>
      <c r="J57" s="83"/>
      <c r="K57" s="84"/>
      <c r="L57" s="85"/>
      <c r="M57" s="84"/>
      <c r="N57" s="86"/>
    </row>
    <row r="58" spans="1:14" x14ac:dyDescent="0.25">
      <c r="A58" s="73"/>
      <c r="B58" s="62" t="s">
        <v>2819</v>
      </c>
      <c r="C58" s="63"/>
      <c r="D58" s="64"/>
      <c r="E58" s="64">
        <v>4.9000000000000004</v>
      </c>
      <c r="F58" s="64">
        <v>4.9000000000000004</v>
      </c>
      <c r="G58" s="64">
        <v>1.6</v>
      </c>
      <c r="H58" s="64">
        <v>0.01</v>
      </c>
      <c r="I58" s="76">
        <f t="shared" si="4"/>
        <v>0.38400000000000001</v>
      </c>
      <c r="J58" s="83"/>
      <c r="K58" s="84"/>
      <c r="L58" s="85"/>
      <c r="M58" s="84"/>
      <c r="N58" s="86"/>
    </row>
    <row r="59" spans="1:14" x14ac:dyDescent="0.25">
      <c r="A59" s="73"/>
      <c r="B59" s="62" t="s">
        <v>2820</v>
      </c>
      <c r="C59" s="63"/>
      <c r="D59" s="64"/>
      <c r="E59" s="64">
        <v>4.9000000000000004</v>
      </c>
      <c r="F59" s="64">
        <v>4.9000000000000004</v>
      </c>
      <c r="G59" s="64">
        <v>1.6</v>
      </c>
      <c r="H59" s="64">
        <v>0.01</v>
      </c>
      <c r="I59" s="76">
        <f t="shared" si="4"/>
        <v>0.38400000000000001</v>
      </c>
      <c r="J59" s="83"/>
      <c r="K59" s="84"/>
      <c r="L59" s="85"/>
      <c r="M59" s="84"/>
      <c r="N59" s="86"/>
    </row>
    <row r="60" spans="1:14" x14ac:dyDescent="0.25">
      <c r="A60" s="73"/>
      <c r="B60" s="62" t="s">
        <v>2821</v>
      </c>
      <c r="C60" s="63"/>
      <c r="D60" s="64"/>
      <c r="E60" s="64">
        <v>4.5</v>
      </c>
      <c r="F60" s="64">
        <v>6.7</v>
      </c>
      <c r="G60" s="64">
        <v>1.6</v>
      </c>
      <c r="H60" s="64">
        <v>0.01</v>
      </c>
      <c r="I60" s="76">
        <f t="shared" si="4"/>
        <v>0.48199999999999998</v>
      </c>
      <c r="J60" s="83"/>
      <c r="K60" s="84"/>
      <c r="L60" s="85"/>
      <c r="M60" s="84"/>
      <c r="N60" s="86"/>
    </row>
    <row r="61" spans="1:14" x14ac:dyDescent="0.25">
      <c r="A61" s="73"/>
      <c r="B61" s="62" t="s">
        <v>2822</v>
      </c>
      <c r="C61" s="63"/>
      <c r="D61" s="64"/>
      <c r="E61" s="64">
        <v>3.1</v>
      </c>
      <c r="F61" s="64">
        <v>8.5</v>
      </c>
      <c r="G61" s="64">
        <v>1.6</v>
      </c>
      <c r="H61" s="64">
        <v>0.01</v>
      </c>
      <c r="I61" s="76">
        <f t="shared" si="4"/>
        <v>0.42199999999999999</v>
      </c>
      <c r="J61" s="83"/>
      <c r="K61" s="84"/>
      <c r="L61" s="85"/>
      <c r="M61" s="84"/>
      <c r="N61" s="86"/>
    </row>
    <row r="62" spans="1:14" x14ac:dyDescent="0.25">
      <c r="A62" s="73"/>
      <c r="B62" s="62" t="s">
        <v>2823</v>
      </c>
      <c r="C62" s="63"/>
      <c r="D62" s="64"/>
      <c r="E62" s="64">
        <v>4.5</v>
      </c>
      <c r="F62" s="64">
        <v>6.7</v>
      </c>
      <c r="G62" s="64">
        <v>1.6</v>
      </c>
      <c r="H62" s="64">
        <v>0.01</v>
      </c>
      <c r="I62" s="76">
        <f t="shared" si="4"/>
        <v>0.48199999999999998</v>
      </c>
      <c r="J62" s="83"/>
      <c r="K62" s="84"/>
      <c r="L62" s="85"/>
      <c r="M62" s="84"/>
      <c r="N62" s="86"/>
    </row>
    <row r="63" spans="1:14" x14ac:dyDescent="0.25">
      <c r="A63" s="73"/>
      <c r="B63" s="62" t="s">
        <v>2824</v>
      </c>
      <c r="C63" s="63"/>
      <c r="D63" s="64"/>
      <c r="E63" s="64">
        <v>4.5</v>
      </c>
      <c r="F63" s="64">
        <v>8.5</v>
      </c>
      <c r="G63" s="64">
        <v>1.6</v>
      </c>
      <c r="H63" s="64">
        <v>0.01</v>
      </c>
      <c r="I63" s="76">
        <f t="shared" si="4"/>
        <v>0.61199999999999999</v>
      </c>
      <c r="J63" s="83"/>
      <c r="K63" s="84"/>
      <c r="L63" s="85"/>
      <c r="M63" s="84"/>
      <c r="N63" s="86"/>
    </row>
    <row r="64" spans="1:14" x14ac:dyDescent="0.25">
      <c r="A64" s="73"/>
      <c r="B64" s="62" t="s">
        <v>2825</v>
      </c>
      <c r="C64" s="63"/>
      <c r="D64" s="64">
        <v>2</v>
      </c>
      <c r="E64" s="64">
        <v>3.1</v>
      </c>
      <c r="F64" s="64">
        <v>3.2</v>
      </c>
      <c r="G64" s="64">
        <v>1.6</v>
      </c>
      <c r="H64" s="64">
        <v>0.01</v>
      </c>
      <c r="I64" s="76">
        <f t="shared" si="4"/>
        <v>0.317</v>
      </c>
      <c r="J64" s="83"/>
      <c r="K64" s="84"/>
      <c r="L64" s="85"/>
      <c r="M64" s="84"/>
      <c r="N64" s="86"/>
    </row>
    <row r="65" spans="1:14" x14ac:dyDescent="0.25">
      <c r="A65" s="73"/>
      <c r="B65" s="62"/>
      <c r="C65" s="63"/>
      <c r="D65" s="64"/>
      <c r="E65" s="64">
        <v>4.9000000000000004</v>
      </c>
      <c r="F65" s="64">
        <v>6.9</v>
      </c>
      <c r="G65" s="64">
        <v>1.6</v>
      </c>
      <c r="H65" s="64">
        <v>0.01</v>
      </c>
      <c r="I65" s="76">
        <f t="shared" si="4"/>
        <v>0.54100000000000004</v>
      </c>
      <c r="J65" s="83"/>
      <c r="K65" s="84"/>
      <c r="L65" s="85"/>
      <c r="M65" s="84"/>
      <c r="N65" s="86"/>
    </row>
    <row r="66" spans="1:14" x14ac:dyDescent="0.25">
      <c r="A66" s="73"/>
      <c r="B66" s="62" t="s">
        <v>2826</v>
      </c>
      <c r="C66" s="63"/>
      <c r="D66" s="64"/>
      <c r="E66" s="64">
        <v>3.1</v>
      </c>
      <c r="F66" s="64">
        <v>3.3</v>
      </c>
      <c r="G66" s="64">
        <v>1.6</v>
      </c>
      <c r="H66" s="64">
        <v>0.01</v>
      </c>
      <c r="I66" s="76">
        <f t="shared" si="4"/>
        <v>0.16400000000000001</v>
      </c>
      <c r="J66" s="83"/>
      <c r="K66" s="84"/>
      <c r="L66" s="85"/>
      <c r="M66" s="84"/>
      <c r="N66" s="86"/>
    </row>
    <row r="67" spans="1:14" x14ac:dyDescent="0.25">
      <c r="A67" s="73"/>
      <c r="B67" s="62"/>
      <c r="C67" s="63"/>
      <c r="D67" s="64"/>
      <c r="E67" s="64">
        <v>3.1</v>
      </c>
      <c r="F67" s="64">
        <v>1.6</v>
      </c>
      <c r="G67" s="64">
        <v>1.6</v>
      </c>
      <c r="H67" s="64">
        <v>0.01</v>
      </c>
      <c r="I67" s="76">
        <f t="shared" si="4"/>
        <v>7.9000000000000001E-2</v>
      </c>
      <c r="J67" s="83"/>
      <c r="K67" s="84"/>
      <c r="L67" s="85"/>
      <c r="M67" s="84"/>
      <c r="N67" s="86"/>
    </row>
    <row r="68" spans="1:14" x14ac:dyDescent="0.25">
      <c r="A68" s="73"/>
      <c r="B68" s="62"/>
      <c r="C68" s="63"/>
      <c r="D68" s="64"/>
      <c r="E68" s="64">
        <v>4.9000000000000004</v>
      </c>
      <c r="F68" s="64">
        <v>8.6999999999999993</v>
      </c>
      <c r="G68" s="64">
        <v>1.6</v>
      </c>
      <c r="H68" s="64">
        <v>0.01</v>
      </c>
      <c r="I68" s="76">
        <f t="shared" si="4"/>
        <v>0.68200000000000005</v>
      </c>
      <c r="J68" s="83"/>
      <c r="K68" s="84"/>
      <c r="L68" s="85"/>
      <c r="M68" s="84"/>
      <c r="N68" s="86"/>
    </row>
    <row r="69" spans="1:14" x14ac:dyDescent="0.25">
      <c r="A69" s="73"/>
      <c r="B69" s="62" t="s">
        <v>2827</v>
      </c>
      <c r="C69" s="63"/>
      <c r="D69" s="64"/>
      <c r="E69" s="64">
        <v>4.9000000000000004</v>
      </c>
      <c r="F69" s="64">
        <v>1.9</v>
      </c>
      <c r="G69" s="64">
        <v>2.6</v>
      </c>
      <c r="H69" s="64">
        <v>0.01</v>
      </c>
      <c r="I69" s="76">
        <f t="shared" si="4"/>
        <v>0.24199999999999999</v>
      </c>
      <c r="J69" s="83"/>
      <c r="K69" s="84"/>
      <c r="L69" s="85"/>
      <c r="M69" s="84"/>
      <c r="N69" s="86"/>
    </row>
    <row r="70" spans="1:14" x14ac:dyDescent="0.25">
      <c r="A70" s="73"/>
      <c r="B70" s="62"/>
      <c r="C70" s="63"/>
      <c r="D70" s="64"/>
      <c r="E70" s="64">
        <v>4.9000000000000004</v>
      </c>
      <c r="F70" s="64">
        <v>3.6</v>
      </c>
      <c r="G70" s="64">
        <v>2.6</v>
      </c>
      <c r="H70" s="64">
        <v>0.01</v>
      </c>
      <c r="I70" s="76">
        <f t="shared" si="4"/>
        <v>0.45900000000000002</v>
      </c>
      <c r="J70" s="83"/>
      <c r="K70" s="84"/>
      <c r="L70" s="85"/>
      <c r="M70" s="84"/>
      <c r="N70" s="86"/>
    </row>
    <row r="71" spans="1:14" x14ac:dyDescent="0.25">
      <c r="A71" s="73"/>
      <c r="B71" s="62"/>
      <c r="C71" s="63"/>
      <c r="D71" s="64"/>
      <c r="E71" s="64">
        <v>6.7</v>
      </c>
      <c r="F71" s="64">
        <v>6.7</v>
      </c>
      <c r="G71" s="64">
        <v>2.6</v>
      </c>
      <c r="H71" s="64">
        <v>0.01</v>
      </c>
      <c r="I71" s="76">
        <f t="shared" si="4"/>
        <v>1.167</v>
      </c>
      <c r="J71" s="83"/>
      <c r="K71" s="84"/>
      <c r="L71" s="85"/>
      <c r="M71" s="84"/>
      <c r="N71" s="86"/>
    </row>
    <row r="72" spans="1:14" x14ac:dyDescent="0.25">
      <c r="A72" s="73"/>
      <c r="B72" s="66" t="s">
        <v>2828</v>
      </c>
      <c r="C72" s="63"/>
      <c r="D72" s="64"/>
      <c r="E72" s="64"/>
      <c r="F72" s="64"/>
      <c r="G72" s="64"/>
      <c r="H72" s="64"/>
      <c r="I72" s="76"/>
      <c r="J72" s="83"/>
      <c r="K72" s="84"/>
      <c r="L72" s="85"/>
      <c r="M72" s="84"/>
      <c r="N72" s="86"/>
    </row>
    <row r="73" spans="1:14" ht="25.5" x14ac:dyDescent="0.25">
      <c r="A73" s="73"/>
      <c r="B73" s="62" t="s">
        <v>2829</v>
      </c>
      <c r="C73" s="63"/>
      <c r="D73" s="64"/>
      <c r="E73" s="64">
        <v>29.9</v>
      </c>
      <c r="F73" s="64">
        <v>0.6</v>
      </c>
      <c r="G73" s="64">
        <v>0.4</v>
      </c>
      <c r="H73" s="64">
        <v>0.01</v>
      </c>
      <c r="I73" s="76">
        <f t="shared" si="4"/>
        <v>7.1999999999999995E-2</v>
      </c>
      <c r="J73" s="83"/>
      <c r="K73" s="84"/>
      <c r="L73" s="85"/>
      <c r="M73" s="84"/>
      <c r="N73" s="86"/>
    </row>
    <row r="74" spans="1:14" x14ac:dyDescent="0.25">
      <c r="A74" s="73"/>
      <c r="B74" s="62" t="s">
        <v>2830</v>
      </c>
      <c r="C74" s="63"/>
      <c r="D74" s="64"/>
      <c r="E74" s="64">
        <v>8.6</v>
      </c>
      <c r="F74" s="64">
        <v>0.6</v>
      </c>
      <c r="G74" s="64">
        <v>0.4</v>
      </c>
      <c r="H74" s="64">
        <v>0.01</v>
      </c>
      <c r="I74" s="76">
        <f t="shared" si="4"/>
        <v>2.1000000000000001E-2</v>
      </c>
      <c r="J74" s="83"/>
      <c r="K74" s="84"/>
      <c r="L74" s="85"/>
      <c r="M74" s="84"/>
      <c r="N74" s="86"/>
    </row>
    <row r="75" spans="1:14" x14ac:dyDescent="0.25">
      <c r="A75" s="73"/>
      <c r="B75" s="62" t="s">
        <v>2831</v>
      </c>
      <c r="C75" s="63"/>
      <c r="D75" s="64"/>
      <c r="E75" s="64">
        <v>5.2</v>
      </c>
      <c r="F75" s="64">
        <v>0.6</v>
      </c>
      <c r="G75" s="64">
        <v>0.4</v>
      </c>
      <c r="H75" s="64">
        <v>0.01</v>
      </c>
      <c r="I75" s="76">
        <f t="shared" si="4"/>
        <v>1.2E-2</v>
      </c>
      <c r="J75" s="83"/>
      <c r="K75" s="84"/>
      <c r="L75" s="85"/>
      <c r="M75" s="84"/>
      <c r="N75" s="86"/>
    </row>
    <row r="76" spans="1:14" x14ac:dyDescent="0.25">
      <c r="A76" s="73"/>
      <c r="B76" s="62" t="s">
        <v>2832</v>
      </c>
      <c r="C76" s="63"/>
      <c r="D76" s="64"/>
      <c r="E76" s="64">
        <v>16.100000000000001</v>
      </c>
      <c r="F76" s="64">
        <v>0.6</v>
      </c>
      <c r="G76" s="64">
        <v>0.4</v>
      </c>
      <c r="H76" s="64">
        <v>0.01</v>
      </c>
      <c r="I76" s="76">
        <f t="shared" si="4"/>
        <v>3.9E-2</v>
      </c>
      <c r="J76" s="83"/>
      <c r="K76" s="84"/>
      <c r="L76" s="85"/>
      <c r="M76" s="84"/>
      <c r="N76" s="86"/>
    </row>
    <row r="77" spans="1:14" x14ac:dyDescent="0.25">
      <c r="A77" s="73"/>
      <c r="B77" s="62" t="s">
        <v>2833</v>
      </c>
      <c r="C77" s="63"/>
      <c r="D77" s="64"/>
      <c r="E77" s="64">
        <v>7.2</v>
      </c>
      <c r="F77" s="64">
        <v>0.6</v>
      </c>
      <c r="G77" s="64">
        <v>0.4</v>
      </c>
      <c r="H77" s="64">
        <v>0.01</v>
      </c>
      <c r="I77" s="76">
        <f t="shared" si="4"/>
        <v>1.7000000000000001E-2</v>
      </c>
      <c r="J77" s="83"/>
      <c r="K77" s="84"/>
      <c r="L77" s="85"/>
      <c r="M77" s="84"/>
      <c r="N77" s="86"/>
    </row>
    <row r="78" spans="1:14" x14ac:dyDescent="0.25">
      <c r="A78" s="73"/>
      <c r="B78" s="62" t="s">
        <v>2834</v>
      </c>
      <c r="C78" s="63"/>
      <c r="D78" s="64"/>
      <c r="E78" s="64">
        <v>12.9</v>
      </c>
      <c r="F78" s="64">
        <v>0.6</v>
      </c>
      <c r="G78" s="64">
        <v>0.4</v>
      </c>
      <c r="H78" s="64">
        <v>0.01</v>
      </c>
      <c r="I78" s="76">
        <f t="shared" si="4"/>
        <v>3.1E-2</v>
      </c>
      <c r="J78" s="83"/>
      <c r="K78" s="84"/>
      <c r="L78" s="85"/>
      <c r="M78" s="84"/>
      <c r="N78" s="86"/>
    </row>
    <row r="79" spans="1:14" x14ac:dyDescent="0.25">
      <c r="A79" s="73"/>
      <c r="B79" s="62" t="s">
        <v>2835</v>
      </c>
      <c r="C79" s="63"/>
      <c r="D79" s="64"/>
      <c r="E79" s="64">
        <v>4.2</v>
      </c>
      <c r="F79" s="64">
        <v>0.6</v>
      </c>
      <c r="G79" s="64">
        <v>0.4</v>
      </c>
      <c r="H79" s="64">
        <v>0.01</v>
      </c>
      <c r="I79" s="76">
        <f t="shared" si="4"/>
        <v>0.01</v>
      </c>
      <c r="J79" s="83"/>
      <c r="K79" s="84"/>
      <c r="L79" s="85"/>
      <c r="M79" s="84"/>
      <c r="N79" s="86"/>
    </row>
    <row r="80" spans="1:14" x14ac:dyDescent="0.25">
      <c r="A80" s="73"/>
      <c r="B80" s="62" t="s">
        <v>2836</v>
      </c>
      <c r="C80" s="63"/>
      <c r="D80" s="64"/>
      <c r="E80" s="64">
        <v>24.3</v>
      </c>
      <c r="F80" s="64">
        <v>0.6</v>
      </c>
      <c r="G80" s="64">
        <v>0.4</v>
      </c>
      <c r="H80" s="64">
        <v>0.01</v>
      </c>
      <c r="I80" s="76">
        <f t="shared" si="4"/>
        <v>5.8000000000000003E-2</v>
      </c>
      <c r="J80" s="83"/>
      <c r="K80" s="84"/>
      <c r="L80" s="85"/>
      <c r="M80" s="84"/>
      <c r="N80" s="86"/>
    </row>
    <row r="81" spans="1:14" x14ac:dyDescent="0.25">
      <c r="A81" s="73"/>
      <c r="B81" s="62" t="s">
        <v>2837</v>
      </c>
      <c r="C81" s="63"/>
      <c r="D81" s="64"/>
      <c r="E81" s="64">
        <v>1.5</v>
      </c>
      <c r="F81" s="64">
        <v>0.5</v>
      </c>
      <c r="G81" s="64">
        <v>1.4</v>
      </c>
      <c r="H81" s="64">
        <v>0.01</v>
      </c>
      <c r="I81" s="76">
        <f t="shared" si="4"/>
        <v>1.0999999999999999E-2</v>
      </c>
      <c r="J81" s="83"/>
      <c r="K81" s="84"/>
      <c r="L81" s="85"/>
      <c r="M81" s="84"/>
      <c r="N81" s="86"/>
    </row>
    <row r="82" spans="1:14" x14ac:dyDescent="0.25">
      <c r="A82" s="73"/>
      <c r="B82" s="62" t="s">
        <v>2838</v>
      </c>
      <c r="C82" s="63"/>
      <c r="D82" s="64"/>
      <c r="E82" s="64">
        <v>3.7</v>
      </c>
      <c r="F82" s="64">
        <v>0.6</v>
      </c>
      <c r="G82" s="64">
        <v>0.4</v>
      </c>
      <c r="H82" s="64">
        <v>0.01</v>
      </c>
      <c r="I82" s="76">
        <f t="shared" si="4"/>
        <v>8.9999999999999993E-3</v>
      </c>
      <c r="J82" s="83"/>
      <c r="K82" s="84"/>
      <c r="L82" s="85"/>
      <c r="M82" s="84"/>
      <c r="N82" s="86"/>
    </row>
    <row r="83" spans="1:14" x14ac:dyDescent="0.25">
      <c r="A83" s="73"/>
      <c r="B83" s="62" t="s">
        <v>2839</v>
      </c>
      <c r="C83" s="63"/>
      <c r="D83" s="64"/>
      <c r="E83" s="64">
        <v>3.3</v>
      </c>
      <c r="F83" s="64">
        <v>0.6</v>
      </c>
      <c r="G83" s="64">
        <v>0.4</v>
      </c>
      <c r="H83" s="64">
        <v>0.01</v>
      </c>
      <c r="I83" s="76">
        <f t="shared" si="4"/>
        <v>8.0000000000000002E-3</v>
      </c>
      <c r="J83" s="83"/>
      <c r="K83" s="84"/>
      <c r="L83" s="85"/>
      <c r="M83" s="84"/>
      <c r="N83" s="86"/>
    </row>
    <row r="84" spans="1:14" x14ac:dyDescent="0.25">
      <c r="A84" s="73"/>
      <c r="B84" s="62" t="s">
        <v>2840</v>
      </c>
      <c r="C84" s="63"/>
      <c r="D84" s="64"/>
      <c r="E84" s="64">
        <v>1.9</v>
      </c>
      <c r="F84" s="64">
        <v>0.4</v>
      </c>
      <c r="G84" s="64">
        <v>1.4</v>
      </c>
      <c r="H84" s="64">
        <v>0.01</v>
      </c>
      <c r="I84" s="76">
        <f t="shared" si="4"/>
        <v>1.0999999999999999E-2</v>
      </c>
      <c r="J84" s="83"/>
      <c r="K84" s="84"/>
      <c r="L84" s="85"/>
      <c r="M84" s="84"/>
      <c r="N84" s="86"/>
    </row>
    <row r="85" spans="1:14" x14ac:dyDescent="0.25">
      <c r="A85" s="73"/>
      <c r="B85" s="62" t="s">
        <v>2841</v>
      </c>
      <c r="C85" s="63"/>
      <c r="D85" s="64"/>
      <c r="E85" s="64">
        <v>8.8000000000000007</v>
      </c>
      <c r="F85" s="64">
        <v>0.6</v>
      </c>
      <c r="G85" s="64">
        <v>0.4</v>
      </c>
      <c r="H85" s="64">
        <v>0.01</v>
      </c>
      <c r="I85" s="76">
        <f t="shared" si="4"/>
        <v>2.1000000000000001E-2</v>
      </c>
      <c r="J85" s="83"/>
      <c r="K85" s="84"/>
      <c r="L85" s="85"/>
      <c r="M85" s="84"/>
      <c r="N85" s="86"/>
    </row>
    <row r="86" spans="1:14" x14ac:dyDescent="0.25">
      <c r="A86" s="73"/>
      <c r="B86" s="62" t="s">
        <v>2842</v>
      </c>
      <c r="C86" s="63"/>
      <c r="D86" s="64"/>
      <c r="E86" s="64">
        <v>9.6999999999999993</v>
      </c>
      <c r="F86" s="64">
        <v>0.6</v>
      </c>
      <c r="G86" s="64">
        <v>0.4</v>
      </c>
      <c r="H86" s="64">
        <v>0.01</v>
      </c>
      <c r="I86" s="76">
        <f t="shared" si="4"/>
        <v>2.3E-2</v>
      </c>
      <c r="J86" s="83"/>
      <c r="K86" s="84"/>
      <c r="L86" s="85"/>
      <c r="M86" s="84"/>
      <c r="N86" s="86"/>
    </row>
    <row r="87" spans="1:14" x14ac:dyDescent="0.25">
      <c r="A87" s="73"/>
      <c r="B87" s="62" t="s">
        <v>2843</v>
      </c>
      <c r="C87" s="63"/>
      <c r="D87" s="64"/>
      <c r="E87" s="64">
        <v>11.2</v>
      </c>
      <c r="F87" s="64">
        <v>0.6</v>
      </c>
      <c r="G87" s="64">
        <v>0.4</v>
      </c>
      <c r="H87" s="64">
        <v>0.01</v>
      </c>
      <c r="I87" s="76">
        <f t="shared" si="4"/>
        <v>2.7E-2</v>
      </c>
      <c r="J87" s="83"/>
      <c r="K87" s="84"/>
      <c r="L87" s="85"/>
      <c r="M87" s="84"/>
      <c r="N87" s="86"/>
    </row>
    <row r="88" spans="1:14" x14ac:dyDescent="0.25">
      <c r="A88" s="73"/>
      <c r="B88" s="62" t="s">
        <v>2844</v>
      </c>
      <c r="C88" s="63"/>
      <c r="D88" s="64"/>
      <c r="E88" s="64">
        <v>8.1999999999999993</v>
      </c>
      <c r="F88" s="64">
        <v>0.6</v>
      </c>
      <c r="G88" s="64">
        <v>0.4</v>
      </c>
      <c r="H88" s="64">
        <v>0.01</v>
      </c>
      <c r="I88" s="76">
        <f t="shared" si="4"/>
        <v>0.02</v>
      </c>
      <c r="J88" s="83"/>
      <c r="K88" s="84"/>
      <c r="L88" s="85"/>
      <c r="M88" s="84"/>
      <c r="N88" s="86"/>
    </row>
    <row r="89" spans="1:14" x14ac:dyDescent="0.25">
      <c r="A89" s="73"/>
      <c r="B89" s="62" t="s">
        <v>2845</v>
      </c>
      <c r="C89" s="63"/>
      <c r="D89" s="64"/>
      <c r="E89" s="64">
        <v>12.4</v>
      </c>
      <c r="F89" s="64">
        <v>0.6</v>
      </c>
      <c r="G89" s="64">
        <v>0.4</v>
      </c>
      <c r="H89" s="64">
        <v>0.01</v>
      </c>
      <c r="I89" s="76">
        <f t="shared" si="4"/>
        <v>0.03</v>
      </c>
      <c r="J89" s="83"/>
      <c r="K89" s="84"/>
      <c r="L89" s="85"/>
      <c r="M89" s="84"/>
      <c r="N89" s="86"/>
    </row>
    <row r="90" spans="1:14" x14ac:dyDescent="0.25">
      <c r="A90" s="73"/>
      <c r="B90" s="62" t="s">
        <v>2846</v>
      </c>
      <c r="C90" s="63"/>
      <c r="D90" s="64"/>
      <c r="E90" s="64">
        <v>6.95</v>
      </c>
      <c r="F90" s="64">
        <v>0.6</v>
      </c>
      <c r="G90" s="64">
        <v>0.4</v>
      </c>
      <c r="H90" s="64">
        <v>0.01</v>
      </c>
      <c r="I90" s="76">
        <f t="shared" si="4"/>
        <v>1.7000000000000001E-2</v>
      </c>
      <c r="J90" s="83"/>
      <c r="K90" s="84"/>
      <c r="L90" s="85"/>
      <c r="M90" s="84"/>
      <c r="N90" s="86"/>
    </row>
    <row r="91" spans="1:14" x14ac:dyDescent="0.25">
      <c r="A91" s="73"/>
      <c r="B91" s="62" t="s">
        <v>2847</v>
      </c>
      <c r="C91" s="63"/>
      <c r="D91" s="64"/>
      <c r="E91" s="64">
        <v>7.8</v>
      </c>
      <c r="F91" s="64">
        <v>0.6</v>
      </c>
      <c r="G91" s="64">
        <v>0.4</v>
      </c>
      <c r="H91" s="64">
        <v>0.01</v>
      </c>
      <c r="I91" s="76">
        <f t="shared" si="4"/>
        <v>1.9E-2</v>
      </c>
      <c r="J91" s="83"/>
      <c r="K91" s="84"/>
      <c r="L91" s="85"/>
      <c r="M91" s="84"/>
      <c r="N91" s="86"/>
    </row>
    <row r="92" spans="1:14" x14ac:dyDescent="0.25">
      <c r="A92" s="73"/>
      <c r="B92" s="62" t="s">
        <v>2848</v>
      </c>
      <c r="C92" s="63"/>
      <c r="D92" s="64"/>
      <c r="E92" s="64">
        <v>17.3</v>
      </c>
      <c r="F92" s="64">
        <v>0.6</v>
      </c>
      <c r="G92" s="64">
        <v>0.4</v>
      </c>
      <c r="H92" s="64">
        <v>0.01</v>
      </c>
      <c r="I92" s="76">
        <f t="shared" si="4"/>
        <v>4.2000000000000003E-2</v>
      </c>
      <c r="J92" s="83"/>
      <c r="K92" s="84"/>
      <c r="L92" s="85"/>
      <c r="M92" s="84"/>
      <c r="N92" s="86"/>
    </row>
    <row r="93" spans="1:14" x14ac:dyDescent="0.25">
      <c r="A93" s="73"/>
      <c r="B93" s="62" t="s">
        <v>2849</v>
      </c>
      <c r="C93" s="63"/>
      <c r="D93" s="64">
        <v>2</v>
      </c>
      <c r="E93" s="64">
        <v>2.9</v>
      </c>
      <c r="F93" s="64">
        <v>0.5</v>
      </c>
      <c r="G93" s="64">
        <v>0.1</v>
      </c>
      <c r="H93" s="64">
        <v>0.01</v>
      </c>
      <c r="I93" s="76">
        <f t="shared" si="4"/>
        <v>3.0000000000000001E-3</v>
      </c>
      <c r="J93" s="83"/>
      <c r="K93" s="84"/>
      <c r="L93" s="85"/>
      <c r="M93" s="84"/>
      <c r="N93" s="86"/>
    </row>
    <row r="94" spans="1:14" x14ac:dyDescent="0.25">
      <c r="A94" s="73"/>
      <c r="B94" s="62" t="s">
        <v>2806</v>
      </c>
      <c r="C94" s="63"/>
      <c r="D94" s="64"/>
      <c r="E94" s="64">
        <v>25.25</v>
      </c>
      <c r="F94" s="64">
        <v>27.2</v>
      </c>
      <c r="G94" s="64">
        <v>0.1</v>
      </c>
      <c r="H94" s="64">
        <v>0.01</v>
      </c>
      <c r="I94" s="76">
        <f t="shared" si="4"/>
        <v>0.68700000000000006</v>
      </c>
      <c r="J94" s="83"/>
      <c r="K94" s="84"/>
      <c r="L94" s="85"/>
      <c r="M94" s="84"/>
      <c r="N94" s="86"/>
    </row>
    <row r="95" spans="1:14" x14ac:dyDescent="0.25">
      <c r="A95" s="73"/>
      <c r="B95" s="62"/>
      <c r="C95" s="63"/>
      <c r="D95" s="64"/>
      <c r="E95" s="64">
        <v>30.8</v>
      </c>
      <c r="F95" s="64">
        <v>30.4</v>
      </c>
      <c r="G95" s="64">
        <v>0.1</v>
      </c>
      <c r="H95" s="64">
        <v>0.01</v>
      </c>
      <c r="I95" s="76">
        <f t="shared" si="4"/>
        <v>0.93600000000000005</v>
      </c>
      <c r="J95" s="83"/>
      <c r="K95" s="84"/>
      <c r="L95" s="85"/>
      <c r="M95" s="84"/>
      <c r="N95" s="86"/>
    </row>
    <row r="96" spans="1:14" x14ac:dyDescent="0.25">
      <c r="A96" s="73"/>
      <c r="B96" s="66" t="s">
        <v>2809</v>
      </c>
      <c r="C96" s="63"/>
      <c r="D96" s="64"/>
      <c r="E96" s="64"/>
      <c r="F96" s="64"/>
      <c r="G96" s="64"/>
      <c r="H96" s="64"/>
      <c r="I96" s="76"/>
      <c r="J96" s="83"/>
      <c r="K96" s="84"/>
      <c r="L96" s="85"/>
      <c r="M96" s="84"/>
      <c r="N96" s="86"/>
    </row>
    <row r="97" spans="1:14" x14ac:dyDescent="0.25">
      <c r="A97" s="73"/>
      <c r="B97" s="62" t="s">
        <v>2810</v>
      </c>
      <c r="C97" s="63"/>
      <c r="D97" s="64">
        <v>5</v>
      </c>
      <c r="E97" s="64">
        <v>1.3</v>
      </c>
      <c r="F97" s="64">
        <v>1.3</v>
      </c>
      <c r="G97" s="64">
        <v>0.1</v>
      </c>
      <c r="H97" s="64">
        <v>0.01</v>
      </c>
      <c r="I97" s="76">
        <f t="shared" si="4"/>
        <v>8.0000000000000002E-3</v>
      </c>
      <c r="J97" s="83"/>
      <c r="K97" s="84"/>
      <c r="L97" s="85"/>
      <c r="M97" s="84"/>
      <c r="N97" s="86"/>
    </row>
    <row r="98" spans="1:14" x14ac:dyDescent="0.25">
      <c r="A98" s="73"/>
      <c r="B98" s="62" t="s">
        <v>2811</v>
      </c>
      <c r="C98" s="63"/>
      <c r="D98" s="64">
        <v>3</v>
      </c>
      <c r="E98" s="64">
        <v>1.3</v>
      </c>
      <c r="F98" s="64">
        <v>3.1</v>
      </c>
      <c r="G98" s="64">
        <v>0.1</v>
      </c>
      <c r="H98" s="64">
        <v>0.01</v>
      </c>
      <c r="I98" s="76">
        <f t="shared" si="4"/>
        <v>1.2E-2</v>
      </c>
      <c r="J98" s="83"/>
      <c r="K98" s="84"/>
      <c r="L98" s="85"/>
      <c r="M98" s="84"/>
      <c r="N98" s="86"/>
    </row>
    <row r="99" spans="1:14" x14ac:dyDescent="0.25">
      <c r="A99" s="73"/>
      <c r="B99" s="62" t="s">
        <v>2812</v>
      </c>
      <c r="C99" s="63"/>
      <c r="D99" s="64">
        <v>2</v>
      </c>
      <c r="E99" s="64">
        <v>3.1</v>
      </c>
      <c r="F99" s="64">
        <v>3.1</v>
      </c>
      <c r="G99" s="64">
        <v>0.1</v>
      </c>
      <c r="H99" s="64">
        <v>0.01</v>
      </c>
      <c r="I99" s="76">
        <f t="shared" si="4"/>
        <v>1.9E-2</v>
      </c>
      <c r="J99" s="83"/>
      <c r="K99" s="84"/>
      <c r="L99" s="85"/>
      <c r="M99" s="84"/>
      <c r="N99" s="86"/>
    </row>
    <row r="100" spans="1:14" x14ac:dyDescent="0.25">
      <c r="A100" s="73"/>
      <c r="B100" s="62" t="s">
        <v>2813</v>
      </c>
      <c r="C100" s="63"/>
      <c r="D100" s="64"/>
      <c r="E100" s="64">
        <v>3.1</v>
      </c>
      <c r="F100" s="64">
        <v>4.5</v>
      </c>
      <c r="G100" s="64">
        <v>0.1</v>
      </c>
      <c r="H100" s="64">
        <v>0.01</v>
      </c>
      <c r="I100" s="76">
        <f t="shared" si="4"/>
        <v>1.4E-2</v>
      </c>
      <c r="J100" s="83"/>
      <c r="K100" s="84"/>
      <c r="L100" s="85"/>
      <c r="M100" s="84"/>
      <c r="N100" s="86"/>
    </row>
    <row r="101" spans="1:14" x14ac:dyDescent="0.25">
      <c r="A101" s="73"/>
      <c r="B101" s="62" t="s">
        <v>2814</v>
      </c>
      <c r="C101" s="63"/>
      <c r="D101" s="64"/>
      <c r="E101" s="64">
        <v>3.1</v>
      </c>
      <c r="F101" s="64">
        <v>4.9000000000000004</v>
      </c>
      <c r="G101" s="64">
        <v>0.1</v>
      </c>
      <c r="H101" s="64">
        <v>0.01</v>
      </c>
      <c r="I101" s="76">
        <f t="shared" si="4"/>
        <v>1.4999999999999999E-2</v>
      </c>
      <c r="J101" s="83"/>
      <c r="K101" s="84"/>
      <c r="L101" s="85"/>
      <c r="M101" s="84"/>
      <c r="N101" s="86"/>
    </row>
    <row r="102" spans="1:14" x14ac:dyDescent="0.25">
      <c r="A102" s="73"/>
      <c r="B102" s="62" t="s">
        <v>2815</v>
      </c>
      <c r="C102" s="63"/>
      <c r="D102" s="64"/>
      <c r="E102" s="64">
        <v>4.9000000000000004</v>
      </c>
      <c r="F102" s="64">
        <v>3.1</v>
      </c>
      <c r="G102" s="64">
        <v>0.1</v>
      </c>
      <c r="H102" s="64">
        <v>0.01</v>
      </c>
      <c r="I102" s="76">
        <f t="shared" si="4"/>
        <v>1.4999999999999999E-2</v>
      </c>
      <c r="J102" s="83"/>
      <c r="K102" s="84"/>
      <c r="L102" s="85"/>
      <c r="M102" s="84"/>
      <c r="N102" s="86"/>
    </row>
    <row r="103" spans="1:14" x14ac:dyDescent="0.25">
      <c r="A103" s="73"/>
      <c r="B103" s="62" t="s">
        <v>2816</v>
      </c>
      <c r="C103" s="63"/>
      <c r="D103" s="64">
        <v>3</v>
      </c>
      <c r="E103" s="64">
        <v>3.1</v>
      </c>
      <c r="F103" s="64">
        <v>6.7</v>
      </c>
      <c r="G103" s="64">
        <v>0.1</v>
      </c>
      <c r="H103" s="64">
        <v>0.01</v>
      </c>
      <c r="I103" s="76">
        <f t="shared" si="4"/>
        <v>6.2E-2</v>
      </c>
      <c r="J103" s="83"/>
      <c r="K103" s="84"/>
      <c r="L103" s="85"/>
      <c r="M103" s="84"/>
      <c r="N103" s="86"/>
    </row>
    <row r="104" spans="1:14" x14ac:dyDescent="0.25">
      <c r="A104" s="73"/>
      <c r="B104" s="62" t="s">
        <v>2817</v>
      </c>
      <c r="C104" s="63"/>
      <c r="D104" s="64"/>
      <c r="E104" s="64">
        <v>4.5</v>
      </c>
      <c r="F104" s="64">
        <v>4.9000000000000004</v>
      </c>
      <c r="G104" s="64">
        <v>0.1</v>
      </c>
      <c r="H104" s="64">
        <v>0.01</v>
      </c>
      <c r="I104" s="76">
        <f t="shared" si="4"/>
        <v>2.1999999999999999E-2</v>
      </c>
      <c r="J104" s="83"/>
      <c r="K104" s="84"/>
      <c r="L104" s="85"/>
      <c r="M104" s="84"/>
      <c r="N104" s="86"/>
    </row>
    <row r="105" spans="1:14" x14ac:dyDescent="0.25">
      <c r="A105" s="73"/>
      <c r="B105" s="62" t="s">
        <v>2818</v>
      </c>
      <c r="C105" s="63"/>
      <c r="D105" s="64"/>
      <c r="E105" s="64">
        <v>4.5</v>
      </c>
      <c r="F105" s="64">
        <v>4.9000000000000004</v>
      </c>
      <c r="G105" s="64">
        <v>0.1</v>
      </c>
      <c r="H105" s="64">
        <v>0.01</v>
      </c>
      <c r="I105" s="76">
        <f t="shared" si="4"/>
        <v>2.1999999999999999E-2</v>
      </c>
      <c r="J105" s="83"/>
      <c r="K105" s="84"/>
      <c r="L105" s="85"/>
      <c r="M105" s="84"/>
      <c r="N105" s="86"/>
    </row>
    <row r="106" spans="1:14" x14ac:dyDescent="0.25">
      <c r="A106" s="73"/>
      <c r="B106" s="62" t="s">
        <v>2819</v>
      </c>
      <c r="C106" s="63"/>
      <c r="D106" s="64"/>
      <c r="E106" s="64">
        <v>4.9000000000000004</v>
      </c>
      <c r="F106" s="64">
        <v>4.9000000000000004</v>
      </c>
      <c r="G106" s="64">
        <v>0.1</v>
      </c>
      <c r="H106" s="64">
        <v>0.01</v>
      </c>
      <c r="I106" s="76">
        <f t="shared" si="4"/>
        <v>2.4E-2</v>
      </c>
      <c r="J106" s="83"/>
      <c r="K106" s="84"/>
      <c r="L106" s="85"/>
      <c r="M106" s="84"/>
      <c r="N106" s="86"/>
    </row>
    <row r="107" spans="1:14" x14ac:dyDescent="0.25">
      <c r="A107" s="73"/>
      <c r="B107" s="62" t="s">
        <v>2820</v>
      </c>
      <c r="C107" s="63"/>
      <c r="D107" s="64"/>
      <c r="E107" s="64">
        <v>4.9000000000000004</v>
      </c>
      <c r="F107" s="64">
        <v>4.9000000000000004</v>
      </c>
      <c r="G107" s="64">
        <v>0.1</v>
      </c>
      <c r="H107" s="64">
        <v>0.01</v>
      </c>
      <c r="I107" s="76">
        <f t="shared" si="4"/>
        <v>2.4E-2</v>
      </c>
      <c r="J107" s="83"/>
      <c r="K107" s="84"/>
      <c r="L107" s="85"/>
      <c r="M107" s="84"/>
      <c r="N107" s="86"/>
    </row>
    <row r="108" spans="1:14" x14ac:dyDescent="0.25">
      <c r="A108" s="73"/>
      <c r="B108" s="62" t="s">
        <v>2821</v>
      </c>
      <c r="C108" s="63"/>
      <c r="D108" s="64"/>
      <c r="E108" s="64">
        <v>4.5</v>
      </c>
      <c r="F108" s="64">
        <v>6.7</v>
      </c>
      <c r="G108" s="64">
        <v>0.1</v>
      </c>
      <c r="H108" s="64">
        <v>0.01</v>
      </c>
      <c r="I108" s="76">
        <f t="shared" si="4"/>
        <v>0.03</v>
      </c>
      <c r="J108" s="83"/>
      <c r="K108" s="84"/>
      <c r="L108" s="85"/>
      <c r="M108" s="84"/>
      <c r="N108" s="86"/>
    </row>
    <row r="109" spans="1:14" x14ac:dyDescent="0.25">
      <c r="A109" s="73"/>
      <c r="B109" s="62" t="s">
        <v>2822</v>
      </c>
      <c r="C109" s="63"/>
      <c r="D109" s="64"/>
      <c r="E109" s="64">
        <v>3.1</v>
      </c>
      <c r="F109" s="64">
        <v>8.5</v>
      </c>
      <c r="G109" s="64">
        <v>0.1</v>
      </c>
      <c r="H109" s="64">
        <v>0.01</v>
      </c>
      <c r="I109" s="76">
        <f t="shared" si="4"/>
        <v>2.5999999999999999E-2</v>
      </c>
      <c r="J109" s="83"/>
      <c r="K109" s="84"/>
      <c r="L109" s="85"/>
      <c r="M109" s="84"/>
      <c r="N109" s="86"/>
    </row>
    <row r="110" spans="1:14" x14ac:dyDescent="0.25">
      <c r="A110" s="73"/>
      <c r="B110" s="62" t="s">
        <v>2823</v>
      </c>
      <c r="C110" s="63"/>
      <c r="D110" s="64"/>
      <c r="E110" s="64">
        <v>4.5</v>
      </c>
      <c r="F110" s="64">
        <v>6.7</v>
      </c>
      <c r="G110" s="64">
        <v>0.1</v>
      </c>
      <c r="H110" s="64">
        <v>0.01</v>
      </c>
      <c r="I110" s="76">
        <f t="shared" si="4"/>
        <v>0.03</v>
      </c>
      <c r="J110" s="83"/>
      <c r="K110" s="84"/>
      <c r="L110" s="85"/>
      <c r="M110" s="84"/>
      <c r="N110" s="86"/>
    </row>
    <row r="111" spans="1:14" x14ac:dyDescent="0.25">
      <c r="A111" s="73"/>
      <c r="B111" s="62" t="s">
        <v>2824</v>
      </c>
      <c r="C111" s="63"/>
      <c r="D111" s="64"/>
      <c r="E111" s="64">
        <v>4.5</v>
      </c>
      <c r="F111" s="64">
        <v>8.5</v>
      </c>
      <c r="G111" s="64">
        <v>0.1</v>
      </c>
      <c r="H111" s="64">
        <v>0.01</v>
      </c>
      <c r="I111" s="76">
        <f t="shared" si="4"/>
        <v>3.7999999999999999E-2</v>
      </c>
      <c r="J111" s="83"/>
      <c r="K111" s="84"/>
      <c r="L111" s="85"/>
      <c r="M111" s="84"/>
      <c r="N111" s="86"/>
    </row>
    <row r="112" spans="1:14" x14ac:dyDescent="0.25">
      <c r="A112" s="73"/>
      <c r="B112" s="62" t="s">
        <v>2825</v>
      </c>
      <c r="C112" s="63"/>
      <c r="D112" s="64">
        <v>2</v>
      </c>
      <c r="E112" s="64">
        <v>3.1</v>
      </c>
      <c r="F112" s="64">
        <v>3.2</v>
      </c>
      <c r="G112" s="64">
        <v>0.1</v>
      </c>
      <c r="H112" s="64">
        <v>0.01</v>
      </c>
      <c r="I112" s="76">
        <f t="shared" ref="I112:I175" si="5">ROUND(PRODUCT(D112:H112),3)</f>
        <v>0.02</v>
      </c>
      <c r="J112" s="83"/>
      <c r="K112" s="84"/>
      <c r="L112" s="85"/>
      <c r="M112" s="84"/>
      <c r="N112" s="86"/>
    </row>
    <row r="113" spans="1:14" x14ac:dyDescent="0.25">
      <c r="A113" s="73"/>
      <c r="B113" s="62"/>
      <c r="C113" s="63"/>
      <c r="D113" s="64"/>
      <c r="E113" s="64">
        <v>4.9000000000000004</v>
      </c>
      <c r="F113" s="64">
        <v>6.9</v>
      </c>
      <c r="G113" s="64">
        <v>0.1</v>
      </c>
      <c r="H113" s="64">
        <v>0.01</v>
      </c>
      <c r="I113" s="76">
        <f t="shared" si="5"/>
        <v>3.4000000000000002E-2</v>
      </c>
      <c r="J113" s="83"/>
      <c r="K113" s="84"/>
      <c r="L113" s="85"/>
      <c r="M113" s="84"/>
      <c r="N113" s="86"/>
    </row>
    <row r="114" spans="1:14" x14ac:dyDescent="0.25">
      <c r="A114" s="73"/>
      <c r="B114" s="62" t="s">
        <v>2826</v>
      </c>
      <c r="C114" s="63"/>
      <c r="D114" s="64"/>
      <c r="E114" s="64">
        <v>3.1</v>
      </c>
      <c r="F114" s="64">
        <v>3.3</v>
      </c>
      <c r="G114" s="64">
        <v>0.1</v>
      </c>
      <c r="H114" s="64">
        <v>0.01</v>
      </c>
      <c r="I114" s="76">
        <f t="shared" si="5"/>
        <v>0.01</v>
      </c>
      <c r="J114" s="83"/>
      <c r="K114" s="84"/>
      <c r="L114" s="85"/>
      <c r="M114" s="84"/>
      <c r="N114" s="86"/>
    </row>
    <row r="115" spans="1:14" x14ac:dyDescent="0.25">
      <c r="A115" s="73"/>
      <c r="B115" s="62"/>
      <c r="C115" s="63"/>
      <c r="D115" s="64"/>
      <c r="E115" s="64">
        <v>3.1</v>
      </c>
      <c r="F115" s="64">
        <v>1.6</v>
      </c>
      <c r="G115" s="64">
        <v>0.1</v>
      </c>
      <c r="H115" s="64">
        <v>0.01</v>
      </c>
      <c r="I115" s="76">
        <f t="shared" si="5"/>
        <v>5.0000000000000001E-3</v>
      </c>
      <c r="J115" s="83"/>
      <c r="K115" s="84"/>
      <c r="L115" s="85"/>
      <c r="M115" s="84"/>
      <c r="N115" s="86"/>
    </row>
    <row r="116" spans="1:14" x14ac:dyDescent="0.25">
      <c r="A116" s="73"/>
      <c r="B116" s="62"/>
      <c r="C116" s="63"/>
      <c r="D116" s="64"/>
      <c r="E116" s="64">
        <v>4.9000000000000004</v>
      </c>
      <c r="F116" s="64">
        <v>8.6999999999999993</v>
      </c>
      <c r="G116" s="64">
        <v>0.1</v>
      </c>
      <c r="H116" s="64">
        <v>0.01</v>
      </c>
      <c r="I116" s="76">
        <f t="shared" si="5"/>
        <v>4.2999999999999997E-2</v>
      </c>
      <c r="J116" s="83"/>
      <c r="K116" s="84"/>
      <c r="L116" s="85"/>
      <c r="M116" s="84"/>
      <c r="N116" s="86"/>
    </row>
    <row r="117" spans="1:14" x14ac:dyDescent="0.25">
      <c r="A117" s="73"/>
      <c r="B117" s="62" t="s">
        <v>2827</v>
      </c>
      <c r="C117" s="63"/>
      <c r="D117" s="64"/>
      <c r="E117" s="64">
        <v>4.9000000000000004</v>
      </c>
      <c r="F117" s="64">
        <v>1.9</v>
      </c>
      <c r="G117" s="64">
        <v>0.1</v>
      </c>
      <c r="H117" s="64">
        <v>0.01</v>
      </c>
      <c r="I117" s="76">
        <f t="shared" si="5"/>
        <v>8.9999999999999993E-3</v>
      </c>
      <c r="J117" s="83"/>
      <c r="K117" s="84"/>
      <c r="L117" s="85"/>
      <c r="M117" s="84"/>
      <c r="N117" s="86"/>
    </row>
    <row r="118" spans="1:14" x14ac:dyDescent="0.25">
      <c r="A118" s="73"/>
      <c r="B118" s="62"/>
      <c r="C118" s="63"/>
      <c r="D118" s="64"/>
      <c r="E118" s="64">
        <v>4.9000000000000004</v>
      </c>
      <c r="F118" s="64">
        <v>3.6</v>
      </c>
      <c r="G118" s="64">
        <v>0.1</v>
      </c>
      <c r="H118" s="64">
        <v>0.01</v>
      </c>
      <c r="I118" s="76">
        <f t="shared" si="5"/>
        <v>1.7999999999999999E-2</v>
      </c>
      <c r="J118" s="83"/>
      <c r="K118" s="84"/>
      <c r="L118" s="85"/>
      <c r="M118" s="84"/>
      <c r="N118" s="86"/>
    </row>
    <row r="119" spans="1:14" x14ac:dyDescent="0.25">
      <c r="A119" s="73"/>
      <c r="B119" s="62"/>
      <c r="C119" s="63"/>
      <c r="D119" s="64"/>
      <c r="E119" s="64">
        <v>6.7</v>
      </c>
      <c r="F119" s="64">
        <v>6.7</v>
      </c>
      <c r="G119" s="64">
        <v>0.1</v>
      </c>
      <c r="H119" s="64">
        <v>0.01</v>
      </c>
      <c r="I119" s="76">
        <f t="shared" si="5"/>
        <v>4.4999999999999998E-2</v>
      </c>
      <c r="J119" s="83"/>
      <c r="K119" s="84"/>
      <c r="L119" s="85"/>
      <c r="M119" s="84"/>
      <c r="N119" s="86"/>
    </row>
    <row r="120" spans="1:14" x14ac:dyDescent="0.25">
      <c r="A120" s="73"/>
      <c r="B120" s="66" t="s">
        <v>2828</v>
      </c>
      <c r="C120" s="63"/>
      <c r="D120" s="64"/>
      <c r="E120" s="64"/>
      <c r="F120" s="64"/>
      <c r="G120" s="64"/>
      <c r="H120" s="64"/>
      <c r="I120" s="76"/>
      <c r="J120" s="83"/>
      <c r="K120" s="84"/>
      <c r="L120" s="85"/>
      <c r="M120" s="84"/>
      <c r="N120" s="86"/>
    </row>
    <row r="121" spans="1:14" ht="25.5" x14ac:dyDescent="0.25">
      <c r="A121" s="73"/>
      <c r="B121" s="62" t="s">
        <v>2829</v>
      </c>
      <c r="C121" s="63"/>
      <c r="D121" s="64"/>
      <c r="E121" s="64">
        <v>29.9</v>
      </c>
      <c r="F121" s="64">
        <v>0.6</v>
      </c>
      <c r="G121" s="64">
        <v>0.1</v>
      </c>
      <c r="H121" s="64">
        <v>0.01</v>
      </c>
      <c r="I121" s="76">
        <f t="shared" si="5"/>
        <v>1.7999999999999999E-2</v>
      </c>
      <c r="J121" s="83"/>
      <c r="K121" s="84"/>
      <c r="L121" s="85"/>
      <c r="M121" s="84"/>
      <c r="N121" s="86"/>
    </row>
    <row r="122" spans="1:14" x14ac:dyDescent="0.25">
      <c r="A122" s="73"/>
      <c r="B122" s="62" t="s">
        <v>2830</v>
      </c>
      <c r="C122" s="63"/>
      <c r="D122" s="64"/>
      <c r="E122" s="64">
        <v>8.6</v>
      </c>
      <c r="F122" s="64">
        <v>0.6</v>
      </c>
      <c r="G122" s="64">
        <v>0.1</v>
      </c>
      <c r="H122" s="64">
        <v>0.01</v>
      </c>
      <c r="I122" s="76">
        <f t="shared" si="5"/>
        <v>5.0000000000000001E-3</v>
      </c>
      <c r="J122" s="83"/>
      <c r="K122" s="84"/>
      <c r="L122" s="85"/>
      <c r="M122" s="84"/>
      <c r="N122" s="86"/>
    </row>
    <row r="123" spans="1:14" x14ac:dyDescent="0.25">
      <c r="A123" s="73"/>
      <c r="B123" s="62" t="s">
        <v>2831</v>
      </c>
      <c r="C123" s="63"/>
      <c r="D123" s="64"/>
      <c r="E123" s="64">
        <v>5.2</v>
      </c>
      <c r="F123" s="64">
        <v>0.6</v>
      </c>
      <c r="G123" s="64">
        <v>0.1</v>
      </c>
      <c r="H123" s="64">
        <v>0.01</v>
      </c>
      <c r="I123" s="76">
        <f t="shared" si="5"/>
        <v>3.0000000000000001E-3</v>
      </c>
      <c r="J123" s="83"/>
      <c r="K123" s="84"/>
      <c r="L123" s="85"/>
      <c r="M123" s="84"/>
      <c r="N123" s="86"/>
    </row>
    <row r="124" spans="1:14" x14ac:dyDescent="0.25">
      <c r="A124" s="73"/>
      <c r="B124" s="62" t="s">
        <v>2832</v>
      </c>
      <c r="C124" s="63"/>
      <c r="D124" s="64"/>
      <c r="E124" s="64">
        <v>16.100000000000001</v>
      </c>
      <c r="F124" s="64">
        <v>0.6</v>
      </c>
      <c r="G124" s="64">
        <v>0.1</v>
      </c>
      <c r="H124" s="64">
        <v>0.01</v>
      </c>
      <c r="I124" s="76">
        <f t="shared" si="5"/>
        <v>0.01</v>
      </c>
      <c r="J124" s="83"/>
      <c r="K124" s="84"/>
      <c r="L124" s="85"/>
      <c r="M124" s="84"/>
      <c r="N124" s="86"/>
    </row>
    <row r="125" spans="1:14" x14ac:dyDescent="0.25">
      <c r="A125" s="73"/>
      <c r="B125" s="62" t="s">
        <v>2833</v>
      </c>
      <c r="C125" s="63"/>
      <c r="D125" s="64"/>
      <c r="E125" s="64">
        <v>7.2</v>
      </c>
      <c r="F125" s="64">
        <v>0.6</v>
      </c>
      <c r="G125" s="64">
        <v>0.1</v>
      </c>
      <c r="H125" s="64">
        <v>0.01</v>
      </c>
      <c r="I125" s="76">
        <f t="shared" si="5"/>
        <v>4.0000000000000001E-3</v>
      </c>
      <c r="J125" s="83"/>
      <c r="K125" s="84"/>
      <c r="L125" s="85"/>
      <c r="M125" s="84"/>
      <c r="N125" s="86"/>
    </row>
    <row r="126" spans="1:14" x14ac:dyDescent="0.25">
      <c r="A126" s="73"/>
      <c r="B126" s="62" t="s">
        <v>2834</v>
      </c>
      <c r="C126" s="63"/>
      <c r="D126" s="64"/>
      <c r="E126" s="64">
        <v>12.9</v>
      </c>
      <c r="F126" s="64">
        <v>0.6</v>
      </c>
      <c r="G126" s="64">
        <v>0.1</v>
      </c>
      <c r="H126" s="64">
        <v>0.01</v>
      </c>
      <c r="I126" s="76">
        <f t="shared" si="5"/>
        <v>8.0000000000000002E-3</v>
      </c>
      <c r="J126" s="83"/>
      <c r="K126" s="84"/>
      <c r="L126" s="85"/>
      <c r="M126" s="84"/>
      <c r="N126" s="86"/>
    </row>
    <row r="127" spans="1:14" x14ac:dyDescent="0.25">
      <c r="A127" s="73"/>
      <c r="B127" s="62" t="s">
        <v>2835</v>
      </c>
      <c r="C127" s="63"/>
      <c r="D127" s="64"/>
      <c r="E127" s="64">
        <v>4.2</v>
      </c>
      <c r="F127" s="64">
        <v>0.6</v>
      </c>
      <c r="G127" s="64">
        <v>0.1</v>
      </c>
      <c r="H127" s="64">
        <v>0.01</v>
      </c>
      <c r="I127" s="76">
        <f t="shared" si="5"/>
        <v>3.0000000000000001E-3</v>
      </c>
      <c r="J127" s="83"/>
      <c r="K127" s="84"/>
      <c r="L127" s="85"/>
      <c r="M127" s="84"/>
      <c r="N127" s="86"/>
    </row>
    <row r="128" spans="1:14" x14ac:dyDescent="0.25">
      <c r="A128" s="73"/>
      <c r="B128" s="62" t="s">
        <v>2836</v>
      </c>
      <c r="C128" s="63"/>
      <c r="D128" s="64"/>
      <c r="E128" s="64">
        <v>24.3</v>
      </c>
      <c r="F128" s="64">
        <v>0.6</v>
      </c>
      <c r="G128" s="64">
        <v>0.1</v>
      </c>
      <c r="H128" s="64">
        <v>0.01</v>
      </c>
      <c r="I128" s="76">
        <f t="shared" si="5"/>
        <v>1.4999999999999999E-2</v>
      </c>
      <c r="J128" s="83"/>
      <c r="K128" s="84"/>
      <c r="L128" s="85"/>
      <c r="M128" s="84"/>
      <c r="N128" s="86"/>
    </row>
    <row r="129" spans="1:14" x14ac:dyDescent="0.25">
      <c r="A129" s="73"/>
      <c r="B129" s="62" t="s">
        <v>2837</v>
      </c>
      <c r="C129" s="63"/>
      <c r="D129" s="64"/>
      <c r="E129" s="64">
        <v>1.5</v>
      </c>
      <c r="F129" s="64">
        <v>0.5</v>
      </c>
      <c r="G129" s="64">
        <v>0.1</v>
      </c>
      <c r="H129" s="64">
        <v>0.01</v>
      </c>
      <c r="I129" s="76">
        <f t="shared" si="5"/>
        <v>1E-3</v>
      </c>
      <c r="J129" s="83"/>
      <c r="K129" s="84"/>
      <c r="L129" s="85"/>
      <c r="M129" s="84"/>
      <c r="N129" s="86"/>
    </row>
    <row r="130" spans="1:14" x14ac:dyDescent="0.25">
      <c r="A130" s="73"/>
      <c r="B130" s="62" t="s">
        <v>2838</v>
      </c>
      <c r="C130" s="63"/>
      <c r="D130" s="64"/>
      <c r="E130" s="64">
        <v>3.7</v>
      </c>
      <c r="F130" s="64">
        <v>0.6</v>
      </c>
      <c r="G130" s="64">
        <v>0.1</v>
      </c>
      <c r="H130" s="64">
        <v>0.01</v>
      </c>
      <c r="I130" s="76">
        <f t="shared" si="5"/>
        <v>2E-3</v>
      </c>
      <c r="J130" s="83"/>
      <c r="K130" s="84"/>
      <c r="L130" s="85"/>
      <c r="M130" s="84"/>
      <c r="N130" s="86"/>
    </row>
    <row r="131" spans="1:14" x14ac:dyDescent="0.25">
      <c r="A131" s="73"/>
      <c r="B131" s="62" t="s">
        <v>2839</v>
      </c>
      <c r="C131" s="63"/>
      <c r="D131" s="64"/>
      <c r="E131" s="64">
        <v>3.3</v>
      </c>
      <c r="F131" s="64">
        <v>0.6</v>
      </c>
      <c r="G131" s="64">
        <v>0.1</v>
      </c>
      <c r="H131" s="64">
        <v>0.01</v>
      </c>
      <c r="I131" s="76">
        <f t="shared" si="5"/>
        <v>2E-3</v>
      </c>
      <c r="J131" s="83"/>
      <c r="K131" s="84"/>
      <c r="L131" s="85"/>
      <c r="M131" s="84"/>
      <c r="N131" s="86"/>
    </row>
    <row r="132" spans="1:14" x14ac:dyDescent="0.25">
      <c r="A132" s="73"/>
      <c r="B132" s="62" t="s">
        <v>2840</v>
      </c>
      <c r="C132" s="63"/>
      <c r="D132" s="64"/>
      <c r="E132" s="64">
        <v>1.9</v>
      </c>
      <c r="F132" s="64">
        <v>0.4</v>
      </c>
      <c r="G132" s="64">
        <v>0.1</v>
      </c>
      <c r="H132" s="64">
        <v>0.01</v>
      </c>
      <c r="I132" s="76">
        <f t="shared" si="5"/>
        <v>1E-3</v>
      </c>
      <c r="J132" s="83"/>
      <c r="K132" s="84"/>
      <c r="L132" s="85"/>
      <c r="M132" s="84"/>
      <c r="N132" s="86"/>
    </row>
    <row r="133" spans="1:14" x14ac:dyDescent="0.25">
      <c r="A133" s="73"/>
      <c r="B133" s="62" t="s">
        <v>2841</v>
      </c>
      <c r="C133" s="63"/>
      <c r="D133" s="64"/>
      <c r="E133" s="64">
        <v>8.8000000000000007</v>
      </c>
      <c r="F133" s="64">
        <v>0.6</v>
      </c>
      <c r="G133" s="64">
        <v>0.1</v>
      </c>
      <c r="H133" s="64">
        <v>0.01</v>
      </c>
      <c r="I133" s="76">
        <f t="shared" si="5"/>
        <v>5.0000000000000001E-3</v>
      </c>
      <c r="J133" s="83"/>
      <c r="K133" s="84"/>
      <c r="L133" s="85"/>
      <c r="M133" s="84"/>
      <c r="N133" s="86"/>
    </row>
    <row r="134" spans="1:14" x14ac:dyDescent="0.25">
      <c r="A134" s="73"/>
      <c r="B134" s="62" t="s">
        <v>2842</v>
      </c>
      <c r="C134" s="63"/>
      <c r="D134" s="64"/>
      <c r="E134" s="64">
        <v>9.6999999999999993</v>
      </c>
      <c r="F134" s="64">
        <v>0.6</v>
      </c>
      <c r="G134" s="64">
        <v>0.1</v>
      </c>
      <c r="H134" s="64">
        <v>0.01</v>
      </c>
      <c r="I134" s="76">
        <f t="shared" si="5"/>
        <v>6.0000000000000001E-3</v>
      </c>
      <c r="J134" s="83"/>
      <c r="K134" s="84"/>
      <c r="L134" s="85"/>
      <c r="M134" s="84"/>
      <c r="N134" s="86"/>
    </row>
    <row r="135" spans="1:14" x14ac:dyDescent="0.25">
      <c r="A135" s="73"/>
      <c r="B135" s="62" t="s">
        <v>2843</v>
      </c>
      <c r="C135" s="63"/>
      <c r="D135" s="64"/>
      <c r="E135" s="64">
        <v>11.2</v>
      </c>
      <c r="F135" s="64">
        <v>0.6</v>
      </c>
      <c r="G135" s="64">
        <v>0.1</v>
      </c>
      <c r="H135" s="64">
        <v>0.01</v>
      </c>
      <c r="I135" s="76">
        <f t="shared" si="5"/>
        <v>7.0000000000000001E-3</v>
      </c>
      <c r="J135" s="83"/>
      <c r="K135" s="84"/>
      <c r="L135" s="85"/>
      <c r="M135" s="84"/>
      <c r="N135" s="86"/>
    </row>
    <row r="136" spans="1:14" x14ac:dyDescent="0.25">
      <c r="A136" s="73"/>
      <c r="B136" s="62" t="s">
        <v>2844</v>
      </c>
      <c r="C136" s="63"/>
      <c r="D136" s="64"/>
      <c r="E136" s="64">
        <v>8.1999999999999993</v>
      </c>
      <c r="F136" s="64">
        <v>0.6</v>
      </c>
      <c r="G136" s="64">
        <v>0.1</v>
      </c>
      <c r="H136" s="64">
        <v>0.01</v>
      </c>
      <c r="I136" s="76">
        <f t="shared" si="5"/>
        <v>5.0000000000000001E-3</v>
      </c>
      <c r="J136" s="83"/>
      <c r="K136" s="84"/>
      <c r="L136" s="85"/>
      <c r="M136" s="84"/>
      <c r="N136" s="86"/>
    </row>
    <row r="137" spans="1:14" x14ac:dyDescent="0.25">
      <c r="A137" s="73"/>
      <c r="B137" s="62" t="s">
        <v>2845</v>
      </c>
      <c r="C137" s="63"/>
      <c r="D137" s="64"/>
      <c r="E137" s="64">
        <v>12.4</v>
      </c>
      <c r="F137" s="64">
        <v>0.6</v>
      </c>
      <c r="G137" s="64">
        <v>0.1</v>
      </c>
      <c r="H137" s="64">
        <v>0.01</v>
      </c>
      <c r="I137" s="76">
        <f t="shared" si="5"/>
        <v>7.0000000000000001E-3</v>
      </c>
      <c r="J137" s="83"/>
      <c r="K137" s="84"/>
      <c r="L137" s="85"/>
      <c r="M137" s="84"/>
      <c r="N137" s="86"/>
    </row>
    <row r="138" spans="1:14" x14ac:dyDescent="0.25">
      <c r="A138" s="73"/>
      <c r="B138" s="62" t="s">
        <v>2846</v>
      </c>
      <c r="C138" s="63"/>
      <c r="D138" s="64"/>
      <c r="E138" s="64">
        <v>6.95</v>
      </c>
      <c r="F138" s="64">
        <v>0.6</v>
      </c>
      <c r="G138" s="64">
        <v>0.1</v>
      </c>
      <c r="H138" s="64">
        <v>0.01</v>
      </c>
      <c r="I138" s="76">
        <f t="shared" si="5"/>
        <v>4.0000000000000001E-3</v>
      </c>
      <c r="J138" s="83"/>
      <c r="K138" s="84"/>
      <c r="L138" s="85"/>
      <c r="M138" s="84"/>
      <c r="N138" s="86"/>
    </row>
    <row r="139" spans="1:14" x14ac:dyDescent="0.25">
      <c r="A139" s="73"/>
      <c r="B139" s="62" t="s">
        <v>2847</v>
      </c>
      <c r="C139" s="63"/>
      <c r="D139" s="64"/>
      <c r="E139" s="64">
        <v>7.8</v>
      </c>
      <c r="F139" s="64">
        <v>0.6</v>
      </c>
      <c r="G139" s="64">
        <v>0.1</v>
      </c>
      <c r="H139" s="64">
        <v>0.01</v>
      </c>
      <c r="I139" s="76">
        <f t="shared" si="5"/>
        <v>5.0000000000000001E-3</v>
      </c>
      <c r="J139" s="83"/>
      <c r="K139" s="84"/>
      <c r="L139" s="85"/>
      <c r="M139" s="84"/>
      <c r="N139" s="86"/>
    </row>
    <row r="140" spans="1:14" x14ac:dyDescent="0.25">
      <c r="A140" s="73"/>
      <c r="B140" s="62" t="s">
        <v>2848</v>
      </c>
      <c r="C140" s="63"/>
      <c r="D140" s="64"/>
      <c r="E140" s="64">
        <v>17.3</v>
      </c>
      <c r="F140" s="64">
        <v>0.6</v>
      </c>
      <c r="G140" s="64">
        <v>0.1</v>
      </c>
      <c r="H140" s="64">
        <v>0.01</v>
      </c>
      <c r="I140" s="76">
        <f t="shared" si="5"/>
        <v>0.01</v>
      </c>
      <c r="J140" s="83"/>
      <c r="K140" s="84"/>
      <c r="L140" s="85"/>
      <c r="M140" s="84"/>
      <c r="N140" s="86"/>
    </row>
    <row r="141" spans="1:14" x14ac:dyDescent="0.25">
      <c r="A141" s="73"/>
      <c r="B141" s="62" t="s">
        <v>2849</v>
      </c>
      <c r="C141" s="63"/>
      <c r="D141" s="64">
        <v>2</v>
      </c>
      <c r="E141" s="64">
        <v>2.9</v>
      </c>
      <c r="F141" s="64">
        <v>0.5</v>
      </c>
      <c r="G141" s="64">
        <v>0.1</v>
      </c>
      <c r="H141" s="64">
        <v>0.01</v>
      </c>
      <c r="I141" s="76">
        <f t="shared" si="5"/>
        <v>3.0000000000000001E-3</v>
      </c>
      <c r="J141" s="83"/>
      <c r="K141" s="84"/>
      <c r="L141" s="85"/>
      <c r="M141" s="84"/>
      <c r="N141" s="86"/>
    </row>
    <row r="142" spans="1:14" ht="25.5" x14ac:dyDescent="0.25">
      <c r="A142" s="73">
        <v>2</v>
      </c>
      <c r="B142" s="65" t="s">
        <v>2850</v>
      </c>
      <c r="C142" s="63" t="s">
        <v>27</v>
      </c>
      <c r="D142" s="64"/>
      <c r="E142" s="64"/>
      <c r="F142" s="64"/>
      <c r="G142" s="64"/>
      <c r="H142" s="64"/>
      <c r="I142" s="76">
        <f>SUM(I143:I153)</f>
        <v>1.310000000000008</v>
      </c>
      <c r="J142" s="83" t="e">
        <f>PL03a!#REF!</f>
        <v>#REF!</v>
      </c>
      <c r="K142" s="84">
        <f t="shared" ref="K142" si="6">I142</f>
        <v>1.310000000000008</v>
      </c>
      <c r="L142" s="85"/>
      <c r="M142" s="84">
        <f>K142</f>
        <v>1.310000000000008</v>
      </c>
      <c r="N142" s="86">
        <f>L142+M142</f>
        <v>1.310000000000008</v>
      </c>
    </row>
    <row r="143" spans="1:14" x14ac:dyDescent="0.25">
      <c r="A143" s="73"/>
      <c r="B143" s="62" t="s">
        <v>2851</v>
      </c>
      <c r="C143" s="63"/>
      <c r="D143" s="64"/>
      <c r="E143" s="64">
        <v>48.676000000000002</v>
      </c>
      <c r="F143" s="64"/>
      <c r="G143" s="64"/>
      <c r="H143" s="64"/>
      <c r="I143" s="76">
        <f t="shared" si="5"/>
        <v>48.676000000000002</v>
      </c>
      <c r="J143" s="83"/>
      <c r="K143" s="84"/>
      <c r="L143" s="85"/>
      <c r="M143" s="84"/>
      <c r="N143" s="86"/>
    </row>
    <row r="144" spans="1:14" x14ac:dyDescent="0.25">
      <c r="A144" s="73"/>
      <c r="B144" s="62" t="s">
        <v>2852</v>
      </c>
      <c r="C144" s="63"/>
      <c r="D144" s="64"/>
      <c r="E144" s="64">
        <v>-157.661</v>
      </c>
      <c r="F144" s="64"/>
      <c r="G144" s="64"/>
      <c r="H144" s="64">
        <v>0.01</v>
      </c>
      <c r="I144" s="76">
        <f t="shared" si="5"/>
        <v>-1.577</v>
      </c>
      <c r="J144" s="83"/>
      <c r="K144" s="84"/>
      <c r="L144" s="85"/>
      <c r="M144" s="84"/>
      <c r="N144" s="86"/>
    </row>
    <row r="145" spans="1:14" x14ac:dyDescent="0.25">
      <c r="A145" s="73"/>
      <c r="B145" s="62" t="s">
        <v>2853</v>
      </c>
      <c r="C145" s="63"/>
      <c r="D145" s="64"/>
      <c r="E145" s="64">
        <v>-9.0749999999999993</v>
      </c>
      <c r="F145" s="64"/>
      <c r="G145" s="64"/>
      <c r="H145" s="64">
        <v>0.01</v>
      </c>
      <c r="I145" s="76">
        <f t="shared" si="5"/>
        <v>-9.0999999999999998E-2</v>
      </c>
      <c r="J145" s="83"/>
      <c r="K145" s="84"/>
      <c r="L145" s="85"/>
      <c r="M145" s="84"/>
      <c r="N145" s="86"/>
    </row>
    <row r="146" spans="1:14" x14ac:dyDescent="0.25">
      <c r="A146" s="73"/>
      <c r="B146" s="62" t="s">
        <v>2854</v>
      </c>
      <c r="C146" s="63"/>
      <c r="D146" s="64"/>
      <c r="E146" s="64">
        <v>-1025.075</v>
      </c>
      <c r="F146" s="64"/>
      <c r="G146" s="64"/>
      <c r="H146" s="64">
        <v>0.01</v>
      </c>
      <c r="I146" s="76">
        <f t="shared" si="5"/>
        <v>-10.250999999999999</v>
      </c>
      <c r="J146" s="83"/>
      <c r="K146" s="84"/>
      <c r="L146" s="85"/>
      <c r="M146" s="84"/>
      <c r="N146" s="86"/>
    </row>
    <row r="147" spans="1:14" x14ac:dyDescent="0.25">
      <c r="A147" s="73"/>
      <c r="B147" s="62" t="s">
        <v>2855</v>
      </c>
      <c r="C147" s="63"/>
      <c r="D147" s="64"/>
      <c r="E147" s="64">
        <v>-73.313999999999993</v>
      </c>
      <c r="F147" s="64"/>
      <c r="G147" s="64"/>
      <c r="H147" s="64">
        <v>0.01</v>
      </c>
      <c r="I147" s="76">
        <f t="shared" si="5"/>
        <v>-0.73299999999999998</v>
      </c>
      <c r="J147" s="83"/>
      <c r="K147" s="84"/>
      <c r="L147" s="85"/>
      <c r="M147" s="84"/>
      <c r="N147" s="86"/>
    </row>
    <row r="148" spans="1:14" x14ac:dyDescent="0.25">
      <c r="A148" s="73"/>
      <c r="B148" s="62" t="s">
        <v>2856</v>
      </c>
      <c r="C148" s="63"/>
      <c r="D148" s="64"/>
      <c r="E148" s="64">
        <v>-288.08199999999999</v>
      </c>
      <c r="F148" s="64"/>
      <c r="G148" s="64"/>
      <c r="H148" s="64">
        <v>0.01</v>
      </c>
      <c r="I148" s="76">
        <f t="shared" si="5"/>
        <v>-2.8809999999999998</v>
      </c>
      <c r="J148" s="83"/>
      <c r="K148" s="84"/>
      <c r="L148" s="85"/>
      <c r="M148" s="84"/>
      <c r="N148" s="86"/>
    </row>
    <row r="149" spans="1:14" x14ac:dyDescent="0.25">
      <c r="A149" s="73"/>
      <c r="B149" s="62" t="s">
        <v>2857</v>
      </c>
      <c r="C149" s="63"/>
      <c r="D149" s="64"/>
      <c r="E149" s="64">
        <v>-25.25</v>
      </c>
      <c r="F149" s="64">
        <v>27.2</v>
      </c>
      <c r="G149" s="64">
        <v>1.95</v>
      </c>
      <c r="H149" s="64">
        <v>0.01</v>
      </c>
      <c r="I149" s="76">
        <f t="shared" si="5"/>
        <v>-13.393000000000001</v>
      </c>
      <c r="J149" s="83"/>
      <c r="K149" s="84"/>
      <c r="L149" s="85"/>
      <c r="M149" s="84"/>
      <c r="N149" s="86"/>
    </row>
    <row r="150" spans="1:14" x14ac:dyDescent="0.25">
      <c r="A150" s="73"/>
      <c r="B150" s="62"/>
      <c r="C150" s="63"/>
      <c r="D150" s="64"/>
      <c r="E150" s="64">
        <v>-30.8</v>
      </c>
      <c r="F150" s="64">
        <v>30.4</v>
      </c>
      <c r="G150" s="64">
        <v>1.95</v>
      </c>
      <c r="H150" s="64">
        <v>0.01</v>
      </c>
      <c r="I150" s="76">
        <f t="shared" si="5"/>
        <v>-18.257999999999999</v>
      </c>
      <c r="J150" s="83"/>
      <c r="K150" s="84"/>
      <c r="L150" s="85"/>
      <c r="M150" s="84"/>
      <c r="N150" s="86"/>
    </row>
    <row r="151" spans="1:14" x14ac:dyDescent="0.25">
      <c r="A151" s="73"/>
      <c r="B151" s="62" t="s">
        <v>2858</v>
      </c>
      <c r="C151" s="63"/>
      <c r="D151" s="64">
        <v>4</v>
      </c>
      <c r="E151" s="64">
        <v>-1.2</v>
      </c>
      <c r="F151" s="64">
        <v>1</v>
      </c>
      <c r="G151" s="64">
        <v>1</v>
      </c>
      <c r="H151" s="64">
        <v>0.01</v>
      </c>
      <c r="I151" s="76">
        <f t="shared" si="5"/>
        <v>-4.8000000000000001E-2</v>
      </c>
      <c r="J151" s="83"/>
      <c r="K151" s="84"/>
      <c r="L151" s="85"/>
      <c r="M151" s="84"/>
      <c r="N151" s="86"/>
    </row>
    <row r="152" spans="1:14" x14ac:dyDescent="0.25">
      <c r="A152" s="73"/>
      <c r="B152" s="62" t="s">
        <v>2859</v>
      </c>
      <c r="C152" s="63"/>
      <c r="D152" s="64"/>
      <c r="E152" s="64">
        <v>-2.6</v>
      </c>
      <c r="F152" s="64">
        <v>2.6</v>
      </c>
      <c r="G152" s="64">
        <v>1.5</v>
      </c>
      <c r="H152" s="64">
        <v>0.01</v>
      </c>
      <c r="I152" s="76">
        <f t="shared" si="5"/>
        <v>-0.10100000000000001</v>
      </c>
      <c r="J152" s="83"/>
      <c r="K152" s="84"/>
      <c r="L152" s="85"/>
      <c r="M152" s="84"/>
      <c r="N152" s="86"/>
    </row>
    <row r="153" spans="1:14" x14ac:dyDescent="0.25">
      <c r="A153" s="73"/>
      <c r="B153" s="62" t="s">
        <v>2860</v>
      </c>
      <c r="C153" s="63"/>
      <c r="D153" s="64"/>
      <c r="E153" s="64">
        <v>-1.6</v>
      </c>
      <c r="F153" s="64">
        <v>1.6</v>
      </c>
      <c r="G153" s="64">
        <v>1.3</v>
      </c>
      <c r="H153" s="64">
        <v>0.01</v>
      </c>
      <c r="I153" s="76">
        <f t="shared" si="5"/>
        <v>-3.3000000000000002E-2</v>
      </c>
      <c r="J153" s="83"/>
      <c r="K153" s="84"/>
      <c r="L153" s="85"/>
      <c r="M153" s="84"/>
      <c r="N153" s="86"/>
    </row>
    <row r="154" spans="1:14" ht="25.5" x14ac:dyDescent="0.25">
      <c r="A154" s="73">
        <v>3</v>
      </c>
      <c r="B154" s="65" t="s">
        <v>2861</v>
      </c>
      <c r="C154" s="63" t="s">
        <v>27</v>
      </c>
      <c r="D154" s="64"/>
      <c r="E154" s="64"/>
      <c r="F154" s="64"/>
      <c r="G154" s="64"/>
      <c r="H154" s="64"/>
      <c r="I154" s="76">
        <f>SUM(I155:I156)</f>
        <v>47.234999999999999</v>
      </c>
      <c r="J154" s="83" t="e">
        <f>PL03a!#REF!</f>
        <v>#REF!</v>
      </c>
      <c r="K154" s="84">
        <f t="shared" ref="K154" si="7">I154</f>
        <v>47.234999999999999</v>
      </c>
      <c r="L154" s="85"/>
      <c r="M154" s="84">
        <f>K154</f>
        <v>47.234999999999999</v>
      </c>
      <c r="N154" s="86">
        <f>L154+M154</f>
        <v>47.234999999999999</v>
      </c>
    </row>
    <row r="155" spans="1:14" x14ac:dyDescent="0.25">
      <c r="A155" s="73"/>
      <c r="B155" s="62" t="s">
        <v>2851</v>
      </c>
      <c r="C155" s="63"/>
      <c r="D155" s="64"/>
      <c r="E155" s="64">
        <v>48.676000000000002</v>
      </c>
      <c r="F155" s="64"/>
      <c r="G155" s="64"/>
      <c r="H155" s="64"/>
      <c r="I155" s="76">
        <f t="shared" si="5"/>
        <v>48.676000000000002</v>
      </c>
      <c r="J155" s="83"/>
      <c r="K155" s="84"/>
      <c r="L155" s="85"/>
      <c r="M155" s="84"/>
      <c r="N155" s="86"/>
    </row>
    <row r="156" spans="1:14" x14ac:dyDescent="0.25">
      <c r="A156" s="73"/>
      <c r="B156" s="62" t="s">
        <v>2862</v>
      </c>
      <c r="C156" s="63"/>
      <c r="D156" s="64"/>
      <c r="E156" s="64">
        <v>-1.31</v>
      </c>
      <c r="F156" s="64"/>
      <c r="G156" s="64"/>
      <c r="H156" s="64">
        <v>1.1000000000000001</v>
      </c>
      <c r="I156" s="76">
        <f t="shared" si="5"/>
        <v>-1.4410000000000001</v>
      </c>
      <c r="J156" s="83"/>
      <c r="K156" s="84"/>
      <c r="L156" s="85"/>
      <c r="M156" s="84"/>
      <c r="N156" s="86"/>
    </row>
    <row r="157" spans="1:14" ht="25.5" x14ac:dyDescent="0.25">
      <c r="A157" s="73">
        <v>4</v>
      </c>
      <c r="B157" s="65" t="s">
        <v>2863</v>
      </c>
      <c r="C157" s="63" t="s">
        <v>27</v>
      </c>
      <c r="D157" s="64"/>
      <c r="E157" s="64"/>
      <c r="F157" s="64"/>
      <c r="G157" s="64"/>
      <c r="H157" s="64"/>
      <c r="I157" s="76">
        <f>I158</f>
        <v>47.234999999999999</v>
      </c>
      <c r="J157" s="83" t="e">
        <f>PL03a!#REF!</f>
        <v>#REF!</v>
      </c>
      <c r="K157" s="84">
        <f t="shared" ref="K157" si="8">I157</f>
        <v>47.234999999999999</v>
      </c>
      <c r="L157" s="85"/>
      <c r="M157" s="84">
        <f>K157</f>
        <v>47.234999999999999</v>
      </c>
      <c r="N157" s="86">
        <f>L157+M157</f>
        <v>47.234999999999999</v>
      </c>
    </row>
    <row r="158" spans="1:14" x14ac:dyDescent="0.25">
      <c r="A158" s="73"/>
      <c r="B158" s="62" t="s">
        <v>2864</v>
      </c>
      <c r="C158" s="63"/>
      <c r="D158" s="64"/>
      <c r="E158" s="64">
        <v>47.234999999999999</v>
      </c>
      <c r="F158" s="64"/>
      <c r="G158" s="64"/>
      <c r="H158" s="64"/>
      <c r="I158" s="76">
        <f t="shared" si="5"/>
        <v>47.234999999999999</v>
      </c>
      <c r="J158" s="83"/>
      <c r="K158" s="84"/>
      <c r="L158" s="85"/>
      <c r="M158" s="84"/>
      <c r="N158" s="86"/>
    </row>
    <row r="159" spans="1:14" ht="25.5" x14ac:dyDescent="0.25">
      <c r="A159" s="73">
        <v>5</v>
      </c>
      <c r="B159" s="65" t="s">
        <v>49</v>
      </c>
      <c r="C159" s="63" t="s">
        <v>37</v>
      </c>
      <c r="D159" s="64"/>
      <c r="E159" s="64"/>
      <c r="F159" s="64"/>
      <c r="G159" s="64"/>
      <c r="H159" s="64"/>
      <c r="I159" s="76">
        <f>SUM(I160:I270)</f>
        <v>157.661</v>
      </c>
      <c r="J159" s="83" t="e">
        <f>PL03a!#REF!</f>
        <v>#REF!</v>
      </c>
      <c r="K159" s="84">
        <f t="shared" ref="K159" si="9">I159</f>
        <v>157.661</v>
      </c>
      <c r="L159" s="85"/>
      <c r="M159" s="84">
        <f>K159</f>
        <v>157.661</v>
      </c>
      <c r="N159" s="86">
        <f>L159+M159</f>
        <v>157.661</v>
      </c>
    </row>
    <row r="160" spans="1:14" x14ac:dyDescent="0.25">
      <c r="A160" s="73"/>
      <c r="B160" s="66" t="s">
        <v>2809</v>
      </c>
      <c r="C160" s="63"/>
      <c r="D160" s="64"/>
      <c r="E160" s="64"/>
      <c r="F160" s="64"/>
      <c r="G160" s="64"/>
      <c r="H160" s="64"/>
      <c r="I160" s="76"/>
      <c r="J160" s="83"/>
      <c r="K160" s="84"/>
      <c r="L160" s="85"/>
      <c r="M160" s="84"/>
      <c r="N160" s="86"/>
    </row>
    <row r="161" spans="1:14" x14ac:dyDescent="0.25">
      <c r="A161" s="73"/>
      <c r="B161" s="62" t="s">
        <v>2810</v>
      </c>
      <c r="C161" s="63"/>
      <c r="D161" s="64">
        <v>5</v>
      </c>
      <c r="E161" s="64">
        <v>1.3</v>
      </c>
      <c r="F161" s="64">
        <v>1.3</v>
      </c>
      <c r="G161" s="64">
        <v>0.1</v>
      </c>
      <c r="H161" s="64"/>
      <c r="I161" s="76">
        <f t="shared" si="5"/>
        <v>0.84499999999999997</v>
      </c>
      <c r="J161" s="83"/>
      <c r="K161" s="84"/>
      <c r="L161" s="85"/>
      <c r="M161" s="84"/>
      <c r="N161" s="86"/>
    </row>
    <row r="162" spans="1:14" x14ac:dyDescent="0.25">
      <c r="A162" s="73"/>
      <c r="B162" s="62" t="s">
        <v>2811</v>
      </c>
      <c r="C162" s="63"/>
      <c r="D162" s="64">
        <v>3</v>
      </c>
      <c r="E162" s="64">
        <v>1.3</v>
      </c>
      <c r="F162" s="64">
        <v>3.1</v>
      </c>
      <c r="G162" s="64">
        <v>0.1</v>
      </c>
      <c r="H162" s="64"/>
      <c r="I162" s="76">
        <f t="shared" si="5"/>
        <v>1.2090000000000001</v>
      </c>
      <c r="J162" s="83"/>
      <c r="K162" s="84"/>
      <c r="L162" s="85"/>
      <c r="M162" s="84"/>
      <c r="N162" s="86"/>
    </row>
    <row r="163" spans="1:14" x14ac:dyDescent="0.25">
      <c r="A163" s="73"/>
      <c r="B163" s="62" t="s">
        <v>2812</v>
      </c>
      <c r="C163" s="63"/>
      <c r="D163" s="64">
        <v>2</v>
      </c>
      <c r="E163" s="64">
        <v>3.1</v>
      </c>
      <c r="F163" s="64">
        <v>3.1</v>
      </c>
      <c r="G163" s="64">
        <v>0.1</v>
      </c>
      <c r="H163" s="64"/>
      <c r="I163" s="76">
        <f t="shared" si="5"/>
        <v>1.9219999999999999</v>
      </c>
      <c r="J163" s="83"/>
      <c r="K163" s="84"/>
      <c r="L163" s="85"/>
      <c r="M163" s="84"/>
      <c r="N163" s="86"/>
    </row>
    <row r="164" spans="1:14" x14ac:dyDescent="0.25">
      <c r="A164" s="73"/>
      <c r="B164" s="62" t="s">
        <v>2813</v>
      </c>
      <c r="C164" s="63"/>
      <c r="D164" s="64"/>
      <c r="E164" s="64">
        <v>3.1</v>
      </c>
      <c r="F164" s="64">
        <v>4.5</v>
      </c>
      <c r="G164" s="64">
        <v>0.1</v>
      </c>
      <c r="H164" s="64"/>
      <c r="I164" s="76">
        <f t="shared" si="5"/>
        <v>1.395</v>
      </c>
      <c r="J164" s="83"/>
      <c r="K164" s="84"/>
      <c r="L164" s="85"/>
      <c r="M164" s="84"/>
      <c r="N164" s="86"/>
    </row>
    <row r="165" spans="1:14" x14ac:dyDescent="0.25">
      <c r="A165" s="73"/>
      <c r="B165" s="62" t="s">
        <v>2814</v>
      </c>
      <c r="C165" s="63"/>
      <c r="D165" s="64"/>
      <c r="E165" s="64">
        <v>3.1</v>
      </c>
      <c r="F165" s="64">
        <v>4.9000000000000004</v>
      </c>
      <c r="G165" s="64">
        <v>0.1</v>
      </c>
      <c r="H165" s="64"/>
      <c r="I165" s="76">
        <f t="shared" si="5"/>
        <v>1.5189999999999999</v>
      </c>
      <c r="J165" s="83"/>
      <c r="K165" s="84"/>
      <c r="L165" s="85"/>
      <c r="M165" s="84"/>
      <c r="N165" s="86"/>
    </row>
    <row r="166" spans="1:14" x14ac:dyDescent="0.25">
      <c r="A166" s="73"/>
      <c r="B166" s="62" t="s">
        <v>2815</v>
      </c>
      <c r="C166" s="63"/>
      <c r="D166" s="64"/>
      <c r="E166" s="64">
        <v>4.9000000000000004</v>
      </c>
      <c r="F166" s="64">
        <v>3.1</v>
      </c>
      <c r="G166" s="64">
        <v>0.1</v>
      </c>
      <c r="H166" s="64"/>
      <c r="I166" s="76">
        <f t="shared" si="5"/>
        <v>1.5189999999999999</v>
      </c>
      <c r="J166" s="83"/>
      <c r="K166" s="84"/>
      <c r="L166" s="85"/>
      <c r="M166" s="84"/>
      <c r="N166" s="86"/>
    </row>
    <row r="167" spans="1:14" x14ac:dyDescent="0.25">
      <c r="A167" s="73"/>
      <c r="B167" s="62" t="s">
        <v>2816</v>
      </c>
      <c r="C167" s="63"/>
      <c r="D167" s="64">
        <v>3</v>
      </c>
      <c r="E167" s="64">
        <v>3.1</v>
      </c>
      <c r="F167" s="64">
        <v>6.7</v>
      </c>
      <c r="G167" s="64">
        <v>0.1</v>
      </c>
      <c r="H167" s="64"/>
      <c r="I167" s="76">
        <f t="shared" si="5"/>
        <v>6.2309999999999999</v>
      </c>
      <c r="J167" s="83"/>
      <c r="K167" s="84"/>
      <c r="L167" s="85"/>
      <c r="M167" s="84"/>
      <c r="N167" s="86"/>
    </row>
    <row r="168" spans="1:14" x14ac:dyDescent="0.25">
      <c r="A168" s="73"/>
      <c r="B168" s="62" t="s">
        <v>2817</v>
      </c>
      <c r="C168" s="63"/>
      <c r="D168" s="64"/>
      <c r="E168" s="64">
        <v>4.5</v>
      </c>
      <c r="F168" s="64">
        <v>4.9000000000000004</v>
      </c>
      <c r="G168" s="64">
        <v>0.1</v>
      </c>
      <c r="H168" s="64"/>
      <c r="I168" s="76">
        <f t="shared" si="5"/>
        <v>2.2050000000000001</v>
      </c>
      <c r="J168" s="83"/>
      <c r="K168" s="84"/>
      <c r="L168" s="85"/>
      <c r="M168" s="84"/>
      <c r="N168" s="86"/>
    </row>
    <row r="169" spans="1:14" x14ac:dyDescent="0.25">
      <c r="A169" s="73"/>
      <c r="B169" s="62" t="s">
        <v>2818</v>
      </c>
      <c r="C169" s="63"/>
      <c r="D169" s="64"/>
      <c r="E169" s="64">
        <v>4.5</v>
      </c>
      <c r="F169" s="64">
        <v>4.9000000000000004</v>
      </c>
      <c r="G169" s="64">
        <v>0.1</v>
      </c>
      <c r="H169" s="64"/>
      <c r="I169" s="76">
        <f t="shared" si="5"/>
        <v>2.2050000000000001</v>
      </c>
      <c r="J169" s="83"/>
      <c r="K169" s="84"/>
      <c r="L169" s="85"/>
      <c r="M169" s="84"/>
      <c r="N169" s="86"/>
    </row>
    <row r="170" spans="1:14" x14ac:dyDescent="0.25">
      <c r="A170" s="73"/>
      <c r="B170" s="62" t="s">
        <v>2819</v>
      </c>
      <c r="C170" s="63"/>
      <c r="D170" s="64"/>
      <c r="E170" s="64">
        <v>4.9000000000000004</v>
      </c>
      <c r="F170" s="64">
        <v>4.9000000000000004</v>
      </c>
      <c r="G170" s="64">
        <v>0.1</v>
      </c>
      <c r="H170" s="64"/>
      <c r="I170" s="76">
        <f t="shared" si="5"/>
        <v>2.4009999999999998</v>
      </c>
      <c r="J170" s="83"/>
      <c r="K170" s="84"/>
      <c r="L170" s="85"/>
      <c r="M170" s="84"/>
      <c r="N170" s="86"/>
    </row>
    <row r="171" spans="1:14" x14ac:dyDescent="0.25">
      <c r="A171" s="73"/>
      <c r="B171" s="62" t="s">
        <v>2820</v>
      </c>
      <c r="C171" s="63"/>
      <c r="D171" s="64"/>
      <c r="E171" s="64">
        <v>4.9000000000000004</v>
      </c>
      <c r="F171" s="64">
        <v>4.9000000000000004</v>
      </c>
      <c r="G171" s="64">
        <v>0.1</v>
      </c>
      <c r="H171" s="64"/>
      <c r="I171" s="76">
        <f t="shared" si="5"/>
        <v>2.4009999999999998</v>
      </c>
      <c r="J171" s="83"/>
      <c r="K171" s="84"/>
      <c r="L171" s="85"/>
      <c r="M171" s="84"/>
      <c r="N171" s="86"/>
    </row>
    <row r="172" spans="1:14" x14ac:dyDescent="0.25">
      <c r="A172" s="73"/>
      <c r="B172" s="62" t="s">
        <v>2821</v>
      </c>
      <c r="C172" s="63"/>
      <c r="D172" s="64"/>
      <c r="E172" s="64">
        <v>4.5</v>
      </c>
      <c r="F172" s="64">
        <v>6.7</v>
      </c>
      <c r="G172" s="64">
        <v>0.1</v>
      </c>
      <c r="H172" s="64"/>
      <c r="I172" s="76">
        <f t="shared" si="5"/>
        <v>3.0150000000000001</v>
      </c>
      <c r="J172" s="83"/>
      <c r="K172" s="84"/>
      <c r="L172" s="85"/>
      <c r="M172" s="84"/>
      <c r="N172" s="86"/>
    </row>
    <row r="173" spans="1:14" x14ac:dyDescent="0.25">
      <c r="A173" s="73"/>
      <c r="B173" s="62" t="s">
        <v>2822</v>
      </c>
      <c r="C173" s="63"/>
      <c r="D173" s="64"/>
      <c r="E173" s="64">
        <v>3.1</v>
      </c>
      <c r="F173" s="64">
        <v>8.5</v>
      </c>
      <c r="G173" s="64">
        <v>0.1</v>
      </c>
      <c r="H173" s="64"/>
      <c r="I173" s="76">
        <f t="shared" si="5"/>
        <v>2.6349999999999998</v>
      </c>
      <c r="J173" s="83"/>
      <c r="K173" s="84"/>
      <c r="L173" s="85"/>
      <c r="M173" s="84"/>
      <c r="N173" s="86"/>
    </row>
    <row r="174" spans="1:14" x14ac:dyDescent="0.25">
      <c r="A174" s="73"/>
      <c r="B174" s="62" t="s">
        <v>2823</v>
      </c>
      <c r="C174" s="63"/>
      <c r="D174" s="64"/>
      <c r="E174" s="64">
        <v>4.5</v>
      </c>
      <c r="F174" s="64">
        <v>6.7</v>
      </c>
      <c r="G174" s="64">
        <v>0.1</v>
      </c>
      <c r="H174" s="64"/>
      <c r="I174" s="76">
        <f t="shared" si="5"/>
        <v>3.0150000000000001</v>
      </c>
      <c r="J174" s="83"/>
      <c r="K174" s="84"/>
      <c r="L174" s="85"/>
      <c r="M174" s="84"/>
      <c r="N174" s="86"/>
    </row>
    <row r="175" spans="1:14" x14ac:dyDescent="0.25">
      <c r="A175" s="73"/>
      <c r="B175" s="62" t="s">
        <v>2824</v>
      </c>
      <c r="C175" s="63"/>
      <c r="D175" s="64"/>
      <c r="E175" s="64">
        <v>4.5</v>
      </c>
      <c r="F175" s="64">
        <v>8.5</v>
      </c>
      <c r="G175" s="64">
        <v>0.1</v>
      </c>
      <c r="H175" s="64"/>
      <c r="I175" s="76">
        <f t="shared" si="5"/>
        <v>3.8250000000000002</v>
      </c>
      <c r="J175" s="83"/>
      <c r="K175" s="84"/>
      <c r="L175" s="85"/>
      <c r="M175" s="84"/>
      <c r="N175" s="86"/>
    </row>
    <row r="176" spans="1:14" x14ac:dyDescent="0.25">
      <c r="A176" s="73"/>
      <c r="B176" s="62" t="s">
        <v>2825</v>
      </c>
      <c r="C176" s="63"/>
      <c r="D176" s="64">
        <v>2</v>
      </c>
      <c r="E176" s="64">
        <v>3.1</v>
      </c>
      <c r="F176" s="64">
        <v>3.2</v>
      </c>
      <c r="G176" s="64">
        <v>0.1</v>
      </c>
      <c r="H176" s="64"/>
      <c r="I176" s="76">
        <f t="shared" ref="I176:I239" si="10">ROUND(PRODUCT(D176:H176),3)</f>
        <v>1.984</v>
      </c>
      <c r="J176" s="83"/>
      <c r="K176" s="84"/>
      <c r="L176" s="85"/>
      <c r="M176" s="84"/>
      <c r="N176" s="86"/>
    </row>
    <row r="177" spans="1:14" x14ac:dyDescent="0.25">
      <c r="A177" s="73"/>
      <c r="B177" s="62"/>
      <c r="C177" s="63"/>
      <c r="D177" s="64"/>
      <c r="E177" s="64">
        <v>4.9000000000000004</v>
      </c>
      <c r="F177" s="64">
        <v>6.9</v>
      </c>
      <c r="G177" s="64">
        <v>0.1</v>
      </c>
      <c r="H177" s="64"/>
      <c r="I177" s="76">
        <f t="shared" si="10"/>
        <v>3.3809999999999998</v>
      </c>
      <c r="J177" s="83"/>
      <c r="K177" s="84"/>
      <c r="L177" s="85"/>
      <c r="M177" s="84"/>
      <c r="N177" s="86"/>
    </row>
    <row r="178" spans="1:14" x14ac:dyDescent="0.25">
      <c r="A178" s="73"/>
      <c r="B178" s="62" t="s">
        <v>2826</v>
      </c>
      <c r="C178" s="63"/>
      <c r="D178" s="64"/>
      <c r="E178" s="64">
        <v>3.1</v>
      </c>
      <c r="F178" s="64">
        <v>3.3</v>
      </c>
      <c r="G178" s="64">
        <v>0.1</v>
      </c>
      <c r="H178" s="64"/>
      <c r="I178" s="76">
        <f t="shared" si="10"/>
        <v>1.0229999999999999</v>
      </c>
      <c r="J178" s="83"/>
      <c r="K178" s="84"/>
      <c r="L178" s="85"/>
      <c r="M178" s="84"/>
      <c r="N178" s="86"/>
    </row>
    <row r="179" spans="1:14" x14ac:dyDescent="0.25">
      <c r="A179" s="73"/>
      <c r="B179" s="62"/>
      <c r="C179" s="63"/>
      <c r="D179" s="64"/>
      <c r="E179" s="64">
        <v>3.1</v>
      </c>
      <c r="F179" s="64">
        <v>1.6</v>
      </c>
      <c r="G179" s="64">
        <v>0.1</v>
      </c>
      <c r="H179" s="64"/>
      <c r="I179" s="76">
        <f t="shared" si="10"/>
        <v>0.496</v>
      </c>
      <c r="J179" s="83"/>
      <c r="K179" s="84"/>
      <c r="L179" s="85"/>
      <c r="M179" s="84"/>
      <c r="N179" s="86"/>
    </row>
    <row r="180" spans="1:14" x14ac:dyDescent="0.25">
      <c r="A180" s="73"/>
      <c r="B180" s="62"/>
      <c r="C180" s="63"/>
      <c r="D180" s="64"/>
      <c r="E180" s="64">
        <v>4.9000000000000004</v>
      </c>
      <c r="F180" s="64">
        <v>8.6999999999999993</v>
      </c>
      <c r="G180" s="64">
        <v>0.1</v>
      </c>
      <c r="H180" s="64"/>
      <c r="I180" s="76">
        <f t="shared" si="10"/>
        <v>4.2629999999999999</v>
      </c>
      <c r="J180" s="83"/>
      <c r="K180" s="84"/>
      <c r="L180" s="85"/>
      <c r="M180" s="84"/>
      <c r="N180" s="86"/>
    </row>
    <row r="181" spans="1:14" x14ac:dyDescent="0.25">
      <c r="A181" s="73"/>
      <c r="B181" s="62" t="s">
        <v>2827</v>
      </c>
      <c r="C181" s="63"/>
      <c r="D181" s="64"/>
      <c r="E181" s="64">
        <v>4.9000000000000004</v>
      </c>
      <c r="F181" s="64">
        <v>1.9</v>
      </c>
      <c r="G181" s="64">
        <v>0.1</v>
      </c>
      <c r="H181" s="64"/>
      <c r="I181" s="76">
        <f t="shared" si="10"/>
        <v>0.93100000000000005</v>
      </c>
      <c r="J181" s="83"/>
      <c r="K181" s="84"/>
      <c r="L181" s="85"/>
      <c r="M181" s="84"/>
      <c r="N181" s="86"/>
    </row>
    <row r="182" spans="1:14" x14ac:dyDescent="0.25">
      <c r="A182" s="73"/>
      <c r="B182" s="62"/>
      <c r="C182" s="63"/>
      <c r="D182" s="64"/>
      <c r="E182" s="64">
        <v>4.9000000000000004</v>
      </c>
      <c r="F182" s="64">
        <v>3.6</v>
      </c>
      <c r="G182" s="64">
        <v>0.1</v>
      </c>
      <c r="H182" s="64"/>
      <c r="I182" s="76">
        <f t="shared" si="10"/>
        <v>1.764</v>
      </c>
      <c r="J182" s="83"/>
      <c r="K182" s="84"/>
      <c r="L182" s="85"/>
      <c r="M182" s="84"/>
      <c r="N182" s="86"/>
    </row>
    <row r="183" spans="1:14" x14ac:dyDescent="0.25">
      <c r="A183" s="73"/>
      <c r="B183" s="62"/>
      <c r="C183" s="63"/>
      <c r="D183" s="64"/>
      <c r="E183" s="64">
        <v>6.7</v>
      </c>
      <c r="F183" s="64">
        <v>6.7</v>
      </c>
      <c r="G183" s="64">
        <v>0.1</v>
      </c>
      <c r="H183" s="64"/>
      <c r="I183" s="76">
        <f t="shared" si="10"/>
        <v>4.4889999999999999</v>
      </c>
      <c r="J183" s="83"/>
      <c r="K183" s="84"/>
      <c r="L183" s="85"/>
      <c r="M183" s="84"/>
      <c r="N183" s="86"/>
    </row>
    <row r="184" spans="1:14" x14ac:dyDescent="0.25">
      <c r="A184" s="73"/>
      <c r="B184" s="66" t="s">
        <v>2828</v>
      </c>
      <c r="C184" s="63"/>
      <c r="D184" s="64"/>
      <c r="E184" s="64"/>
      <c r="F184" s="64"/>
      <c r="G184" s="64"/>
      <c r="H184" s="64"/>
      <c r="I184" s="76"/>
      <c r="J184" s="83"/>
      <c r="K184" s="84"/>
      <c r="L184" s="85"/>
      <c r="M184" s="84"/>
      <c r="N184" s="86"/>
    </row>
    <row r="185" spans="1:14" ht="25.5" x14ac:dyDescent="0.25">
      <c r="A185" s="73"/>
      <c r="B185" s="62" t="s">
        <v>2865</v>
      </c>
      <c r="C185" s="63"/>
      <c r="D185" s="64"/>
      <c r="E185" s="64">
        <v>31.3</v>
      </c>
      <c r="F185" s="64">
        <v>0.6</v>
      </c>
      <c r="G185" s="64">
        <v>0.1</v>
      </c>
      <c r="H185" s="64"/>
      <c r="I185" s="76">
        <f t="shared" si="10"/>
        <v>1.8779999999999999</v>
      </c>
      <c r="J185" s="83"/>
      <c r="K185" s="84"/>
      <c r="L185" s="85"/>
      <c r="M185" s="84"/>
      <c r="N185" s="86"/>
    </row>
    <row r="186" spans="1:14" x14ac:dyDescent="0.25">
      <c r="A186" s="73"/>
      <c r="B186" s="62" t="s">
        <v>2866</v>
      </c>
      <c r="C186" s="63"/>
      <c r="D186" s="64"/>
      <c r="E186" s="64">
        <v>9.3000000000000007</v>
      </c>
      <c r="F186" s="64">
        <v>0.6</v>
      </c>
      <c r="G186" s="64">
        <v>0.1</v>
      </c>
      <c r="H186" s="64"/>
      <c r="I186" s="76">
        <f t="shared" si="10"/>
        <v>0.55800000000000005</v>
      </c>
      <c r="J186" s="83"/>
      <c r="K186" s="84"/>
      <c r="L186" s="85"/>
      <c r="M186" s="84"/>
      <c r="N186" s="86"/>
    </row>
    <row r="187" spans="1:14" x14ac:dyDescent="0.25">
      <c r="A187" s="73"/>
      <c r="B187" s="62" t="s">
        <v>2867</v>
      </c>
      <c r="C187" s="63"/>
      <c r="D187" s="64"/>
      <c r="E187" s="64">
        <v>5.4</v>
      </c>
      <c r="F187" s="64">
        <v>0.6</v>
      </c>
      <c r="G187" s="64">
        <v>0.1</v>
      </c>
      <c r="H187" s="64"/>
      <c r="I187" s="76">
        <f t="shared" si="10"/>
        <v>0.32400000000000001</v>
      </c>
      <c r="J187" s="83"/>
      <c r="K187" s="84"/>
      <c r="L187" s="85"/>
      <c r="M187" s="84"/>
      <c r="N187" s="86"/>
    </row>
    <row r="188" spans="1:14" x14ac:dyDescent="0.25">
      <c r="A188" s="73"/>
      <c r="B188" s="62" t="s">
        <v>2868</v>
      </c>
      <c r="C188" s="63"/>
      <c r="D188" s="64"/>
      <c r="E188" s="64">
        <v>16.899999999999999</v>
      </c>
      <c r="F188" s="64">
        <v>0.6</v>
      </c>
      <c r="G188" s="64">
        <v>0.1</v>
      </c>
      <c r="H188" s="64"/>
      <c r="I188" s="76">
        <f t="shared" si="10"/>
        <v>1.014</v>
      </c>
      <c r="J188" s="83"/>
      <c r="K188" s="84"/>
      <c r="L188" s="85"/>
      <c r="M188" s="84"/>
      <c r="N188" s="86"/>
    </row>
    <row r="189" spans="1:14" x14ac:dyDescent="0.25">
      <c r="A189" s="73"/>
      <c r="B189" s="62" t="s">
        <v>2869</v>
      </c>
      <c r="C189" s="63"/>
      <c r="D189" s="64"/>
      <c r="E189" s="64">
        <v>7.6</v>
      </c>
      <c r="F189" s="64">
        <v>0.6</v>
      </c>
      <c r="G189" s="64">
        <v>0.1</v>
      </c>
      <c r="H189" s="64"/>
      <c r="I189" s="76">
        <f t="shared" si="10"/>
        <v>0.45600000000000002</v>
      </c>
      <c r="J189" s="83"/>
      <c r="K189" s="84"/>
      <c r="L189" s="85"/>
      <c r="M189" s="84"/>
      <c r="N189" s="86"/>
    </row>
    <row r="190" spans="1:14" x14ac:dyDescent="0.25">
      <c r="A190" s="73"/>
      <c r="B190" s="62" t="s">
        <v>2870</v>
      </c>
      <c r="C190" s="63"/>
      <c r="D190" s="64"/>
      <c r="E190" s="64">
        <v>13.7</v>
      </c>
      <c r="F190" s="64">
        <v>0.6</v>
      </c>
      <c r="G190" s="64">
        <v>0.1</v>
      </c>
      <c r="H190" s="64"/>
      <c r="I190" s="76">
        <f t="shared" si="10"/>
        <v>0.82199999999999995</v>
      </c>
      <c r="J190" s="83"/>
      <c r="K190" s="84"/>
      <c r="L190" s="85"/>
      <c r="M190" s="84"/>
      <c r="N190" s="86"/>
    </row>
    <row r="191" spans="1:14" x14ac:dyDescent="0.25">
      <c r="A191" s="73"/>
      <c r="B191" s="62" t="s">
        <v>2871</v>
      </c>
      <c r="C191" s="63"/>
      <c r="D191" s="64"/>
      <c r="E191" s="64">
        <v>4.4000000000000004</v>
      </c>
      <c r="F191" s="64">
        <v>0.6</v>
      </c>
      <c r="G191" s="64">
        <v>0.1</v>
      </c>
      <c r="H191" s="64"/>
      <c r="I191" s="76">
        <f t="shared" si="10"/>
        <v>0.26400000000000001</v>
      </c>
      <c r="J191" s="83"/>
      <c r="K191" s="84"/>
      <c r="L191" s="85"/>
      <c r="M191" s="84"/>
      <c r="N191" s="86"/>
    </row>
    <row r="192" spans="1:14" x14ac:dyDescent="0.25">
      <c r="A192" s="73"/>
      <c r="B192" s="62" t="s">
        <v>2836</v>
      </c>
      <c r="C192" s="63"/>
      <c r="D192" s="64"/>
      <c r="E192" s="64">
        <v>24.3</v>
      </c>
      <c r="F192" s="64">
        <v>0.6</v>
      </c>
      <c r="G192" s="64">
        <v>0.1</v>
      </c>
      <c r="H192" s="64"/>
      <c r="I192" s="76">
        <f t="shared" si="10"/>
        <v>1.458</v>
      </c>
      <c r="J192" s="83"/>
      <c r="K192" s="84"/>
      <c r="L192" s="85"/>
      <c r="M192" s="84"/>
      <c r="N192" s="86"/>
    </row>
    <row r="193" spans="1:14" x14ac:dyDescent="0.25">
      <c r="A193" s="73"/>
      <c r="B193" s="62" t="s">
        <v>2872</v>
      </c>
      <c r="C193" s="63"/>
      <c r="D193" s="64"/>
      <c r="E193" s="64">
        <v>1.7</v>
      </c>
      <c r="F193" s="64">
        <v>0.5</v>
      </c>
      <c r="G193" s="64">
        <v>0.1</v>
      </c>
      <c r="H193" s="64"/>
      <c r="I193" s="76">
        <f t="shared" si="10"/>
        <v>8.5000000000000006E-2</v>
      </c>
      <c r="J193" s="83"/>
      <c r="K193" s="84"/>
      <c r="L193" s="85"/>
      <c r="M193" s="84"/>
      <c r="N193" s="86"/>
    </row>
    <row r="194" spans="1:14" x14ac:dyDescent="0.25">
      <c r="A194" s="73"/>
      <c r="B194" s="62" t="s">
        <v>2873</v>
      </c>
      <c r="C194" s="63"/>
      <c r="D194" s="64"/>
      <c r="E194" s="64">
        <v>3.9</v>
      </c>
      <c r="F194" s="64">
        <v>0.6</v>
      </c>
      <c r="G194" s="64">
        <v>0.1</v>
      </c>
      <c r="H194" s="64"/>
      <c r="I194" s="76">
        <f t="shared" si="10"/>
        <v>0.23400000000000001</v>
      </c>
      <c r="J194" s="83"/>
      <c r="K194" s="84"/>
      <c r="L194" s="85"/>
      <c r="M194" s="84"/>
      <c r="N194" s="86"/>
    </row>
    <row r="195" spans="1:14" x14ac:dyDescent="0.25">
      <c r="A195" s="73"/>
      <c r="B195" s="62" t="s">
        <v>2874</v>
      </c>
      <c r="C195" s="63"/>
      <c r="D195" s="64"/>
      <c r="E195" s="64">
        <v>3.5</v>
      </c>
      <c r="F195" s="64">
        <v>0.6</v>
      </c>
      <c r="G195" s="64">
        <v>0.1</v>
      </c>
      <c r="H195" s="64"/>
      <c r="I195" s="76">
        <f t="shared" si="10"/>
        <v>0.21</v>
      </c>
      <c r="J195" s="83"/>
      <c r="K195" s="84"/>
      <c r="L195" s="85"/>
      <c r="M195" s="84"/>
      <c r="N195" s="86"/>
    </row>
    <row r="196" spans="1:14" x14ac:dyDescent="0.25">
      <c r="A196" s="73"/>
      <c r="B196" s="62" t="s">
        <v>2875</v>
      </c>
      <c r="C196" s="63"/>
      <c r="D196" s="64"/>
      <c r="E196" s="64">
        <v>2</v>
      </c>
      <c r="F196" s="64">
        <v>0.4</v>
      </c>
      <c r="G196" s="64">
        <v>0.1</v>
      </c>
      <c r="H196" s="64"/>
      <c r="I196" s="76">
        <f t="shared" si="10"/>
        <v>0.08</v>
      </c>
      <c r="J196" s="83"/>
      <c r="K196" s="84"/>
      <c r="L196" s="85"/>
      <c r="M196" s="84"/>
      <c r="N196" s="86"/>
    </row>
    <row r="197" spans="1:14" x14ac:dyDescent="0.25">
      <c r="A197" s="73"/>
      <c r="B197" s="62" t="s">
        <v>2876</v>
      </c>
      <c r="C197" s="63"/>
      <c r="D197" s="64"/>
      <c r="E197" s="64">
        <v>9.4</v>
      </c>
      <c r="F197" s="64">
        <v>0.6</v>
      </c>
      <c r="G197" s="64">
        <v>0.1</v>
      </c>
      <c r="H197" s="64"/>
      <c r="I197" s="76">
        <f t="shared" si="10"/>
        <v>0.56399999999999995</v>
      </c>
      <c r="J197" s="83"/>
      <c r="K197" s="84"/>
      <c r="L197" s="85"/>
      <c r="M197" s="84"/>
      <c r="N197" s="86"/>
    </row>
    <row r="198" spans="1:14" x14ac:dyDescent="0.25">
      <c r="A198" s="73"/>
      <c r="B198" s="62" t="s">
        <v>2877</v>
      </c>
      <c r="C198" s="63"/>
      <c r="D198" s="64"/>
      <c r="E198" s="64">
        <v>10.3</v>
      </c>
      <c r="F198" s="64">
        <v>0.6</v>
      </c>
      <c r="G198" s="64">
        <v>0.1</v>
      </c>
      <c r="H198" s="64"/>
      <c r="I198" s="76">
        <f t="shared" si="10"/>
        <v>0.61799999999999999</v>
      </c>
      <c r="J198" s="83"/>
      <c r="K198" s="84"/>
      <c r="L198" s="85"/>
      <c r="M198" s="84"/>
      <c r="N198" s="86"/>
    </row>
    <row r="199" spans="1:14" x14ac:dyDescent="0.25">
      <c r="A199" s="73"/>
      <c r="B199" s="62" t="s">
        <v>2878</v>
      </c>
      <c r="C199" s="63"/>
      <c r="D199" s="64"/>
      <c r="E199" s="64">
        <v>11.8</v>
      </c>
      <c r="F199" s="64">
        <v>0.6</v>
      </c>
      <c r="G199" s="64">
        <v>0.1</v>
      </c>
      <c r="H199" s="64"/>
      <c r="I199" s="76">
        <f t="shared" si="10"/>
        <v>0.70799999999999996</v>
      </c>
      <c r="J199" s="83"/>
      <c r="K199" s="84"/>
      <c r="L199" s="85"/>
      <c r="M199" s="84"/>
      <c r="N199" s="86"/>
    </row>
    <row r="200" spans="1:14" x14ac:dyDescent="0.25">
      <c r="A200" s="73"/>
      <c r="B200" s="62" t="s">
        <v>2879</v>
      </c>
      <c r="C200" s="63"/>
      <c r="D200" s="64"/>
      <c r="E200" s="64">
        <v>8.6999999999999993</v>
      </c>
      <c r="F200" s="64">
        <v>0.6</v>
      </c>
      <c r="G200" s="64">
        <v>0.1</v>
      </c>
      <c r="H200" s="64"/>
      <c r="I200" s="76">
        <f t="shared" si="10"/>
        <v>0.52200000000000002</v>
      </c>
      <c r="J200" s="83"/>
      <c r="K200" s="84"/>
      <c r="L200" s="85"/>
      <c r="M200" s="84"/>
      <c r="N200" s="86"/>
    </row>
    <row r="201" spans="1:14" x14ac:dyDescent="0.25">
      <c r="A201" s="73"/>
      <c r="B201" s="62" t="s">
        <v>2880</v>
      </c>
      <c r="C201" s="63"/>
      <c r="D201" s="64"/>
      <c r="E201" s="64">
        <v>13</v>
      </c>
      <c r="F201" s="64">
        <v>0.6</v>
      </c>
      <c r="G201" s="64">
        <v>0.1</v>
      </c>
      <c r="H201" s="64"/>
      <c r="I201" s="76">
        <f t="shared" si="10"/>
        <v>0.78</v>
      </c>
      <c r="J201" s="83"/>
      <c r="K201" s="84"/>
      <c r="L201" s="85"/>
      <c r="M201" s="84"/>
      <c r="N201" s="86"/>
    </row>
    <row r="202" spans="1:14" x14ac:dyDescent="0.25">
      <c r="A202" s="73"/>
      <c r="B202" s="62" t="s">
        <v>2881</v>
      </c>
      <c r="C202" s="63"/>
      <c r="D202" s="64"/>
      <c r="E202" s="64">
        <v>7.15</v>
      </c>
      <c r="F202" s="64">
        <v>0.6</v>
      </c>
      <c r="G202" s="64">
        <v>0.1</v>
      </c>
      <c r="H202" s="64"/>
      <c r="I202" s="76">
        <f t="shared" si="10"/>
        <v>0.42899999999999999</v>
      </c>
      <c r="J202" s="83"/>
      <c r="K202" s="84"/>
      <c r="L202" s="85"/>
      <c r="M202" s="84"/>
      <c r="N202" s="86"/>
    </row>
    <row r="203" spans="1:14" x14ac:dyDescent="0.25">
      <c r="A203" s="73"/>
      <c r="B203" s="62" t="s">
        <v>2882</v>
      </c>
      <c r="C203" s="63"/>
      <c r="D203" s="64"/>
      <c r="E203" s="64">
        <v>8</v>
      </c>
      <c r="F203" s="64">
        <v>0.6</v>
      </c>
      <c r="G203" s="64">
        <v>0.1</v>
      </c>
      <c r="H203" s="64"/>
      <c r="I203" s="76">
        <f t="shared" si="10"/>
        <v>0.48</v>
      </c>
      <c r="J203" s="83"/>
      <c r="K203" s="84"/>
      <c r="L203" s="85"/>
      <c r="M203" s="84"/>
      <c r="N203" s="86"/>
    </row>
    <row r="204" spans="1:14" x14ac:dyDescent="0.25">
      <c r="A204" s="73"/>
      <c r="B204" s="62" t="s">
        <v>2883</v>
      </c>
      <c r="C204" s="63"/>
      <c r="D204" s="64"/>
      <c r="E204" s="64">
        <v>17.899999999999999</v>
      </c>
      <c r="F204" s="64">
        <v>0.6</v>
      </c>
      <c r="G204" s="64">
        <v>0.1</v>
      </c>
      <c r="H204" s="64"/>
      <c r="I204" s="76">
        <f t="shared" si="10"/>
        <v>1.0740000000000001</v>
      </c>
      <c r="J204" s="83"/>
      <c r="K204" s="84"/>
      <c r="L204" s="85"/>
      <c r="M204" s="84"/>
      <c r="N204" s="86"/>
    </row>
    <row r="205" spans="1:14" x14ac:dyDescent="0.25">
      <c r="A205" s="73"/>
      <c r="B205" s="62" t="s">
        <v>2884</v>
      </c>
      <c r="C205" s="63"/>
      <c r="D205" s="64">
        <v>2</v>
      </c>
      <c r="E205" s="64">
        <v>3.1</v>
      </c>
      <c r="F205" s="64">
        <v>0.5</v>
      </c>
      <c r="G205" s="64">
        <v>0.1</v>
      </c>
      <c r="H205" s="64"/>
      <c r="I205" s="76">
        <f t="shared" si="10"/>
        <v>0.31</v>
      </c>
      <c r="J205" s="83"/>
      <c r="K205" s="84"/>
      <c r="L205" s="85"/>
      <c r="M205" s="84"/>
      <c r="N205" s="86"/>
    </row>
    <row r="206" spans="1:14" x14ac:dyDescent="0.25">
      <c r="A206" s="73"/>
      <c r="B206" s="66" t="s">
        <v>2885</v>
      </c>
      <c r="C206" s="63"/>
      <c r="D206" s="64"/>
      <c r="E206" s="64"/>
      <c r="F206" s="64"/>
      <c r="G206" s="64"/>
      <c r="H206" s="64"/>
      <c r="I206" s="76"/>
      <c r="J206" s="83"/>
      <c r="K206" s="84"/>
      <c r="L206" s="85"/>
      <c r="M206" s="84"/>
      <c r="N206" s="86"/>
    </row>
    <row r="207" spans="1:14" x14ac:dyDescent="0.25">
      <c r="A207" s="73"/>
      <c r="B207" s="62" t="s">
        <v>2886</v>
      </c>
      <c r="C207" s="63"/>
      <c r="D207" s="64"/>
      <c r="E207" s="64">
        <v>24.7</v>
      </c>
      <c r="F207" s="64">
        <v>53.7</v>
      </c>
      <c r="G207" s="64">
        <v>0.1</v>
      </c>
      <c r="H207" s="64"/>
      <c r="I207" s="76">
        <f t="shared" si="10"/>
        <v>132.63900000000001</v>
      </c>
      <c r="J207" s="83"/>
      <c r="K207" s="84"/>
      <c r="L207" s="85"/>
      <c r="M207" s="84"/>
      <c r="N207" s="86"/>
    </row>
    <row r="208" spans="1:14" x14ac:dyDescent="0.25">
      <c r="A208" s="73"/>
      <c r="B208" s="62" t="s">
        <v>2887</v>
      </c>
      <c r="C208" s="63"/>
      <c r="D208" s="64"/>
      <c r="E208" s="64">
        <v>2</v>
      </c>
      <c r="F208" s="64">
        <v>6.2</v>
      </c>
      <c r="G208" s="64">
        <v>0.1</v>
      </c>
      <c r="H208" s="64"/>
      <c r="I208" s="76">
        <f t="shared" si="10"/>
        <v>1.24</v>
      </c>
      <c r="J208" s="83"/>
      <c r="K208" s="84"/>
      <c r="L208" s="85"/>
      <c r="M208" s="84"/>
      <c r="N208" s="86"/>
    </row>
    <row r="209" spans="1:14" x14ac:dyDescent="0.25">
      <c r="A209" s="73"/>
      <c r="B209" s="66" t="s">
        <v>2888</v>
      </c>
      <c r="C209" s="63"/>
      <c r="D209" s="64"/>
      <c r="E209" s="64"/>
      <c r="F209" s="64"/>
      <c r="G209" s="64"/>
      <c r="H209" s="64"/>
      <c r="I209" s="76"/>
      <c r="J209" s="83"/>
      <c r="K209" s="84"/>
      <c r="L209" s="85"/>
      <c r="M209" s="84"/>
      <c r="N209" s="86"/>
    </row>
    <row r="210" spans="1:14" x14ac:dyDescent="0.25">
      <c r="A210" s="73"/>
      <c r="B210" s="66" t="s">
        <v>2809</v>
      </c>
      <c r="C210" s="63"/>
      <c r="D210" s="64"/>
      <c r="E210" s="64"/>
      <c r="F210" s="64"/>
      <c r="G210" s="64"/>
      <c r="H210" s="64"/>
      <c r="I210" s="76"/>
      <c r="J210" s="83"/>
      <c r="K210" s="84"/>
      <c r="L210" s="85"/>
      <c r="M210" s="84"/>
      <c r="N210" s="86"/>
    </row>
    <row r="211" spans="1:14" x14ac:dyDescent="0.25">
      <c r="A211" s="73"/>
      <c r="B211" s="66" t="s">
        <v>2889</v>
      </c>
      <c r="C211" s="63"/>
      <c r="D211" s="64"/>
      <c r="E211" s="64"/>
      <c r="F211" s="64"/>
      <c r="G211" s="64"/>
      <c r="H211" s="64"/>
      <c r="I211" s="76"/>
      <c r="J211" s="83"/>
      <c r="K211" s="84"/>
      <c r="L211" s="85"/>
      <c r="M211" s="84"/>
      <c r="N211" s="86"/>
    </row>
    <row r="212" spans="1:14" x14ac:dyDescent="0.25">
      <c r="A212" s="73"/>
      <c r="B212" s="62" t="s">
        <v>2810</v>
      </c>
      <c r="C212" s="63"/>
      <c r="D212" s="64"/>
      <c r="E212" s="64">
        <v>-0.4</v>
      </c>
      <c r="F212" s="64">
        <v>0.4</v>
      </c>
      <c r="G212" s="64">
        <v>0.1</v>
      </c>
      <c r="H212" s="64"/>
      <c r="I212" s="76">
        <f t="shared" si="10"/>
        <v>-1.6E-2</v>
      </c>
      <c r="J212" s="83"/>
      <c r="K212" s="84"/>
      <c r="L212" s="85"/>
      <c r="M212" s="84"/>
      <c r="N212" s="86"/>
    </row>
    <row r="213" spans="1:14" x14ac:dyDescent="0.25">
      <c r="A213" s="73"/>
      <c r="B213" s="62" t="s">
        <v>2816</v>
      </c>
      <c r="C213" s="63"/>
      <c r="D213" s="64">
        <v>2</v>
      </c>
      <c r="E213" s="64">
        <v>-1.3</v>
      </c>
      <c r="F213" s="64">
        <v>6.5</v>
      </c>
      <c r="G213" s="64">
        <v>0.1</v>
      </c>
      <c r="H213" s="64"/>
      <c r="I213" s="76">
        <f t="shared" si="10"/>
        <v>-1.69</v>
      </c>
      <c r="J213" s="83"/>
      <c r="K213" s="84"/>
      <c r="L213" s="85"/>
      <c r="M213" s="84"/>
      <c r="N213" s="86"/>
    </row>
    <row r="214" spans="1:14" x14ac:dyDescent="0.25">
      <c r="A214" s="73"/>
      <c r="B214" s="62" t="s">
        <v>2812</v>
      </c>
      <c r="C214" s="63"/>
      <c r="D214" s="64"/>
      <c r="E214" s="64">
        <v>-1.3</v>
      </c>
      <c r="F214" s="64">
        <v>1.9</v>
      </c>
      <c r="G214" s="64">
        <v>0.1</v>
      </c>
      <c r="H214" s="64"/>
      <c r="I214" s="76">
        <f t="shared" si="10"/>
        <v>-0.247</v>
      </c>
      <c r="J214" s="83"/>
      <c r="K214" s="84"/>
      <c r="L214" s="85"/>
      <c r="M214" s="84"/>
      <c r="N214" s="86"/>
    </row>
    <row r="215" spans="1:14" x14ac:dyDescent="0.25">
      <c r="A215" s="73"/>
      <c r="B215" s="66" t="s">
        <v>2890</v>
      </c>
      <c r="C215" s="63"/>
      <c r="D215" s="64"/>
      <c r="E215" s="64"/>
      <c r="F215" s="64"/>
      <c r="G215" s="64"/>
      <c r="H215" s="64"/>
      <c r="I215" s="76"/>
      <c r="J215" s="83"/>
      <c r="K215" s="84"/>
      <c r="L215" s="85"/>
      <c r="M215" s="84"/>
      <c r="N215" s="86"/>
    </row>
    <row r="216" spans="1:14" x14ac:dyDescent="0.25">
      <c r="A216" s="73"/>
      <c r="B216" s="62" t="s">
        <v>2810</v>
      </c>
      <c r="C216" s="63"/>
      <c r="D216" s="64"/>
      <c r="E216" s="64">
        <v>-0.4</v>
      </c>
      <c r="F216" s="64">
        <v>1.1000000000000001</v>
      </c>
      <c r="G216" s="64">
        <v>0.1</v>
      </c>
      <c r="H216" s="64"/>
      <c r="I216" s="76">
        <f t="shared" si="10"/>
        <v>-4.3999999999999997E-2</v>
      </c>
      <c r="J216" s="83"/>
      <c r="K216" s="84"/>
      <c r="L216" s="85"/>
      <c r="M216" s="84"/>
      <c r="N216" s="86"/>
    </row>
    <row r="217" spans="1:14" x14ac:dyDescent="0.25">
      <c r="A217" s="73"/>
      <c r="B217" s="62" t="s">
        <v>2817</v>
      </c>
      <c r="C217" s="63"/>
      <c r="D217" s="64"/>
      <c r="E217" s="64">
        <v>-4.3</v>
      </c>
      <c r="F217" s="64">
        <v>4.7</v>
      </c>
      <c r="G217" s="64">
        <v>0.1</v>
      </c>
      <c r="H217" s="64"/>
      <c r="I217" s="76">
        <f t="shared" si="10"/>
        <v>-2.0209999999999999</v>
      </c>
      <c r="J217" s="83"/>
      <c r="K217" s="84"/>
      <c r="L217" s="85"/>
      <c r="M217" s="84"/>
      <c r="N217" s="86"/>
    </row>
    <row r="218" spans="1:14" x14ac:dyDescent="0.25">
      <c r="A218" s="73"/>
      <c r="B218" s="62" t="s">
        <v>2821</v>
      </c>
      <c r="C218" s="63"/>
      <c r="D218" s="64"/>
      <c r="E218" s="64">
        <v>-4.3</v>
      </c>
      <c r="F218" s="64">
        <v>6.5</v>
      </c>
      <c r="G218" s="64">
        <v>0.1</v>
      </c>
      <c r="H218" s="64"/>
      <c r="I218" s="76">
        <f t="shared" si="10"/>
        <v>-2.7949999999999999</v>
      </c>
      <c r="J218" s="83"/>
      <c r="K218" s="84"/>
      <c r="L218" s="85"/>
      <c r="M218" s="84"/>
      <c r="N218" s="86"/>
    </row>
    <row r="219" spans="1:14" x14ac:dyDescent="0.25">
      <c r="A219" s="73"/>
      <c r="B219" s="62" t="s">
        <v>2814</v>
      </c>
      <c r="C219" s="63"/>
      <c r="D219" s="64"/>
      <c r="E219" s="64">
        <v>-2.8</v>
      </c>
      <c r="F219" s="64">
        <v>2.9</v>
      </c>
      <c r="G219" s="64">
        <v>0.1</v>
      </c>
      <c r="H219" s="64"/>
      <c r="I219" s="76">
        <f t="shared" si="10"/>
        <v>-0.81200000000000006</v>
      </c>
      <c r="J219" s="83"/>
      <c r="K219" s="84"/>
      <c r="L219" s="85"/>
      <c r="M219" s="84"/>
      <c r="N219" s="86"/>
    </row>
    <row r="220" spans="1:14" x14ac:dyDescent="0.25">
      <c r="A220" s="73"/>
      <c r="B220" s="66" t="s">
        <v>2891</v>
      </c>
      <c r="C220" s="63"/>
      <c r="D220" s="64"/>
      <c r="E220" s="64"/>
      <c r="F220" s="64"/>
      <c r="G220" s="64"/>
      <c r="H220" s="64"/>
      <c r="I220" s="76"/>
      <c r="J220" s="83"/>
      <c r="K220" s="84"/>
      <c r="L220" s="85"/>
      <c r="M220" s="84"/>
      <c r="N220" s="86"/>
    </row>
    <row r="221" spans="1:14" x14ac:dyDescent="0.25">
      <c r="A221" s="73"/>
      <c r="B221" s="62" t="s">
        <v>2810</v>
      </c>
      <c r="C221" s="63"/>
      <c r="D221" s="64"/>
      <c r="E221" s="64">
        <v>-0.4</v>
      </c>
      <c r="F221" s="64">
        <v>1.1000000000000001</v>
      </c>
      <c r="G221" s="64">
        <v>0.1</v>
      </c>
      <c r="H221" s="64"/>
      <c r="I221" s="76">
        <f t="shared" si="10"/>
        <v>-4.3999999999999997E-2</v>
      </c>
      <c r="J221" s="83"/>
      <c r="K221" s="84"/>
      <c r="L221" s="85"/>
      <c r="M221" s="84"/>
      <c r="N221" s="86"/>
    </row>
    <row r="222" spans="1:14" x14ac:dyDescent="0.25">
      <c r="A222" s="73"/>
      <c r="B222" s="62" t="s">
        <v>2817</v>
      </c>
      <c r="C222" s="63"/>
      <c r="D222" s="64"/>
      <c r="E222" s="64">
        <v>-4.3</v>
      </c>
      <c r="F222" s="64">
        <v>4.7</v>
      </c>
      <c r="G222" s="64">
        <v>0.1</v>
      </c>
      <c r="H222" s="64"/>
      <c r="I222" s="76">
        <f t="shared" si="10"/>
        <v>-2.0209999999999999</v>
      </c>
      <c r="J222" s="83"/>
      <c r="K222" s="84"/>
      <c r="L222" s="85"/>
      <c r="M222" s="84"/>
      <c r="N222" s="86"/>
    </row>
    <row r="223" spans="1:14" x14ac:dyDescent="0.25">
      <c r="A223" s="73"/>
      <c r="B223" s="62" t="s">
        <v>2816</v>
      </c>
      <c r="C223" s="63"/>
      <c r="D223" s="64"/>
      <c r="E223" s="64">
        <v>-2.9</v>
      </c>
      <c r="F223" s="64">
        <v>6.5</v>
      </c>
      <c r="G223" s="64">
        <v>0.1</v>
      </c>
      <c r="H223" s="64"/>
      <c r="I223" s="76">
        <f t="shared" si="10"/>
        <v>-1.885</v>
      </c>
      <c r="J223" s="83"/>
      <c r="K223" s="84"/>
      <c r="L223" s="85"/>
      <c r="M223" s="84"/>
      <c r="N223" s="86"/>
    </row>
    <row r="224" spans="1:14" x14ac:dyDescent="0.25">
      <c r="A224" s="73"/>
      <c r="B224" s="62" t="s">
        <v>2812</v>
      </c>
      <c r="C224" s="63"/>
      <c r="D224" s="64"/>
      <c r="E224" s="64">
        <v>-1.3</v>
      </c>
      <c r="F224" s="64">
        <v>2.9</v>
      </c>
      <c r="G224" s="64">
        <v>0.1</v>
      </c>
      <c r="H224" s="64"/>
      <c r="I224" s="76">
        <f t="shared" si="10"/>
        <v>-0.377</v>
      </c>
      <c r="J224" s="83"/>
      <c r="K224" s="84"/>
      <c r="L224" s="85"/>
      <c r="M224" s="84"/>
      <c r="N224" s="86"/>
    </row>
    <row r="225" spans="1:14" x14ac:dyDescent="0.25">
      <c r="A225" s="73"/>
      <c r="B225" s="66" t="s">
        <v>2892</v>
      </c>
      <c r="C225" s="63"/>
      <c r="D225" s="64"/>
      <c r="E225" s="64"/>
      <c r="F225" s="64"/>
      <c r="G225" s="64"/>
      <c r="H225" s="64"/>
      <c r="I225" s="76"/>
      <c r="J225" s="83"/>
      <c r="K225" s="84"/>
      <c r="L225" s="85"/>
      <c r="M225" s="84"/>
      <c r="N225" s="86"/>
    </row>
    <row r="226" spans="1:14" x14ac:dyDescent="0.25">
      <c r="A226" s="73"/>
      <c r="B226" s="62" t="s">
        <v>2815</v>
      </c>
      <c r="C226" s="63"/>
      <c r="D226" s="64"/>
      <c r="E226" s="64">
        <v>-1.7</v>
      </c>
      <c r="F226" s="64">
        <v>4.7</v>
      </c>
      <c r="G226" s="64">
        <v>0.1</v>
      </c>
      <c r="H226" s="64"/>
      <c r="I226" s="76">
        <f t="shared" si="10"/>
        <v>-0.79900000000000004</v>
      </c>
      <c r="J226" s="83"/>
      <c r="K226" s="84"/>
      <c r="L226" s="85"/>
      <c r="M226" s="84"/>
      <c r="N226" s="86"/>
    </row>
    <row r="227" spans="1:14" x14ac:dyDescent="0.25">
      <c r="A227" s="73"/>
      <c r="B227" s="62" t="s">
        <v>2819</v>
      </c>
      <c r="C227" s="63"/>
      <c r="D227" s="64"/>
      <c r="E227" s="64">
        <v>-4.7</v>
      </c>
      <c r="F227" s="64">
        <v>4.7</v>
      </c>
      <c r="G227" s="64">
        <v>0.1</v>
      </c>
      <c r="H227" s="64"/>
      <c r="I227" s="76">
        <f t="shared" si="10"/>
        <v>-2.2090000000000001</v>
      </c>
      <c r="J227" s="83"/>
      <c r="K227" s="84"/>
      <c r="L227" s="85"/>
      <c r="M227" s="84"/>
      <c r="N227" s="86"/>
    </row>
    <row r="228" spans="1:14" x14ac:dyDescent="0.25">
      <c r="A228" s="73"/>
      <c r="B228" s="62" t="s">
        <v>2827</v>
      </c>
      <c r="C228" s="63"/>
      <c r="D228" s="64"/>
      <c r="E228" s="64">
        <v>-1.8</v>
      </c>
      <c r="F228" s="64">
        <v>4.7</v>
      </c>
      <c r="G228" s="64">
        <v>0.1</v>
      </c>
      <c r="H228" s="64"/>
      <c r="I228" s="76">
        <f t="shared" si="10"/>
        <v>-0.84599999999999997</v>
      </c>
      <c r="J228" s="83"/>
      <c r="K228" s="84"/>
      <c r="L228" s="85"/>
      <c r="M228" s="84"/>
      <c r="N228" s="86"/>
    </row>
    <row r="229" spans="1:14" x14ac:dyDescent="0.25">
      <c r="A229" s="73"/>
      <c r="B229" s="62"/>
      <c r="C229" s="63"/>
      <c r="D229" s="64"/>
      <c r="E229" s="64">
        <v>-6.5</v>
      </c>
      <c r="F229" s="64">
        <v>6.5</v>
      </c>
      <c r="G229" s="64">
        <v>0.1</v>
      </c>
      <c r="H229" s="64"/>
      <c r="I229" s="76">
        <f t="shared" si="10"/>
        <v>-4.2249999999999996</v>
      </c>
      <c r="J229" s="83"/>
      <c r="K229" s="84"/>
      <c r="L229" s="85"/>
      <c r="M229" s="84"/>
      <c r="N229" s="86"/>
    </row>
    <row r="230" spans="1:14" x14ac:dyDescent="0.25">
      <c r="A230" s="73"/>
      <c r="B230" s="62"/>
      <c r="C230" s="63"/>
      <c r="D230" s="64"/>
      <c r="E230" s="64">
        <v>-1.35</v>
      </c>
      <c r="F230" s="64">
        <v>4.7</v>
      </c>
      <c r="G230" s="64">
        <v>0.1</v>
      </c>
      <c r="H230" s="64"/>
      <c r="I230" s="76">
        <f t="shared" si="10"/>
        <v>-0.63500000000000001</v>
      </c>
      <c r="J230" s="83"/>
      <c r="K230" s="84"/>
      <c r="L230" s="85"/>
      <c r="M230" s="84"/>
      <c r="N230" s="86"/>
    </row>
    <row r="231" spans="1:14" x14ac:dyDescent="0.25">
      <c r="A231" s="73"/>
      <c r="B231" s="66" t="s">
        <v>2893</v>
      </c>
      <c r="C231" s="63"/>
      <c r="D231" s="64"/>
      <c r="E231" s="64"/>
      <c r="F231" s="64"/>
      <c r="G231" s="64"/>
      <c r="H231" s="64"/>
      <c r="I231" s="76"/>
      <c r="J231" s="83"/>
      <c r="K231" s="84"/>
      <c r="L231" s="85"/>
      <c r="M231" s="84"/>
      <c r="N231" s="86"/>
    </row>
    <row r="232" spans="1:14" x14ac:dyDescent="0.25">
      <c r="A232" s="73"/>
      <c r="B232" s="62" t="s">
        <v>2813</v>
      </c>
      <c r="C232" s="63"/>
      <c r="D232" s="64"/>
      <c r="E232" s="64">
        <v>-2.2000000000000002</v>
      </c>
      <c r="F232" s="64">
        <v>2.9</v>
      </c>
      <c r="G232" s="64">
        <v>0.1</v>
      </c>
      <c r="H232" s="64"/>
      <c r="I232" s="76">
        <f t="shared" si="10"/>
        <v>-0.63800000000000001</v>
      </c>
      <c r="J232" s="83"/>
      <c r="K232" s="84"/>
      <c r="L232" s="85"/>
      <c r="M232" s="84"/>
      <c r="N232" s="86"/>
    </row>
    <row r="233" spans="1:14" x14ac:dyDescent="0.25">
      <c r="A233" s="73"/>
      <c r="B233" s="62" t="s">
        <v>2823</v>
      </c>
      <c r="C233" s="63"/>
      <c r="D233" s="64"/>
      <c r="E233" s="64">
        <v>-4.3</v>
      </c>
      <c r="F233" s="64">
        <v>6.5</v>
      </c>
      <c r="G233" s="64">
        <v>0.1</v>
      </c>
      <c r="H233" s="64"/>
      <c r="I233" s="76">
        <f t="shared" si="10"/>
        <v>-2.7949999999999999</v>
      </c>
      <c r="J233" s="83"/>
      <c r="K233" s="84"/>
      <c r="L233" s="85"/>
      <c r="M233" s="84"/>
      <c r="N233" s="86"/>
    </row>
    <row r="234" spans="1:14" x14ac:dyDescent="0.25">
      <c r="A234" s="73"/>
      <c r="B234" s="62" t="s">
        <v>2819</v>
      </c>
      <c r="C234" s="63"/>
      <c r="D234" s="64"/>
      <c r="E234" s="64">
        <v>-4.7</v>
      </c>
      <c r="F234" s="64">
        <v>4.7</v>
      </c>
      <c r="G234" s="64">
        <v>0.1</v>
      </c>
      <c r="H234" s="64"/>
      <c r="I234" s="76">
        <f t="shared" si="10"/>
        <v>-2.2090000000000001</v>
      </c>
      <c r="J234" s="83"/>
      <c r="K234" s="84"/>
      <c r="L234" s="85"/>
      <c r="M234" s="84"/>
      <c r="N234" s="86"/>
    </row>
    <row r="235" spans="1:14" x14ac:dyDescent="0.25">
      <c r="A235" s="73"/>
      <c r="B235" s="62" t="s">
        <v>2811</v>
      </c>
      <c r="C235" s="63"/>
      <c r="D235" s="64"/>
      <c r="E235" s="64">
        <v>-0.5</v>
      </c>
      <c r="F235" s="64">
        <v>2.9</v>
      </c>
      <c r="G235" s="64">
        <v>0.1</v>
      </c>
      <c r="H235" s="64"/>
      <c r="I235" s="76">
        <f t="shared" si="10"/>
        <v>-0.14499999999999999</v>
      </c>
      <c r="J235" s="83"/>
      <c r="K235" s="84"/>
      <c r="L235" s="85"/>
      <c r="M235" s="84"/>
      <c r="N235" s="86"/>
    </row>
    <row r="236" spans="1:14" x14ac:dyDescent="0.25">
      <c r="A236" s="73"/>
      <c r="B236" s="66" t="s">
        <v>2894</v>
      </c>
      <c r="C236" s="63"/>
      <c r="D236" s="64"/>
      <c r="E236" s="64"/>
      <c r="F236" s="64"/>
      <c r="G236" s="64"/>
      <c r="H236" s="64"/>
      <c r="I236" s="76"/>
      <c r="J236" s="83"/>
      <c r="K236" s="84"/>
      <c r="L236" s="85"/>
      <c r="M236" s="84"/>
      <c r="N236" s="86"/>
    </row>
    <row r="237" spans="1:14" x14ac:dyDescent="0.25">
      <c r="A237" s="73"/>
      <c r="B237" s="62" t="s">
        <v>2826</v>
      </c>
      <c r="C237" s="63"/>
      <c r="D237" s="64"/>
      <c r="E237" s="64">
        <v>-4.7</v>
      </c>
      <c r="F237" s="64">
        <v>8.1</v>
      </c>
      <c r="G237" s="64">
        <v>0.1</v>
      </c>
      <c r="H237" s="64"/>
      <c r="I237" s="76">
        <f t="shared" si="10"/>
        <v>-3.8069999999999999</v>
      </c>
      <c r="J237" s="83"/>
      <c r="K237" s="84"/>
      <c r="L237" s="85"/>
      <c r="M237" s="84"/>
      <c r="N237" s="86"/>
    </row>
    <row r="238" spans="1:14" x14ac:dyDescent="0.25">
      <c r="A238" s="73"/>
      <c r="B238" s="62"/>
      <c r="C238" s="63"/>
      <c r="D238" s="64"/>
      <c r="E238" s="64">
        <v>-2.9</v>
      </c>
      <c r="F238" s="64">
        <v>1.6</v>
      </c>
      <c r="G238" s="64">
        <v>0.1</v>
      </c>
      <c r="H238" s="64"/>
      <c r="I238" s="76">
        <f t="shared" si="10"/>
        <v>-0.46400000000000002</v>
      </c>
      <c r="J238" s="83"/>
      <c r="K238" s="84"/>
      <c r="L238" s="85"/>
      <c r="M238" s="84"/>
      <c r="N238" s="86"/>
    </row>
    <row r="239" spans="1:14" x14ac:dyDescent="0.25">
      <c r="A239" s="73"/>
      <c r="B239" s="62" t="s">
        <v>2824</v>
      </c>
      <c r="C239" s="63"/>
      <c r="D239" s="64"/>
      <c r="E239" s="64">
        <v>-4.3</v>
      </c>
      <c r="F239" s="64">
        <v>7.5</v>
      </c>
      <c r="G239" s="64">
        <v>0.1</v>
      </c>
      <c r="H239" s="64"/>
      <c r="I239" s="76">
        <f t="shared" si="10"/>
        <v>-3.2250000000000001</v>
      </c>
      <c r="J239" s="83"/>
      <c r="K239" s="84"/>
      <c r="L239" s="85"/>
      <c r="M239" s="84"/>
      <c r="N239" s="86"/>
    </row>
    <row r="240" spans="1:14" x14ac:dyDescent="0.25">
      <c r="A240" s="73"/>
      <c r="B240" s="66" t="s">
        <v>2895</v>
      </c>
      <c r="C240" s="63"/>
      <c r="D240" s="64"/>
      <c r="E240" s="64"/>
      <c r="F240" s="64"/>
      <c r="G240" s="64"/>
      <c r="H240" s="64"/>
      <c r="I240" s="76"/>
      <c r="J240" s="83"/>
      <c r="K240" s="84"/>
      <c r="L240" s="85"/>
      <c r="M240" s="84"/>
      <c r="N240" s="86"/>
    </row>
    <row r="241" spans="1:14" x14ac:dyDescent="0.25">
      <c r="A241" s="73"/>
      <c r="B241" s="62" t="s">
        <v>2825</v>
      </c>
      <c r="C241" s="63"/>
      <c r="D241" s="64"/>
      <c r="E241" s="64">
        <v>-6.45</v>
      </c>
      <c r="F241" s="64">
        <v>4.7</v>
      </c>
      <c r="G241" s="64">
        <v>0.1</v>
      </c>
      <c r="H241" s="64"/>
      <c r="I241" s="76">
        <f t="shared" ref="I241:I303" si="11">ROUND(PRODUCT(D241:H241),3)</f>
        <v>-3.032</v>
      </c>
      <c r="J241" s="83"/>
      <c r="K241" s="84"/>
      <c r="L241" s="85"/>
      <c r="M241" s="84"/>
      <c r="N241" s="86"/>
    </row>
    <row r="242" spans="1:14" x14ac:dyDescent="0.25">
      <c r="A242" s="73"/>
      <c r="B242" s="62"/>
      <c r="C242" s="63"/>
      <c r="D242" s="64"/>
      <c r="E242" s="64">
        <v>-3.2</v>
      </c>
      <c r="F242" s="64">
        <v>2.9</v>
      </c>
      <c r="G242" s="64">
        <v>0.1</v>
      </c>
      <c r="H242" s="64"/>
      <c r="I242" s="76">
        <f t="shared" si="11"/>
        <v>-0.92800000000000005</v>
      </c>
      <c r="J242" s="83"/>
      <c r="K242" s="84"/>
      <c r="L242" s="85"/>
      <c r="M242" s="84"/>
      <c r="N242" s="86"/>
    </row>
    <row r="243" spans="1:14" x14ac:dyDescent="0.25">
      <c r="A243" s="73"/>
      <c r="B243" s="62" t="s">
        <v>2822</v>
      </c>
      <c r="C243" s="63"/>
      <c r="D243" s="64"/>
      <c r="E243" s="64">
        <v>-2.9</v>
      </c>
      <c r="F243" s="64">
        <v>7.2</v>
      </c>
      <c r="G243" s="64">
        <v>0.1</v>
      </c>
      <c r="H243" s="64"/>
      <c r="I243" s="76">
        <f t="shared" si="11"/>
        <v>-2.0880000000000001</v>
      </c>
      <c r="J243" s="83"/>
      <c r="K243" s="84"/>
      <c r="L243" s="85"/>
      <c r="M243" s="84"/>
      <c r="N243" s="86"/>
    </row>
    <row r="244" spans="1:14" x14ac:dyDescent="0.25">
      <c r="A244" s="73"/>
      <c r="B244" s="66" t="s">
        <v>2896</v>
      </c>
      <c r="C244" s="63"/>
      <c r="D244" s="64"/>
      <c r="E244" s="64"/>
      <c r="F244" s="64"/>
      <c r="G244" s="64"/>
      <c r="H244" s="64"/>
      <c r="I244" s="76"/>
      <c r="J244" s="83"/>
      <c r="K244" s="84"/>
      <c r="L244" s="85"/>
      <c r="M244" s="84"/>
      <c r="N244" s="86"/>
    </row>
    <row r="245" spans="1:14" x14ac:dyDescent="0.25">
      <c r="A245" s="73"/>
      <c r="B245" s="62" t="s">
        <v>2810</v>
      </c>
      <c r="C245" s="63"/>
      <c r="D245" s="64">
        <v>2</v>
      </c>
      <c r="E245" s="64">
        <v>-0.5</v>
      </c>
      <c r="F245" s="64">
        <v>0.5</v>
      </c>
      <c r="G245" s="64">
        <v>0.1</v>
      </c>
      <c r="H245" s="64"/>
      <c r="I245" s="76">
        <f t="shared" si="11"/>
        <v>-0.05</v>
      </c>
      <c r="J245" s="83"/>
      <c r="K245" s="84"/>
      <c r="L245" s="85"/>
      <c r="M245" s="84"/>
      <c r="N245" s="86"/>
    </row>
    <row r="246" spans="1:14" x14ac:dyDescent="0.25">
      <c r="A246" s="73"/>
      <c r="B246" s="62" t="s">
        <v>2811</v>
      </c>
      <c r="C246" s="63"/>
      <c r="D246" s="64">
        <v>2</v>
      </c>
      <c r="E246" s="64">
        <v>-0.6</v>
      </c>
      <c r="F246" s="64">
        <v>2.9</v>
      </c>
      <c r="G246" s="64">
        <v>0.1</v>
      </c>
      <c r="H246" s="64"/>
      <c r="I246" s="76">
        <f t="shared" si="11"/>
        <v>-0.34799999999999998</v>
      </c>
      <c r="J246" s="83"/>
      <c r="K246" s="84"/>
      <c r="L246" s="85"/>
      <c r="M246" s="84"/>
      <c r="N246" s="86"/>
    </row>
    <row r="247" spans="1:14" x14ac:dyDescent="0.25">
      <c r="A247" s="73"/>
      <c r="B247" s="66" t="s">
        <v>2828</v>
      </c>
      <c r="C247" s="63"/>
      <c r="D247" s="64"/>
      <c r="E247" s="64"/>
      <c r="F247" s="64"/>
      <c r="G247" s="64"/>
      <c r="H247" s="64"/>
      <c r="I247" s="76"/>
      <c r="J247" s="83"/>
      <c r="K247" s="84"/>
      <c r="L247" s="85"/>
      <c r="M247" s="84"/>
      <c r="N247" s="86"/>
    </row>
    <row r="248" spans="1:14" x14ac:dyDescent="0.25">
      <c r="A248" s="73"/>
      <c r="B248" s="62" t="s">
        <v>2866</v>
      </c>
      <c r="C248" s="63"/>
      <c r="D248" s="64"/>
      <c r="E248" s="64">
        <v>-9.3000000000000007</v>
      </c>
      <c r="F248" s="64">
        <v>0.4</v>
      </c>
      <c r="G248" s="64">
        <v>0.1</v>
      </c>
      <c r="H248" s="64"/>
      <c r="I248" s="76">
        <f t="shared" si="11"/>
        <v>-0.372</v>
      </c>
      <c r="J248" s="83"/>
      <c r="K248" s="84"/>
      <c r="L248" s="85"/>
      <c r="M248" s="84"/>
      <c r="N248" s="86"/>
    </row>
    <row r="249" spans="1:14" x14ac:dyDescent="0.25">
      <c r="A249" s="73"/>
      <c r="B249" s="62" t="s">
        <v>2867</v>
      </c>
      <c r="C249" s="63"/>
      <c r="D249" s="64"/>
      <c r="E249" s="64">
        <v>-5.4</v>
      </c>
      <c r="F249" s="64">
        <v>0.4</v>
      </c>
      <c r="G249" s="64">
        <v>0.1</v>
      </c>
      <c r="H249" s="64"/>
      <c r="I249" s="76">
        <f t="shared" si="11"/>
        <v>-0.216</v>
      </c>
      <c r="J249" s="83"/>
      <c r="K249" s="84"/>
      <c r="L249" s="85"/>
      <c r="M249" s="84"/>
      <c r="N249" s="86"/>
    </row>
    <row r="250" spans="1:14" x14ac:dyDescent="0.25">
      <c r="A250" s="73"/>
      <c r="B250" s="62" t="s">
        <v>2868</v>
      </c>
      <c r="C250" s="63"/>
      <c r="D250" s="64"/>
      <c r="E250" s="64">
        <v>-16.899999999999999</v>
      </c>
      <c r="F250" s="64">
        <v>0.4</v>
      </c>
      <c r="G250" s="64">
        <v>0.1</v>
      </c>
      <c r="H250" s="64"/>
      <c r="I250" s="76">
        <f t="shared" si="11"/>
        <v>-0.67600000000000005</v>
      </c>
      <c r="J250" s="83"/>
      <c r="K250" s="84"/>
      <c r="L250" s="85"/>
      <c r="M250" s="84"/>
      <c r="N250" s="86"/>
    </row>
    <row r="251" spans="1:14" x14ac:dyDescent="0.25">
      <c r="A251" s="73"/>
      <c r="B251" s="62" t="s">
        <v>2869</v>
      </c>
      <c r="C251" s="63"/>
      <c r="D251" s="64"/>
      <c r="E251" s="64">
        <v>-7.6</v>
      </c>
      <c r="F251" s="64">
        <v>0.4</v>
      </c>
      <c r="G251" s="64">
        <v>0.1</v>
      </c>
      <c r="H251" s="64"/>
      <c r="I251" s="76">
        <f t="shared" si="11"/>
        <v>-0.30399999999999999</v>
      </c>
      <c r="J251" s="83"/>
      <c r="K251" s="84"/>
      <c r="L251" s="85"/>
      <c r="M251" s="84"/>
      <c r="N251" s="86"/>
    </row>
    <row r="252" spans="1:14" x14ac:dyDescent="0.25">
      <c r="A252" s="73"/>
      <c r="B252" s="62" t="s">
        <v>2870</v>
      </c>
      <c r="C252" s="63"/>
      <c r="D252" s="64"/>
      <c r="E252" s="64">
        <v>-13.7</v>
      </c>
      <c r="F252" s="64">
        <v>0.4</v>
      </c>
      <c r="G252" s="64">
        <v>0.1</v>
      </c>
      <c r="H252" s="64"/>
      <c r="I252" s="76">
        <f t="shared" si="11"/>
        <v>-0.54800000000000004</v>
      </c>
      <c r="J252" s="83"/>
      <c r="K252" s="84"/>
      <c r="L252" s="85"/>
      <c r="M252" s="84"/>
      <c r="N252" s="86"/>
    </row>
    <row r="253" spans="1:14" x14ac:dyDescent="0.25">
      <c r="A253" s="73"/>
      <c r="B253" s="62" t="s">
        <v>2871</v>
      </c>
      <c r="C253" s="63"/>
      <c r="D253" s="64"/>
      <c r="E253" s="64">
        <v>-4.4000000000000004</v>
      </c>
      <c r="F253" s="64">
        <v>0.4</v>
      </c>
      <c r="G253" s="64">
        <v>0.1</v>
      </c>
      <c r="H253" s="64"/>
      <c r="I253" s="76">
        <f t="shared" si="11"/>
        <v>-0.17599999999999999</v>
      </c>
      <c r="J253" s="83"/>
      <c r="K253" s="84"/>
      <c r="L253" s="85"/>
      <c r="M253" s="84"/>
      <c r="N253" s="86"/>
    </row>
    <row r="254" spans="1:14" x14ac:dyDescent="0.25">
      <c r="A254" s="73"/>
      <c r="B254" s="62" t="s">
        <v>2874</v>
      </c>
      <c r="C254" s="63"/>
      <c r="D254" s="64"/>
      <c r="E254" s="64">
        <v>-3.5</v>
      </c>
      <c r="F254" s="64">
        <v>0.4</v>
      </c>
      <c r="G254" s="64">
        <v>0.1</v>
      </c>
      <c r="H254" s="64"/>
      <c r="I254" s="76">
        <f t="shared" si="11"/>
        <v>-0.14000000000000001</v>
      </c>
      <c r="J254" s="83"/>
      <c r="K254" s="84"/>
      <c r="L254" s="85"/>
      <c r="M254" s="84"/>
      <c r="N254" s="86"/>
    </row>
    <row r="255" spans="1:14" x14ac:dyDescent="0.25">
      <c r="A255" s="73"/>
      <c r="B255" s="62" t="s">
        <v>2875</v>
      </c>
      <c r="C255" s="63"/>
      <c r="D255" s="64"/>
      <c r="E255" s="64">
        <v>-2</v>
      </c>
      <c r="F255" s="64">
        <v>0.4</v>
      </c>
      <c r="G255" s="64">
        <v>0.1</v>
      </c>
      <c r="H255" s="64"/>
      <c r="I255" s="76">
        <f t="shared" si="11"/>
        <v>-0.08</v>
      </c>
      <c r="J255" s="83"/>
      <c r="K255" s="84"/>
      <c r="L255" s="85"/>
      <c r="M255" s="84"/>
      <c r="N255" s="86"/>
    </row>
    <row r="256" spans="1:14" x14ac:dyDescent="0.25">
      <c r="A256" s="73"/>
      <c r="B256" s="62" t="s">
        <v>2877</v>
      </c>
      <c r="C256" s="63"/>
      <c r="D256" s="64"/>
      <c r="E256" s="64">
        <v>-10.3</v>
      </c>
      <c r="F256" s="64">
        <v>0.4</v>
      </c>
      <c r="G256" s="64">
        <v>0.1</v>
      </c>
      <c r="H256" s="64"/>
      <c r="I256" s="76">
        <f t="shared" si="11"/>
        <v>-0.41199999999999998</v>
      </c>
      <c r="J256" s="83"/>
      <c r="K256" s="84"/>
      <c r="L256" s="85"/>
      <c r="M256" s="84"/>
      <c r="N256" s="86"/>
    </row>
    <row r="257" spans="1:14" x14ac:dyDescent="0.25">
      <c r="A257" s="73"/>
      <c r="B257" s="62" t="s">
        <v>2878</v>
      </c>
      <c r="C257" s="63"/>
      <c r="D257" s="64"/>
      <c r="E257" s="64">
        <v>-11.8</v>
      </c>
      <c r="F257" s="64">
        <v>0.4</v>
      </c>
      <c r="G257" s="64">
        <v>0.1</v>
      </c>
      <c r="H257" s="64"/>
      <c r="I257" s="76">
        <f t="shared" si="11"/>
        <v>-0.47199999999999998</v>
      </c>
      <c r="J257" s="83"/>
      <c r="K257" s="84"/>
      <c r="L257" s="85"/>
      <c r="M257" s="84"/>
      <c r="N257" s="86"/>
    </row>
    <row r="258" spans="1:14" x14ac:dyDescent="0.25">
      <c r="A258" s="73"/>
      <c r="B258" s="62" t="s">
        <v>2879</v>
      </c>
      <c r="C258" s="63"/>
      <c r="D258" s="64"/>
      <c r="E258" s="64">
        <v>-8.6999999999999993</v>
      </c>
      <c r="F258" s="64">
        <v>0.4</v>
      </c>
      <c r="G258" s="64">
        <v>0.1</v>
      </c>
      <c r="H258" s="64"/>
      <c r="I258" s="76">
        <f t="shared" si="11"/>
        <v>-0.34799999999999998</v>
      </c>
      <c r="J258" s="83"/>
      <c r="K258" s="84"/>
      <c r="L258" s="85"/>
      <c r="M258" s="84"/>
      <c r="N258" s="86"/>
    </row>
    <row r="259" spans="1:14" x14ac:dyDescent="0.25">
      <c r="A259" s="73"/>
      <c r="B259" s="62" t="s">
        <v>2880</v>
      </c>
      <c r="C259" s="63"/>
      <c r="D259" s="64"/>
      <c r="E259" s="64">
        <v>-13</v>
      </c>
      <c r="F259" s="64">
        <v>0.4</v>
      </c>
      <c r="G259" s="64">
        <v>0.1</v>
      </c>
      <c r="H259" s="64"/>
      <c r="I259" s="76">
        <f t="shared" si="11"/>
        <v>-0.52</v>
      </c>
      <c r="J259" s="83"/>
      <c r="K259" s="84"/>
      <c r="L259" s="85"/>
      <c r="M259" s="84"/>
      <c r="N259" s="86"/>
    </row>
    <row r="260" spans="1:14" x14ac:dyDescent="0.25">
      <c r="A260" s="73"/>
      <c r="B260" s="62" t="s">
        <v>2897</v>
      </c>
      <c r="C260" s="63"/>
      <c r="D260" s="64"/>
      <c r="E260" s="64">
        <v>-7.7</v>
      </c>
      <c r="F260" s="64">
        <v>0.4</v>
      </c>
      <c r="G260" s="64">
        <v>0.1</v>
      </c>
      <c r="H260" s="64"/>
      <c r="I260" s="76">
        <f t="shared" si="11"/>
        <v>-0.308</v>
      </c>
      <c r="J260" s="83"/>
      <c r="K260" s="84"/>
      <c r="L260" s="85"/>
      <c r="M260" s="84"/>
      <c r="N260" s="86"/>
    </row>
    <row r="261" spans="1:14" x14ac:dyDescent="0.25">
      <c r="A261" s="73"/>
      <c r="B261" s="62" t="s">
        <v>2882</v>
      </c>
      <c r="C261" s="63"/>
      <c r="D261" s="64"/>
      <c r="E261" s="64">
        <v>-8</v>
      </c>
      <c r="F261" s="64">
        <v>0.4</v>
      </c>
      <c r="G261" s="64">
        <v>0.1</v>
      </c>
      <c r="H261" s="64"/>
      <c r="I261" s="76">
        <f t="shared" si="11"/>
        <v>-0.32</v>
      </c>
      <c r="J261" s="83"/>
      <c r="K261" s="84"/>
      <c r="L261" s="85"/>
      <c r="M261" s="84"/>
      <c r="N261" s="86"/>
    </row>
    <row r="262" spans="1:14" x14ac:dyDescent="0.25">
      <c r="A262" s="73"/>
      <c r="B262" s="62" t="s">
        <v>2884</v>
      </c>
      <c r="C262" s="63"/>
      <c r="D262" s="64">
        <v>2</v>
      </c>
      <c r="E262" s="64">
        <v>-3.1</v>
      </c>
      <c r="F262" s="64">
        <v>0.3</v>
      </c>
      <c r="G262" s="64">
        <v>0.1</v>
      </c>
      <c r="H262" s="64"/>
      <c r="I262" s="76">
        <f t="shared" si="11"/>
        <v>-0.186</v>
      </c>
      <c r="J262" s="83"/>
      <c r="K262" s="84"/>
      <c r="L262" s="85"/>
      <c r="M262" s="84"/>
      <c r="N262" s="86"/>
    </row>
    <row r="263" spans="1:14" x14ac:dyDescent="0.25">
      <c r="A263" s="73"/>
      <c r="B263" s="62" t="s">
        <v>2898</v>
      </c>
      <c r="C263" s="63"/>
      <c r="D263" s="64"/>
      <c r="E263" s="64">
        <v>-7.4</v>
      </c>
      <c r="F263" s="64">
        <v>0.3</v>
      </c>
      <c r="G263" s="64">
        <v>0.1</v>
      </c>
      <c r="H263" s="64"/>
      <c r="I263" s="76">
        <f t="shared" si="11"/>
        <v>-0.222</v>
      </c>
      <c r="J263" s="83"/>
      <c r="K263" s="84"/>
      <c r="L263" s="85"/>
      <c r="M263" s="84"/>
      <c r="N263" s="86"/>
    </row>
    <row r="264" spans="1:14" x14ac:dyDescent="0.25">
      <c r="A264" s="73"/>
      <c r="B264" s="62" t="s">
        <v>2899</v>
      </c>
      <c r="C264" s="63"/>
      <c r="D264" s="64">
        <v>4</v>
      </c>
      <c r="E264" s="64">
        <v>-0.6</v>
      </c>
      <c r="F264" s="64">
        <v>0.4</v>
      </c>
      <c r="G264" s="64">
        <v>0.1</v>
      </c>
      <c r="H264" s="64"/>
      <c r="I264" s="76">
        <f t="shared" si="11"/>
        <v>-9.6000000000000002E-2</v>
      </c>
      <c r="J264" s="83"/>
      <c r="K264" s="84"/>
      <c r="L264" s="85"/>
      <c r="M264" s="84"/>
      <c r="N264" s="86"/>
    </row>
    <row r="265" spans="1:14" x14ac:dyDescent="0.25">
      <c r="A265" s="73"/>
      <c r="B265" s="62" t="s">
        <v>2900</v>
      </c>
      <c r="C265" s="63"/>
      <c r="D265" s="64"/>
      <c r="E265" s="64">
        <v>-2</v>
      </c>
      <c r="F265" s="64">
        <v>2.08</v>
      </c>
      <c r="G265" s="64">
        <v>0.1</v>
      </c>
      <c r="H265" s="64"/>
      <c r="I265" s="76">
        <f t="shared" si="11"/>
        <v>-0.41599999999999998</v>
      </c>
      <c r="J265" s="83"/>
      <c r="K265" s="84"/>
      <c r="L265" s="85"/>
      <c r="M265" s="84"/>
      <c r="N265" s="86"/>
    </row>
    <row r="266" spans="1:14" x14ac:dyDescent="0.25">
      <c r="A266" s="73"/>
      <c r="B266" s="62" t="s">
        <v>2901</v>
      </c>
      <c r="C266" s="63"/>
      <c r="D266" s="64"/>
      <c r="E266" s="64">
        <v>-1</v>
      </c>
      <c r="F266" s="64">
        <v>1</v>
      </c>
      <c r="G266" s="64">
        <v>0.1</v>
      </c>
      <c r="H266" s="64"/>
      <c r="I266" s="76">
        <f t="shared" si="11"/>
        <v>-0.1</v>
      </c>
      <c r="J266" s="83"/>
      <c r="K266" s="84"/>
      <c r="L266" s="85"/>
      <c r="M266" s="84"/>
      <c r="N266" s="86"/>
    </row>
    <row r="267" spans="1:14" x14ac:dyDescent="0.25">
      <c r="A267" s="73"/>
      <c r="B267" s="62" t="s">
        <v>2902</v>
      </c>
      <c r="C267" s="63"/>
      <c r="D267" s="64"/>
      <c r="E267" s="64">
        <v>7.4</v>
      </c>
      <c r="F267" s="64">
        <v>1.1000000000000001</v>
      </c>
      <c r="G267" s="64">
        <v>0.1</v>
      </c>
      <c r="H267" s="64"/>
      <c r="I267" s="76">
        <f t="shared" si="11"/>
        <v>0.81399999999999995</v>
      </c>
      <c r="J267" s="83"/>
      <c r="K267" s="84"/>
      <c r="L267" s="85"/>
      <c r="M267" s="84"/>
      <c r="N267" s="86"/>
    </row>
    <row r="268" spans="1:14" x14ac:dyDescent="0.25">
      <c r="A268" s="73"/>
      <c r="B268" s="62" t="s">
        <v>2903</v>
      </c>
      <c r="C268" s="63"/>
      <c r="D268" s="64">
        <v>4</v>
      </c>
      <c r="E268" s="64">
        <v>1.4</v>
      </c>
      <c r="F268" s="64">
        <v>1.2</v>
      </c>
      <c r="G268" s="64">
        <v>0.1</v>
      </c>
      <c r="H268" s="64"/>
      <c r="I268" s="76">
        <f t="shared" si="11"/>
        <v>0.67200000000000004</v>
      </c>
      <c r="J268" s="83"/>
      <c r="K268" s="84"/>
      <c r="L268" s="85"/>
      <c r="M268" s="84"/>
      <c r="N268" s="86"/>
    </row>
    <row r="269" spans="1:14" x14ac:dyDescent="0.25">
      <c r="A269" s="73"/>
      <c r="B269" s="62" t="s">
        <v>2904</v>
      </c>
      <c r="C269" s="63"/>
      <c r="D269" s="64"/>
      <c r="E269" s="64">
        <v>2.8</v>
      </c>
      <c r="F269" s="64">
        <v>2.88</v>
      </c>
      <c r="G269" s="64">
        <v>0.1</v>
      </c>
      <c r="H269" s="64"/>
      <c r="I269" s="76">
        <f t="shared" si="11"/>
        <v>0.80600000000000005</v>
      </c>
      <c r="J269" s="83"/>
      <c r="K269" s="84"/>
      <c r="L269" s="85"/>
      <c r="M269" s="84"/>
      <c r="N269" s="86"/>
    </row>
    <row r="270" spans="1:14" x14ac:dyDescent="0.25">
      <c r="A270" s="73"/>
      <c r="B270" s="62" t="s">
        <v>2905</v>
      </c>
      <c r="C270" s="63"/>
      <c r="D270" s="64"/>
      <c r="E270" s="64">
        <v>1.6</v>
      </c>
      <c r="F270" s="64">
        <v>1.6</v>
      </c>
      <c r="G270" s="64">
        <v>0.1</v>
      </c>
      <c r="H270" s="64"/>
      <c r="I270" s="76">
        <f t="shared" si="11"/>
        <v>0.25600000000000001</v>
      </c>
      <c r="J270" s="83"/>
      <c r="K270" s="84"/>
      <c r="L270" s="85"/>
      <c r="M270" s="84"/>
      <c r="N270" s="86"/>
    </row>
    <row r="271" spans="1:14" x14ac:dyDescent="0.25">
      <c r="A271" s="74">
        <v>6</v>
      </c>
      <c r="B271" s="59" t="s">
        <v>51</v>
      </c>
      <c r="C271" s="60" t="s">
        <v>52</v>
      </c>
      <c r="D271" s="61"/>
      <c r="E271" s="61"/>
      <c r="F271" s="61"/>
      <c r="G271" s="61"/>
      <c r="H271" s="61"/>
      <c r="I271" s="76">
        <f>SUM(I272:I332)</f>
        <v>875.72999999999968</v>
      </c>
      <c r="J271" s="83" t="e">
        <f>PL03a!#REF!</f>
        <v>#REF!</v>
      </c>
      <c r="K271" s="84">
        <f t="shared" ref="K271" si="12">I271</f>
        <v>875.72999999999968</v>
      </c>
      <c r="L271" s="85"/>
      <c r="M271" s="84">
        <f>K271</f>
        <v>875.72999999999968</v>
      </c>
      <c r="N271" s="86">
        <f>L271+M271</f>
        <v>875.72999999999968</v>
      </c>
    </row>
    <row r="272" spans="1:14" x14ac:dyDescent="0.25">
      <c r="A272" s="73"/>
      <c r="B272" s="66" t="s">
        <v>2885</v>
      </c>
      <c r="C272" s="63"/>
      <c r="D272" s="64"/>
      <c r="E272" s="64"/>
      <c r="F272" s="64"/>
      <c r="G272" s="64"/>
      <c r="H272" s="64"/>
      <c r="I272" s="76"/>
      <c r="J272" s="83"/>
      <c r="K272" s="84"/>
      <c r="L272" s="85"/>
      <c r="M272" s="84"/>
      <c r="N272" s="86"/>
    </row>
    <row r="273" spans="1:14" x14ac:dyDescent="0.25">
      <c r="A273" s="73"/>
      <c r="B273" s="62" t="s">
        <v>2886</v>
      </c>
      <c r="C273" s="63"/>
      <c r="D273" s="64"/>
      <c r="E273" s="64">
        <v>24.7</v>
      </c>
      <c r="F273" s="64">
        <v>53.7</v>
      </c>
      <c r="G273" s="64"/>
      <c r="H273" s="64"/>
      <c r="I273" s="76">
        <f t="shared" si="11"/>
        <v>1326.39</v>
      </c>
      <c r="J273" s="83"/>
      <c r="K273" s="84"/>
      <c r="L273" s="85"/>
      <c r="M273" s="84"/>
      <c r="N273" s="86"/>
    </row>
    <row r="274" spans="1:14" x14ac:dyDescent="0.25">
      <c r="A274" s="73"/>
      <c r="B274" s="62" t="s">
        <v>2887</v>
      </c>
      <c r="C274" s="63"/>
      <c r="D274" s="64"/>
      <c r="E274" s="64">
        <v>2</v>
      </c>
      <c r="F274" s="64">
        <v>6.2</v>
      </c>
      <c r="G274" s="64"/>
      <c r="H274" s="64"/>
      <c r="I274" s="76">
        <f t="shared" si="11"/>
        <v>12.4</v>
      </c>
      <c r="J274" s="83"/>
      <c r="K274" s="84"/>
      <c r="L274" s="85"/>
      <c r="M274" s="84"/>
      <c r="N274" s="86"/>
    </row>
    <row r="275" spans="1:14" x14ac:dyDescent="0.25">
      <c r="A275" s="73"/>
      <c r="B275" s="66" t="s">
        <v>2888</v>
      </c>
      <c r="C275" s="63"/>
      <c r="D275" s="64"/>
      <c r="E275" s="64"/>
      <c r="F275" s="64"/>
      <c r="G275" s="64"/>
      <c r="H275" s="64"/>
      <c r="I275" s="76"/>
      <c r="J275" s="83"/>
      <c r="K275" s="84"/>
      <c r="L275" s="85"/>
      <c r="M275" s="84"/>
      <c r="N275" s="86"/>
    </row>
    <row r="276" spans="1:14" x14ac:dyDescent="0.25">
      <c r="A276" s="73"/>
      <c r="B276" s="66" t="s">
        <v>2809</v>
      </c>
      <c r="C276" s="63"/>
      <c r="D276" s="64"/>
      <c r="E276" s="64"/>
      <c r="F276" s="64"/>
      <c r="G276" s="64"/>
      <c r="H276" s="64"/>
      <c r="I276" s="76"/>
      <c r="J276" s="83"/>
      <c r="K276" s="84"/>
      <c r="L276" s="85"/>
      <c r="M276" s="84"/>
      <c r="N276" s="86"/>
    </row>
    <row r="277" spans="1:14" x14ac:dyDescent="0.25">
      <c r="A277" s="73"/>
      <c r="B277" s="66" t="s">
        <v>2889</v>
      </c>
      <c r="C277" s="63"/>
      <c r="D277" s="64"/>
      <c r="E277" s="64"/>
      <c r="F277" s="64"/>
      <c r="G277" s="64"/>
      <c r="H277" s="64"/>
      <c r="I277" s="76"/>
      <c r="J277" s="83"/>
      <c r="K277" s="84"/>
      <c r="L277" s="85"/>
      <c r="M277" s="84"/>
      <c r="N277" s="86"/>
    </row>
    <row r="278" spans="1:14" x14ac:dyDescent="0.25">
      <c r="A278" s="73"/>
      <c r="B278" s="62" t="s">
        <v>2810</v>
      </c>
      <c r="C278" s="63"/>
      <c r="D278" s="64"/>
      <c r="E278" s="64">
        <v>-0.4</v>
      </c>
      <c r="F278" s="64">
        <v>0.4</v>
      </c>
      <c r="G278" s="64"/>
      <c r="H278" s="64"/>
      <c r="I278" s="76">
        <f t="shared" si="11"/>
        <v>-0.16</v>
      </c>
      <c r="J278" s="83"/>
      <c r="K278" s="84"/>
      <c r="L278" s="85"/>
      <c r="M278" s="84"/>
      <c r="N278" s="86"/>
    </row>
    <row r="279" spans="1:14" x14ac:dyDescent="0.25">
      <c r="A279" s="73"/>
      <c r="B279" s="62" t="s">
        <v>2816</v>
      </c>
      <c r="C279" s="63"/>
      <c r="D279" s="64">
        <v>2</v>
      </c>
      <c r="E279" s="64">
        <v>-1.3</v>
      </c>
      <c r="F279" s="64">
        <v>6.5</v>
      </c>
      <c r="G279" s="64"/>
      <c r="H279" s="64"/>
      <c r="I279" s="76">
        <f t="shared" si="11"/>
        <v>-16.899999999999999</v>
      </c>
      <c r="J279" s="83"/>
      <c r="K279" s="84"/>
      <c r="L279" s="85"/>
      <c r="M279" s="84"/>
      <c r="N279" s="86"/>
    </row>
    <row r="280" spans="1:14" x14ac:dyDescent="0.25">
      <c r="A280" s="73"/>
      <c r="B280" s="62" t="s">
        <v>2812</v>
      </c>
      <c r="C280" s="63"/>
      <c r="D280" s="64"/>
      <c r="E280" s="64">
        <v>-1.3</v>
      </c>
      <c r="F280" s="64">
        <v>1.9</v>
      </c>
      <c r="G280" s="64"/>
      <c r="H280" s="64"/>
      <c r="I280" s="76">
        <f t="shared" si="11"/>
        <v>-2.4700000000000002</v>
      </c>
      <c r="J280" s="83"/>
      <c r="K280" s="84"/>
      <c r="L280" s="85"/>
      <c r="M280" s="84"/>
      <c r="N280" s="86"/>
    </row>
    <row r="281" spans="1:14" x14ac:dyDescent="0.25">
      <c r="A281" s="73"/>
      <c r="B281" s="66" t="s">
        <v>2890</v>
      </c>
      <c r="C281" s="63"/>
      <c r="D281" s="64"/>
      <c r="E281" s="64"/>
      <c r="F281" s="64"/>
      <c r="G281" s="64"/>
      <c r="H281" s="64"/>
      <c r="I281" s="76"/>
      <c r="J281" s="83"/>
      <c r="K281" s="84"/>
      <c r="L281" s="85"/>
      <c r="M281" s="84"/>
      <c r="N281" s="86"/>
    </row>
    <row r="282" spans="1:14" x14ac:dyDescent="0.25">
      <c r="A282" s="73"/>
      <c r="B282" s="62" t="s">
        <v>2810</v>
      </c>
      <c r="C282" s="63"/>
      <c r="D282" s="64"/>
      <c r="E282" s="64">
        <v>-0.4</v>
      </c>
      <c r="F282" s="64">
        <v>1.1000000000000001</v>
      </c>
      <c r="G282" s="64"/>
      <c r="H282" s="64"/>
      <c r="I282" s="76">
        <f t="shared" si="11"/>
        <v>-0.44</v>
      </c>
      <c r="J282" s="83"/>
      <c r="K282" s="84"/>
      <c r="L282" s="85"/>
      <c r="M282" s="84"/>
      <c r="N282" s="86"/>
    </row>
    <row r="283" spans="1:14" x14ac:dyDescent="0.25">
      <c r="A283" s="73"/>
      <c r="B283" s="62" t="s">
        <v>2817</v>
      </c>
      <c r="C283" s="63"/>
      <c r="D283" s="64"/>
      <c r="E283" s="64">
        <v>-4.3</v>
      </c>
      <c r="F283" s="64">
        <v>4.7</v>
      </c>
      <c r="G283" s="64"/>
      <c r="H283" s="64"/>
      <c r="I283" s="76">
        <f t="shared" si="11"/>
        <v>-20.21</v>
      </c>
      <c r="J283" s="83"/>
      <c r="K283" s="84"/>
      <c r="L283" s="85"/>
      <c r="M283" s="84"/>
      <c r="N283" s="86"/>
    </row>
    <row r="284" spans="1:14" x14ac:dyDescent="0.25">
      <c r="A284" s="73"/>
      <c r="B284" s="62" t="s">
        <v>2821</v>
      </c>
      <c r="C284" s="63"/>
      <c r="D284" s="64"/>
      <c r="E284" s="64">
        <v>-4.3</v>
      </c>
      <c r="F284" s="64">
        <v>6.5</v>
      </c>
      <c r="G284" s="64"/>
      <c r="H284" s="64"/>
      <c r="I284" s="76">
        <f t="shared" si="11"/>
        <v>-27.95</v>
      </c>
      <c r="J284" s="83"/>
      <c r="K284" s="84"/>
      <c r="L284" s="85"/>
      <c r="M284" s="84"/>
      <c r="N284" s="86"/>
    </row>
    <row r="285" spans="1:14" x14ac:dyDescent="0.25">
      <c r="A285" s="73"/>
      <c r="B285" s="62" t="s">
        <v>2814</v>
      </c>
      <c r="C285" s="63"/>
      <c r="D285" s="64"/>
      <c r="E285" s="64">
        <v>-2.8</v>
      </c>
      <c r="F285" s="64">
        <v>2.9</v>
      </c>
      <c r="G285" s="64"/>
      <c r="H285" s="64"/>
      <c r="I285" s="76">
        <f t="shared" si="11"/>
        <v>-8.1199999999999992</v>
      </c>
      <c r="J285" s="83"/>
      <c r="K285" s="84"/>
      <c r="L285" s="85"/>
      <c r="M285" s="84"/>
      <c r="N285" s="86"/>
    </row>
    <row r="286" spans="1:14" x14ac:dyDescent="0.25">
      <c r="A286" s="73"/>
      <c r="B286" s="66" t="s">
        <v>2891</v>
      </c>
      <c r="C286" s="63"/>
      <c r="D286" s="64"/>
      <c r="E286" s="64"/>
      <c r="F286" s="64"/>
      <c r="G286" s="64"/>
      <c r="H286" s="64"/>
      <c r="I286" s="76"/>
      <c r="J286" s="83"/>
      <c r="K286" s="84"/>
      <c r="L286" s="85"/>
      <c r="M286" s="84"/>
      <c r="N286" s="86"/>
    </row>
    <row r="287" spans="1:14" x14ac:dyDescent="0.25">
      <c r="A287" s="73"/>
      <c r="B287" s="62" t="s">
        <v>2810</v>
      </c>
      <c r="C287" s="63"/>
      <c r="D287" s="64"/>
      <c r="E287" s="64">
        <v>-0.4</v>
      </c>
      <c r="F287" s="64">
        <v>1.1000000000000001</v>
      </c>
      <c r="G287" s="64"/>
      <c r="H287" s="64"/>
      <c r="I287" s="76">
        <f t="shared" si="11"/>
        <v>-0.44</v>
      </c>
      <c r="J287" s="83"/>
      <c r="K287" s="84"/>
      <c r="L287" s="85"/>
      <c r="M287" s="84"/>
      <c r="N287" s="86"/>
    </row>
    <row r="288" spans="1:14" x14ac:dyDescent="0.25">
      <c r="A288" s="73"/>
      <c r="B288" s="62" t="s">
        <v>2817</v>
      </c>
      <c r="C288" s="63"/>
      <c r="D288" s="64"/>
      <c r="E288" s="64">
        <v>-4.3</v>
      </c>
      <c r="F288" s="64">
        <v>4.7</v>
      </c>
      <c r="G288" s="64"/>
      <c r="H288" s="64"/>
      <c r="I288" s="76">
        <f t="shared" si="11"/>
        <v>-20.21</v>
      </c>
      <c r="J288" s="83"/>
      <c r="K288" s="84"/>
      <c r="L288" s="85"/>
      <c r="M288" s="84"/>
      <c r="N288" s="86"/>
    </row>
    <row r="289" spans="1:14" x14ac:dyDescent="0.25">
      <c r="A289" s="73"/>
      <c r="B289" s="62" t="s">
        <v>2816</v>
      </c>
      <c r="C289" s="63"/>
      <c r="D289" s="64"/>
      <c r="E289" s="64">
        <v>-2.9</v>
      </c>
      <c r="F289" s="64">
        <v>6.5</v>
      </c>
      <c r="G289" s="64"/>
      <c r="H289" s="64"/>
      <c r="I289" s="76">
        <f t="shared" si="11"/>
        <v>-18.850000000000001</v>
      </c>
      <c r="J289" s="83"/>
      <c r="K289" s="84"/>
      <c r="L289" s="85"/>
      <c r="M289" s="84"/>
      <c r="N289" s="86"/>
    </row>
    <row r="290" spans="1:14" x14ac:dyDescent="0.25">
      <c r="A290" s="73"/>
      <c r="B290" s="62" t="s">
        <v>2812</v>
      </c>
      <c r="C290" s="63"/>
      <c r="D290" s="64"/>
      <c r="E290" s="64">
        <v>-1.3</v>
      </c>
      <c r="F290" s="64">
        <v>2.9</v>
      </c>
      <c r="G290" s="64"/>
      <c r="H290" s="64"/>
      <c r="I290" s="76">
        <f t="shared" si="11"/>
        <v>-3.77</v>
      </c>
      <c r="J290" s="83"/>
      <c r="K290" s="84"/>
      <c r="L290" s="85"/>
      <c r="M290" s="84"/>
      <c r="N290" s="86"/>
    </row>
    <row r="291" spans="1:14" x14ac:dyDescent="0.25">
      <c r="A291" s="73"/>
      <c r="B291" s="66" t="s">
        <v>2892</v>
      </c>
      <c r="C291" s="63"/>
      <c r="D291" s="64"/>
      <c r="E291" s="64"/>
      <c r="F291" s="64"/>
      <c r="G291" s="64"/>
      <c r="H291" s="64"/>
      <c r="I291" s="76"/>
      <c r="J291" s="83"/>
      <c r="K291" s="84"/>
      <c r="L291" s="85"/>
      <c r="M291" s="84"/>
      <c r="N291" s="86"/>
    </row>
    <row r="292" spans="1:14" x14ac:dyDescent="0.25">
      <c r="A292" s="73"/>
      <c r="B292" s="62" t="s">
        <v>2815</v>
      </c>
      <c r="C292" s="63"/>
      <c r="D292" s="64"/>
      <c r="E292" s="64">
        <v>-1.7</v>
      </c>
      <c r="F292" s="64">
        <v>4.7</v>
      </c>
      <c r="G292" s="64"/>
      <c r="H292" s="64"/>
      <c r="I292" s="76">
        <f t="shared" si="11"/>
        <v>-7.99</v>
      </c>
      <c r="J292" s="83"/>
      <c r="K292" s="84"/>
      <c r="L292" s="85"/>
      <c r="M292" s="84"/>
      <c r="N292" s="86"/>
    </row>
    <row r="293" spans="1:14" x14ac:dyDescent="0.25">
      <c r="A293" s="73"/>
      <c r="B293" s="62" t="s">
        <v>2819</v>
      </c>
      <c r="C293" s="63"/>
      <c r="D293" s="64"/>
      <c r="E293" s="64">
        <v>-4.7</v>
      </c>
      <c r="F293" s="64">
        <v>4.7</v>
      </c>
      <c r="G293" s="64"/>
      <c r="H293" s="64"/>
      <c r="I293" s="76">
        <f t="shared" si="11"/>
        <v>-22.09</v>
      </c>
      <c r="J293" s="83"/>
      <c r="K293" s="84"/>
      <c r="L293" s="85"/>
      <c r="M293" s="84"/>
      <c r="N293" s="86"/>
    </row>
    <row r="294" spans="1:14" x14ac:dyDescent="0.25">
      <c r="A294" s="73"/>
      <c r="B294" s="62" t="s">
        <v>2827</v>
      </c>
      <c r="C294" s="63"/>
      <c r="D294" s="64"/>
      <c r="E294" s="64">
        <v>-1.8</v>
      </c>
      <c r="F294" s="64">
        <v>4.7</v>
      </c>
      <c r="G294" s="64"/>
      <c r="H294" s="64"/>
      <c r="I294" s="76">
        <f t="shared" si="11"/>
        <v>-8.4600000000000009</v>
      </c>
      <c r="J294" s="83"/>
      <c r="K294" s="84"/>
      <c r="L294" s="85"/>
      <c r="M294" s="84"/>
      <c r="N294" s="86"/>
    </row>
    <row r="295" spans="1:14" x14ac:dyDescent="0.25">
      <c r="A295" s="73"/>
      <c r="B295" s="62"/>
      <c r="C295" s="63"/>
      <c r="D295" s="64"/>
      <c r="E295" s="64">
        <v>-6.5</v>
      </c>
      <c r="F295" s="64">
        <v>6.5</v>
      </c>
      <c r="G295" s="64"/>
      <c r="H295" s="64"/>
      <c r="I295" s="76">
        <f t="shared" si="11"/>
        <v>-42.25</v>
      </c>
      <c r="J295" s="83"/>
      <c r="K295" s="84"/>
      <c r="L295" s="85"/>
      <c r="M295" s="84"/>
      <c r="N295" s="86"/>
    </row>
    <row r="296" spans="1:14" x14ac:dyDescent="0.25">
      <c r="A296" s="73"/>
      <c r="B296" s="62"/>
      <c r="C296" s="63"/>
      <c r="D296" s="64"/>
      <c r="E296" s="64">
        <v>-1.35</v>
      </c>
      <c r="F296" s="64">
        <v>4.7</v>
      </c>
      <c r="G296" s="64"/>
      <c r="H296" s="64"/>
      <c r="I296" s="76">
        <f t="shared" si="11"/>
        <v>-6.3449999999999998</v>
      </c>
      <c r="J296" s="83"/>
      <c r="K296" s="84"/>
      <c r="L296" s="85"/>
      <c r="M296" s="84"/>
      <c r="N296" s="86"/>
    </row>
    <row r="297" spans="1:14" x14ac:dyDescent="0.25">
      <c r="A297" s="73"/>
      <c r="B297" s="66" t="s">
        <v>2893</v>
      </c>
      <c r="C297" s="63"/>
      <c r="D297" s="64"/>
      <c r="E297" s="64"/>
      <c r="F297" s="64"/>
      <c r="G297" s="64"/>
      <c r="H297" s="64"/>
      <c r="I297" s="76"/>
      <c r="J297" s="83"/>
      <c r="K297" s="84"/>
      <c r="L297" s="85"/>
      <c r="M297" s="84"/>
      <c r="N297" s="86"/>
    </row>
    <row r="298" spans="1:14" x14ac:dyDescent="0.25">
      <c r="A298" s="73"/>
      <c r="B298" s="62" t="s">
        <v>2813</v>
      </c>
      <c r="C298" s="63"/>
      <c r="D298" s="64"/>
      <c r="E298" s="64">
        <v>-2.2000000000000002</v>
      </c>
      <c r="F298" s="64">
        <v>2.9</v>
      </c>
      <c r="G298" s="64"/>
      <c r="H298" s="64"/>
      <c r="I298" s="76">
        <f t="shared" si="11"/>
        <v>-6.38</v>
      </c>
      <c r="J298" s="83"/>
      <c r="K298" s="84"/>
      <c r="L298" s="85"/>
      <c r="M298" s="84"/>
      <c r="N298" s="86"/>
    </row>
    <row r="299" spans="1:14" x14ac:dyDescent="0.25">
      <c r="A299" s="73"/>
      <c r="B299" s="62" t="s">
        <v>2823</v>
      </c>
      <c r="C299" s="63"/>
      <c r="D299" s="64"/>
      <c r="E299" s="64">
        <v>-4.3</v>
      </c>
      <c r="F299" s="64">
        <v>6.5</v>
      </c>
      <c r="G299" s="64"/>
      <c r="H299" s="64"/>
      <c r="I299" s="76">
        <f t="shared" si="11"/>
        <v>-27.95</v>
      </c>
      <c r="J299" s="83"/>
      <c r="K299" s="84"/>
      <c r="L299" s="85"/>
      <c r="M299" s="84"/>
      <c r="N299" s="86"/>
    </row>
    <row r="300" spans="1:14" x14ac:dyDescent="0.25">
      <c r="A300" s="73"/>
      <c r="B300" s="62" t="s">
        <v>2819</v>
      </c>
      <c r="C300" s="63"/>
      <c r="D300" s="64"/>
      <c r="E300" s="64">
        <v>-4.7</v>
      </c>
      <c r="F300" s="64">
        <v>4.7</v>
      </c>
      <c r="G300" s="64"/>
      <c r="H300" s="64"/>
      <c r="I300" s="76">
        <f t="shared" si="11"/>
        <v>-22.09</v>
      </c>
      <c r="J300" s="83"/>
      <c r="K300" s="84"/>
      <c r="L300" s="85"/>
      <c r="M300" s="84"/>
      <c r="N300" s="86"/>
    </row>
    <row r="301" spans="1:14" x14ac:dyDescent="0.25">
      <c r="A301" s="73"/>
      <c r="B301" s="62" t="s">
        <v>2811</v>
      </c>
      <c r="C301" s="63"/>
      <c r="D301" s="64"/>
      <c r="E301" s="64">
        <v>-0.5</v>
      </c>
      <c r="F301" s="64">
        <v>2.9</v>
      </c>
      <c r="G301" s="64"/>
      <c r="H301" s="64"/>
      <c r="I301" s="76">
        <f t="shared" si="11"/>
        <v>-1.45</v>
      </c>
      <c r="J301" s="83"/>
      <c r="K301" s="84"/>
      <c r="L301" s="85"/>
      <c r="M301" s="84"/>
      <c r="N301" s="86"/>
    </row>
    <row r="302" spans="1:14" x14ac:dyDescent="0.25">
      <c r="A302" s="73"/>
      <c r="B302" s="66" t="s">
        <v>2894</v>
      </c>
      <c r="C302" s="63"/>
      <c r="D302" s="64"/>
      <c r="E302" s="64"/>
      <c r="F302" s="64"/>
      <c r="G302" s="64"/>
      <c r="H302" s="64"/>
      <c r="I302" s="76"/>
      <c r="J302" s="83"/>
      <c r="K302" s="84"/>
      <c r="L302" s="85"/>
      <c r="M302" s="84"/>
      <c r="N302" s="86"/>
    </row>
    <row r="303" spans="1:14" x14ac:dyDescent="0.25">
      <c r="A303" s="73"/>
      <c r="B303" s="62" t="s">
        <v>2826</v>
      </c>
      <c r="C303" s="63"/>
      <c r="D303" s="64"/>
      <c r="E303" s="64">
        <v>-4.7</v>
      </c>
      <c r="F303" s="64">
        <v>8.1</v>
      </c>
      <c r="G303" s="64"/>
      <c r="H303" s="64"/>
      <c r="I303" s="76">
        <f t="shared" si="11"/>
        <v>-38.07</v>
      </c>
      <c r="J303" s="83"/>
      <c r="K303" s="84"/>
      <c r="L303" s="85"/>
      <c r="M303" s="84"/>
      <c r="N303" s="86"/>
    </row>
    <row r="304" spans="1:14" x14ac:dyDescent="0.25">
      <c r="A304" s="73"/>
      <c r="B304" s="62"/>
      <c r="C304" s="63"/>
      <c r="D304" s="64"/>
      <c r="E304" s="64">
        <v>-2.9</v>
      </c>
      <c r="F304" s="64">
        <v>1.6</v>
      </c>
      <c r="G304" s="64"/>
      <c r="H304" s="64"/>
      <c r="I304" s="76">
        <f t="shared" ref="I304:I367" si="13">ROUND(PRODUCT(D304:H304),3)</f>
        <v>-4.6399999999999997</v>
      </c>
      <c r="J304" s="83"/>
      <c r="K304" s="84"/>
      <c r="L304" s="85"/>
      <c r="M304" s="84"/>
      <c r="N304" s="86"/>
    </row>
    <row r="305" spans="1:14" x14ac:dyDescent="0.25">
      <c r="A305" s="73"/>
      <c r="B305" s="62" t="s">
        <v>2824</v>
      </c>
      <c r="C305" s="63"/>
      <c r="D305" s="64"/>
      <c r="E305" s="64">
        <v>-4.3</v>
      </c>
      <c r="F305" s="64">
        <v>7.5</v>
      </c>
      <c r="G305" s="64"/>
      <c r="H305" s="64"/>
      <c r="I305" s="76">
        <f t="shared" si="13"/>
        <v>-32.25</v>
      </c>
      <c r="J305" s="83"/>
      <c r="K305" s="84"/>
      <c r="L305" s="85"/>
      <c r="M305" s="84"/>
      <c r="N305" s="86"/>
    </row>
    <row r="306" spans="1:14" x14ac:dyDescent="0.25">
      <c r="A306" s="73"/>
      <c r="B306" s="66" t="s">
        <v>2895</v>
      </c>
      <c r="C306" s="63"/>
      <c r="D306" s="64"/>
      <c r="E306" s="64"/>
      <c r="F306" s="64"/>
      <c r="G306" s="64"/>
      <c r="H306" s="64"/>
      <c r="I306" s="76"/>
      <c r="J306" s="83"/>
      <c r="K306" s="84"/>
      <c r="L306" s="85"/>
      <c r="M306" s="84"/>
      <c r="N306" s="86"/>
    </row>
    <row r="307" spans="1:14" x14ac:dyDescent="0.25">
      <c r="A307" s="73"/>
      <c r="B307" s="62" t="s">
        <v>2825</v>
      </c>
      <c r="C307" s="63"/>
      <c r="D307" s="64"/>
      <c r="E307" s="64">
        <v>-6.45</v>
      </c>
      <c r="F307" s="64">
        <v>4.7</v>
      </c>
      <c r="G307" s="64"/>
      <c r="H307" s="64"/>
      <c r="I307" s="76">
        <f t="shared" si="13"/>
        <v>-30.315000000000001</v>
      </c>
      <c r="J307" s="83"/>
      <c r="K307" s="84"/>
      <c r="L307" s="85"/>
      <c r="M307" s="84"/>
      <c r="N307" s="86"/>
    </row>
    <row r="308" spans="1:14" x14ac:dyDescent="0.25">
      <c r="A308" s="73"/>
      <c r="B308" s="62"/>
      <c r="C308" s="63"/>
      <c r="D308" s="64"/>
      <c r="E308" s="64">
        <v>-3.2</v>
      </c>
      <c r="F308" s="64">
        <v>2.9</v>
      </c>
      <c r="G308" s="64"/>
      <c r="H308" s="64"/>
      <c r="I308" s="76">
        <f t="shared" si="13"/>
        <v>-9.2799999999999994</v>
      </c>
      <c r="J308" s="83"/>
      <c r="K308" s="84"/>
      <c r="L308" s="85"/>
      <c r="M308" s="84"/>
      <c r="N308" s="86"/>
    </row>
    <row r="309" spans="1:14" x14ac:dyDescent="0.25">
      <c r="A309" s="73"/>
      <c r="B309" s="62" t="s">
        <v>2822</v>
      </c>
      <c r="C309" s="63"/>
      <c r="D309" s="64"/>
      <c r="E309" s="64">
        <v>-2.9</v>
      </c>
      <c r="F309" s="64">
        <v>7.2</v>
      </c>
      <c r="G309" s="64"/>
      <c r="H309" s="64"/>
      <c r="I309" s="76">
        <f t="shared" si="13"/>
        <v>-20.88</v>
      </c>
      <c r="J309" s="83"/>
      <c r="K309" s="84"/>
      <c r="L309" s="85"/>
      <c r="M309" s="84"/>
      <c r="N309" s="86"/>
    </row>
    <row r="310" spans="1:14" x14ac:dyDescent="0.25">
      <c r="A310" s="73"/>
      <c r="B310" s="66" t="s">
        <v>2896</v>
      </c>
      <c r="C310" s="63"/>
      <c r="D310" s="64"/>
      <c r="E310" s="64"/>
      <c r="F310" s="64"/>
      <c r="G310" s="64"/>
      <c r="H310" s="64"/>
      <c r="I310" s="76"/>
      <c r="J310" s="83"/>
      <c r="K310" s="84"/>
      <c r="L310" s="85"/>
      <c r="M310" s="84"/>
      <c r="N310" s="86"/>
    </row>
    <row r="311" spans="1:14" x14ac:dyDescent="0.25">
      <c r="A311" s="73"/>
      <c r="B311" s="62" t="s">
        <v>2810</v>
      </c>
      <c r="C311" s="63"/>
      <c r="D311" s="64">
        <v>2</v>
      </c>
      <c r="E311" s="64">
        <v>-0.5</v>
      </c>
      <c r="F311" s="64">
        <v>0.5</v>
      </c>
      <c r="G311" s="64"/>
      <c r="H311" s="64"/>
      <c r="I311" s="76">
        <f t="shared" si="13"/>
        <v>-0.5</v>
      </c>
      <c r="J311" s="83"/>
      <c r="K311" s="84"/>
      <c r="L311" s="85"/>
      <c r="M311" s="84"/>
      <c r="N311" s="86"/>
    </row>
    <row r="312" spans="1:14" x14ac:dyDescent="0.25">
      <c r="A312" s="73"/>
      <c r="B312" s="62" t="s">
        <v>2811</v>
      </c>
      <c r="C312" s="63"/>
      <c r="D312" s="64">
        <v>2</v>
      </c>
      <c r="E312" s="64">
        <v>-0.6</v>
      </c>
      <c r="F312" s="64">
        <v>2.9</v>
      </c>
      <c r="G312" s="64"/>
      <c r="H312" s="64"/>
      <c r="I312" s="76">
        <f t="shared" si="13"/>
        <v>-3.48</v>
      </c>
      <c r="J312" s="83"/>
      <c r="K312" s="84"/>
      <c r="L312" s="85"/>
      <c r="M312" s="84"/>
      <c r="N312" s="86"/>
    </row>
    <row r="313" spans="1:14" x14ac:dyDescent="0.25">
      <c r="A313" s="73"/>
      <c r="B313" s="66" t="s">
        <v>2828</v>
      </c>
      <c r="C313" s="63"/>
      <c r="D313" s="64"/>
      <c r="E313" s="64"/>
      <c r="F313" s="64"/>
      <c r="G313" s="64"/>
      <c r="H313" s="64"/>
      <c r="I313" s="76"/>
      <c r="J313" s="83"/>
      <c r="K313" s="84"/>
      <c r="L313" s="85"/>
      <c r="M313" s="84"/>
      <c r="N313" s="86"/>
    </row>
    <row r="314" spans="1:14" x14ac:dyDescent="0.25">
      <c r="A314" s="73"/>
      <c r="B314" s="62" t="s">
        <v>2866</v>
      </c>
      <c r="C314" s="63"/>
      <c r="D314" s="64"/>
      <c r="E314" s="64">
        <v>-9.3000000000000007</v>
      </c>
      <c r="F314" s="64">
        <v>0.4</v>
      </c>
      <c r="G314" s="64"/>
      <c r="H314" s="64"/>
      <c r="I314" s="76">
        <f t="shared" si="13"/>
        <v>-3.72</v>
      </c>
      <c r="J314" s="83"/>
      <c r="K314" s="84"/>
      <c r="L314" s="85"/>
      <c r="M314" s="84"/>
      <c r="N314" s="86"/>
    </row>
    <row r="315" spans="1:14" x14ac:dyDescent="0.25">
      <c r="A315" s="73"/>
      <c r="B315" s="62" t="s">
        <v>2867</v>
      </c>
      <c r="C315" s="63"/>
      <c r="D315" s="64"/>
      <c r="E315" s="64">
        <v>-5.4</v>
      </c>
      <c r="F315" s="64">
        <v>0.4</v>
      </c>
      <c r="G315" s="64"/>
      <c r="H315" s="64"/>
      <c r="I315" s="76">
        <f t="shared" si="13"/>
        <v>-2.16</v>
      </c>
      <c r="J315" s="83"/>
      <c r="K315" s="84"/>
      <c r="L315" s="85"/>
      <c r="M315" s="84"/>
      <c r="N315" s="86"/>
    </row>
    <row r="316" spans="1:14" x14ac:dyDescent="0.25">
      <c r="A316" s="73"/>
      <c r="B316" s="62" t="s">
        <v>2868</v>
      </c>
      <c r="C316" s="63"/>
      <c r="D316" s="64"/>
      <c r="E316" s="64">
        <v>-16.899999999999999</v>
      </c>
      <c r="F316" s="64">
        <v>0.4</v>
      </c>
      <c r="G316" s="64"/>
      <c r="H316" s="64"/>
      <c r="I316" s="76">
        <f t="shared" si="13"/>
        <v>-6.76</v>
      </c>
      <c r="J316" s="83"/>
      <c r="K316" s="84"/>
      <c r="L316" s="85"/>
      <c r="M316" s="84"/>
      <c r="N316" s="86"/>
    </row>
    <row r="317" spans="1:14" x14ac:dyDescent="0.25">
      <c r="A317" s="73"/>
      <c r="B317" s="62" t="s">
        <v>2869</v>
      </c>
      <c r="C317" s="63"/>
      <c r="D317" s="64"/>
      <c r="E317" s="64">
        <v>-7.6</v>
      </c>
      <c r="F317" s="64">
        <v>0.4</v>
      </c>
      <c r="G317" s="64"/>
      <c r="H317" s="64"/>
      <c r="I317" s="76">
        <f t="shared" si="13"/>
        <v>-3.04</v>
      </c>
      <c r="J317" s="83"/>
      <c r="K317" s="84"/>
      <c r="L317" s="85"/>
      <c r="M317" s="84"/>
      <c r="N317" s="86"/>
    </row>
    <row r="318" spans="1:14" x14ac:dyDescent="0.25">
      <c r="A318" s="73"/>
      <c r="B318" s="62" t="s">
        <v>2870</v>
      </c>
      <c r="C318" s="63"/>
      <c r="D318" s="64"/>
      <c r="E318" s="64">
        <v>-13.7</v>
      </c>
      <c r="F318" s="64">
        <v>0.4</v>
      </c>
      <c r="G318" s="64"/>
      <c r="H318" s="64"/>
      <c r="I318" s="76">
        <f t="shared" si="13"/>
        <v>-5.48</v>
      </c>
      <c r="J318" s="83"/>
      <c r="K318" s="84"/>
      <c r="L318" s="85"/>
      <c r="M318" s="84"/>
      <c r="N318" s="86"/>
    </row>
    <row r="319" spans="1:14" x14ac:dyDescent="0.25">
      <c r="A319" s="73"/>
      <c r="B319" s="62" t="s">
        <v>2871</v>
      </c>
      <c r="C319" s="63"/>
      <c r="D319" s="64"/>
      <c r="E319" s="64">
        <v>-4.4000000000000004</v>
      </c>
      <c r="F319" s="64">
        <v>0.4</v>
      </c>
      <c r="G319" s="64"/>
      <c r="H319" s="64"/>
      <c r="I319" s="76">
        <f t="shared" si="13"/>
        <v>-1.76</v>
      </c>
      <c r="J319" s="83"/>
      <c r="K319" s="84"/>
      <c r="L319" s="85"/>
      <c r="M319" s="84"/>
      <c r="N319" s="86"/>
    </row>
    <row r="320" spans="1:14" x14ac:dyDescent="0.25">
      <c r="A320" s="73"/>
      <c r="B320" s="62" t="s">
        <v>2874</v>
      </c>
      <c r="C320" s="63"/>
      <c r="D320" s="64"/>
      <c r="E320" s="64">
        <v>-3.5</v>
      </c>
      <c r="F320" s="64">
        <v>0.4</v>
      </c>
      <c r="G320" s="64"/>
      <c r="H320" s="64"/>
      <c r="I320" s="76">
        <f t="shared" si="13"/>
        <v>-1.4</v>
      </c>
      <c r="J320" s="83"/>
      <c r="K320" s="84"/>
      <c r="L320" s="85"/>
      <c r="M320" s="84"/>
      <c r="N320" s="86"/>
    </row>
    <row r="321" spans="1:14" x14ac:dyDescent="0.25">
      <c r="A321" s="73"/>
      <c r="B321" s="62" t="s">
        <v>2875</v>
      </c>
      <c r="C321" s="63"/>
      <c r="D321" s="64"/>
      <c r="E321" s="64">
        <v>-2</v>
      </c>
      <c r="F321" s="64">
        <v>0.4</v>
      </c>
      <c r="G321" s="64"/>
      <c r="H321" s="64"/>
      <c r="I321" s="76">
        <f t="shared" si="13"/>
        <v>-0.8</v>
      </c>
      <c r="J321" s="83"/>
      <c r="K321" s="84"/>
      <c r="L321" s="85"/>
      <c r="M321" s="84"/>
      <c r="N321" s="86"/>
    </row>
    <row r="322" spans="1:14" x14ac:dyDescent="0.25">
      <c r="A322" s="73"/>
      <c r="B322" s="62" t="s">
        <v>2877</v>
      </c>
      <c r="C322" s="63"/>
      <c r="D322" s="64"/>
      <c r="E322" s="64">
        <v>-10.3</v>
      </c>
      <c r="F322" s="64">
        <v>0.4</v>
      </c>
      <c r="G322" s="64"/>
      <c r="H322" s="64"/>
      <c r="I322" s="76">
        <f t="shared" si="13"/>
        <v>-4.12</v>
      </c>
      <c r="J322" s="83"/>
      <c r="K322" s="84"/>
      <c r="L322" s="85"/>
      <c r="M322" s="84"/>
      <c r="N322" s="86"/>
    </row>
    <row r="323" spans="1:14" x14ac:dyDescent="0.25">
      <c r="A323" s="73"/>
      <c r="B323" s="62" t="s">
        <v>2878</v>
      </c>
      <c r="C323" s="63"/>
      <c r="D323" s="64"/>
      <c r="E323" s="64">
        <v>-11.8</v>
      </c>
      <c r="F323" s="64">
        <v>0.4</v>
      </c>
      <c r="G323" s="64"/>
      <c r="H323" s="64"/>
      <c r="I323" s="76">
        <f t="shared" si="13"/>
        <v>-4.72</v>
      </c>
      <c r="J323" s="83"/>
      <c r="K323" s="84"/>
      <c r="L323" s="85"/>
      <c r="M323" s="84"/>
      <c r="N323" s="86"/>
    </row>
    <row r="324" spans="1:14" x14ac:dyDescent="0.25">
      <c r="A324" s="73"/>
      <c r="B324" s="62" t="s">
        <v>2879</v>
      </c>
      <c r="C324" s="63"/>
      <c r="D324" s="64"/>
      <c r="E324" s="64">
        <v>-8.6999999999999993</v>
      </c>
      <c r="F324" s="64">
        <v>0.4</v>
      </c>
      <c r="G324" s="64"/>
      <c r="H324" s="64"/>
      <c r="I324" s="76">
        <f t="shared" si="13"/>
        <v>-3.48</v>
      </c>
      <c r="J324" s="83"/>
      <c r="K324" s="84"/>
      <c r="L324" s="85"/>
      <c r="M324" s="84"/>
      <c r="N324" s="86"/>
    </row>
    <row r="325" spans="1:14" x14ac:dyDescent="0.25">
      <c r="A325" s="73"/>
      <c r="B325" s="62" t="s">
        <v>2880</v>
      </c>
      <c r="C325" s="63"/>
      <c r="D325" s="64"/>
      <c r="E325" s="64">
        <v>-13</v>
      </c>
      <c r="F325" s="64">
        <v>0.4</v>
      </c>
      <c r="G325" s="64"/>
      <c r="H325" s="64"/>
      <c r="I325" s="76">
        <f t="shared" si="13"/>
        <v>-5.2</v>
      </c>
      <c r="J325" s="83"/>
      <c r="K325" s="84"/>
      <c r="L325" s="85"/>
      <c r="M325" s="84"/>
      <c r="N325" s="86"/>
    </row>
    <row r="326" spans="1:14" x14ac:dyDescent="0.25">
      <c r="A326" s="73"/>
      <c r="B326" s="62" t="s">
        <v>2897</v>
      </c>
      <c r="C326" s="63"/>
      <c r="D326" s="64"/>
      <c r="E326" s="64">
        <v>-7.7</v>
      </c>
      <c r="F326" s="64">
        <v>0.4</v>
      </c>
      <c r="G326" s="64"/>
      <c r="H326" s="64"/>
      <c r="I326" s="76">
        <f t="shared" si="13"/>
        <v>-3.08</v>
      </c>
      <c r="J326" s="83"/>
      <c r="K326" s="84"/>
      <c r="L326" s="85"/>
      <c r="M326" s="84"/>
      <c r="N326" s="86"/>
    </row>
    <row r="327" spans="1:14" x14ac:dyDescent="0.25">
      <c r="A327" s="73"/>
      <c r="B327" s="62" t="s">
        <v>2882</v>
      </c>
      <c r="C327" s="63"/>
      <c r="D327" s="64"/>
      <c r="E327" s="64">
        <v>-8</v>
      </c>
      <c r="F327" s="64">
        <v>0.4</v>
      </c>
      <c r="G327" s="64"/>
      <c r="H327" s="64"/>
      <c r="I327" s="76">
        <f t="shared" si="13"/>
        <v>-3.2</v>
      </c>
      <c r="J327" s="83"/>
      <c r="K327" s="84"/>
      <c r="L327" s="85"/>
      <c r="M327" s="84"/>
      <c r="N327" s="86"/>
    </row>
    <row r="328" spans="1:14" x14ac:dyDescent="0.25">
      <c r="A328" s="73"/>
      <c r="B328" s="62" t="s">
        <v>2884</v>
      </c>
      <c r="C328" s="63"/>
      <c r="D328" s="64">
        <v>2</v>
      </c>
      <c r="E328" s="64">
        <v>-3.1</v>
      </c>
      <c r="F328" s="64">
        <v>0.3</v>
      </c>
      <c r="G328" s="64"/>
      <c r="H328" s="64"/>
      <c r="I328" s="76">
        <f t="shared" si="13"/>
        <v>-1.86</v>
      </c>
      <c r="J328" s="83"/>
      <c r="K328" s="84"/>
      <c r="L328" s="85"/>
      <c r="M328" s="84"/>
      <c r="N328" s="86"/>
    </row>
    <row r="329" spans="1:14" x14ac:dyDescent="0.25">
      <c r="A329" s="73"/>
      <c r="B329" s="62" t="s">
        <v>2898</v>
      </c>
      <c r="C329" s="63"/>
      <c r="D329" s="64"/>
      <c r="E329" s="64">
        <v>-7.4</v>
      </c>
      <c r="F329" s="64">
        <v>0.3</v>
      </c>
      <c r="G329" s="64"/>
      <c r="H329" s="64"/>
      <c r="I329" s="76">
        <f t="shared" si="13"/>
        <v>-2.2200000000000002</v>
      </c>
      <c r="J329" s="83"/>
      <c r="K329" s="84"/>
      <c r="L329" s="85"/>
      <c r="M329" s="84"/>
      <c r="N329" s="86"/>
    </row>
    <row r="330" spans="1:14" x14ac:dyDescent="0.25">
      <c r="A330" s="73"/>
      <c r="B330" s="62" t="s">
        <v>2899</v>
      </c>
      <c r="C330" s="63"/>
      <c r="D330" s="64">
        <v>4</v>
      </c>
      <c r="E330" s="64">
        <v>-0.6</v>
      </c>
      <c r="F330" s="64">
        <v>0.4</v>
      </c>
      <c r="G330" s="64"/>
      <c r="H330" s="64"/>
      <c r="I330" s="76">
        <f t="shared" si="13"/>
        <v>-0.96</v>
      </c>
      <c r="J330" s="83"/>
      <c r="K330" s="84"/>
      <c r="L330" s="85"/>
      <c r="M330" s="84"/>
      <c r="N330" s="86"/>
    </row>
    <row r="331" spans="1:14" x14ac:dyDescent="0.25">
      <c r="A331" s="73"/>
      <c r="B331" s="62" t="s">
        <v>2900</v>
      </c>
      <c r="C331" s="63"/>
      <c r="D331" s="64"/>
      <c r="E331" s="64">
        <v>-2</v>
      </c>
      <c r="F331" s="64">
        <v>2.08</v>
      </c>
      <c r="G331" s="64"/>
      <c r="H331" s="64"/>
      <c r="I331" s="76">
        <f t="shared" si="13"/>
        <v>-4.16</v>
      </c>
      <c r="J331" s="83"/>
      <c r="K331" s="84"/>
      <c r="L331" s="85"/>
      <c r="M331" s="84"/>
      <c r="N331" s="86"/>
    </row>
    <row r="332" spans="1:14" x14ac:dyDescent="0.25">
      <c r="A332" s="73"/>
      <c r="B332" s="62" t="s">
        <v>2906</v>
      </c>
      <c r="C332" s="63"/>
      <c r="D332" s="64"/>
      <c r="E332" s="64">
        <v>-1</v>
      </c>
      <c r="F332" s="64">
        <v>1</v>
      </c>
      <c r="G332" s="64"/>
      <c r="H332" s="64"/>
      <c r="I332" s="76">
        <f t="shared" si="13"/>
        <v>-1</v>
      </c>
      <c r="J332" s="83"/>
      <c r="K332" s="84"/>
      <c r="L332" s="85"/>
      <c r="M332" s="84"/>
      <c r="N332" s="86"/>
    </row>
    <row r="333" spans="1:14" ht="25.5" x14ac:dyDescent="0.25">
      <c r="A333" s="73">
        <v>7</v>
      </c>
      <c r="B333" s="65" t="s">
        <v>2907</v>
      </c>
      <c r="C333" s="63" t="s">
        <v>52</v>
      </c>
      <c r="D333" s="64"/>
      <c r="E333" s="64"/>
      <c r="F333" s="64"/>
      <c r="G333" s="64"/>
      <c r="H333" s="64"/>
      <c r="I333" s="76">
        <f>I334</f>
        <v>875.73</v>
      </c>
      <c r="J333" s="83" t="e">
        <f>PL03a!#REF!</f>
        <v>#REF!</v>
      </c>
      <c r="K333" s="84">
        <f t="shared" ref="K333" si="14">I333</f>
        <v>875.73</v>
      </c>
      <c r="L333" s="85"/>
      <c r="M333" s="84">
        <f>K333</f>
        <v>875.73</v>
      </c>
      <c r="N333" s="86">
        <f>L333+M333</f>
        <v>875.73</v>
      </c>
    </row>
    <row r="334" spans="1:14" x14ac:dyDescent="0.25">
      <c r="A334" s="73"/>
      <c r="B334" s="62" t="s">
        <v>2908</v>
      </c>
      <c r="C334" s="63"/>
      <c r="D334" s="64"/>
      <c r="E334" s="64">
        <v>875.73</v>
      </c>
      <c r="F334" s="64"/>
      <c r="G334" s="64"/>
      <c r="H334" s="64"/>
      <c r="I334" s="76">
        <f t="shared" si="13"/>
        <v>875.73</v>
      </c>
      <c r="J334" s="83"/>
      <c r="K334" s="84"/>
      <c r="L334" s="85"/>
      <c r="M334" s="84"/>
      <c r="N334" s="86"/>
    </row>
    <row r="335" spans="1:14" ht="38.25" x14ac:dyDescent="0.25">
      <c r="A335" s="73">
        <v>8</v>
      </c>
      <c r="B335" s="65" t="s">
        <v>56</v>
      </c>
      <c r="C335" s="63" t="s">
        <v>37</v>
      </c>
      <c r="D335" s="64"/>
      <c r="E335" s="64"/>
      <c r="F335" s="64"/>
      <c r="G335" s="64"/>
      <c r="H335" s="64"/>
      <c r="I335" s="76">
        <f>I337</f>
        <v>9.0749999999999993</v>
      </c>
      <c r="J335" s="83" t="e">
        <f>PL03a!#REF!</f>
        <v>#REF!</v>
      </c>
      <c r="K335" s="84">
        <f t="shared" ref="K335" si="15">I335</f>
        <v>9.0749999999999993</v>
      </c>
      <c r="L335" s="85"/>
      <c r="M335" s="84">
        <f>K335</f>
        <v>9.0749999999999993</v>
      </c>
      <c r="N335" s="86">
        <f>L335+M335</f>
        <v>9.0749999999999993</v>
      </c>
    </row>
    <row r="336" spans="1:14" x14ac:dyDescent="0.25">
      <c r="A336" s="73"/>
      <c r="B336" s="66" t="s">
        <v>2809</v>
      </c>
      <c r="C336" s="63"/>
      <c r="D336" s="64"/>
      <c r="E336" s="64"/>
      <c r="F336" s="64"/>
      <c r="G336" s="64"/>
      <c r="H336" s="64"/>
      <c r="I336" s="76"/>
      <c r="J336" s="83"/>
      <c r="K336" s="84"/>
      <c r="L336" s="85"/>
      <c r="M336" s="84"/>
      <c r="N336" s="86"/>
    </row>
    <row r="337" spans="1:14" x14ac:dyDescent="0.25">
      <c r="A337" s="73"/>
      <c r="B337" s="62" t="s">
        <v>2810</v>
      </c>
      <c r="C337" s="63"/>
      <c r="D337" s="64">
        <v>5</v>
      </c>
      <c r="E337" s="64">
        <v>1.1000000000000001</v>
      </c>
      <c r="F337" s="64">
        <v>1.1000000000000001</v>
      </c>
      <c r="G337" s="64">
        <v>1.5</v>
      </c>
      <c r="H337" s="64"/>
      <c r="I337" s="76">
        <f t="shared" si="13"/>
        <v>9.0749999999999993</v>
      </c>
      <c r="J337" s="83"/>
      <c r="K337" s="84"/>
      <c r="L337" s="85"/>
      <c r="M337" s="84"/>
      <c r="N337" s="86"/>
    </row>
    <row r="338" spans="1:14" ht="38.25" x14ac:dyDescent="0.25">
      <c r="A338" s="73">
        <v>9</v>
      </c>
      <c r="B338" s="65" t="s">
        <v>58</v>
      </c>
      <c r="C338" s="63" t="s">
        <v>37</v>
      </c>
      <c r="D338" s="64"/>
      <c r="E338" s="64"/>
      <c r="F338" s="64"/>
      <c r="G338" s="64"/>
      <c r="H338" s="64"/>
      <c r="I338" s="76">
        <f>SUM(I339:I363)</f>
        <v>1025.0749999999998</v>
      </c>
      <c r="J338" s="83" t="e">
        <f>PL03a!#REF!</f>
        <v>#REF!</v>
      </c>
      <c r="K338" s="84">
        <f t="shared" ref="K338" si="16">I338</f>
        <v>1025.0749999999998</v>
      </c>
      <c r="L338" s="85"/>
      <c r="M338" s="84">
        <f>K338</f>
        <v>1025.0749999999998</v>
      </c>
      <c r="N338" s="86">
        <f>L338+M338</f>
        <v>1025.0749999999998</v>
      </c>
    </row>
    <row r="339" spans="1:14" x14ac:dyDescent="0.25">
      <c r="A339" s="73"/>
      <c r="B339" s="66" t="s">
        <v>2809</v>
      </c>
      <c r="C339" s="63"/>
      <c r="D339" s="64"/>
      <c r="E339" s="64"/>
      <c r="F339" s="64"/>
      <c r="G339" s="64"/>
      <c r="H339" s="64"/>
      <c r="I339" s="76"/>
      <c r="J339" s="83"/>
      <c r="K339" s="84"/>
      <c r="L339" s="85"/>
      <c r="M339" s="84"/>
      <c r="N339" s="86"/>
    </row>
    <row r="340" spans="1:14" x14ac:dyDescent="0.25">
      <c r="A340" s="73"/>
      <c r="B340" s="62" t="s">
        <v>2811</v>
      </c>
      <c r="C340" s="63"/>
      <c r="D340" s="64">
        <v>3</v>
      </c>
      <c r="E340" s="64">
        <v>1.1000000000000001</v>
      </c>
      <c r="F340" s="64">
        <v>2.9</v>
      </c>
      <c r="G340" s="64">
        <v>1.5</v>
      </c>
      <c r="H340" s="64"/>
      <c r="I340" s="76">
        <f t="shared" si="13"/>
        <v>14.355</v>
      </c>
      <c r="J340" s="83"/>
      <c r="K340" s="84"/>
      <c r="L340" s="85"/>
      <c r="M340" s="84"/>
      <c r="N340" s="86"/>
    </row>
    <row r="341" spans="1:14" x14ac:dyDescent="0.25">
      <c r="A341" s="73"/>
      <c r="B341" s="62" t="s">
        <v>2812</v>
      </c>
      <c r="C341" s="63"/>
      <c r="D341" s="64">
        <v>2</v>
      </c>
      <c r="E341" s="64">
        <v>2.9</v>
      </c>
      <c r="F341" s="64">
        <v>2.9</v>
      </c>
      <c r="G341" s="64">
        <v>2</v>
      </c>
      <c r="H341" s="64"/>
      <c r="I341" s="76">
        <f t="shared" si="13"/>
        <v>33.64</v>
      </c>
      <c r="J341" s="83"/>
      <c r="K341" s="84"/>
      <c r="L341" s="85"/>
      <c r="M341" s="84"/>
      <c r="N341" s="86"/>
    </row>
    <row r="342" spans="1:14" x14ac:dyDescent="0.25">
      <c r="A342" s="73"/>
      <c r="B342" s="62" t="s">
        <v>2813</v>
      </c>
      <c r="C342" s="63"/>
      <c r="D342" s="64"/>
      <c r="E342" s="64">
        <v>2.9</v>
      </c>
      <c r="F342" s="64">
        <v>4.3</v>
      </c>
      <c r="G342" s="64">
        <v>2</v>
      </c>
      <c r="H342" s="64"/>
      <c r="I342" s="76">
        <f t="shared" si="13"/>
        <v>24.94</v>
      </c>
      <c r="J342" s="83"/>
      <c r="K342" s="84"/>
      <c r="L342" s="85"/>
      <c r="M342" s="84"/>
      <c r="N342" s="86"/>
    </row>
    <row r="343" spans="1:14" x14ac:dyDescent="0.25">
      <c r="A343" s="73"/>
      <c r="B343" s="62" t="s">
        <v>2814</v>
      </c>
      <c r="C343" s="63"/>
      <c r="D343" s="64"/>
      <c r="E343" s="64">
        <v>2.9</v>
      </c>
      <c r="F343" s="64">
        <v>4.7</v>
      </c>
      <c r="G343" s="64">
        <v>2</v>
      </c>
      <c r="H343" s="64"/>
      <c r="I343" s="76">
        <f t="shared" si="13"/>
        <v>27.26</v>
      </c>
      <c r="J343" s="83"/>
      <c r="K343" s="84"/>
      <c r="L343" s="85"/>
      <c r="M343" s="84"/>
      <c r="N343" s="86"/>
    </row>
    <row r="344" spans="1:14" x14ac:dyDescent="0.25">
      <c r="A344" s="73"/>
      <c r="B344" s="62" t="s">
        <v>2815</v>
      </c>
      <c r="C344" s="63"/>
      <c r="D344" s="64"/>
      <c r="E344" s="64">
        <v>2.9</v>
      </c>
      <c r="F344" s="64">
        <v>4.7</v>
      </c>
      <c r="G344" s="64">
        <v>2</v>
      </c>
      <c r="H344" s="64"/>
      <c r="I344" s="76">
        <f t="shared" si="13"/>
        <v>27.26</v>
      </c>
      <c r="J344" s="83"/>
      <c r="K344" s="84"/>
      <c r="L344" s="85"/>
      <c r="M344" s="84"/>
      <c r="N344" s="86"/>
    </row>
    <row r="345" spans="1:14" x14ac:dyDescent="0.25">
      <c r="A345" s="73"/>
      <c r="B345" s="62" t="s">
        <v>2816</v>
      </c>
      <c r="C345" s="63"/>
      <c r="D345" s="64">
        <v>3</v>
      </c>
      <c r="E345" s="64">
        <v>2.9</v>
      </c>
      <c r="F345" s="64">
        <v>6.5</v>
      </c>
      <c r="G345" s="64">
        <v>2</v>
      </c>
      <c r="H345" s="64"/>
      <c r="I345" s="76">
        <f t="shared" si="13"/>
        <v>113.1</v>
      </c>
      <c r="J345" s="83"/>
      <c r="K345" s="84"/>
      <c r="L345" s="85"/>
      <c r="M345" s="84"/>
      <c r="N345" s="86"/>
    </row>
    <row r="346" spans="1:14" x14ac:dyDescent="0.25">
      <c r="A346" s="73"/>
      <c r="B346" s="62" t="s">
        <v>2817</v>
      </c>
      <c r="C346" s="63"/>
      <c r="D346" s="64"/>
      <c r="E346" s="64">
        <v>4.3</v>
      </c>
      <c r="F346" s="64">
        <v>4.7</v>
      </c>
      <c r="G346" s="64">
        <v>2</v>
      </c>
      <c r="H346" s="64"/>
      <c r="I346" s="76">
        <f t="shared" si="13"/>
        <v>40.42</v>
      </c>
      <c r="J346" s="83"/>
      <c r="K346" s="84"/>
      <c r="L346" s="85"/>
      <c r="M346" s="84"/>
      <c r="N346" s="86"/>
    </row>
    <row r="347" spans="1:14" x14ac:dyDescent="0.25">
      <c r="A347" s="73"/>
      <c r="B347" s="62" t="s">
        <v>2818</v>
      </c>
      <c r="C347" s="63"/>
      <c r="D347" s="64"/>
      <c r="E347" s="64">
        <v>4.3</v>
      </c>
      <c r="F347" s="64">
        <v>4.7</v>
      </c>
      <c r="G347" s="64">
        <v>2</v>
      </c>
      <c r="H347" s="64"/>
      <c r="I347" s="76">
        <f t="shared" si="13"/>
        <v>40.42</v>
      </c>
      <c r="J347" s="83"/>
      <c r="K347" s="84"/>
      <c r="L347" s="85"/>
      <c r="M347" s="84"/>
      <c r="N347" s="86"/>
    </row>
    <row r="348" spans="1:14" x14ac:dyDescent="0.25">
      <c r="A348" s="73"/>
      <c r="B348" s="62" t="s">
        <v>2819</v>
      </c>
      <c r="C348" s="63"/>
      <c r="D348" s="64"/>
      <c r="E348" s="64">
        <v>4.7</v>
      </c>
      <c r="F348" s="64">
        <v>4.7</v>
      </c>
      <c r="G348" s="64">
        <v>2</v>
      </c>
      <c r="H348" s="64"/>
      <c r="I348" s="76">
        <f t="shared" si="13"/>
        <v>44.18</v>
      </c>
      <c r="J348" s="83"/>
      <c r="K348" s="84"/>
      <c r="L348" s="85"/>
      <c r="M348" s="84"/>
      <c r="N348" s="86"/>
    </row>
    <row r="349" spans="1:14" x14ac:dyDescent="0.25">
      <c r="A349" s="73"/>
      <c r="B349" s="62" t="s">
        <v>2820</v>
      </c>
      <c r="C349" s="63"/>
      <c r="D349" s="64"/>
      <c r="E349" s="64">
        <v>4.7</v>
      </c>
      <c r="F349" s="64">
        <v>4.7</v>
      </c>
      <c r="G349" s="64">
        <v>2</v>
      </c>
      <c r="H349" s="64"/>
      <c r="I349" s="76">
        <f t="shared" si="13"/>
        <v>44.18</v>
      </c>
      <c r="J349" s="83"/>
      <c r="K349" s="84"/>
      <c r="L349" s="85"/>
      <c r="M349" s="84"/>
      <c r="N349" s="86"/>
    </row>
    <row r="350" spans="1:14" x14ac:dyDescent="0.25">
      <c r="A350" s="73"/>
      <c r="B350" s="62" t="s">
        <v>2821</v>
      </c>
      <c r="C350" s="63"/>
      <c r="D350" s="64"/>
      <c r="E350" s="64">
        <v>4.3</v>
      </c>
      <c r="F350" s="64">
        <v>6.5</v>
      </c>
      <c r="G350" s="64">
        <v>2</v>
      </c>
      <c r="H350" s="64"/>
      <c r="I350" s="76">
        <f t="shared" si="13"/>
        <v>55.9</v>
      </c>
      <c r="J350" s="83"/>
      <c r="K350" s="84"/>
      <c r="L350" s="85"/>
      <c r="M350" s="84"/>
      <c r="N350" s="86"/>
    </row>
    <row r="351" spans="1:14" x14ac:dyDescent="0.25">
      <c r="A351" s="73"/>
      <c r="B351" s="62" t="s">
        <v>2822</v>
      </c>
      <c r="C351" s="63"/>
      <c r="D351" s="64"/>
      <c r="E351" s="64">
        <v>2.9</v>
      </c>
      <c r="F351" s="64">
        <v>8.3000000000000007</v>
      </c>
      <c r="G351" s="64">
        <v>2</v>
      </c>
      <c r="H351" s="64"/>
      <c r="I351" s="76">
        <f t="shared" si="13"/>
        <v>48.14</v>
      </c>
      <c r="J351" s="83"/>
      <c r="K351" s="84"/>
      <c r="L351" s="85"/>
      <c r="M351" s="84"/>
      <c r="N351" s="86"/>
    </row>
    <row r="352" spans="1:14" x14ac:dyDescent="0.25">
      <c r="A352" s="73"/>
      <c r="B352" s="62" t="s">
        <v>2823</v>
      </c>
      <c r="C352" s="63"/>
      <c r="D352" s="64"/>
      <c r="E352" s="64">
        <v>4.3</v>
      </c>
      <c r="F352" s="64">
        <v>6.5</v>
      </c>
      <c r="G352" s="64">
        <v>2</v>
      </c>
      <c r="H352" s="64"/>
      <c r="I352" s="76">
        <f t="shared" si="13"/>
        <v>55.9</v>
      </c>
      <c r="J352" s="83"/>
      <c r="K352" s="84"/>
      <c r="L352" s="85"/>
      <c r="M352" s="84"/>
      <c r="N352" s="86"/>
    </row>
    <row r="353" spans="1:14" x14ac:dyDescent="0.25">
      <c r="A353" s="73"/>
      <c r="B353" s="62" t="s">
        <v>2824</v>
      </c>
      <c r="C353" s="63"/>
      <c r="D353" s="64"/>
      <c r="E353" s="64">
        <v>4.3</v>
      </c>
      <c r="F353" s="64">
        <v>8.3000000000000007</v>
      </c>
      <c r="G353" s="64">
        <v>2</v>
      </c>
      <c r="H353" s="64"/>
      <c r="I353" s="76">
        <f t="shared" si="13"/>
        <v>71.38</v>
      </c>
      <c r="J353" s="83"/>
      <c r="K353" s="84"/>
      <c r="L353" s="85"/>
      <c r="M353" s="84"/>
      <c r="N353" s="86"/>
    </row>
    <row r="354" spans="1:14" x14ac:dyDescent="0.25">
      <c r="A354" s="73"/>
      <c r="B354" s="62" t="s">
        <v>2825</v>
      </c>
      <c r="C354" s="63"/>
      <c r="D354" s="64">
        <v>2</v>
      </c>
      <c r="E354" s="64">
        <v>2.9</v>
      </c>
      <c r="F354" s="64">
        <v>3.2</v>
      </c>
      <c r="G354" s="64">
        <v>2</v>
      </c>
      <c r="H354" s="64"/>
      <c r="I354" s="76">
        <f t="shared" si="13"/>
        <v>37.119999999999997</v>
      </c>
      <c r="J354" s="83"/>
      <c r="K354" s="84"/>
      <c r="L354" s="85"/>
      <c r="M354" s="84"/>
      <c r="N354" s="86"/>
    </row>
    <row r="355" spans="1:14" x14ac:dyDescent="0.25">
      <c r="A355" s="73"/>
      <c r="B355" s="62"/>
      <c r="C355" s="63"/>
      <c r="D355" s="64"/>
      <c r="E355" s="64">
        <v>4.7</v>
      </c>
      <c r="F355" s="64">
        <v>6.7</v>
      </c>
      <c r="G355" s="64">
        <v>2</v>
      </c>
      <c r="H355" s="64"/>
      <c r="I355" s="76">
        <f t="shared" si="13"/>
        <v>62.98</v>
      </c>
      <c r="J355" s="83"/>
      <c r="K355" s="84"/>
      <c r="L355" s="85"/>
      <c r="M355" s="84"/>
      <c r="N355" s="86"/>
    </row>
    <row r="356" spans="1:14" x14ac:dyDescent="0.25">
      <c r="A356" s="73"/>
      <c r="B356" s="62" t="s">
        <v>2826</v>
      </c>
      <c r="C356" s="63"/>
      <c r="D356" s="64"/>
      <c r="E356" s="64">
        <v>2.9</v>
      </c>
      <c r="F356" s="64">
        <v>3.2</v>
      </c>
      <c r="G356" s="64">
        <v>2</v>
      </c>
      <c r="H356" s="64"/>
      <c r="I356" s="76">
        <f t="shared" si="13"/>
        <v>18.559999999999999</v>
      </c>
      <c r="J356" s="83"/>
      <c r="K356" s="84"/>
      <c r="L356" s="85"/>
      <c r="M356" s="84"/>
      <c r="N356" s="86"/>
    </row>
    <row r="357" spans="1:14" x14ac:dyDescent="0.25">
      <c r="A357" s="73"/>
      <c r="B357" s="62"/>
      <c r="C357" s="63"/>
      <c r="D357" s="64"/>
      <c r="E357" s="64">
        <v>4.7</v>
      </c>
      <c r="F357" s="64">
        <v>8.5</v>
      </c>
      <c r="G357" s="64">
        <v>2</v>
      </c>
      <c r="H357" s="64"/>
      <c r="I357" s="76">
        <f t="shared" si="13"/>
        <v>79.900000000000006</v>
      </c>
      <c r="J357" s="83"/>
      <c r="K357" s="84"/>
      <c r="L357" s="85"/>
      <c r="M357" s="84"/>
      <c r="N357" s="86"/>
    </row>
    <row r="358" spans="1:14" x14ac:dyDescent="0.25">
      <c r="A358" s="73"/>
      <c r="B358" s="62"/>
      <c r="C358" s="63"/>
      <c r="D358" s="64"/>
      <c r="E358" s="64">
        <v>2.9</v>
      </c>
      <c r="F358" s="64">
        <v>1.6</v>
      </c>
      <c r="G358" s="64">
        <v>2</v>
      </c>
      <c r="H358" s="64"/>
      <c r="I358" s="76">
        <f t="shared" si="13"/>
        <v>9.2799999999999994</v>
      </c>
      <c r="J358" s="83"/>
      <c r="K358" s="84"/>
      <c r="L358" s="85"/>
      <c r="M358" s="84"/>
      <c r="N358" s="86"/>
    </row>
    <row r="359" spans="1:14" x14ac:dyDescent="0.25">
      <c r="A359" s="73"/>
      <c r="B359" s="62" t="s">
        <v>2827</v>
      </c>
      <c r="C359" s="63"/>
      <c r="D359" s="64"/>
      <c r="E359" s="64">
        <v>4.7</v>
      </c>
      <c r="F359" s="64">
        <v>1.8</v>
      </c>
      <c r="G359" s="64">
        <v>3</v>
      </c>
      <c r="H359" s="64"/>
      <c r="I359" s="76">
        <f t="shared" si="13"/>
        <v>25.38</v>
      </c>
      <c r="J359" s="83"/>
      <c r="K359" s="84"/>
      <c r="L359" s="85"/>
      <c r="M359" s="84"/>
      <c r="N359" s="86"/>
    </row>
    <row r="360" spans="1:14" x14ac:dyDescent="0.25">
      <c r="A360" s="73"/>
      <c r="B360" s="62"/>
      <c r="C360" s="63"/>
      <c r="D360" s="64"/>
      <c r="E360" s="64">
        <v>4.7</v>
      </c>
      <c r="F360" s="64">
        <v>3.6</v>
      </c>
      <c r="G360" s="64">
        <v>3</v>
      </c>
      <c r="H360" s="64"/>
      <c r="I360" s="76">
        <f t="shared" si="13"/>
        <v>50.76</v>
      </c>
      <c r="J360" s="83"/>
      <c r="K360" s="84"/>
      <c r="L360" s="85"/>
      <c r="M360" s="84"/>
      <c r="N360" s="86"/>
    </row>
    <row r="361" spans="1:14" x14ac:dyDescent="0.25">
      <c r="A361" s="73"/>
      <c r="B361" s="62"/>
      <c r="C361" s="63"/>
      <c r="D361" s="64"/>
      <c r="E361" s="64">
        <v>6.5</v>
      </c>
      <c r="F361" s="64">
        <v>6.5</v>
      </c>
      <c r="G361" s="64">
        <v>3</v>
      </c>
      <c r="H361" s="64"/>
      <c r="I361" s="76">
        <f t="shared" si="13"/>
        <v>126.75</v>
      </c>
      <c r="J361" s="83"/>
      <c r="K361" s="84"/>
      <c r="L361" s="85"/>
      <c r="M361" s="84"/>
      <c r="N361" s="86"/>
    </row>
    <row r="362" spans="1:14" x14ac:dyDescent="0.25">
      <c r="A362" s="73"/>
      <c r="B362" s="62" t="s">
        <v>2909</v>
      </c>
      <c r="C362" s="63"/>
      <c r="D362" s="64"/>
      <c r="E362" s="64">
        <v>-2.2000000000000002</v>
      </c>
      <c r="F362" s="64">
        <v>2.1</v>
      </c>
      <c r="G362" s="64">
        <v>1.5</v>
      </c>
      <c r="H362" s="64"/>
      <c r="I362" s="76">
        <f t="shared" si="13"/>
        <v>-6.93</v>
      </c>
      <c r="J362" s="83"/>
      <c r="K362" s="84"/>
      <c r="L362" s="85"/>
      <c r="M362" s="84"/>
      <c r="N362" s="86"/>
    </row>
    <row r="363" spans="1:14" x14ac:dyDescent="0.25">
      <c r="A363" s="73"/>
      <c r="B363" s="62"/>
      <c r="C363" s="63"/>
      <c r="D363" s="64">
        <v>3</v>
      </c>
      <c r="E363" s="64">
        <v>-2.2000000000000002</v>
      </c>
      <c r="F363" s="64">
        <v>2</v>
      </c>
      <c r="G363" s="64">
        <v>1.5</v>
      </c>
      <c r="H363" s="64"/>
      <c r="I363" s="76">
        <f t="shared" si="13"/>
        <v>-19.8</v>
      </c>
      <c r="J363" s="83"/>
      <c r="K363" s="84"/>
      <c r="L363" s="85"/>
      <c r="M363" s="84"/>
      <c r="N363" s="86"/>
    </row>
    <row r="364" spans="1:14" x14ac:dyDescent="0.25">
      <c r="A364" s="73">
        <v>10</v>
      </c>
      <c r="B364" s="65" t="s">
        <v>60</v>
      </c>
      <c r="C364" s="63" t="s">
        <v>61</v>
      </c>
      <c r="D364" s="64"/>
      <c r="E364" s="64"/>
      <c r="F364" s="64"/>
      <c r="G364" s="64"/>
      <c r="H364" s="64"/>
      <c r="I364" s="76">
        <f>SUM(I365:I407)</f>
        <v>8.5639999999999983</v>
      </c>
      <c r="J364" s="83" t="e">
        <f>PL03a!#REF!</f>
        <v>#REF!</v>
      </c>
      <c r="K364" s="84">
        <f t="shared" ref="K364" si="17">I364</f>
        <v>8.5639999999999983</v>
      </c>
      <c r="L364" s="85"/>
      <c r="M364" s="84">
        <f>K364</f>
        <v>8.5639999999999983</v>
      </c>
      <c r="N364" s="86">
        <f>L364+M364</f>
        <v>8.5639999999999983</v>
      </c>
    </row>
    <row r="365" spans="1:14" x14ac:dyDescent="0.25">
      <c r="A365" s="73"/>
      <c r="B365" s="66" t="s">
        <v>2809</v>
      </c>
      <c r="C365" s="63"/>
      <c r="D365" s="64"/>
      <c r="E365" s="64"/>
      <c r="F365" s="64"/>
      <c r="G365" s="64"/>
      <c r="H365" s="64"/>
      <c r="I365" s="76"/>
      <c r="J365" s="83"/>
      <c r="K365" s="84"/>
      <c r="L365" s="85"/>
      <c r="M365" s="84"/>
      <c r="N365" s="86"/>
    </row>
    <row r="366" spans="1:14" x14ac:dyDescent="0.25">
      <c r="A366" s="73"/>
      <c r="B366" s="62" t="s">
        <v>2910</v>
      </c>
      <c r="C366" s="63"/>
      <c r="D366" s="64">
        <v>5</v>
      </c>
      <c r="E366" s="64">
        <v>4.4000000000000004</v>
      </c>
      <c r="F366" s="64">
        <v>1.5</v>
      </c>
      <c r="G366" s="64"/>
      <c r="H366" s="64">
        <v>0.01</v>
      </c>
      <c r="I366" s="76">
        <f t="shared" si="13"/>
        <v>0.33</v>
      </c>
      <c r="J366" s="83"/>
      <c r="K366" s="84"/>
      <c r="L366" s="85"/>
      <c r="M366" s="84"/>
      <c r="N366" s="86"/>
    </row>
    <row r="367" spans="1:14" x14ac:dyDescent="0.25">
      <c r="A367" s="73"/>
      <c r="B367" s="62" t="s">
        <v>2911</v>
      </c>
      <c r="C367" s="63"/>
      <c r="D367" s="64">
        <v>2</v>
      </c>
      <c r="E367" s="64">
        <v>-1.5</v>
      </c>
      <c r="F367" s="64">
        <v>0.3</v>
      </c>
      <c r="G367" s="64"/>
      <c r="H367" s="64">
        <v>0.01</v>
      </c>
      <c r="I367" s="76">
        <f t="shared" si="13"/>
        <v>-8.9999999999999993E-3</v>
      </c>
      <c r="J367" s="83"/>
      <c r="K367" s="84"/>
      <c r="L367" s="85"/>
      <c r="M367" s="84"/>
      <c r="N367" s="86"/>
    </row>
    <row r="368" spans="1:14" x14ac:dyDescent="0.25">
      <c r="A368" s="73"/>
      <c r="B368" s="62"/>
      <c r="C368" s="63"/>
      <c r="D368" s="64">
        <v>3</v>
      </c>
      <c r="E368" s="64">
        <v>-0.8</v>
      </c>
      <c r="F368" s="64">
        <v>0.3</v>
      </c>
      <c r="G368" s="64"/>
      <c r="H368" s="64">
        <v>0.01</v>
      </c>
      <c r="I368" s="76">
        <f t="shared" ref="I368:I431" si="18">ROUND(PRODUCT(D368:H368),3)</f>
        <v>-7.0000000000000001E-3</v>
      </c>
      <c r="J368" s="83"/>
      <c r="K368" s="84"/>
      <c r="L368" s="85"/>
      <c r="M368" s="84"/>
      <c r="N368" s="86"/>
    </row>
    <row r="369" spans="1:14" x14ac:dyDescent="0.25">
      <c r="A369" s="73"/>
      <c r="B369" s="62" t="s">
        <v>2912</v>
      </c>
      <c r="C369" s="63"/>
      <c r="D369" s="64">
        <v>3</v>
      </c>
      <c r="E369" s="64">
        <v>8</v>
      </c>
      <c r="F369" s="64">
        <v>1.5</v>
      </c>
      <c r="G369" s="64"/>
      <c r="H369" s="64">
        <v>0.01</v>
      </c>
      <c r="I369" s="76">
        <f t="shared" si="18"/>
        <v>0.36</v>
      </c>
      <c r="J369" s="83"/>
      <c r="K369" s="84"/>
      <c r="L369" s="85"/>
      <c r="M369" s="84"/>
      <c r="N369" s="86"/>
    </row>
    <row r="370" spans="1:14" x14ac:dyDescent="0.25">
      <c r="A370" s="73"/>
      <c r="B370" s="62" t="s">
        <v>2911</v>
      </c>
      <c r="C370" s="63"/>
      <c r="D370" s="64">
        <v>2</v>
      </c>
      <c r="E370" s="64">
        <v>-3.4</v>
      </c>
      <c r="F370" s="64">
        <v>0.3</v>
      </c>
      <c r="G370" s="64"/>
      <c r="H370" s="64">
        <v>0.01</v>
      </c>
      <c r="I370" s="76">
        <f t="shared" si="18"/>
        <v>-0.02</v>
      </c>
      <c r="J370" s="83"/>
      <c r="K370" s="84"/>
      <c r="L370" s="85"/>
      <c r="M370" s="84"/>
      <c r="N370" s="86"/>
    </row>
    <row r="371" spans="1:14" x14ac:dyDescent="0.25">
      <c r="A371" s="73"/>
      <c r="B371" s="62"/>
      <c r="C371" s="63"/>
      <c r="D371" s="64"/>
      <c r="E371" s="64">
        <v>-3.5</v>
      </c>
      <c r="F371" s="64">
        <v>0.3</v>
      </c>
      <c r="G371" s="64"/>
      <c r="H371" s="64">
        <v>0.01</v>
      </c>
      <c r="I371" s="76">
        <f t="shared" si="18"/>
        <v>-1.0999999999999999E-2</v>
      </c>
      <c r="J371" s="83"/>
      <c r="K371" s="84"/>
      <c r="L371" s="85"/>
      <c r="M371" s="84"/>
      <c r="N371" s="86"/>
    </row>
    <row r="372" spans="1:14" x14ac:dyDescent="0.25">
      <c r="A372" s="73"/>
      <c r="B372" s="62" t="s">
        <v>2913</v>
      </c>
      <c r="C372" s="63"/>
      <c r="D372" s="64">
        <v>2</v>
      </c>
      <c r="E372" s="64">
        <v>11.6</v>
      </c>
      <c r="F372" s="64">
        <v>2</v>
      </c>
      <c r="G372" s="64"/>
      <c r="H372" s="64">
        <v>0.01</v>
      </c>
      <c r="I372" s="76">
        <f t="shared" si="18"/>
        <v>0.46400000000000002</v>
      </c>
      <c r="J372" s="83"/>
      <c r="K372" s="84"/>
      <c r="L372" s="85"/>
      <c r="M372" s="84"/>
      <c r="N372" s="86"/>
    </row>
    <row r="373" spans="1:14" x14ac:dyDescent="0.25">
      <c r="A373" s="73"/>
      <c r="B373" s="62" t="s">
        <v>2911</v>
      </c>
      <c r="C373" s="63"/>
      <c r="D373" s="64"/>
      <c r="E373" s="64">
        <v>-3.2</v>
      </c>
      <c r="F373" s="64">
        <v>0.3</v>
      </c>
      <c r="G373" s="64"/>
      <c r="H373" s="64">
        <v>0.01</v>
      </c>
      <c r="I373" s="76">
        <f t="shared" si="18"/>
        <v>-0.01</v>
      </c>
      <c r="J373" s="83"/>
      <c r="K373" s="84"/>
      <c r="L373" s="85"/>
      <c r="M373" s="84"/>
      <c r="N373" s="86"/>
    </row>
    <row r="374" spans="1:14" x14ac:dyDescent="0.25">
      <c r="A374" s="73"/>
      <c r="B374" s="62"/>
      <c r="C374" s="63"/>
      <c r="D374" s="64"/>
      <c r="E374" s="64">
        <v>-5.5</v>
      </c>
      <c r="F374" s="64">
        <v>0.3</v>
      </c>
      <c r="G374" s="64"/>
      <c r="H374" s="64">
        <v>0.01</v>
      </c>
      <c r="I374" s="76">
        <f t="shared" si="18"/>
        <v>-1.7000000000000001E-2</v>
      </c>
      <c r="J374" s="83"/>
      <c r="K374" s="84"/>
      <c r="L374" s="85"/>
      <c r="M374" s="84"/>
      <c r="N374" s="86"/>
    </row>
    <row r="375" spans="1:14" x14ac:dyDescent="0.25">
      <c r="A375" s="73"/>
      <c r="B375" s="62" t="s">
        <v>2914</v>
      </c>
      <c r="C375" s="63"/>
      <c r="D375" s="64"/>
      <c r="E375" s="64">
        <v>14.4</v>
      </c>
      <c r="F375" s="64">
        <v>2</v>
      </c>
      <c r="G375" s="64"/>
      <c r="H375" s="64">
        <v>0.01</v>
      </c>
      <c r="I375" s="76">
        <f t="shared" si="18"/>
        <v>0.28799999999999998</v>
      </c>
      <c r="J375" s="83"/>
      <c r="K375" s="84"/>
      <c r="L375" s="85"/>
      <c r="M375" s="84"/>
      <c r="N375" s="86"/>
    </row>
    <row r="376" spans="1:14" x14ac:dyDescent="0.25">
      <c r="A376" s="73"/>
      <c r="B376" s="62" t="s">
        <v>2911</v>
      </c>
      <c r="C376" s="63"/>
      <c r="D376" s="64"/>
      <c r="E376" s="64">
        <v>-7.3</v>
      </c>
      <c r="F376" s="64">
        <v>0.3</v>
      </c>
      <c r="G376" s="64"/>
      <c r="H376" s="64">
        <v>0.01</v>
      </c>
      <c r="I376" s="76">
        <f t="shared" si="18"/>
        <v>-2.1999999999999999E-2</v>
      </c>
      <c r="J376" s="83"/>
      <c r="K376" s="84"/>
      <c r="L376" s="85"/>
      <c r="M376" s="84"/>
      <c r="N376" s="86"/>
    </row>
    <row r="377" spans="1:14" x14ac:dyDescent="0.25">
      <c r="A377" s="73"/>
      <c r="B377" s="62" t="s">
        <v>2915</v>
      </c>
      <c r="C377" s="63"/>
      <c r="D377" s="64"/>
      <c r="E377" s="64">
        <v>15.2</v>
      </c>
      <c r="F377" s="64">
        <v>2</v>
      </c>
      <c r="G377" s="64"/>
      <c r="H377" s="64">
        <v>0.01</v>
      </c>
      <c r="I377" s="76">
        <f t="shared" si="18"/>
        <v>0.30399999999999999</v>
      </c>
      <c r="J377" s="83"/>
      <c r="K377" s="84"/>
      <c r="L377" s="85"/>
      <c r="M377" s="84"/>
      <c r="N377" s="86"/>
    </row>
    <row r="378" spans="1:14" x14ac:dyDescent="0.25">
      <c r="A378" s="73"/>
      <c r="B378" s="62" t="s">
        <v>2911</v>
      </c>
      <c r="C378" s="63"/>
      <c r="D378" s="64"/>
      <c r="E378" s="64">
        <v>-8.5</v>
      </c>
      <c r="F378" s="64">
        <v>0.3</v>
      </c>
      <c r="G378" s="64"/>
      <c r="H378" s="64">
        <v>0.01</v>
      </c>
      <c r="I378" s="76">
        <f t="shared" si="18"/>
        <v>-2.5999999999999999E-2</v>
      </c>
      <c r="J378" s="83"/>
      <c r="K378" s="84"/>
      <c r="L378" s="85"/>
      <c r="M378" s="84"/>
      <c r="N378" s="86"/>
    </row>
    <row r="379" spans="1:14" x14ac:dyDescent="0.25">
      <c r="A379" s="73"/>
      <c r="B379" s="62" t="s">
        <v>2916</v>
      </c>
      <c r="C379" s="63"/>
      <c r="D379" s="64"/>
      <c r="E379" s="64">
        <v>15.2</v>
      </c>
      <c r="F379" s="64">
        <v>2</v>
      </c>
      <c r="G379" s="64"/>
      <c r="H379" s="64">
        <v>0.01</v>
      </c>
      <c r="I379" s="76">
        <f t="shared" si="18"/>
        <v>0.30399999999999999</v>
      </c>
      <c r="J379" s="83"/>
      <c r="K379" s="84"/>
      <c r="L379" s="85"/>
      <c r="M379" s="84"/>
      <c r="N379" s="86"/>
    </row>
    <row r="380" spans="1:14" x14ac:dyDescent="0.25">
      <c r="A380" s="73"/>
      <c r="B380" s="62" t="s">
        <v>2911</v>
      </c>
      <c r="C380" s="63"/>
      <c r="D380" s="64"/>
      <c r="E380" s="64">
        <v>-8.1</v>
      </c>
      <c r="F380" s="64">
        <v>0.3</v>
      </c>
      <c r="G380" s="64"/>
      <c r="H380" s="64">
        <v>0.01</v>
      </c>
      <c r="I380" s="76">
        <f t="shared" si="18"/>
        <v>-2.4E-2</v>
      </c>
      <c r="J380" s="83"/>
      <c r="K380" s="84"/>
      <c r="L380" s="85"/>
      <c r="M380" s="84"/>
      <c r="N380" s="86"/>
    </row>
    <row r="381" spans="1:14" x14ac:dyDescent="0.25">
      <c r="A381" s="73"/>
      <c r="B381" s="62" t="s">
        <v>2917</v>
      </c>
      <c r="C381" s="63"/>
      <c r="D381" s="64">
        <v>3</v>
      </c>
      <c r="E381" s="64">
        <v>18.8</v>
      </c>
      <c r="F381" s="64">
        <v>2</v>
      </c>
      <c r="G381" s="64"/>
      <c r="H381" s="64">
        <v>0.01</v>
      </c>
      <c r="I381" s="76">
        <f t="shared" si="18"/>
        <v>1.1279999999999999</v>
      </c>
      <c r="J381" s="83"/>
      <c r="K381" s="84"/>
      <c r="L381" s="85"/>
      <c r="M381" s="84"/>
      <c r="N381" s="86"/>
    </row>
    <row r="382" spans="1:14" x14ac:dyDescent="0.25">
      <c r="A382" s="73"/>
      <c r="B382" s="62" t="s">
        <v>2911</v>
      </c>
      <c r="C382" s="63"/>
      <c r="D382" s="64">
        <v>2</v>
      </c>
      <c r="E382" s="64">
        <v>-9.1</v>
      </c>
      <c r="F382" s="64">
        <v>0.3</v>
      </c>
      <c r="G382" s="64"/>
      <c r="H382" s="64">
        <v>0.01</v>
      </c>
      <c r="I382" s="76">
        <f t="shared" si="18"/>
        <v>-5.5E-2</v>
      </c>
      <c r="J382" s="83"/>
      <c r="K382" s="84"/>
      <c r="L382" s="85"/>
      <c r="M382" s="84"/>
      <c r="N382" s="86"/>
    </row>
    <row r="383" spans="1:14" x14ac:dyDescent="0.25">
      <c r="A383" s="73"/>
      <c r="B383" s="62"/>
      <c r="C383" s="63"/>
      <c r="D383" s="64"/>
      <c r="E383" s="64">
        <v>-18.8</v>
      </c>
      <c r="F383" s="64">
        <v>0.3</v>
      </c>
      <c r="G383" s="64"/>
      <c r="H383" s="64">
        <v>0.01</v>
      </c>
      <c r="I383" s="76">
        <f t="shared" si="18"/>
        <v>-5.6000000000000001E-2</v>
      </c>
      <c r="J383" s="83"/>
      <c r="K383" s="84"/>
      <c r="L383" s="85"/>
      <c r="M383" s="84"/>
      <c r="N383" s="86"/>
    </row>
    <row r="384" spans="1:14" x14ac:dyDescent="0.25">
      <c r="A384" s="73"/>
      <c r="B384" s="62" t="s">
        <v>2918</v>
      </c>
      <c r="C384" s="63"/>
      <c r="D384" s="64"/>
      <c r="E384" s="64">
        <v>18</v>
      </c>
      <c r="F384" s="64">
        <v>2</v>
      </c>
      <c r="G384" s="64"/>
      <c r="H384" s="64">
        <v>0.01</v>
      </c>
      <c r="I384" s="76">
        <f t="shared" si="18"/>
        <v>0.36</v>
      </c>
      <c r="J384" s="83"/>
      <c r="K384" s="84"/>
      <c r="L384" s="85"/>
      <c r="M384" s="84"/>
      <c r="N384" s="86"/>
    </row>
    <row r="385" spans="1:14" x14ac:dyDescent="0.25">
      <c r="A385" s="73"/>
      <c r="B385" s="62" t="s">
        <v>2911</v>
      </c>
      <c r="C385" s="63"/>
      <c r="D385" s="64"/>
      <c r="E385" s="64">
        <v>-18</v>
      </c>
      <c r="F385" s="64">
        <v>0.3</v>
      </c>
      <c r="G385" s="64"/>
      <c r="H385" s="64">
        <v>0.01</v>
      </c>
      <c r="I385" s="76">
        <f t="shared" si="18"/>
        <v>-5.3999999999999999E-2</v>
      </c>
      <c r="J385" s="83"/>
      <c r="K385" s="84"/>
      <c r="L385" s="85"/>
      <c r="M385" s="84"/>
      <c r="N385" s="86"/>
    </row>
    <row r="386" spans="1:14" x14ac:dyDescent="0.25">
      <c r="A386" s="73"/>
      <c r="B386" s="62" t="s">
        <v>2919</v>
      </c>
      <c r="C386" s="63"/>
      <c r="D386" s="64"/>
      <c r="E386" s="64">
        <v>18</v>
      </c>
      <c r="F386" s="64">
        <v>2</v>
      </c>
      <c r="G386" s="64"/>
      <c r="H386" s="64">
        <v>0.01</v>
      </c>
      <c r="I386" s="76">
        <f t="shared" si="18"/>
        <v>0.36</v>
      </c>
      <c r="J386" s="83"/>
      <c r="K386" s="84"/>
      <c r="L386" s="85"/>
      <c r="M386" s="84"/>
      <c r="N386" s="86"/>
    </row>
    <row r="387" spans="1:14" x14ac:dyDescent="0.25">
      <c r="A387" s="73"/>
      <c r="B387" s="62" t="s">
        <v>2911</v>
      </c>
      <c r="C387" s="63"/>
      <c r="D387" s="64"/>
      <c r="E387" s="64">
        <v>-18</v>
      </c>
      <c r="F387" s="64">
        <v>0.3</v>
      </c>
      <c r="G387" s="64"/>
      <c r="H387" s="64">
        <v>0.01</v>
      </c>
      <c r="I387" s="76">
        <f t="shared" si="18"/>
        <v>-5.3999999999999999E-2</v>
      </c>
      <c r="J387" s="83"/>
      <c r="K387" s="84"/>
      <c r="L387" s="85"/>
      <c r="M387" s="84"/>
      <c r="N387" s="86"/>
    </row>
    <row r="388" spans="1:14" x14ac:dyDescent="0.25">
      <c r="A388" s="73"/>
      <c r="B388" s="62" t="s">
        <v>2920</v>
      </c>
      <c r="C388" s="63"/>
      <c r="D388" s="64"/>
      <c r="E388" s="64">
        <v>18.8</v>
      </c>
      <c r="F388" s="64">
        <v>2</v>
      </c>
      <c r="G388" s="64"/>
      <c r="H388" s="64">
        <v>0.01</v>
      </c>
      <c r="I388" s="76">
        <f t="shared" si="18"/>
        <v>0.376</v>
      </c>
      <c r="J388" s="83"/>
      <c r="K388" s="84"/>
      <c r="L388" s="85"/>
      <c r="M388" s="84"/>
      <c r="N388" s="86"/>
    </row>
    <row r="389" spans="1:14" x14ac:dyDescent="0.25">
      <c r="A389" s="73"/>
      <c r="B389" s="62" t="s">
        <v>2911</v>
      </c>
      <c r="C389" s="63"/>
      <c r="D389" s="64"/>
      <c r="E389" s="64">
        <v>-18.8</v>
      </c>
      <c r="F389" s="64">
        <v>0.3</v>
      </c>
      <c r="G389" s="64"/>
      <c r="H389" s="64">
        <v>0.01</v>
      </c>
      <c r="I389" s="76">
        <f t="shared" si="18"/>
        <v>-5.6000000000000001E-2</v>
      </c>
      <c r="J389" s="83"/>
      <c r="K389" s="84"/>
      <c r="L389" s="85"/>
      <c r="M389" s="84"/>
      <c r="N389" s="86"/>
    </row>
    <row r="390" spans="1:14" x14ac:dyDescent="0.25">
      <c r="A390" s="73"/>
      <c r="B390" s="62" t="s">
        <v>2921</v>
      </c>
      <c r="C390" s="63"/>
      <c r="D390" s="64"/>
      <c r="E390" s="64">
        <v>18.8</v>
      </c>
      <c r="F390" s="64">
        <v>2</v>
      </c>
      <c r="G390" s="64"/>
      <c r="H390" s="64">
        <v>0.01</v>
      </c>
      <c r="I390" s="76">
        <f t="shared" si="18"/>
        <v>0.376</v>
      </c>
      <c r="J390" s="83"/>
      <c r="K390" s="84"/>
      <c r="L390" s="85"/>
      <c r="M390" s="84"/>
      <c r="N390" s="86"/>
    </row>
    <row r="391" spans="1:14" x14ac:dyDescent="0.25">
      <c r="A391" s="73"/>
      <c r="B391" s="62" t="s">
        <v>2911</v>
      </c>
      <c r="C391" s="63"/>
      <c r="D391" s="64"/>
      <c r="E391" s="64">
        <v>-18.8</v>
      </c>
      <c r="F391" s="64">
        <v>0.3</v>
      </c>
      <c r="G391" s="64"/>
      <c r="H391" s="64">
        <v>0.01</v>
      </c>
      <c r="I391" s="76">
        <f t="shared" si="18"/>
        <v>-5.6000000000000001E-2</v>
      </c>
      <c r="J391" s="83"/>
      <c r="K391" s="84"/>
      <c r="L391" s="85"/>
      <c r="M391" s="84"/>
      <c r="N391" s="86"/>
    </row>
    <row r="392" spans="1:14" x14ac:dyDescent="0.25">
      <c r="A392" s="73"/>
      <c r="B392" s="62" t="s">
        <v>2922</v>
      </c>
      <c r="C392" s="63"/>
      <c r="D392" s="64"/>
      <c r="E392" s="64">
        <v>21.6</v>
      </c>
      <c r="F392" s="64">
        <v>2</v>
      </c>
      <c r="G392" s="64"/>
      <c r="H392" s="64">
        <v>0.01</v>
      </c>
      <c r="I392" s="76">
        <f t="shared" si="18"/>
        <v>0.432</v>
      </c>
      <c r="J392" s="83"/>
      <c r="K392" s="84"/>
      <c r="L392" s="85"/>
      <c r="M392" s="84"/>
      <c r="N392" s="86"/>
    </row>
    <row r="393" spans="1:14" x14ac:dyDescent="0.25">
      <c r="A393" s="73"/>
      <c r="B393" s="62" t="s">
        <v>2911</v>
      </c>
      <c r="C393" s="63"/>
      <c r="D393" s="64"/>
      <c r="E393" s="64">
        <v>-21.6</v>
      </c>
      <c r="F393" s="64">
        <v>0.3</v>
      </c>
      <c r="G393" s="64"/>
      <c r="H393" s="64">
        <v>0.01</v>
      </c>
      <c r="I393" s="76">
        <f t="shared" si="18"/>
        <v>-6.5000000000000002E-2</v>
      </c>
      <c r="J393" s="83"/>
      <c r="K393" s="84"/>
      <c r="L393" s="85"/>
      <c r="M393" s="84"/>
      <c r="N393" s="86"/>
    </row>
    <row r="394" spans="1:14" x14ac:dyDescent="0.25">
      <c r="A394" s="73"/>
      <c r="B394" s="62" t="s">
        <v>2923</v>
      </c>
      <c r="C394" s="63"/>
      <c r="D394" s="64"/>
      <c r="E394" s="64">
        <v>22.4</v>
      </c>
      <c r="F394" s="64">
        <v>2</v>
      </c>
      <c r="G394" s="64"/>
      <c r="H394" s="64">
        <v>0.01</v>
      </c>
      <c r="I394" s="76">
        <f t="shared" si="18"/>
        <v>0.44800000000000001</v>
      </c>
      <c r="J394" s="83"/>
      <c r="K394" s="84"/>
      <c r="L394" s="85"/>
      <c r="M394" s="84"/>
      <c r="N394" s="86"/>
    </row>
    <row r="395" spans="1:14" x14ac:dyDescent="0.25">
      <c r="A395" s="73"/>
      <c r="B395" s="62" t="s">
        <v>2911</v>
      </c>
      <c r="C395" s="63"/>
      <c r="D395" s="64"/>
      <c r="E395" s="64">
        <v>-22.4</v>
      </c>
      <c r="F395" s="64">
        <v>0.3</v>
      </c>
      <c r="G395" s="64"/>
      <c r="H395" s="64">
        <v>0.01</v>
      </c>
      <c r="I395" s="76">
        <f t="shared" si="18"/>
        <v>-6.7000000000000004E-2</v>
      </c>
      <c r="J395" s="83"/>
      <c r="K395" s="84"/>
      <c r="L395" s="85"/>
      <c r="M395" s="84"/>
      <c r="N395" s="86"/>
    </row>
    <row r="396" spans="1:14" x14ac:dyDescent="0.25">
      <c r="A396" s="73"/>
      <c r="B396" s="62" t="s">
        <v>2924</v>
      </c>
      <c r="C396" s="63"/>
      <c r="D396" s="64"/>
      <c r="E396" s="64">
        <v>21.6</v>
      </c>
      <c r="F396" s="64">
        <v>2</v>
      </c>
      <c r="G396" s="64"/>
      <c r="H396" s="64">
        <v>0.01</v>
      </c>
      <c r="I396" s="76">
        <f t="shared" si="18"/>
        <v>0.432</v>
      </c>
      <c r="J396" s="83"/>
      <c r="K396" s="84"/>
      <c r="L396" s="85"/>
      <c r="M396" s="84"/>
      <c r="N396" s="86"/>
    </row>
    <row r="397" spans="1:14" x14ac:dyDescent="0.25">
      <c r="A397" s="73"/>
      <c r="B397" s="62" t="s">
        <v>2911</v>
      </c>
      <c r="C397" s="63"/>
      <c r="D397" s="64"/>
      <c r="E397" s="64">
        <v>-21.6</v>
      </c>
      <c r="F397" s="64">
        <v>0.3</v>
      </c>
      <c r="G397" s="64"/>
      <c r="H397" s="64">
        <v>0.01</v>
      </c>
      <c r="I397" s="76">
        <f t="shared" si="18"/>
        <v>-6.5000000000000002E-2</v>
      </c>
      <c r="J397" s="83"/>
      <c r="K397" s="84"/>
      <c r="L397" s="85"/>
      <c r="M397" s="84"/>
      <c r="N397" s="86"/>
    </row>
    <row r="398" spans="1:14" x14ac:dyDescent="0.25">
      <c r="A398" s="73"/>
      <c r="B398" s="62" t="s">
        <v>2925</v>
      </c>
      <c r="C398" s="63"/>
      <c r="D398" s="64"/>
      <c r="E398" s="64">
        <v>25.2</v>
      </c>
      <c r="F398" s="64">
        <v>2</v>
      </c>
      <c r="G398" s="64"/>
      <c r="H398" s="64">
        <v>0.01</v>
      </c>
      <c r="I398" s="76">
        <f t="shared" si="18"/>
        <v>0.504</v>
      </c>
      <c r="J398" s="83"/>
      <c r="K398" s="84"/>
      <c r="L398" s="85"/>
      <c r="M398" s="84"/>
      <c r="N398" s="86"/>
    </row>
    <row r="399" spans="1:14" x14ac:dyDescent="0.25">
      <c r="A399" s="73"/>
      <c r="B399" s="62" t="s">
        <v>2911</v>
      </c>
      <c r="C399" s="63"/>
      <c r="D399" s="64"/>
      <c r="E399" s="64">
        <v>-19.100000000000001</v>
      </c>
      <c r="F399" s="64">
        <v>0.3</v>
      </c>
      <c r="G399" s="64"/>
      <c r="H399" s="64">
        <v>0.01</v>
      </c>
      <c r="I399" s="76">
        <f t="shared" si="18"/>
        <v>-5.7000000000000002E-2</v>
      </c>
      <c r="J399" s="83"/>
      <c r="K399" s="84"/>
      <c r="L399" s="85"/>
      <c r="M399" s="84"/>
      <c r="N399" s="86"/>
    </row>
    <row r="400" spans="1:14" x14ac:dyDescent="0.25">
      <c r="A400" s="73"/>
      <c r="B400" s="62" t="s">
        <v>2926</v>
      </c>
      <c r="C400" s="63"/>
      <c r="D400" s="64"/>
      <c r="E400" s="64">
        <v>35.6</v>
      </c>
      <c r="F400" s="64">
        <v>2</v>
      </c>
      <c r="G400" s="64"/>
      <c r="H400" s="64">
        <v>0.01</v>
      </c>
      <c r="I400" s="76">
        <f t="shared" si="18"/>
        <v>0.71199999999999997</v>
      </c>
      <c r="J400" s="83"/>
      <c r="K400" s="84"/>
      <c r="L400" s="85"/>
      <c r="M400" s="84"/>
      <c r="N400" s="86"/>
    </row>
    <row r="401" spans="1:14" x14ac:dyDescent="0.25">
      <c r="A401" s="73"/>
      <c r="B401" s="62" t="s">
        <v>2911</v>
      </c>
      <c r="C401" s="63"/>
      <c r="D401" s="64"/>
      <c r="E401" s="64">
        <v>-21.4</v>
      </c>
      <c r="F401" s="64">
        <v>0.3</v>
      </c>
      <c r="G401" s="64"/>
      <c r="H401" s="64">
        <v>0.01</v>
      </c>
      <c r="I401" s="76">
        <f t="shared" si="18"/>
        <v>-6.4000000000000001E-2</v>
      </c>
      <c r="J401" s="83"/>
      <c r="K401" s="84"/>
      <c r="L401" s="85"/>
      <c r="M401" s="84"/>
      <c r="N401" s="86"/>
    </row>
    <row r="402" spans="1:14" x14ac:dyDescent="0.25">
      <c r="A402" s="73"/>
      <c r="B402" s="62" t="s">
        <v>2927</v>
      </c>
      <c r="C402" s="63"/>
      <c r="D402" s="64"/>
      <c r="E402" s="64">
        <v>36</v>
      </c>
      <c r="F402" s="64">
        <v>2</v>
      </c>
      <c r="G402" s="64"/>
      <c r="H402" s="64">
        <v>0.01</v>
      </c>
      <c r="I402" s="76">
        <f t="shared" si="18"/>
        <v>0.72</v>
      </c>
      <c r="J402" s="83"/>
      <c r="K402" s="84"/>
      <c r="L402" s="85"/>
      <c r="M402" s="84"/>
      <c r="N402" s="86"/>
    </row>
    <row r="403" spans="1:14" x14ac:dyDescent="0.25">
      <c r="A403" s="73"/>
      <c r="B403" s="62" t="s">
        <v>2911</v>
      </c>
      <c r="C403" s="63"/>
      <c r="D403" s="64"/>
      <c r="E403" s="64">
        <v>-24.4</v>
      </c>
      <c r="F403" s="64">
        <v>0.3</v>
      </c>
      <c r="G403" s="64"/>
      <c r="H403" s="64">
        <v>0.01</v>
      </c>
      <c r="I403" s="76">
        <f t="shared" si="18"/>
        <v>-7.2999999999999995E-2</v>
      </c>
      <c r="J403" s="83"/>
      <c r="K403" s="84"/>
      <c r="L403" s="85"/>
      <c r="M403" s="84"/>
      <c r="N403" s="86"/>
    </row>
    <row r="404" spans="1:14" x14ac:dyDescent="0.25">
      <c r="A404" s="73"/>
      <c r="B404" s="62" t="s">
        <v>2928</v>
      </c>
      <c r="C404" s="63"/>
      <c r="D404" s="64"/>
      <c r="E404" s="64">
        <v>36.799999999999997</v>
      </c>
      <c r="F404" s="64">
        <v>3</v>
      </c>
      <c r="G404" s="64"/>
      <c r="H404" s="64">
        <v>0.01</v>
      </c>
      <c r="I404" s="76">
        <f t="shared" si="18"/>
        <v>1.1040000000000001</v>
      </c>
      <c r="J404" s="83"/>
      <c r="K404" s="84"/>
      <c r="L404" s="85"/>
      <c r="M404" s="84"/>
      <c r="N404" s="86"/>
    </row>
    <row r="405" spans="1:14" x14ac:dyDescent="0.25">
      <c r="A405" s="73"/>
      <c r="B405" s="62" t="s">
        <v>2911</v>
      </c>
      <c r="C405" s="63"/>
      <c r="D405" s="64"/>
      <c r="E405" s="64">
        <v>-25.7</v>
      </c>
      <c r="F405" s="64">
        <v>0.3</v>
      </c>
      <c r="G405" s="64"/>
      <c r="H405" s="64">
        <v>0.01</v>
      </c>
      <c r="I405" s="76">
        <f t="shared" si="18"/>
        <v>-7.6999999999999999E-2</v>
      </c>
      <c r="J405" s="83"/>
      <c r="K405" s="84"/>
      <c r="L405" s="85"/>
      <c r="M405" s="84"/>
      <c r="N405" s="86"/>
    </row>
    <row r="406" spans="1:14" x14ac:dyDescent="0.25">
      <c r="A406" s="73"/>
      <c r="B406" s="62" t="s">
        <v>2929</v>
      </c>
      <c r="C406" s="63"/>
      <c r="D406" s="64"/>
      <c r="E406" s="64">
        <v>8.6</v>
      </c>
      <c r="F406" s="64">
        <v>1.5</v>
      </c>
      <c r="G406" s="64"/>
      <c r="H406" s="64">
        <v>0.01</v>
      </c>
      <c r="I406" s="76">
        <f t="shared" si="18"/>
        <v>0.129</v>
      </c>
      <c r="J406" s="83"/>
      <c r="K406" s="84"/>
      <c r="L406" s="85"/>
      <c r="M406" s="84"/>
      <c r="N406" s="86"/>
    </row>
    <row r="407" spans="1:14" x14ac:dyDescent="0.25">
      <c r="A407" s="73"/>
      <c r="B407" s="62" t="s">
        <v>2930</v>
      </c>
      <c r="C407" s="63"/>
      <c r="D407" s="64">
        <v>3</v>
      </c>
      <c r="E407" s="64">
        <v>8.4</v>
      </c>
      <c r="F407" s="64">
        <v>1.5</v>
      </c>
      <c r="G407" s="64"/>
      <c r="H407" s="64">
        <v>0.01</v>
      </c>
      <c r="I407" s="76">
        <f t="shared" si="18"/>
        <v>0.378</v>
      </c>
      <c r="J407" s="83"/>
      <c r="K407" s="84"/>
      <c r="L407" s="85"/>
      <c r="M407" s="84"/>
      <c r="N407" s="86"/>
    </row>
    <row r="408" spans="1:14" x14ac:dyDescent="0.25">
      <c r="A408" s="73">
        <v>11</v>
      </c>
      <c r="B408" s="65" t="s">
        <v>63</v>
      </c>
      <c r="C408" s="63" t="s">
        <v>32</v>
      </c>
      <c r="D408" s="64"/>
      <c r="E408" s="64"/>
      <c r="F408" s="64"/>
      <c r="G408" s="64"/>
      <c r="H408" s="64"/>
      <c r="I408" s="76">
        <f>I409</f>
        <v>0.01</v>
      </c>
      <c r="J408" s="83" t="e">
        <f>PL03a!#REF!</f>
        <v>#REF!</v>
      </c>
      <c r="K408" s="84">
        <f t="shared" ref="K408" si="19">I408</f>
        <v>0.01</v>
      </c>
      <c r="L408" s="85"/>
      <c r="M408" s="84">
        <f>K408</f>
        <v>0.01</v>
      </c>
      <c r="N408" s="86">
        <f>L408+M408</f>
        <v>0.01</v>
      </c>
    </row>
    <row r="409" spans="1:14" x14ac:dyDescent="0.25">
      <c r="A409" s="73"/>
      <c r="B409" s="62" t="s">
        <v>2931</v>
      </c>
      <c r="C409" s="63"/>
      <c r="D409" s="64"/>
      <c r="E409" s="64">
        <v>10.11</v>
      </c>
      <c r="F409" s="64"/>
      <c r="G409" s="64"/>
      <c r="H409" s="64">
        <v>1E-3</v>
      </c>
      <c r="I409" s="76">
        <f t="shared" si="18"/>
        <v>0.01</v>
      </c>
      <c r="J409" s="83"/>
      <c r="K409" s="84"/>
      <c r="L409" s="85"/>
      <c r="M409" s="84"/>
      <c r="N409" s="86"/>
    </row>
    <row r="410" spans="1:14" x14ac:dyDescent="0.25">
      <c r="A410" s="73">
        <v>12</v>
      </c>
      <c r="B410" s="65" t="s">
        <v>65</v>
      </c>
      <c r="C410" s="63" t="s">
        <v>32</v>
      </c>
      <c r="D410" s="64"/>
      <c r="E410" s="64"/>
      <c r="F410" s="64"/>
      <c r="G410" s="64"/>
      <c r="H410" s="64"/>
      <c r="I410" s="76">
        <f>I411</f>
        <v>21.879000000000001</v>
      </c>
      <c r="J410" s="83" t="e">
        <f>PL03a!#REF!</f>
        <v>#REF!</v>
      </c>
      <c r="K410" s="84">
        <f t="shared" ref="K410" si="20">I410</f>
        <v>21.879000000000001</v>
      </c>
      <c r="L410" s="85"/>
      <c r="M410" s="84">
        <f>K410</f>
        <v>21.879000000000001</v>
      </c>
      <c r="N410" s="86">
        <f>L410+M410</f>
        <v>21.879000000000001</v>
      </c>
    </row>
    <row r="411" spans="1:14" x14ac:dyDescent="0.25">
      <c r="A411" s="73"/>
      <c r="B411" s="62" t="s">
        <v>2932</v>
      </c>
      <c r="C411" s="63"/>
      <c r="D411" s="64"/>
      <c r="E411" s="64">
        <v>21878.75</v>
      </c>
      <c r="F411" s="64"/>
      <c r="G411" s="64"/>
      <c r="H411" s="64">
        <v>1E-3</v>
      </c>
      <c r="I411" s="76">
        <f t="shared" si="18"/>
        <v>21.879000000000001</v>
      </c>
      <c r="J411" s="83"/>
      <c r="K411" s="84"/>
      <c r="L411" s="85"/>
      <c r="M411" s="84"/>
      <c r="N411" s="86"/>
    </row>
    <row r="412" spans="1:14" x14ac:dyDescent="0.25">
      <c r="A412" s="73">
        <v>13</v>
      </c>
      <c r="B412" s="65" t="s">
        <v>67</v>
      </c>
      <c r="C412" s="63" t="s">
        <v>32</v>
      </c>
      <c r="D412" s="64"/>
      <c r="E412" s="64"/>
      <c r="F412" s="64"/>
      <c r="G412" s="64"/>
      <c r="H412" s="64"/>
      <c r="I412" s="76">
        <f>I413</f>
        <v>29.372</v>
      </c>
      <c r="J412" s="83" t="e">
        <f>PL03a!#REF!</f>
        <v>#REF!</v>
      </c>
      <c r="K412" s="84">
        <f t="shared" ref="K412" si="21">I412</f>
        <v>29.372</v>
      </c>
      <c r="L412" s="85"/>
      <c r="M412" s="84">
        <f>K412</f>
        <v>29.372</v>
      </c>
      <c r="N412" s="86">
        <f>L412+M412</f>
        <v>29.372</v>
      </c>
    </row>
    <row r="413" spans="1:14" x14ac:dyDescent="0.25">
      <c r="A413" s="73"/>
      <c r="B413" s="62" t="s">
        <v>2933</v>
      </c>
      <c r="C413" s="63"/>
      <c r="D413" s="64"/>
      <c r="E413" s="64">
        <v>29372.45</v>
      </c>
      <c r="F413" s="64"/>
      <c r="G413" s="64"/>
      <c r="H413" s="64">
        <v>1E-3</v>
      </c>
      <c r="I413" s="76">
        <f t="shared" si="18"/>
        <v>29.372</v>
      </c>
      <c r="J413" s="83"/>
      <c r="K413" s="84"/>
      <c r="L413" s="85"/>
      <c r="M413" s="84"/>
      <c r="N413" s="86"/>
    </row>
    <row r="414" spans="1:14" ht="25.5" x14ac:dyDescent="0.25">
      <c r="A414" s="73">
        <v>14</v>
      </c>
      <c r="B414" s="65" t="s">
        <v>69</v>
      </c>
      <c r="C414" s="63" t="s">
        <v>37</v>
      </c>
      <c r="D414" s="64"/>
      <c r="E414" s="64"/>
      <c r="F414" s="64"/>
      <c r="G414" s="64"/>
      <c r="H414" s="64"/>
      <c r="I414" s="76">
        <f>SUM(I415:I439)</f>
        <v>73.313999999999993</v>
      </c>
      <c r="J414" s="83" t="e">
        <f>PL03a!#REF!</f>
        <v>#REF!</v>
      </c>
      <c r="K414" s="84">
        <f t="shared" ref="K414" si="22">I414</f>
        <v>73.313999999999993</v>
      </c>
      <c r="L414" s="85"/>
      <c r="M414" s="84">
        <f>K414</f>
        <v>73.313999999999993</v>
      </c>
      <c r="N414" s="86">
        <f>L414+M414</f>
        <v>73.313999999999993</v>
      </c>
    </row>
    <row r="415" spans="1:14" x14ac:dyDescent="0.25">
      <c r="A415" s="73"/>
      <c r="B415" s="66" t="s">
        <v>2828</v>
      </c>
      <c r="C415" s="63"/>
      <c r="D415" s="64"/>
      <c r="E415" s="64"/>
      <c r="F415" s="64"/>
      <c r="G415" s="64"/>
      <c r="H415" s="64"/>
      <c r="I415" s="76"/>
      <c r="J415" s="83"/>
      <c r="K415" s="84"/>
      <c r="L415" s="85"/>
      <c r="M415" s="84"/>
      <c r="N415" s="86"/>
    </row>
    <row r="416" spans="1:14" ht="25.5" x14ac:dyDescent="0.25">
      <c r="A416" s="73"/>
      <c r="B416" s="62" t="s">
        <v>2865</v>
      </c>
      <c r="C416" s="63"/>
      <c r="D416" s="64"/>
      <c r="E416" s="64">
        <v>31.3</v>
      </c>
      <c r="F416" s="64">
        <v>0.4</v>
      </c>
      <c r="G416" s="64">
        <v>0.8</v>
      </c>
      <c r="H416" s="64"/>
      <c r="I416" s="76">
        <f t="shared" si="18"/>
        <v>10.016</v>
      </c>
      <c r="J416" s="83"/>
      <c r="K416" s="84"/>
      <c r="L416" s="85"/>
      <c r="M416" s="84"/>
      <c r="N416" s="86"/>
    </row>
    <row r="417" spans="1:14" x14ac:dyDescent="0.25">
      <c r="A417" s="73"/>
      <c r="B417" s="62" t="s">
        <v>2866</v>
      </c>
      <c r="C417" s="63"/>
      <c r="D417" s="64"/>
      <c r="E417" s="64">
        <v>9.3000000000000007</v>
      </c>
      <c r="F417" s="64">
        <v>0.4</v>
      </c>
      <c r="G417" s="64">
        <v>0.8</v>
      </c>
      <c r="H417" s="64"/>
      <c r="I417" s="76">
        <f t="shared" si="18"/>
        <v>2.976</v>
      </c>
      <c r="J417" s="83"/>
      <c r="K417" s="84"/>
      <c r="L417" s="85"/>
      <c r="M417" s="84"/>
      <c r="N417" s="86"/>
    </row>
    <row r="418" spans="1:14" x14ac:dyDescent="0.25">
      <c r="A418" s="73"/>
      <c r="B418" s="62" t="s">
        <v>2867</v>
      </c>
      <c r="C418" s="63"/>
      <c r="D418" s="64"/>
      <c r="E418" s="64">
        <v>5.4</v>
      </c>
      <c r="F418" s="64">
        <v>0.4</v>
      </c>
      <c r="G418" s="64">
        <v>0.8</v>
      </c>
      <c r="H418" s="64"/>
      <c r="I418" s="76">
        <f t="shared" si="18"/>
        <v>1.728</v>
      </c>
      <c r="J418" s="83"/>
      <c r="K418" s="84"/>
      <c r="L418" s="85"/>
      <c r="M418" s="84"/>
      <c r="N418" s="86"/>
    </row>
    <row r="419" spans="1:14" x14ac:dyDescent="0.25">
      <c r="A419" s="73"/>
      <c r="B419" s="62" t="s">
        <v>2868</v>
      </c>
      <c r="C419" s="63"/>
      <c r="D419" s="64"/>
      <c r="E419" s="64">
        <v>16.899999999999999</v>
      </c>
      <c r="F419" s="64">
        <v>0.4</v>
      </c>
      <c r="G419" s="64">
        <v>0.8</v>
      </c>
      <c r="H419" s="64"/>
      <c r="I419" s="76">
        <f t="shared" si="18"/>
        <v>5.4080000000000004</v>
      </c>
      <c r="J419" s="83"/>
      <c r="K419" s="84"/>
      <c r="L419" s="85"/>
      <c r="M419" s="84"/>
      <c r="N419" s="86"/>
    </row>
    <row r="420" spans="1:14" x14ac:dyDescent="0.25">
      <c r="A420" s="73"/>
      <c r="B420" s="62" t="s">
        <v>2869</v>
      </c>
      <c r="C420" s="63"/>
      <c r="D420" s="64"/>
      <c r="E420" s="64">
        <v>7.6</v>
      </c>
      <c r="F420" s="64">
        <v>0.4</v>
      </c>
      <c r="G420" s="64">
        <v>0.8</v>
      </c>
      <c r="H420" s="64"/>
      <c r="I420" s="76">
        <f t="shared" si="18"/>
        <v>2.4319999999999999</v>
      </c>
      <c r="J420" s="83"/>
      <c r="K420" s="84"/>
      <c r="L420" s="85"/>
      <c r="M420" s="84"/>
      <c r="N420" s="86"/>
    </row>
    <row r="421" spans="1:14" x14ac:dyDescent="0.25">
      <c r="A421" s="73"/>
      <c r="B421" s="62" t="s">
        <v>2870</v>
      </c>
      <c r="C421" s="63"/>
      <c r="D421" s="64"/>
      <c r="E421" s="64">
        <v>13.7</v>
      </c>
      <c r="F421" s="64">
        <v>0.4</v>
      </c>
      <c r="G421" s="64">
        <v>0.8</v>
      </c>
      <c r="H421" s="64"/>
      <c r="I421" s="76">
        <f t="shared" si="18"/>
        <v>4.3840000000000003</v>
      </c>
      <c r="J421" s="83"/>
      <c r="K421" s="84"/>
      <c r="L421" s="85"/>
      <c r="M421" s="84"/>
      <c r="N421" s="86"/>
    </row>
    <row r="422" spans="1:14" x14ac:dyDescent="0.25">
      <c r="A422" s="73"/>
      <c r="B422" s="62" t="s">
        <v>2871</v>
      </c>
      <c r="C422" s="63"/>
      <c r="D422" s="64"/>
      <c r="E422" s="64">
        <v>4.4000000000000004</v>
      </c>
      <c r="F422" s="64">
        <v>0.4</v>
      </c>
      <c r="G422" s="64">
        <v>0.8</v>
      </c>
      <c r="H422" s="64"/>
      <c r="I422" s="76">
        <f t="shared" si="18"/>
        <v>1.4079999999999999</v>
      </c>
      <c r="J422" s="83"/>
      <c r="K422" s="84"/>
      <c r="L422" s="85"/>
      <c r="M422" s="84"/>
      <c r="N422" s="86"/>
    </row>
    <row r="423" spans="1:14" x14ac:dyDescent="0.25">
      <c r="A423" s="73"/>
      <c r="B423" s="62" t="s">
        <v>2836</v>
      </c>
      <c r="C423" s="63"/>
      <c r="D423" s="64"/>
      <c r="E423" s="64">
        <v>24.3</v>
      </c>
      <c r="F423" s="64">
        <v>0.4</v>
      </c>
      <c r="G423" s="64">
        <v>0.8</v>
      </c>
      <c r="H423" s="64"/>
      <c r="I423" s="76">
        <f t="shared" si="18"/>
        <v>7.7759999999999998</v>
      </c>
      <c r="J423" s="83"/>
      <c r="K423" s="84"/>
      <c r="L423" s="85"/>
      <c r="M423" s="84"/>
      <c r="N423" s="86"/>
    </row>
    <row r="424" spans="1:14" x14ac:dyDescent="0.25">
      <c r="A424" s="73"/>
      <c r="B424" s="62" t="s">
        <v>2872</v>
      </c>
      <c r="C424" s="63"/>
      <c r="D424" s="64"/>
      <c r="E424" s="64">
        <v>1.7</v>
      </c>
      <c r="F424" s="64">
        <v>0.4</v>
      </c>
      <c r="G424" s="64">
        <v>1.8</v>
      </c>
      <c r="H424" s="64"/>
      <c r="I424" s="76">
        <f t="shared" si="18"/>
        <v>1.224</v>
      </c>
      <c r="J424" s="83"/>
      <c r="K424" s="84"/>
      <c r="L424" s="85"/>
      <c r="M424" s="84"/>
      <c r="N424" s="86"/>
    </row>
    <row r="425" spans="1:14" x14ac:dyDescent="0.25">
      <c r="A425" s="73"/>
      <c r="B425" s="62" t="s">
        <v>2873</v>
      </c>
      <c r="C425" s="63"/>
      <c r="D425" s="64"/>
      <c r="E425" s="64">
        <v>3.9</v>
      </c>
      <c r="F425" s="64">
        <v>0.4</v>
      </c>
      <c r="G425" s="64">
        <v>0.8</v>
      </c>
      <c r="H425" s="64"/>
      <c r="I425" s="76">
        <f t="shared" si="18"/>
        <v>1.248</v>
      </c>
      <c r="J425" s="83"/>
      <c r="K425" s="84"/>
      <c r="L425" s="85"/>
      <c r="M425" s="84"/>
      <c r="N425" s="86"/>
    </row>
    <row r="426" spans="1:14" x14ac:dyDescent="0.25">
      <c r="A426" s="73"/>
      <c r="B426" s="62" t="s">
        <v>2874</v>
      </c>
      <c r="C426" s="63"/>
      <c r="D426" s="64"/>
      <c r="E426" s="64">
        <v>3.5</v>
      </c>
      <c r="F426" s="64">
        <v>0.4</v>
      </c>
      <c r="G426" s="64">
        <v>0.8</v>
      </c>
      <c r="H426" s="64"/>
      <c r="I426" s="76">
        <f t="shared" si="18"/>
        <v>1.1200000000000001</v>
      </c>
      <c r="J426" s="83"/>
      <c r="K426" s="84"/>
      <c r="L426" s="85"/>
      <c r="M426" s="84"/>
      <c r="N426" s="86"/>
    </row>
    <row r="427" spans="1:14" x14ac:dyDescent="0.25">
      <c r="A427" s="73"/>
      <c r="B427" s="62" t="s">
        <v>2875</v>
      </c>
      <c r="C427" s="63"/>
      <c r="D427" s="64"/>
      <c r="E427" s="64">
        <v>2</v>
      </c>
      <c r="F427" s="64">
        <v>0.3</v>
      </c>
      <c r="G427" s="64">
        <v>1.8</v>
      </c>
      <c r="H427" s="64"/>
      <c r="I427" s="76">
        <f t="shared" si="18"/>
        <v>1.08</v>
      </c>
      <c r="J427" s="83"/>
      <c r="K427" s="84"/>
      <c r="L427" s="85"/>
      <c r="M427" s="84"/>
      <c r="N427" s="86"/>
    </row>
    <row r="428" spans="1:14" x14ac:dyDescent="0.25">
      <c r="A428" s="73"/>
      <c r="B428" s="62" t="s">
        <v>2876</v>
      </c>
      <c r="C428" s="63"/>
      <c r="D428" s="64"/>
      <c r="E428" s="64">
        <v>9.4</v>
      </c>
      <c r="F428" s="64">
        <v>0.4</v>
      </c>
      <c r="G428" s="64">
        <v>0.8</v>
      </c>
      <c r="H428" s="64"/>
      <c r="I428" s="76">
        <f t="shared" si="18"/>
        <v>3.008</v>
      </c>
      <c r="J428" s="83"/>
      <c r="K428" s="84"/>
      <c r="L428" s="85"/>
      <c r="M428" s="84"/>
      <c r="N428" s="86"/>
    </row>
    <row r="429" spans="1:14" x14ac:dyDescent="0.25">
      <c r="A429" s="73"/>
      <c r="B429" s="62" t="s">
        <v>2877</v>
      </c>
      <c r="C429" s="63"/>
      <c r="D429" s="64"/>
      <c r="E429" s="64">
        <v>10.3</v>
      </c>
      <c r="F429" s="64">
        <v>0.4</v>
      </c>
      <c r="G429" s="64">
        <v>0.8</v>
      </c>
      <c r="H429" s="64"/>
      <c r="I429" s="76">
        <f t="shared" si="18"/>
        <v>3.2959999999999998</v>
      </c>
      <c r="J429" s="83"/>
      <c r="K429" s="84"/>
      <c r="L429" s="85"/>
      <c r="M429" s="84"/>
      <c r="N429" s="86"/>
    </row>
    <row r="430" spans="1:14" x14ac:dyDescent="0.25">
      <c r="A430" s="73"/>
      <c r="B430" s="62" t="s">
        <v>2878</v>
      </c>
      <c r="C430" s="63"/>
      <c r="D430" s="64"/>
      <c r="E430" s="64">
        <v>11.8</v>
      </c>
      <c r="F430" s="64">
        <v>0.4</v>
      </c>
      <c r="G430" s="64">
        <v>0.8</v>
      </c>
      <c r="H430" s="64"/>
      <c r="I430" s="76">
        <f t="shared" si="18"/>
        <v>3.7759999999999998</v>
      </c>
      <c r="J430" s="83"/>
      <c r="K430" s="84"/>
      <c r="L430" s="85"/>
      <c r="M430" s="84"/>
      <c r="N430" s="86"/>
    </row>
    <row r="431" spans="1:14" x14ac:dyDescent="0.25">
      <c r="A431" s="73"/>
      <c r="B431" s="62" t="s">
        <v>2879</v>
      </c>
      <c r="C431" s="63"/>
      <c r="D431" s="64"/>
      <c r="E431" s="64">
        <v>8.6999999999999993</v>
      </c>
      <c r="F431" s="64">
        <v>0.4</v>
      </c>
      <c r="G431" s="64">
        <v>0.8</v>
      </c>
      <c r="H431" s="64"/>
      <c r="I431" s="76">
        <f t="shared" si="18"/>
        <v>2.7839999999999998</v>
      </c>
      <c r="J431" s="83"/>
      <c r="K431" s="84"/>
      <c r="L431" s="85"/>
      <c r="M431" s="84"/>
      <c r="N431" s="86"/>
    </row>
    <row r="432" spans="1:14" x14ac:dyDescent="0.25">
      <c r="A432" s="73"/>
      <c r="B432" s="62" t="s">
        <v>2880</v>
      </c>
      <c r="C432" s="63"/>
      <c r="D432" s="64"/>
      <c r="E432" s="64">
        <v>13</v>
      </c>
      <c r="F432" s="64">
        <v>0.4</v>
      </c>
      <c r="G432" s="64">
        <v>0.8</v>
      </c>
      <c r="H432" s="64"/>
      <c r="I432" s="76">
        <f t="shared" ref="I432:I495" si="23">ROUND(PRODUCT(D432:H432),3)</f>
        <v>4.16</v>
      </c>
      <c r="J432" s="83"/>
      <c r="K432" s="84"/>
      <c r="L432" s="85"/>
      <c r="M432" s="84"/>
      <c r="N432" s="86"/>
    </row>
    <row r="433" spans="1:14" x14ac:dyDescent="0.25">
      <c r="A433" s="73"/>
      <c r="B433" s="62" t="s">
        <v>2881</v>
      </c>
      <c r="C433" s="63"/>
      <c r="D433" s="64"/>
      <c r="E433" s="64">
        <v>7.15</v>
      </c>
      <c r="F433" s="64">
        <v>0.4</v>
      </c>
      <c r="G433" s="64">
        <v>0.8</v>
      </c>
      <c r="H433" s="64"/>
      <c r="I433" s="76">
        <f t="shared" si="23"/>
        <v>2.2879999999999998</v>
      </c>
      <c r="J433" s="83"/>
      <c r="K433" s="84"/>
      <c r="L433" s="85"/>
      <c r="M433" s="84"/>
      <c r="N433" s="86"/>
    </row>
    <row r="434" spans="1:14" x14ac:dyDescent="0.25">
      <c r="A434" s="73"/>
      <c r="B434" s="62" t="s">
        <v>2882</v>
      </c>
      <c r="C434" s="63"/>
      <c r="D434" s="64"/>
      <c r="E434" s="64">
        <v>8</v>
      </c>
      <c r="F434" s="64">
        <v>0.4</v>
      </c>
      <c r="G434" s="64">
        <v>0.8</v>
      </c>
      <c r="H434" s="64"/>
      <c r="I434" s="76">
        <f t="shared" si="23"/>
        <v>2.56</v>
      </c>
      <c r="J434" s="83"/>
      <c r="K434" s="84"/>
      <c r="L434" s="85"/>
      <c r="M434" s="84"/>
      <c r="N434" s="86"/>
    </row>
    <row r="435" spans="1:14" x14ac:dyDescent="0.25">
      <c r="A435" s="73"/>
      <c r="B435" s="62" t="s">
        <v>2883</v>
      </c>
      <c r="C435" s="63"/>
      <c r="D435" s="64"/>
      <c r="E435" s="64">
        <v>17.899999999999999</v>
      </c>
      <c r="F435" s="64">
        <v>0.4</v>
      </c>
      <c r="G435" s="64">
        <v>0.8</v>
      </c>
      <c r="H435" s="64"/>
      <c r="I435" s="76">
        <f t="shared" si="23"/>
        <v>5.7279999999999998</v>
      </c>
      <c r="J435" s="83"/>
      <c r="K435" s="84"/>
      <c r="L435" s="85"/>
      <c r="M435" s="84"/>
      <c r="N435" s="86"/>
    </row>
    <row r="436" spans="1:14" x14ac:dyDescent="0.25">
      <c r="A436" s="73"/>
      <c r="B436" s="62" t="s">
        <v>2884</v>
      </c>
      <c r="C436" s="63"/>
      <c r="D436" s="64">
        <v>2</v>
      </c>
      <c r="E436" s="64">
        <v>3.1</v>
      </c>
      <c r="F436" s="64">
        <v>0.3</v>
      </c>
      <c r="G436" s="64">
        <v>0.5</v>
      </c>
      <c r="H436" s="64"/>
      <c r="I436" s="76">
        <f t="shared" si="23"/>
        <v>0.93</v>
      </c>
      <c r="J436" s="83"/>
      <c r="K436" s="84"/>
      <c r="L436" s="85"/>
      <c r="M436" s="84"/>
      <c r="N436" s="86"/>
    </row>
    <row r="437" spans="1:14" x14ac:dyDescent="0.25">
      <c r="A437" s="73"/>
      <c r="B437" s="66" t="s">
        <v>2934</v>
      </c>
      <c r="C437" s="63"/>
      <c r="D437" s="64"/>
      <c r="E437" s="64"/>
      <c r="F437" s="64"/>
      <c r="G437" s="64"/>
      <c r="H437" s="64"/>
      <c r="I437" s="76"/>
      <c r="J437" s="83"/>
      <c r="K437" s="84"/>
      <c r="L437" s="85"/>
      <c r="M437" s="84"/>
      <c r="N437" s="86"/>
    </row>
    <row r="438" spans="1:14" x14ac:dyDescent="0.25">
      <c r="A438" s="73"/>
      <c r="B438" s="62" t="s">
        <v>2935</v>
      </c>
      <c r="C438" s="63"/>
      <c r="D438" s="64">
        <v>2</v>
      </c>
      <c r="E438" s="64">
        <v>2.6949999999999998</v>
      </c>
      <c r="F438" s="64">
        <v>0.3</v>
      </c>
      <c r="G438" s="64">
        <v>1.1000000000000001</v>
      </c>
      <c r="H438" s="64"/>
      <c r="I438" s="76">
        <f t="shared" si="23"/>
        <v>1.7789999999999999</v>
      </c>
      <c r="J438" s="83"/>
      <c r="K438" s="84"/>
      <c r="L438" s="85"/>
      <c r="M438" s="84"/>
      <c r="N438" s="86"/>
    </row>
    <row r="439" spans="1:14" x14ac:dyDescent="0.25">
      <c r="A439" s="73"/>
      <c r="B439" s="62" t="s">
        <v>2936</v>
      </c>
      <c r="C439" s="63"/>
      <c r="D439" s="64">
        <v>2</v>
      </c>
      <c r="E439" s="64">
        <v>7.35</v>
      </c>
      <c r="F439" s="64">
        <v>0.3</v>
      </c>
      <c r="G439" s="64">
        <v>0.5</v>
      </c>
      <c r="H439" s="64"/>
      <c r="I439" s="76">
        <f t="shared" si="23"/>
        <v>2.2050000000000001</v>
      </c>
      <c r="J439" s="83"/>
      <c r="K439" s="84"/>
      <c r="L439" s="85"/>
      <c r="M439" s="84"/>
      <c r="N439" s="86"/>
    </row>
    <row r="440" spans="1:14" x14ac:dyDescent="0.25">
      <c r="A440" s="73">
        <v>15</v>
      </c>
      <c r="B440" s="65" t="s">
        <v>71</v>
      </c>
      <c r="C440" s="63" t="s">
        <v>61</v>
      </c>
      <c r="D440" s="64"/>
      <c r="E440" s="64"/>
      <c r="F440" s="64"/>
      <c r="G440" s="64"/>
      <c r="H440" s="64"/>
      <c r="I440" s="76">
        <f>SUM(I441:I465)</f>
        <v>2.7889999999999997</v>
      </c>
      <c r="J440" s="83" t="e">
        <f>PL03a!#REF!</f>
        <v>#REF!</v>
      </c>
      <c r="K440" s="84">
        <f t="shared" ref="K440" si="24">I440</f>
        <v>2.7889999999999997</v>
      </c>
      <c r="L440" s="85"/>
      <c r="M440" s="84">
        <f>K440</f>
        <v>2.7889999999999997</v>
      </c>
      <c r="N440" s="86">
        <f>L440+M440</f>
        <v>2.7889999999999997</v>
      </c>
    </row>
    <row r="441" spans="1:14" x14ac:dyDescent="0.25">
      <c r="A441" s="73"/>
      <c r="B441" s="66" t="s">
        <v>2828</v>
      </c>
      <c r="C441" s="63"/>
      <c r="D441" s="64"/>
      <c r="E441" s="64"/>
      <c r="F441" s="64"/>
      <c r="G441" s="64"/>
      <c r="H441" s="64"/>
      <c r="I441" s="76"/>
      <c r="J441" s="83"/>
      <c r="K441" s="84"/>
      <c r="L441" s="85"/>
      <c r="M441" s="84"/>
      <c r="N441" s="86"/>
    </row>
    <row r="442" spans="1:14" ht="25.5" x14ac:dyDescent="0.25">
      <c r="A442" s="73"/>
      <c r="B442" s="62" t="s">
        <v>2865</v>
      </c>
      <c r="C442" s="63"/>
      <c r="D442" s="64"/>
      <c r="E442" s="64">
        <v>31.3</v>
      </c>
      <c r="F442" s="64">
        <v>1.3</v>
      </c>
      <c r="G442" s="64"/>
      <c r="H442" s="64">
        <v>0.01</v>
      </c>
      <c r="I442" s="76">
        <f t="shared" si="23"/>
        <v>0.40699999999999997</v>
      </c>
      <c r="J442" s="83"/>
      <c r="K442" s="84"/>
      <c r="L442" s="85"/>
      <c r="M442" s="84"/>
      <c r="N442" s="86"/>
    </row>
    <row r="443" spans="1:14" x14ac:dyDescent="0.25">
      <c r="A443" s="73"/>
      <c r="B443" s="62" t="s">
        <v>2866</v>
      </c>
      <c r="C443" s="63"/>
      <c r="D443" s="64"/>
      <c r="E443" s="64">
        <v>9.3000000000000007</v>
      </c>
      <c r="F443" s="64">
        <v>1</v>
      </c>
      <c r="G443" s="64"/>
      <c r="H443" s="64">
        <v>0.01</v>
      </c>
      <c r="I443" s="76">
        <f t="shared" si="23"/>
        <v>9.2999999999999999E-2</v>
      </c>
      <c r="J443" s="83"/>
      <c r="K443" s="84"/>
      <c r="L443" s="85"/>
      <c r="M443" s="84"/>
      <c r="N443" s="86"/>
    </row>
    <row r="444" spans="1:14" x14ac:dyDescent="0.25">
      <c r="A444" s="73"/>
      <c r="B444" s="62" t="s">
        <v>2867</v>
      </c>
      <c r="C444" s="63"/>
      <c r="D444" s="64"/>
      <c r="E444" s="64">
        <v>5.4</v>
      </c>
      <c r="F444" s="64">
        <v>1</v>
      </c>
      <c r="G444" s="64"/>
      <c r="H444" s="64">
        <v>0.01</v>
      </c>
      <c r="I444" s="76">
        <f t="shared" si="23"/>
        <v>5.3999999999999999E-2</v>
      </c>
      <c r="J444" s="83"/>
      <c r="K444" s="84"/>
      <c r="L444" s="85"/>
      <c r="M444" s="84"/>
      <c r="N444" s="86"/>
    </row>
    <row r="445" spans="1:14" x14ac:dyDescent="0.25">
      <c r="A445" s="73"/>
      <c r="B445" s="62" t="s">
        <v>2868</v>
      </c>
      <c r="C445" s="63"/>
      <c r="D445" s="64"/>
      <c r="E445" s="64">
        <v>16.899999999999999</v>
      </c>
      <c r="F445" s="64">
        <v>1</v>
      </c>
      <c r="G445" s="64"/>
      <c r="H445" s="64">
        <v>0.01</v>
      </c>
      <c r="I445" s="76">
        <f t="shared" si="23"/>
        <v>0.16900000000000001</v>
      </c>
      <c r="J445" s="83"/>
      <c r="K445" s="84"/>
      <c r="L445" s="85"/>
      <c r="M445" s="84"/>
      <c r="N445" s="86"/>
    </row>
    <row r="446" spans="1:14" x14ac:dyDescent="0.25">
      <c r="A446" s="73"/>
      <c r="B446" s="62" t="s">
        <v>2869</v>
      </c>
      <c r="C446" s="63"/>
      <c r="D446" s="64"/>
      <c r="E446" s="64">
        <v>7.6</v>
      </c>
      <c r="F446" s="64">
        <v>1</v>
      </c>
      <c r="G446" s="64"/>
      <c r="H446" s="64">
        <v>0.01</v>
      </c>
      <c r="I446" s="76">
        <f t="shared" si="23"/>
        <v>7.5999999999999998E-2</v>
      </c>
      <c r="J446" s="83"/>
      <c r="K446" s="84"/>
      <c r="L446" s="85"/>
      <c r="M446" s="84"/>
      <c r="N446" s="86"/>
    </row>
    <row r="447" spans="1:14" x14ac:dyDescent="0.25">
      <c r="A447" s="73"/>
      <c r="B447" s="62" t="s">
        <v>2870</v>
      </c>
      <c r="C447" s="63"/>
      <c r="D447" s="64"/>
      <c r="E447" s="64">
        <v>13.7</v>
      </c>
      <c r="F447" s="64">
        <v>1</v>
      </c>
      <c r="G447" s="64"/>
      <c r="H447" s="64">
        <v>0.01</v>
      </c>
      <c r="I447" s="76">
        <f t="shared" si="23"/>
        <v>0.13700000000000001</v>
      </c>
      <c r="J447" s="83"/>
      <c r="K447" s="84"/>
      <c r="L447" s="85"/>
      <c r="M447" s="84"/>
      <c r="N447" s="86"/>
    </row>
    <row r="448" spans="1:14" x14ac:dyDescent="0.25">
      <c r="A448" s="73"/>
      <c r="B448" s="62" t="s">
        <v>2871</v>
      </c>
      <c r="C448" s="63"/>
      <c r="D448" s="64"/>
      <c r="E448" s="64">
        <v>4.4000000000000004</v>
      </c>
      <c r="F448" s="64">
        <v>1</v>
      </c>
      <c r="G448" s="64"/>
      <c r="H448" s="64">
        <v>0.01</v>
      </c>
      <c r="I448" s="76">
        <f t="shared" si="23"/>
        <v>4.3999999999999997E-2</v>
      </c>
      <c r="J448" s="83"/>
      <c r="K448" s="84"/>
      <c r="L448" s="85"/>
      <c r="M448" s="84"/>
      <c r="N448" s="86"/>
    </row>
    <row r="449" spans="1:14" x14ac:dyDescent="0.25">
      <c r="A449" s="73"/>
      <c r="B449" s="62" t="s">
        <v>2836</v>
      </c>
      <c r="C449" s="63"/>
      <c r="D449" s="64"/>
      <c r="E449" s="64">
        <v>24.3</v>
      </c>
      <c r="F449" s="64">
        <v>1.3</v>
      </c>
      <c r="G449" s="64"/>
      <c r="H449" s="64">
        <v>0.01</v>
      </c>
      <c r="I449" s="76">
        <f t="shared" si="23"/>
        <v>0.316</v>
      </c>
      <c r="J449" s="83"/>
      <c r="K449" s="84"/>
      <c r="L449" s="85"/>
      <c r="M449" s="84"/>
      <c r="N449" s="86"/>
    </row>
    <row r="450" spans="1:14" x14ac:dyDescent="0.25">
      <c r="A450" s="73"/>
      <c r="B450" s="62" t="s">
        <v>2872</v>
      </c>
      <c r="C450" s="63"/>
      <c r="D450" s="64"/>
      <c r="E450" s="64">
        <v>1.7</v>
      </c>
      <c r="F450" s="64">
        <v>3</v>
      </c>
      <c r="G450" s="64"/>
      <c r="H450" s="64">
        <v>0.01</v>
      </c>
      <c r="I450" s="76">
        <f t="shared" si="23"/>
        <v>5.0999999999999997E-2</v>
      </c>
      <c r="J450" s="83"/>
      <c r="K450" s="84"/>
      <c r="L450" s="85"/>
      <c r="M450" s="84"/>
      <c r="N450" s="86"/>
    </row>
    <row r="451" spans="1:14" x14ac:dyDescent="0.25">
      <c r="A451" s="73"/>
      <c r="B451" s="62" t="s">
        <v>2873</v>
      </c>
      <c r="C451" s="63"/>
      <c r="D451" s="64"/>
      <c r="E451" s="64">
        <v>3.9</v>
      </c>
      <c r="F451" s="64">
        <v>1.3</v>
      </c>
      <c r="G451" s="64"/>
      <c r="H451" s="64">
        <v>0.01</v>
      </c>
      <c r="I451" s="76">
        <f t="shared" si="23"/>
        <v>5.0999999999999997E-2</v>
      </c>
      <c r="J451" s="83"/>
      <c r="K451" s="84"/>
      <c r="L451" s="85"/>
      <c r="M451" s="84"/>
      <c r="N451" s="86"/>
    </row>
    <row r="452" spans="1:14" x14ac:dyDescent="0.25">
      <c r="A452" s="73"/>
      <c r="B452" s="62" t="s">
        <v>2874</v>
      </c>
      <c r="C452" s="63"/>
      <c r="D452" s="64"/>
      <c r="E452" s="64">
        <v>3.5</v>
      </c>
      <c r="F452" s="64">
        <v>1</v>
      </c>
      <c r="G452" s="64"/>
      <c r="H452" s="64">
        <v>0.01</v>
      </c>
      <c r="I452" s="76">
        <f t="shared" si="23"/>
        <v>3.5000000000000003E-2</v>
      </c>
      <c r="J452" s="83"/>
      <c r="K452" s="84"/>
      <c r="L452" s="85"/>
      <c r="M452" s="84"/>
      <c r="N452" s="86"/>
    </row>
    <row r="453" spans="1:14" x14ac:dyDescent="0.25">
      <c r="A453" s="73"/>
      <c r="B453" s="62" t="s">
        <v>2875</v>
      </c>
      <c r="C453" s="63"/>
      <c r="D453" s="64"/>
      <c r="E453" s="64">
        <v>2</v>
      </c>
      <c r="F453" s="64">
        <v>3</v>
      </c>
      <c r="G453" s="64"/>
      <c r="H453" s="64">
        <v>0.01</v>
      </c>
      <c r="I453" s="76">
        <f t="shared" si="23"/>
        <v>0.06</v>
      </c>
      <c r="J453" s="83"/>
      <c r="K453" s="84"/>
      <c r="L453" s="85"/>
      <c r="M453" s="84"/>
      <c r="N453" s="86"/>
    </row>
    <row r="454" spans="1:14" x14ac:dyDescent="0.25">
      <c r="A454" s="73"/>
      <c r="B454" s="62" t="s">
        <v>2876</v>
      </c>
      <c r="C454" s="63"/>
      <c r="D454" s="64"/>
      <c r="E454" s="64">
        <v>9.4</v>
      </c>
      <c r="F454" s="64">
        <v>1.3</v>
      </c>
      <c r="G454" s="64"/>
      <c r="H454" s="64">
        <v>0.01</v>
      </c>
      <c r="I454" s="76">
        <f t="shared" si="23"/>
        <v>0.122</v>
      </c>
      <c r="J454" s="83"/>
      <c r="K454" s="84"/>
      <c r="L454" s="85"/>
      <c r="M454" s="84"/>
      <c r="N454" s="86"/>
    </row>
    <row r="455" spans="1:14" x14ac:dyDescent="0.25">
      <c r="A455" s="73"/>
      <c r="B455" s="62" t="s">
        <v>2877</v>
      </c>
      <c r="C455" s="63"/>
      <c r="D455" s="64"/>
      <c r="E455" s="64">
        <v>10.3</v>
      </c>
      <c r="F455" s="64">
        <v>1</v>
      </c>
      <c r="G455" s="64"/>
      <c r="H455" s="64">
        <v>0.01</v>
      </c>
      <c r="I455" s="76">
        <f t="shared" si="23"/>
        <v>0.10299999999999999</v>
      </c>
      <c r="J455" s="83"/>
      <c r="K455" s="84"/>
      <c r="L455" s="85"/>
      <c r="M455" s="84"/>
      <c r="N455" s="86"/>
    </row>
    <row r="456" spans="1:14" x14ac:dyDescent="0.25">
      <c r="A456" s="73"/>
      <c r="B456" s="62" t="s">
        <v>2878</v>
      </c>
      <c r="C456" s="63"/>
      <c r="D456" s="64"/>
      <c r="E456" s="64">
        <v>11.8</v>
      </c>
      <c r="F456" s="64">
        <v>1</v>
      </c>
      <c r="G456" s="64"/>
      <c r="H456" s="64">
        <v>0.01</v>
      </c>
      <c r="I456" s="76">
        <f t="shared" si="23"/>
        <v>0.11799999999999999</v>
      </c>
      <c r="J456" s="83"/>
      <c r="K456" s="84"/>
      <c r="L456" s="85"/>
      <c r="M456" s="84"/>
      <c r="N456" s="86"/>
    </row>
    <row r="457" spans="1:14" x14ac:dyDescent="0.25">
      <c r="A457" s="73"/>
      <c r="B457" s="62" t="s">
        <v>2879</v>
      </c>
      <c r="C457" s="63"/>
      <c r="D457" s="64"/>
      <c r="E457" s="64">
        <v>8.6999999999999993</v>
      </c>
      <c r="F457" s="64">
        <v>1</v>
      </c>
      <c r="G457" s="64"/>
      <c r="H457" s="64">
        <v>0.01</v>
      </c>
      <c r="I457" s="76">
        <f t="shared" si="23"/>
        <v>8.6999999999999994E-2</v>
      </c>
      <c r="J457" s="83"/>
      <c r="K457" s="84"/>
      <c r="L457" s="85"/>
      <c r="M457" s="84"/>
      <c r="N457" s="86"/>
    </row>
    <row r="458" spans="1:14" x14ac:dyDescent="0.25">
      <c r="A458" s="73"/>
      <c r="B458" s="62" t="s">
        <v>2880</v>
      </c>
      <c r="C458" s="63"/>
      <c r="D458" s="64"/>
      <c r="E458" s="64">
        <v>13</v>
      </c>
      <c r="F458" s="64">
        <v>1</v>
      </c>
      <c r="G458" s="64"/>
      <c r="H458" s="64">
        <v>0.01</v>
      </c>
      <c r="I458" s="76">
        <f t="shared" si="23"/>
        <v>0.13</v>
      </c>
      <c r="J458" s="83"/>
      <c r="K458" s="84"/>
      <c r="L458" s="85"/>
      <c r="M458" s="84"/>
      <c r="N458" s="86"/>
    </row>
    <row r="459" spans="1:14" x14ac:dyDescent="0.25">
      <c r="A459" s="73"/>
      <c r="B459" s="62" t="s">
        <v>2881</v>
      </c>
      <c r="C459" s="63"/>
      <c r="D459" s="64"/>
      <c r="E459" s="64">
        <v>7.15</v>
      </c>
      <c r="F459" s="64">
        <v>1</v>
      </c>
      <c r="G459" s="64"/>
      <c r="H459" s="64">
        <v>0.01</v>
      </c>
      <c r="I459" s="76">
        <f t="shared" si="23"/>
        <v>7.1999999999999995E-2</v>
      </c>
      <c r="J459" s="83"/>
      <c r="K459" s="84"/>
      <c r="L459" s="85"/>
      <c r="M459" s="84"/>
      <c r="N459" s="86"/>
    </row>
    <row r="460" spans="1:14" x14ac:dyDescent="0.25">
      <c r="A460" s="73"/>
      <c r="B460" s="62" t="s">
        <v>2882</v>
      </c>
      <c r="C460" s="63"/>
      <c r="D460" s="64"/>
      <c r="E460" s="64">
        <v>8</v>
      </c>
      <c r="F460" s="64">
        <v>1</v>
      </c>
      <c r="G460" s="64"/>
      <c r="H460" s="64">
        <v>0.01</v>
      </c>
      <c r="I460" s="76">
        <f t="shared" si="23"/>
        <v>0.08</v>
      </c>
      <c r="J460" s="83"/>
      <c r="K460" s="84"/>
      <c r="L460" s="85"/>
      <c r="M460" s="84"/>
      <c r="N460" s="86"/>
    </row>
    <row r="461" spans="1:14" x14ac:dyDescent="0.25">
      <c r="A461" s="73"/>
      <c r="B461" s="62" t="s">
        <v>2883</v>
      </c>
      <c r="C461" s="63"/>
      <c r="D461" s="64"/>
      <c r="E461" s="64">
        <v>17.899999999999999</v>
      </c>
      <c r="F461" s="64">
        <v>1.3</v>
      </c>
      <c r="G461" s="64"/>
      <c r="H461" s="64">
        <v>0.01</v>
      </c>
      <c r="I461" s="76">
        <f t="shared" si="23"/>
        <v>0.23300000000000001</v>
      </c>
      <c r="J461" s="83"/>
      <c r="K461" s="84"/>
      <c r="L461" s="85"/>
      <c r="M461" s="84"/>
      <c r="N461" s="86"/>
    </row>
    <row r="462" spans="1:14" x14ac:dyDescent="0.25">
      <c r="A462" s="73"/>
      <c r="B462" s="62" t="s">
        <v>2884</v>
      </c>
      <c r="C462" s="63"/>
      <c r="D462" s="64">
        <v>2</v>
      </c>
      <c r="E462" s="64">
        <v>3.1</v>
      </c>
      <c r="F462" s="64">
        <v>0.4</v>
      </c>
      <c r="G462" s="64"/>
      <c r="H462" s="64">
        <v>0.01</v>
      </c>
      <c r="I462" s="76">
        <f t="shared" si="23"/>
        <v>2.5000000000000001E-2</v>
      </c>
      <c r="J462" s="83"/>
      <c r="K462" s="84"/>
      <c r="L462" s="85"/>
      <c r="M462" s="84"/>
      <c r="N462" s="86"/>
    </row>
    <row r="463" spans="1:14" x14ac:dyDescent="0.25">
      <c r="A463" s="73"/>
      <c r="B463" s="66" t="s">
        <v>2934</v>
      </c>
      <c r="C463" s="63"/>
      <c r="D463" s="64"/>
      <c r="E463" s="64"/>
      <c r="F463" s="64"/>
      <c r="G463" s="64"/>
      <c r="H463" s="64"/>
      <c r="I463" s="76"/>
      <c r="J463" s="83"/>
      <c r="K463" s="84"/>
      <c r="L463" s="85"/>
      <c r="M463" s="84"/>
      <c r="N463" s="86"/>
    </row>
    <row r="464" spans="1:14" x14ac:dyDescent="0.25">
      <c r="A464" s="73"/>
      <c r="B464" s="62" t="s">
        <v>2935</v>
      </c>
      <c r="C464" s="63"/>
      <c r="D464" s="64">
        <v>2</v>
      </c>
      <c r="E464" s="64">
        <v>2.6949999999999998</v>
      </c>
      <c r="F464" s="64">
        <v>2.5</v>
      </c>
      <c r="G464" s="64"/>
      <c r="H464" s="64">
        <v>0.01</v>
      </c>
      <c r="I464" s="76">
        <f t="shared" si="23"/>
        <v>0.13500000000000001</v>
      </c>
      <c r="J464" s="83"/>
      <c r="K464" s="84"/>
      <c r="L464" s="85"/>
      <c r="M464" s="84"/>
      <c r="N464" s="86"/>
    </row>
    <row r="465" spans="1:14" x14ac:dyDescent="0.25">
      <c r="A465" s="73"/>
      <c r="B465" s="62" t="s">
        <v>2936</v>
      </c>
      <c r="C465" s="63"/>
      <c r="D465" s="64">
        <v>2</v>
      </c>
      <c r="E465" s="64">
        <v>7.35</v>
      </c>
      <c r="F465" s="64">
        <v>1.3</v>
      </c>
      <c r="G465" s="64"/>
      <c r="H465" s="64">
        <v>0.01</v>
      </c>
      <c r="I465" s="76">
        <f t="shared" si="23"/>
        <v>0.191</v>
      </c>
      <c r="J465" s="83"/>
      <c r="K465" s="84"/>
      <c r="L465" s="85"/>
      <c r="M465" s="84"/>
      <c r="N465" s="86"/>
    </row>
    <row r="466" spans="1:14" x14ac:dyDescent="0.25">
      <c r="A466" s="73">
        <v>16</v>
      </c>
      <c r="B466" s="65" t="s">
        <v>73</v>
      </c>
      <c r="C466" s="63" t="s">
        <v>32</v>
      </c>
      <c r="D466" s="64"/>
      <c r="E466" s="64"/>
      <c r="F466" s="64"/>
      <c r="G466" s="64"/>
      <c r="H466" s="64"/>
      <c r="I466" s="76">
        <f>SUM(I467:I468)</f>
        <v>3.2170000000000001</v>
      </c>
      <c r="J466" s="83" t="e">
        <f>PL03a!#REF!</f>
        <v>#REF!</v>
      </c>
      <c r="K466" s="84">
        <f t="shared" ref="K466" si="25">I466</f>
        <v>3.2170000000000001</v>
      </c>
      <c r="L466" s="85"/>
      <c r="M466" s="84">
        <f>K466</f>
        <v>3.2170000000000001</v>
      </c>
      <c r="N466" s="86">
        <f>L466+M466</f>
        <v>3.2170000000000001</v>
      </c>
    </row>
    <row r="467" spans="1:14" x14ac:dyDescent="0.25">
      <c r="A467" s="73"/>
      <c r="B467" s="62" t="s">
        <v>2937</v>
      </c>
      <c r="C467" s="63"/>
      <c r="D467" s="64"/>
      <c r="E467" s="64">
        <v>2715.81</v>
      </c>
      <c r="F467" s="64"/>
      <c r="G467" s="64"/>
      <c r="H467" s="64">
        <v>1E-3</v>
      </c>
      <c r="I467" s="76">
        <f t="shared" si="23"/>
        <v>2.7160000000000002</v>
      </c>
      <c r="J467" s="83"/>
      <c r="K467" s="84"/>
      <c r="L467" s="85"/>
      <c r="M467" s="84"/>
      <c r="N467" s="86"/>
    </row>
    <row r="468" spans="1:14" x14ac:dyDescent="0.25">
      <c r="A468" s="73"/>
      <c r="B468" s="62" t="s">
        <v>2938</v>
      </c>
      <c r="C468" s="63"/>
      <c r="D468" s="64"/>
      <c r="E468" s="64">
        <v>500.81</v>
      </c>
      <c r="F468" s="64"/>
      <c r="G468" s="64"/>
      <c r="H468" s="64">
        <v>1E-3</v>
      </c>
      <c r="I468" s="76">
        <f t="shared" si="23"/>
        <v>0.501</v>
      </c>
      <c r="J468" s="83"/>
      <c r="K468" s="84"/>
      <c r="L468" s="85"/>
      <c r="M468" s="84"/>
      <c r="N468" s="86"/>
    </row>
    <row r="469" spans="1:14" x14ac:dyDescent="0.25">
      <c r="A469" s="73">
        <v>17</v>
      </c>
      <c r="B469" s="65" t="s">
        <v>75</v>
      </c>
      <c r="C469" s="63" t="s">
        <v>32</v>
      </c>
      <c r="D469" s="64"/>
      <c r="E469" s="64"/>
      <c r="F469" s="64"/>
      <c r="G469" s="64"/>
      <c r="H469" s="64"/>
      <c r="I469" s="76">
        <f>SUM(I470:I471)</f>
        <v>2.7709999999999999</v>
      </c>
      <c r="J469" s="83" t="e">
        <f>PL03a!#REF!</f>
        <v>#REF!</v>
      </c>
      <c r="K469" s="84">
        <f t="shared" ref="K469" si="26">I469</f>
        <v>2.7709999999999999</v>
      </c>
      <c r="L469" s="85"/>
      <c r="M469" s="84">
        <f>K469</f>
        <v>2.7709999999999999</v>
      </c>
      <c r="N469" s="86">
        <f>L469+M469</f>
        <v>2.7709999999999999</v>
      </c>
    </row>
    <row r="470" spans="1:14" x14ac:dyDescent="0.25">
      <c r="A470" s="73"/>
      <c r="B470" s="62" t="s">
        <v>2932</v>
      </c>
      <c r="C470" s="63"/>
      <c r="D470" s="64"/>
      <c r="E470" s="64">
        <v>801.96</v>
      </c>
      <c r="F470" s="64"/>
      <c r="G470" s="64"/>
      <c r="H470" s="64">
        <v>1E-3</v>
      </c>
      <c r="I470" s="76">
        <f t="shared" si="23"/>
        <v>0.80200000000000005</v>
      </c>
      <c r="J470" s="83"/>
      <c r="K470" s="84"/>
      <c r="L470" s="85"/>
      <c r="M470" s="84"/>
      <c r="N470" s="86"/>
    </row>
    <row r="471" spans="1:14" x14ac:dyDescent="0.25">
      <c r="A471" s="73"/>
      <c r="B471" s="62" t="s">
        <v>2938</v>
      </c>
      <c r="C471" s="63"/>
      <c r="D471" s="64"/>
      <c r="E471" s="64">
        <v>1969.35</v>
      </c>
      <c r="F471" s="64"/>
      <c r="G471" s="64"/>
      <c r="H471" s="64">
        <v>1E-3</v>
      </c>
      <c r="I471" s="76">
        <f t="shared" si="23"/>
        <v>1.9690000000000001</v>
      </c>
      <c r="J471" s="83"/>
      <c r="K471" s="84"/>
      <c r="L471" s="85"/>
      <c r="M471" s="84"/>
      <c r="N471" s="86"/>
    </row>
    <row r="472" spans="1:14" x14ac:dyDescent="0.25">
      <c r="A472" s="73">
        <v>18</v>
      </c>
      <c r="B472" s="65" t="s">
        <v>77</v>
      </c>
      <c r="C472" s="63" t="s">
        <v>32</v>
      </c>
      <c r="D472" s="64"/>
      <c r="E472" s="64"/>
      <c r="F472" s="64"/>
      <c r="G472" s="64"/>
      <c r="H472" s="64"/>
      <c r="I472" s="76">
        <f>SUM(I473:I474)</f>
        <v>12.622</v>
      </c>
      <c r="J472" s="83" t="e">
        <f>PL03a!#REF!</f>
        <v>#REF!</v>
      </c>
      <c r="K472" s="84">
        <f t="shared" ref="K472" si="27">I472</f>
        <v>12.622</v>
      </c>
      <c r="L472" s="85"/>
      <c r="M472" s="84">
        <f>K472</f>
        <v>12.622</v>
      </c>
      <c r="N472" s="86">
        <f>L472+M472</f>
        <v>12.622</v>
      </c>
    </row>
    <row r="473" spans="1:14" x14ac:dyDescent="0.25">
      <c r="A473" s="73"/>
      <c r="B473" s="62" t="s">
        <v>2933</v>
      </c>
      <c r="C473" s="63"/>
      <c r="D473" s="64"/>
      <c r="E473" s="64">
        <v>12132.25</v>
      </c>
      <c r="F473" s="64"/>
      <c r="G473" s="64"/>
      <c r="H473" s="64">
        <v>1E-3</v>
      </c>
      <c r="I473" s="76">
        <f t="shared" si="23"/>
        <v>12.132</v>
      </c>
      <c r="J473" s="83"/>
      <c r="K473" s="84"/>
      <c r="L473" s="85"/>
      <c r="M473" s="84"/>
      <c r="N473" s="86"/>
    </row>
    <row r="474" spans="1:14" x14ac:dyDescent="0.25">
      <c r="A474" s="73"/>
      <c r="B474" s="62" t="s">
        <v>2938</v>
      </c>
      <c r="C474" s="63"/>
      <c r="D474" s="64"/>
      <c r="E474" s="64">
        <v>490.36</v>
      </c>
      <c r="F474" s="64"/>
      <c r="G474" s="64"/>
      <c r="H474" s="64">
        <v>1E-3</v>
      </c>
      <c r="I474" s="76">
        <f t="shared" si="23"/>
        <v>0.49</v>
      </c>
      <c r="J474" s="83"/>
      <c r="K474" s="84"/>
      <c r="L474" s="85"/>
      <c r="M474" s="84"/>
      <c r="N474" s="86"/>
    </row>
    <row r="475" spans="1:14" ht="38.25" x14ac:dyDescent="0.25">
      <c r="A475" s="73">
        <v>19</v>
      </c>
      <c r="B475" s="65" t="s">
        <v>79</v>
      </c>
      <c r="C475" s="63" t="s">
        <v>37</v>
      </c>
      <c r="D475" s="64"/>
      <c r="E475" s="64"/>
      <c r="F475" s="64"/>
      <c r="G475" s="64"/>
      <c r="H475" s="64"/>
      <c r="I475" s="76">
        <f>SUM(I476:I549)</f>
        <v>288.08200000000005</v>
      </c>
      <c r="J475" s="83" t="e">
        <f>PL03a!#REF!</f>
        <v>#REF!</v>
      </c>
      <c r="K475" s="84">
        <f t="shared" ref="K475" si="28">I475</f>
        <v>288.08200000000005</v>
      </c>
      <c r="L475" s="85"/>
      <c r="M475" s="84">
        <f>K475</f>
        <v>288.08200000000005</v>
      </c>
      <c r="N475" s="86">
        <f>L475+M475</f>
        <v>288.08200000000005</v>
      </c>
    </row>
    <row r="476" spans="1:14" x14ac:dyDescent="0.25">
      <c r="A476" s="73"/>
      <c r="B476" s="66" t="s">
        <v>2939</v>
      </c>
      <c r="C476" s="63"/>
      <c r="D476" s="64"/>
      <c r="E476" s="64"/>
      <c r="F476" s="64"/>
      <c r="G476" s="64"/>
      <c r="H476" s="64"/>
      <c r="I476" s="76"/>
      <c r="J476" s="83"/>
      <c r="K476" s="84"/>
      <c r="L476" s="85"/>
      <c r="M476" s="84"/>
      <c r="N476" s="86"/>
    </row>
    <row r="477" spans="1:14" x14ac:dyDescent="0.25">
      <c r="A477" s="73"/>
      <c r="B477" s="62" t="s">
        <v>2886</v>
      </c>
      <c r="C477" s="63"/>
      <c r="D477" s="64"/>
      <c r="E477" s="64">
        <v>24.7</v>
      </c>
      <c r="F477" s="64">
        <v>53.7</v>
      </c>
      <c r="G477" s="64">
        <v>0.3</v>
      </c>
      <c r="H477" s="64"/>
      <c r="I477" s="76">
        <f t="shared" si="23"/>
        <v>397.91699999999997</v>
      </c>
      <c r="J477" s="83"/>
      <c r="K477" s="84"/>
      <c r="L477" s="85"/>
      <c r="M477" s="84"/>
      <c r="N477" s="86"/>
    </row>
    <row r="478" spans="1:14" x14ac:dyDescent="0.25">
      <c r="A478" s="73"/>
      <c r="B478" s="62" t="s">
        <v>2940</v>
      </c>
      <c r="C478" s="63"/>
      <c r="D478" s="64"/>
      <c r="E478" s="64">
        <v>7.4</v>
      </c>
      <c r="F478" s="64">
        <v>0.9</v>
      </c>
      <c r="G478" s="64">
        <v>0.2</v>
      </c>
      <c r="H478" s="64"/>
      <c r="I478" s="76">
        <f t="shared" si="23"/>
        <v>1.3320000000000001</v>
      </c>
      <c r="J478" s="83"/>
      <c r="K478" s="84"/>
      <c r="L478" s="85"/>
      <c r="M478" s="84"/>
      <c r="N478" s="86"/>
    </row>
    <row r="479" spans="1:14" x14ac:dyDescent="0.25">
      <c r="A479" s="73"/>
      <c r="B479" s="66" t="s">
        <v>2941</v>
      </c>
      <c r="C479" s="63"/>
      <c r="D479" s="64"/>
      <c r="E479" s="64"/>
      <c r="F479" s="64"/>
      <c r="G479" s="64"/>
      <c r="H479" s="64"/>
      <c r="I479" s="76"/>
      <c r="J479" s="83"/>
      <c r="K479" s="84"/>
      <c r="L479" s="85"/>
      <c r="M479" s="84"/>
      <c r="N479" s="86"/>
    </row>
    <row r="480" spans="1:14" x14ac:dyDescent="0.25">
      <c r="A480" s="73"/>
      <c r="B480" s="62" t="s">
        <v>2942</v>
      </c>
      <c r="C480" s="63"/>
      <c r="D480" s="64">
        <v>4</v>
      </c>
      <c r="E480" s="64">
        <v>1.2</v>
      </c>
      <c r="F480" s="64">
        <v>1</v>
      </c>
      <c r="G480" s="64">
        <v>0.3</v>
      </c>
      <c r="H480" s="64"/>
      <c r="I480" s="76">
        <f t="shared" si="23"/>
        <v>1.44</v>
      </c>
      <c r="J480" s="83"/>
      <c r="K480" s="84"/>
      <c r="L480" s="85"/>
      <c r="M480" s="84"/>
      <c r="N480" s="86"/>
    </row>
    <row r="481" spans="1:14" x14ac:dyDescent="0.25">
      <c r="A481" s="73"/>
      <c r="B481" s="62" t="s">
        <v>2943</v>
      </c>
      <c r="C481" s="63"/>
      <c r="D481" s="64">
        <v>4</v>
      </c>
      <c r="E481" s="64">
        <v>3.2</v>
      </c>
      <c r="F481" s="64">
        <v>0.6</v>
      </c>
      <c r="G481" s="64">
        <v>0.3</v>
      </c>
      <c r="H481" s="64"/>
      <c r="I481" s="76">
        <f t="shared" si="23"/>
        <v>2.3039999999999998</v>
      </c>
      <c r="J481" s="83"/>
      <c r="K481" s="84"/>
      <c r="L481" s="85"/>
      <c r="M481" s="84"/>
      <c r="N481" s="86"/>
    </row>
    <row r="482" spans="1:14" x14ac:dyDescent="0.25">
      <c r="A482" s="73"/>
      <c r="B482" s="66" t="s">
        <v>2944</v>
      </c>
      <c r="C482" s="63"/>
      <c r="D482" s="64"/>
      <c r="E482" s="64"/>
      <c r="F482" s="64"/>
      <c r="G482" s="64"/>
      <c r="H482" s="64"/>
      <c r="I482" s="76"/>
      <c r="J482" s="83"/>
      <c r="K482" s="84"/>
      <c r="L482" s="85"/>
      <c r="M482" s="84"/>
      <c r="N482" s="86"/>
    </row>
    <row r="483" spans="1:14" x14ac:dyDescent="0.25">
      <c r="A483" s="73"/>
      <c r="B483" s="62" t="s">
        <v>2942</v>
      </c>
      <c r="C483" s="63"/>
      <c r="D483" s="64"/>
      <c r="E483" s="64">
        <v>2</v>
      </c>
      <c r="F483" s="64">
        <v>2.08</v>
      </c>
      <c r="G483" s="64">
        <v>0.3</v>
      </c>
      <c r="H483" s="64"/>
      <c r="I483" s="76">
        <f t="shared" si="23"/>
        <v>1.248</v>
      </c>
      <c r="J483" s="83"/>
      <c r="K483" s="84"/>
      <c r="L483" s="85"/>
      <c r="M483" s="84"/>
      <c r="N483" s="86"/>
    </row>
    <row r="484" spans="1:14" x14ac:dyDescent="0.25">
      <c r="A484" s="73"/>
      <c r="B484" s="62" t="s">
        <v>2945</v>
      </c>
      <c r="C484" s="63"/>
      <c r="D484" s="64"/>
      <c r="E484" s="64">
        <v>8.16</v>
      </c>
      <c r="F484" s="64">
        <v>1.2</v>
      </c>
      <c r="G484" s="64">
        <v>0.3</v>
      </c>
      <c r="H484" s="64"/>
      <c r="I484" s="76">
        <f t="shared" si="23"/>
        <v>2.9380000000000002</v>
      </c>
      <c r="J484" s="83"/>
      <c r="K484" s="84"/>
      <c r="L484" s="85"/>
      <c r="M484" s="84"/>
      <c r="N484" s="86"/>
    </row>
    <row r="485" spans="1:14" x14ac:dyDescent="0.25">
      <c r="A485" s="73"/>
      <c r="B485" s="66" t="s">
        <v>2946</v>
      </c>
      <c r="C485" s="63"/>
      <c r="D485" s="64"/>
      <c r="E485" s="64"/>
      <c r="F485" s="64"/>
      <c r="G485" s="64"/>
      <c r="H485" s="64"/>
      <c r="I485" s="76"/>
      <c r="J485" s="83"/>
      <c r="K485" s="84"/>
      <c r="L485" s="85"/>
      <c r="M485" s="84"/>
      <c r="N485" s="86"/>
    </row>
    <row r="486" spans="1:14" x14ac:dyDescent="0.25">
      <c r="A486" s="73"/>
      <c r="B486" s="62" t="s">
        <v>2942</v>
      </c>
      <c r="C486" s="63"/>
      <c r="D486" s="64"/>
      <c r="E486" s="64">
        <v>1</v>
      </c>
      <c r="F486" s="64">
        <v>1</v>
      </c>
      <c r="G486" s="64">
        <v>0.3</v>
      </c>
      <c r="H486" s="64"/>
      <c r="I486" s="76">
        <f t="shared" si="23"/>
        <v>0.3</v>
      </c>
      <c r="J486" s="83"/>
      <c r="K486" s="84"/>
      <c r="L486" s="85"/>
      <c r="M486" s="84"/>
      <c r="N486" s="86"/>
    </row>
    <row r="487" spans="1:14" x14ac:dyDescent="0.25">
      <c r="A487" s="73"/>
      <c r="B487" s="62" t="s">
        <v>2947</v>
      </c>
      <c r="C487" s="63"/>
      <c r="D487" s="64"/>
      <c r="E487" s="64">
        <v>5.2</v>
      </c>
      <c r="F487" s="64">
        <v>0.5</v>
      </c>
      <c r="G487" s="64">
        <v>0.3</v>
      </c>
      <c r="H487" s="64"/>
      <c r="I487" s="76">
        <f t="shared" si="23"/>
        <v>0.78</v>
      </c>
      <c r="J487" s="83"/>
      <c r="K487" s="84"/>
      <c r="L487" s="85"/>
      <c r="M487" s="84"/>
      <c r="N487" s="86"/>
    </row>
    <row r="488" spans="1:14" x14ac:dyDescent="0.25">
      <c r="A488" s="73"/>
      <c r="B488" s="66" t="s">
        <v>2888</v>
      </c>
      <c r="C488" s="63"/>
      <c r="D488" s="64"/>
      <c r="E488" s="64"/>
      <c r="F488" s="64"/>
      <c r="G488" s="64"/>
      <c r="H488" s="64"/>
      <c r="I488" s="76"/>
      <c r="J488" s="83"/>
      <c r="K488" s="84"/>
      <c r="L488" s="85"/>
      <c r="M488" s="84"/>
      <c r="N488" s="86"/>
    </row>
    <row r="489" spans="1:14" x14ac:dyDescent="0.25">
      <c r="A489" s="73"/>
      <c r="B489" s="66" t="s">
        <v>2809</v>
      </c>
      <c r="C489" s="63"/>
      <c r="D489" s="64"/>
      <c r="E489" s="64"/>
      <c r="F489" s="64"/>
      <c r="G489" s="64"/>
      <c r="H489" s="64"/>
      <c r="I489" s="76"/>
      <c r="J489" s="83"/>
      <c r="K489" s="84"/>
      <c r="L489" s="85"/>
      <c r="M489" s="84"/>
      <c r="N489" s="86"/>
    </row>
    <row r="490" spans="1:14" x14ac:dyDescent="0.25">
      <c r="A490" s="73"/>
      <c r="B490" s="66" t="s">
        <v>2889</v>
      </c>
      <c r="C490" s="63"/>
      <c r="D490" s="64"/>
      <c r="E490" s="64"/>
      <c r="F490" s="64"/>
      <c r="G490" s="64"/>
      <c r="H490" s="64"/>
      <c r="I490" s="76"/>
      <c r="J490" s="83"/>
      <c r="K490" s="84"/>
      <c r="L490" s="85"/>
      <c r="M490" s="84"/>
      <c r="N490" s="86"/>
    </row>
    <row r="491" spans="1:14" x14ac:dyDescent="0.25">
      <c r="A491" s="73"/>
      <c r="B491" s="62" t="s">
        <v>2810</v>
      </c>
      <c r="C491" s="63"/>
      <c r="D491" s="64"/>
      <c r="E491" s="64">
        <v>-0.4</v>
      </c>
      <c r="F491" s="64">
        <v>0.4</v>
      </c>
      <c r="G491" s="64">
        <v>0.3</v>
      </c>
      <c r="H491" s="64"/>
      <c r="I491" s="76">
        <f t="shared" si="23"/>
        <v>-4.8000000000000001E-2</v>
      </c>
      <c r="J491" s="83"/>
      <c r="K491" s="84"/>
      <c r="L491" s="85"/>
      <c r="M491" s="84"/>
      <c r="N491" s="86"/>
    </row>
    <row r="492" spans="1:14" x14ac:dyDescent="0.25">
      <c r="A492" s="73"/>
      <c r="B492" s="62" t="s">
        <v>2816</v>
      </c>
      <c r="C492" s="63"/>
      <c r="D492" s="64">
        <v>2</v>
      </c>
      <c r="E492" s="64">
        <v>-1.3</v>
      </c>
      <c r="F492" s="64">
        <v>6.5</v>
      </c>
      <c r="G492" s="64">
        <v>0.3</v>
      </c>
      <c r="H492" s="64"/>
      <c r="I492" s="76">
        <f t="shared" si="23"/>
        <v>-5.07</v>
      </c>
      <c r="J492" s="83"/>
      <c r="K492" s="84"/>
      <c r="L492" s="85"/>
      <c r="M492" s="84"/>
      <c r="N492" s="86"/>
    </row>
    <row r="493" spans="1:14" x14ac:dyDescent="0.25">
      <c r="A493" s="73"/>
      <c r="B493" s="62" t="s">
        <v>2812</v>
      </c>
      <c r="C493" s="63"/>
      <c r="D493" s="64"/>
      <c r="E493" s="64">
        <v>-1.3</v>
      </c>
      <c r="F493" s="64">
        <v>1.9</v>
      </c>
      <c r="G493" s="64">
        <v>0.3</v>
      </c>
      <c r="H493" s="64"/>
      <c r="I493" s="76">
        <f t="shared" si="23"/>
        <v>-0.74099999999999999</v>
      </c>
      <c r="J493" s="83"/>
      <c r="K493" s="84"/>
      <c r="L493" s="85"/>
      <c r="M493" s="84"/>
      <c r="N493" s="86"/>
    </row>
    <row r="494" spans="1:14" x14ac:dyDescent="0.25">
      <c r="A494" s="73"/>
      <c r="B494" s="66" t="s">
        <v>2890</v>
      </c>
      <c r="C494" s="63"/>
      <c r="D494" s="64"/>
      <c r="E494" s="64"/>
      <c r="F494" s="64"/>
      <c r="G494" s="64"/>
      <c r="H494" s="64"/>
      <c r="I494" s="76"/>
      <c r="J494" s="83"/>
      <c r="K494" s="84"/>
      <c r="L494" s="85"/>
      <c r="M494" s="84"/>
      <c r="N494" s="86"/>
    </row>
    <row r="495" spans="1:14" x14ac:dyDescent="0.25">
      <c r="A495" s="73"/>
      <c r="B495" s="62" t="s">
        <v>2810</v>
      </c>
      <c r="C495" s="63"/>
      <c r="D495" s="64"/>
      <c r="E495" s="64">
        <v>-0.4</v>
      </c>
      <c r="F495" s="64">
        <v>1.1000000000000001</v>
      </c>
      <c r="G495" s="64">
        <v>0.3</v>
      </c>
      <c r="H495" s="64"/>
      <c r="I495" s="76">
        <f t="shared" si="23"/>
        <v>-0.13200000000000001</v>
      </c>
      <c r="J495" s="83"/>
      <c r="K495" s="84"/>
      <c r="L495" s="85"/>
      <c r="M495" s="84"/>
      <c r="N495" s="86"/>
    </row>
    <row r="496" spans="1:14" x14ac:dyDescent="0.25">
      <c r="A496" s="73"/>
      <c r="B496" s="62" t="s">
        <v>2817</v>
      </c>
      <c r="C496" s="63"/>
      <c r="D496" s="64"/>
      <c r="E496" s="64">
        <v>-4.3</v>
      </c>
      <c r="F496" s="64">
        <v>4.7</v>
      </c>
      <c r="G496" s="64">
        <v>0.3</v>
      </c>
      <c r="H496" s="64"/>
      <c r="I496" s="76">
        <f t="shared" ref="I496:I558" si="29">ROUND(PRODUCT(D496:H496),3)</f>
        <v>-6.0629999999999997</v>
      </c>
      <c r="J496" s="83"/>
      <c r="K496" s="84"/>
      <c r="L496" s="85"/>
      <c r="M496" s="84"/>
      <c r="N496" s="86"/>
    </row>
    <row r="497" spans="1:14" x14ac:dyDescent="0.25">
      <c r="A497" s="73"/>
      <c r="B497" s="62" t="s">
        <v>2821</v>
      </c>
      <c r="C497" s="63"/>
      <c r="D497" s="64"/>
      <c r="E497" s="64">
        <v>-4.3</v>
      </c>
      <c r="F497" s="64">
        <v>6.5</v>
      </c>
      <c r="G497" s="64">
        <v>0.3</v>
      </c>
      <c r="H497" s="64"/>
      <c r="I497" s="76">
        <f t="shared" si="29"/>
        <v>-8.3849999999999998</v>
      </c>
      <c r="J497" s="83"/>
      <c r="K497" s="84"/>
      <c r="L497" s="85"/>
      <c r="M497" s="84"/>
      <c r="N497" s="86"/>
    </row>
    <row r="498" spans="1:14" x14ac:dyDescent="0.25">
      <c r="A498" s="73"/>
      <c r="B498" s="62" t="s">
        <v>2814</v>
      </c>
      <c r="C498" s="63"/>
      <c r="D498" s="64"/>
      <c r="E498" s="64">
        <v>-2.8</v>
      </c>
      <c r="F498" s="64">
        <v>2.9</v>
      </c>
      <c r="G498" s="64">
        <v>0.3</v>
      </c>
      <c r="H498" s="64"/>
      <c r="I498" s="76">
        <f t="shared" si="29"/>
        <v>-2.4359999999999999</v>
      </c>
      <c r="J498" s="83"/>
      <c r="K498" s="84"/>
      <c r="L498" s="85"/>
      <c r="M498" s="84"/>
      <c r="N498" s="86"/>
    </row>
    <row r="499" spans="1:14" x14ac:dyDescent="0.25">
      <c r="A499" s="73"/>
      <c r="B499" s="66" t="s">
        <v>2891</v>
      </c>
      <c r="C499" s="63"/>
      <c r="D499" s="64"/>
      <c r="E499" s="64"/>
      <c r="F499" s="64"/>
      <c r="G499" s="64"/>
      <c r="H499" s="64"/>
      <c r="I499" s="76"/>
      <c r="J499" s="83"/>
      <c r="K499" s="84"/>
      <c r="L499" s="85"/>
      <c r="M499" s="84"/>
      <c r="N499" s="86"/>
    </row>
    <row r="500" spans="1:14" x14ac:dyDescent="0.25">
      <c r="A500" s="73"/>
      <c r="B500" s="62" t="s">
        <v>2810</v>
      </c>
      <c r="C500" s="63"/>
      <c r="D500" s="64"/>
      <c r="E500" s="64">
        <v>-0.4</v>
      </c>
      <c r="F500" s="64">
        <v>1.1000000000000001</v>
      </c>
      <c r="G500" s="64">
        <v>0.3</v>
      </c>
      <c r="H500" s="64"/>
      <c r="I500" s="76">
        <f t="shared" si="29"/>
        <v>-0.13200000000000001</v>
      </c>
      <c r="J500" s="83"/>
      <c r="K500" s="84"/>
      <c r="L500" s="85"/>
      <c r="M500" s="84"/>
      <c r="N500" s="86"/>
    </row>
    <row r="501" spans="1:14" x14ac:dyDescent="0.25">
      <c r="A501" s="73"/>
      <c r="B501" s="62" t="s">
        <v>2817</v>
      </c>
      <c r="C501" s="63"/>
      <c r="D501" s="64"/>
      <c r="E501" s="64">
        <v>-4.3</v>
      </c>
      <c r="F501" s="64">
        <v>4.7</v>
      </c>
      <c r="G501" s="64">
        <v>0.3</v>
      </c>
      <c r="H501" s="64"/>
      <c r="I501" s="76">
        <f t="shared" si="29"/>
        <v>-6.0629999999999997</v>
      </c>
      <c r="J501" s="83"/>
      <c r="K501" s="84"/>
      <c r="L501" s="85"/>
      <c r="M501" s="84"/>
      <c r="N501" s="86"/>
    </row>
    <row r="502" spans="1:14" x14ac:dyDescent="0.25">
      <c r="A502" s="73"/>
      <c r="B502" s="62" t="s">
        <v>2816</v>
      </c>
      <c r="C502" s="63"/>
      <c r="D502" s="64"/>
      <c r="E502" s="64">
        <v>-2.9</v>
      </c>
      <c r="F502" s="64">
        <v>6.5</v>
      </c>
      <c r="G502" s="64">
        <v>0.3</v>
      </c>
      <c r="H502" s="64"/>
      <c r="I502" s="76">
        <f t="shared" si="29"/>
        <v>-5.6550000000000002</v>
      </c>
      <c r="J502" s="83"/>
      <c r="K502" s="84"/>
      <c r="L502" s="85"/>
      <c r="M502" s="84"/>
      <c r="N502" s="86"/>
    </row>
    <row r="503" spans="1:14" x14ac:dyDescent="0.25">
      <c r="A503" s="73"/>
      <c r="B503" s="62" t="s">
        <v>2812</v>
      </c>
      <c r="C503" s="63"/>
      <c r="D503" s="64"/>
      <c r="E503" s="64">
        <v>-1.3</v>
      </c>
      <c r="F503" s="64">
        <v>2.9</v>
      </c>
      <c r="G503" s="64">
        <v>0.3</v>
      </c>
      <c r="H503" s="64"/>
      <c r="I503" s="76">
        <f t="shared" si="29"/>
        <v>-1.131</v>
      </c>
      <c r="J503" s="83"/>
      <c r="K503" s="84"/>
      <c r="L503" s="85"/>
      <c r="M503" s="84"/>
      <c r="N503" s="86"/>
    </row>
    <row r="504" spans="1:14" x14ac:dyDescent="0.25">
      <c r="A504" s="73"/>
      <c r="B504" s="66" t="s">
        <v>2892</v>
      </c>
      <c r="C504" s="63"/>
      <c r="D504" s="64"/>
      <c r="E504" s="64"/>
      <c r="F504" s="64"/>
      <c r="G504" s="64"/>
      <c r="H504" s="64"/>
      <c r="I504" s="76"/>
      <c r="J504" s="83"/>
      <c r="K504" s="84"/>
      <c r="L504" s="85"/>
      <c r="M504" s="84"/>
      <c r="N504" s="86"/>
    </row>
    <row r="505" spans="1:14" x14ac:dyDescent="0.25">
      <c r="A505" s="73"/>
      <c r="B505" s="62" t="s">
        <v>2815</v>
      </c>
      <c r="C505" s="63"/>
      <c r="D505" s="64"/>
      <c r="E505" s="64">
        <v>-1.7</v>
      </c>
      <c r="F505" s="64">
        <v>4.7</v>
      </c>
      <c r="G505" s="64">
        <v>0.3</v>
      </c>
      <c r="H505" s="64"/>
      <c r="I505" s="76">
        <f t="shared" si="29"/>
        <v>-2.3969999999999998</v>
      </c>
      <c r="J505" s="83"/>
      <c r="K505" s="84"/>
      <c r="L505" s="85"/>
      <c r="M505" s="84"/>
      <c r="N505" s="86"/>
    </row>
    <row r="506" spans="1:14" x14ac:dyDescent="0.25">
      <c r="A506" s="73"/>
      <c r="B506" s="62" t="s">
        <v>2819</v>
      </c>
      <c r="C506" s="63"/>
      <c r="D506" s="64"/>
      <c r="E506" s="64">
        <v>-4.7</v>
      </c>
      <c r="F506" s="64">
        <v>4.7</v>
      </c>
      <c r="G506" s="64">
        <v>0.3</v>
      </c>
      <c r="H506" s="64"/>
      <c r="I506" s="76">
        <f t="shared" si="29"/>
        <v>-6.6269999999999998</v>
      </c>
      <c r="J506" s="83"/>
      <c r="K506" s="84"/>
      <c r="L506" s="85"/>
      <c r="M506" s="84"/>
      <c r="N506" s="86"/>
    </row>
    <row r="507" spans="1:14" x14ac:dyDescent="0.25">
      <c r="A507" s="73"/>
      <c r="B507" s="62" t="s">
        <v>2827</v>
      </c>
      <c r="C507" s="63"/>
      <c r="D507" s="64"/>
      <c r="E507" s="64">
        <v>-1.8</v>
      </c>
      <c r="F507" s="64">
        <v>4.7</v>
      </c>
      <c r="G507" s="64">
        <v>0.3</v>
      </c>
      <c r="H507" s="64"/>
      <c r="I507" s="76">
        <f t="shared" si="29"/>
        <v>-2.5379999999999998</v>
      </c>
      <c r="J507" s="83"/>
      <c r="K507" s="84"/>
      <c r="L507" s="85"/>
      <c r="M507" s="84"/>
      <c r="N507" s="86"/>
    </row>
    <row r="508" spans="1:14" x14ac:dyDescent="0.25">
      <c r="A508" s="73"/>
      <c r="B508" s="62"/>
      <c r="C508" s="63"/>
      <c r="D508" s="64"/>
      <c r="E508" s="64">
        <v>-6.5</v>
      </c>
      <c r="F508" s="64">
        <v>6.5</v>
      </c>
      <c r="G508" s="64">
        <v>0.3</v>
      </c>
      <c r="H508" s="64"/>
      <c r="I508" s="76">
        <f t="shared" si="29"/>
        <v>-12.675000000000001</v>
      </c>
      <c r="J508" s="83"/>
      <c r="K508" s="84"/>
      <c r="L508" s="85"/>
      <c r="M508" s="84"/>
      <c r="N508" s="86"/>
    </row>
    <row r="509" spans="1:14" x14ac:dyDescent="0.25">
      <c r="A509" s="73"/>
      <c r="B509" s="62"/>
      <c r="C509" s="63"/>
      <c r="D509" s="64"/>
      <c r="E509" s="64">
        <v>-1.35</v>
      </c>
      <c r="F509" s="64">
        <v>4.7</v>
      </c>
      <c r="G509" s="64">
        <v>0.3</v>
      </c>
      <c r="H509" s="64"/>
      <c r="I509" s="76">
        <f t="shared" si="29"/>
        <v>-1.9039999999999999</v>
      </c>
      <c r="J509" s="83"/>
      <c r="K509" s="84"/>
      <c r="L509" s="85"/>
      <c r="M509" s="84"/>
      <c r="N509" s="86"/>
    </row>
    <row r="510" spans="1:14" x14ac:dyDescent="0.25">
      <c r="A510" s="73"/>
      <c r="B510" s="66" t="s">
        <v>2893</v>
      </c>
      <c r="C510" s="63"/>
      <c r="D510" s="64"/>
      <c r="E510" s="64"/>
      <c r="F510" s="64"/>
      <c r="G510" s="64"/>
      <c r="H510" s="64"/>
      <c r="I510" s="76"/>
      <c r="J510" s="83"/>
      <c r="K510" s="84"/>
      <c r="L510" s="85"/>
      <c r="M510" s="84"/>
      <c r="N510" s="86"/>
    </row>
    <row r="511" spans="1:14" x14ac:dyDescent="0.25">
      <c r="A511" s="73"/>
      <c r="B511" s="62" t="s">
        <v>2813</v>
      </c>
      <c r="C511" s="63"/>
      <c r="D511" s="64"/>
      <c r="E511" s="64">
        <v>-2.2000000000000002</v>
      </c>
      <c r="F511" s="64">
        <v>2.9</v>
      </c>
      <c r="G511" s="64">
        <v>0.3</v>
      </c>
      <c r="H511" s="64"/>
      <c r="I511" s="76">
        <f t="shared" si="29"/>
        <v>-1.9139999999999999</v>
      </c>
      <c r="J511" s="83"/>
      <c r="K511" s="84"/>
      <c r="L511" s="85"/>
      <c r="M511" s="84"/>
      <c r="N511" s="86"/>
    </row>
    <row r="512" spans="1:14" x14ac:dyDescent="0.25">
      <c r="A512" s="73"/>
      <c r="B512" s="62" t="s">
        <v>2823</v>
      </c>
      <c r="C512" s="63"/>
      <c r="D512" s="64"/>
      <c r="E512" s="64">
        <v>-4.3</v>
      </c>
      <c r="F512" s="64">
        <v>6.5</v>
      </c>
      <c r="G512" s="64">
        <v>0.3</v>
      </c>
      <c r="H512" s="64"/>
      <c r="I512" s="76">
        <f t="shared" si="29"/>
        <v>-8.3849999999999998</v>
      </c>
      <c r="J512" s="83"/>
      <c r="K512" s="84"/>
      <c r="L512" s="85"/>
      <c r="M512" s="84"/>
      <c r="N512" s="86"/>
    </row>
    <row r="513" spans="1:14" x14ac:dyDescent="0.25">
      <c r="A513" s="73"/>
      <c r="B513" s="62" t="s">
        <v>2819</v>
      </c>
      <c r="C513" s="63"/>
      <c r="D513" s="64"/>
      <c r="E513" s="64">
        <v>-4.7</v>
      </c>
      <c r="F513" s="64">
        <v>4.7</v>
      </c>
      <c r="G513" s="64">
        <v>0.3</v>
      </c>
      <c r="H513" s="64"/>
      <c r="I513" s="76">
        <f t="shared" si="29"/>
        <v>-6.6269999999999998</v>
      </c>
      <c r="J513" s="83"/>
      <c r="K513" s="84"/>
      <c r="L513" s="85"/>
      <c r="M513" s="84"/>
      <c r="N513" s="86"/>
    </row>
    <row r="514" spans="1:14" x14ac:dyDescent="0.25">
      <c r="A514" s="73"/>
      <c r="B514" s="62" t="s">
        <v>2811</v>
      </c>
      <c r="C514" s="63"/>
      <c r="D514" s="64"/>
      <c r="E514" s="64">
        <v>-0.5</v>
      </c>
      <c r="F514" s="64">
        <v>2.9</v>
      </c>
      <c r="G514" s="64">
        <v>0.3</v>
      </c>
      <c r="H514" s="64"/>
      <c r="I514" s="76">
        <f t="shared" si="29"/>
        <v>-0.435</v>
      </c>
      <c r="J514" s="83"/>
      <c r="K514" s="84"/>
      <c r="L514" s="85"/>
      <c r="M514" s="84"/>
      <c r="N514" s="86"/>
    </row>
    <row r="515" spans="1:14" x14ac:dyDescent="0.25">
      <c r="A515" s="73"/>
      <c r="B515" s="66" t="s">
        <v>2894</v>
      </c>
      <c r="C515" s="63"/>
      <c r="D515" s="64"/>
      <c r="E515" s="64"/>
      <c r="F515" s="64"/>
      <c r="G515" s="64"/>
      <c r="H515" s="64"/>
      <c r="I515" s="76"/>
      <c r="J515" s="83"/>
      <c r="K515" s="84"/>
      <c r="L515" s="85"/>
      <c r="M515" s="84"/>
      <c r="N515" s="86"/>
    </row>
    <row r="516" spans="1:14" x14ac:dyDescent="0.25">
      <c r="A516" s="73"/>
      <c r="B516" s="62" t="s">
        <v>2826</v>
      </c>
      <c r="C516" s="63"/>
      <c r="D516" s="64"/>
      <c r="E516" s="64">
        <v>-4.7</v>
      </c>
      <c r="F516" s="64">
        <v>8.1</v>
      </c>
      <c r="G516" s="64">
        <v>0.3</v>
      </c>
      <c r="H516" s="64"/>
      <c r="I516" s="76">
        <f t="shared" si="29"/>
        <v>-11.420999999999999</v>
      </c>
      <c r="J516" s="83"/>
      <c r="K516" s="84"/>
      <c r="L516" s="85"/>
      <c r="M516" s="84"/>
      <c r="N516" s="86"/>
    </row>
    <row r="517" spans="1:14" x14ac:dyDescent="0.25">
      <c r="A517" s="73"/>
      <c r="B517" s="62"/>
      <c r="C517" s="63"/>
      <c r="D517" s="64"/>
      <c r="E517" s="64">
        <v>-2.9</v>
      </c>
      <c r="F517" s="64">
        <v>1.6</v>
      </c>
      <c r="G517" s="64">
        <v>0.3</v>
      </c>
      <c r="H517" s="64"/>
      <c r="I517" s="76">
        <f t="shared" si="29"/>
        <v>-1.3919999999999999</v>
      </c>
      <c r="J517" s="83"/>
      <c r="K517" s="84"/>
      <c r="L517" s="85"/>
      <c r="M517" s="84"/>
      <c r="N517" s="86"/>
    </row>
    <row r="518" spans="1:14" x14ac:dyDescent="0.25">
      <c r="A518" s="73"/>
      <c r="B518" s="62" t="s">
        <v>2824</v>
      </c>
      <c r="C518" s="63"/>
      <c r="D518" s="64"/>
      <c r="E518" s="64">
        <v>-4.3</v>
      </c>
      <c r="F518" s="64">
        <v>7.55</v>
      </c>
      <c r="G518" s="64">
        <v>0.3</v>
      </c>
      <c r="H518" s="64"/>
      <c r="I518" s="76">
        <f t="shared" si="29"/>
        <v>-9.74</v>
      </c>
      <c r="J518" s="83"/>
      <c r="K518" s="84"/>
      <c r="L518" s="85"/>
      <c r="M518" s="84"/>
      <c r="N518" s="86"/>
    </row>
    <row r="519" spans="1:14" x14ac:dyDescent="0.25">
      <c r="A519" s="73"/>
      <c r="B519" s="66" t="s">
        <v>2895</v>
      </c>
      <c r="C519" s="63"/>
      <c r="D519" s="64"/>
      <c r="E519" s="64"/>
      <c r="F519" s="64"/>
      <c r="G519" s="64"/>
      <c r="H519" s="64"/>
      <c r="I519" s="76"/>
      <c r="J519" s="83"/>
      <c r="K519" s="84"/>
      <c r="L519" s="85"/>
      <c r="M519" s="84"/>
      <c r="N519" s="86"/>
    </row>
    <row r="520" spans="1:14" x14ac:dyDescent="0.25">
      <c r="A520" s="73"/>
      <c r="B520" s="62" t="s">
        <v>2825</v>
      </c>
      <c r="C520" s="63"/>
      <c r="D520" s="64"/>
      <c r="E520" s="64">
        <v>-6.45</v>
      </c>
      <c r="F520" s="64">
        <v>4.7</v>
      </c>
      <c r="G520" s="64">
        <v>0.3</v>
      </c>
      <c r="H520" s="64"/>
      <c r="I520" s="76">
        <f t="shared" si="29"/>
        <v>-9.0950000000000006</v>
      </c>
      <c r="J520" s="83"/>
      <c r="K520" s="84"/>
      <c r="L520" s="85"/>
      <c r="M520" s="84"/>
      <c r="N520" s="86"/>
    </row>
    <row r="521" spans="1:14" x14ac:dyDescent="0.25">
      <c r="A521" s="73"/>
      <c r="B521" s="62"/>
      <c r="C521" s="63"/>
      <c r="D521" s="64"/>
      <c r="E521" s="64">
        <v>-3.2</v>
      </c>
      <c r="F521" s="64">
        <v>2.9</v>
      </c>
      <c r="G521" s="64">
        <v>0.3</v>
      </c>
      <c r="H521" s="64"/>
      <c r="I521" s="76">
        <f t="shared" si="29"/>
        <v>-2.7839999999999998</v>
      </c>
      <c r="J521" s="83"/>
      <c r="K521" s="84"/>
      <c r="L521" s="85"/>
      <c r="M521" s="84"/>
      <c r="N521" s="86"/>
    </row>
    <row r="522" spans="1:14" x14ac:dyDescent="0.25">
      <c r="A522" s="73"/>
      <c r="B522" s="62" t="s">
        <v>2822</v>
      </c>
      <c r="C522" s="63"/>
      <c r="D522" s="64"/>
      <c r="E522" s="64">
        <v>-2.9</v>
      </c>
      <c r="F522" s="64">
        <v>7.2</v>
      </c>
      <c r="G522" s="64">
        <v>0.3</v>
      </c>
      <c r="H522" s="64"/>
      <c r="I522" s="76">
        <f t="shared" si="29"/>
        <v>-6.2640000000000002</v>
      </c>
      <c r="J522" s="83"/>
      <c r="K522" s="84"/>
      <c r="L522" s="85"/>
      <c r="M522" s="84"/>
      <c r="N522" s="86"/>
    </row>
    <row r="523" spans="1:14" x14ac:dyDescent="0.25">
      <c r="A523" s="73"/>
      <c r="B523" s="66" t="s">
        <v>2896</v>
      </c>
      <c r="C523" s="63"/>
      <c r="D523" s="64"/>
      <c r="E523" s="64"/>
      <c r="F523" s="64"/>
      <c r="G523" s="64"/>
      <c r="H523" s="64"/>
      <c r="I523" s="76"/>
      <c r="J523" s="83"/>
      <c r="K523" s="84"/>
      <c r="L523" s="85"/>
      <c r="M523" s="84"/>
      <c r="N523" s="86"/>
    </row>
    <row r="524" spans="1:14" x14ac:dyDescent="0.25">
      <c r="A524" s="73"/>
      <c r="B524" s="62" t="s">
        <v>2810</v>
      </c>
      <c r="C524" s="63"/>
      <c r="D524" s="64">
        <v>2</v>
      </c>
      <c r="E524" s="64">
        <v>-0.5</v>
      </c>
      <c r="F524" s="64">
        <v>0.5</v>
      </c>
      <c r="G524" s="64">
        <v>0.3</v>
      </c>
      <c r="H524" s="64"/>
      <c r="I524" s="76">
        <f t="shared" si="29"/>
        <v>-0.15</v>
      </c>
      <c r="J524" s="83"/>
      <c r="K524" s="84"/>
      <c r="L524" s="85"/>
      <c r="M524" s="84"/>
      <c r="N524" s="86"/>
    </row>
    <row r="525" spans="1:14" x14ac:dyDescent="0.25">
      <c r="A525" s="73"/>
      <c r="B525" s="62" t="s">
        <v>2811</v>
      </c>
      <c r="C525" s="63"/>
      <c r="D525" s="64">
        <v>2</v>
      </c>
      <c r="E525" s="64">
        <v>-0.6</v>
      </c>
      <c r="F525" s="64">
        <v>2.9</v>
      </c>
      <c r="G525" s="64">
        <v>0.3</v>
      </c>
      <c r="H525" s="64"/>
      <c r="I525" s="76">
        <f t="shared" si="29"/>
        <v>-1.044</v>
      </c>
      <c r="J525" s="83"/>
      <c r="K525" s="84"/>
      <c r="L525" s="85"/>
      <c r="M525" s="84"/>
      <c r="N525" s="86"/>
    </row>
    <row r="526" spans="1:14" x14ac:dyDescent="0.25">
      <c r="A526" s="73"/>
      <c r="B526" s="66" t="s">
        <v>2828</v>
      </c>
      <c r="C526" s="63"/>
      <c r="D526" s="64"/>
      <c r="E526" s="64"/>
      <c r="F526" s="64"/>
      <c r="G526" s="64"/>
      <c r="H526" s="64"/>
      <c r="I526" s="76"/>
      <c r="J526" s="83"/>
      <c r="K526" s="84"/>
      <c r="L526" s="85"/>
      <c r="M526" s="84"/>
      <c r="N526" s="86"/>
    </row>
    <row r="527" spans="1:14" x14ac:dyDescent="0.25">
      <c r="A527" s="73"/>
      <c r="B527" s="62" t="s">
        <v>2866</v>
      </c>
      <c r="C527" s="63"/>
      <c r="D527" s="64"/>
      <c r="E527" s="64">
        <v>-9.3000000000000007</v>
      </c>
      <c r="F527" s="64">
        <v>0.4</v>
      </c>
      <c r="G527" s="64">
        <v>0.3</v>
      </c>
      <c r="H527" s="64"/>
      <c r="I527" s="76">
        <f t="shared" si="29"/>
        <v>-1.1160000000000001</v>
      </c>
      <c r="J527" s="83"/>
      <c r="K527" s="84"/>
      <c r="L527" s="85"/>
      <c r="M527" s="84"/>
      <c r="N527" s="86"/>
    </row>
    <row r="528" spans="1:14" x14ac:dyDescent="0.25">
      <c r="A528" s="73"/>
      <c r="B528" s="62" t="s">
        <v>2867</v>
      </c>
      <c r="C528" s="63"/>
      <c r="D528" s="64"/>
      <c r="E528" s="64">
        <v>-5.4</v>
      </c>
      <c r="F528" s="64">
        <v>0.4</v>
      </c>
      <c r="G528" s="64">
        <v>0.3</v>
      </c>
      <c r="H528" s="64"/>
      <c r="I528" s="76">
        <f t="shared" si="29"/>
        <v>-0.64800000000000002</v>
      </c>
      <c r="J528" s="83"/>
      <c r="K528" s="84"/>
      <c r="L528" s="85"/>
      <c r="M528" s="84"/>
      <c r="N528" s="86"/>
    </row>
    <row r="529" spans="1:14" x14ac:dyDescent="0.25">
      <c r="A529" s="73"/>
      <c r="B529" s="62" t="s">
        <v>2868</v>
      </c>
      <c r="C529" s="63"/>
      <c r="D529" s="64"/>
      <c r="E529" s="64">
        <v>-16.899999999999999</v>
      </c>
      <c r="F529" s="64">
        <v>0.4</v>
      </c>
      <c r="G529" s="64">
        <v>0.3</v>
      </c>
      <c r="H529" s="64"/>
      <c r="I529" s="76">
        <f t="shared" si="29"/>
        <v>-2.028</v>
      </c>
      <c r="J529" s="83"/>
      <c r="K529" s="84"/>
      <c r="L529" s="85"/>
      <c r="M529" s="84"/>
      <c r="N529" s="86"/>
    </row>
    <row r="530" spans="1:14" x14ac:dyDescent="0.25">
      <c r="A530" s="73"/>
      <c r="B530" s="62" t="s">
        <v>2869</v>
      </c>
      <c r="C530" s="63"/>
      <c r="D530" s="64"/>
      <c r="E530" s="64">
        <v>-7.6</v>
      </c>
      <c r="F530" s="64">
        <v>0.4</v>
      </c>
      <c r="G530" s="64">
        <v>0.3</v>
      </c>
      <c r="H530" s="64"/>
      <c r="I530" s="76">
        <f t="shared" si="29"/>
        <v>-0.91200000000000003</v>
      </c>
      <c r="J530" s="83"/>
      <c r="K530" s="84"/>
      <c r="L530" s="85"/>
      <c r="M530" s="84"/>
      <c r="N530" s="86"/>
    </row>
    <row r="531" spans="1:14" x14ac:dyDescent="0.25">
      <c r="A531" s="73"/>
      <c r="B531" s="62" t="s">
        <v>2870</v>
      </c>
      <c r="C531" s="63"/>
      <c r="D531" s="64"/>
      <c r="E531" s="64">
        <v>-13.7</v>
      </c>
      <c r="F531" s="64">
        <v>0.4</v>
      </c>
      <c r="G531" s="64">
        <v>0.3</v>
      </c>
      <c r="H531" s="64"/>
      <c r="I531" s="76">
        <f t="shared" si="29"/>
        <v>-1.6439999999999999</v>
      </c>
      <c r="J531" s="83"/>
      <c r="K531" s="84"/>
      <c r="L531" s="85"/>
      <c r="M531" s="84"/>
      <c r="N531" s="86"/>
    </row>
    <row r="532" spans="1:14" x14ac:dyDescent="0.25">
      <c r="A532" s="73"/>
      <c r="B532" s="62" t="s">
        <v>2871</v>
      </c>
      <c r="C532" s="63"/>
      <c r="D532" s="64"/>
      <c r="E532" s="64">
        <v>-4.4000000000000004</v>
      </c>
      <c r="F532" s="64">
        <v>0.4</v>
      </c>
      <c r="G532" s="64">
        <v>0.3</v>
      </c>
      <c r="H532" s="64"/>
      <c r="I532" s="76">
        <f t="shared" si="29"/>
        <v>-0.52800000000000002</v>
      </c>
      <c r="J532" s="83"/>
      <c r="K532" s="84"/>
      <c r="L532" s="85"/>
      <c r="M532" s="84"/>
      <c r="N532" s="86"/>
    </row>
    <row r="533" spans="1:14" x14ac:dyDescent="0.25">
      <c r="A533" s="73"/>
      <c r="B533" s="62" t="s">
        <v>2874</v>
      </c>
      <c r="C533" s="63"/>
      <c r="D533" s="64"/>
      <c r="E533" s="64">
        <v>-3.5</v>
      </c>
      <c r="F533" s="64">
        <v>0.4</v>
      </c>
      <c r="G533" s="64">
        <v>0.3</v>
      </c>
      <c r="H533" s="64"/>
      <c r="I533" s="76">
        <f t="shared" si="29"/>
        <v>-0.42</v>
      </c>
      <c r="J533" s="83"/>
      <c r="K533" s="84"/>
      <c r="L533" s="85"/>
      <c r="M533" s="84"/>
      <c r="N533" s="86"/>
    </row>
    <row r="534" spans="1:14" x14ac:dyDescent="0.25">
      <c r="A534" s="73"/>
      <c r="B534" s="62" t="s">
        <v>2877</v>
      </c>
      <c r="C534" s="63"/>
      <c r="D534" s="64"/>
      <c r="E534" s="64">
        <v>-10.3</v>
      </c>
      <c r="F534" s="64">
        <v>0.4</v>
      </c>
      <c r="G534" s="64">
        <v>0.3</v>
      </c>
      <c r="H534" s="64"/>
      <c r="I534" s="76">
        <f t="shared" si="29"/>
        <v>-1.236</v>
      </c>
      <c r="J534" s="83"/>
      <c r="K534" s="84"/>
      <c r="L534" s="85"/>
      <c r="M534" s="84"/>
      <c r="N534" s="86"/>
    </row>
    <row r="535" spans="1:14" x14ac:dyDescent="0.25">
      <c r="A535" s="73"/>
      <c r="B535" s="62" t="s">
        <v>2878</v>
      </c>
      <c r="C535" s="63"/>
      <c r="D535" s="64"/>
      <c r="E535" s="64">
        <v>-11.8</v>
      </c>
      <c r="F535" s="64">
        <v>0.4</v>
      </c>
      <c r="G535" s="64">
        <v>0.3</v>
      </c>
      <c r="H535" s="64"/>
      <c r="I535" s="76">
        <f t="shared" si="29"/>
        <v>-1.4159999999999999</v>
      </c>
      <c r="J535" s="83"/>
      <c r="K535" s="84"/>
      <c r="L535" s="85"/>
      <c r="M535" s="84"/>
      <c r="N535" s="86"/>
    </row>
    <row r="536" spans="1:14" x14ac:dyDescent="0.25">
      <c r="A536" s="73"/>
      <c r="B536" s="62" t="s">
        <v>2879</v>
      </c>
      <c r="C536" s="63"/>
      <c r="D536" s="64"/>
      <c r="E536" s="64">
        <v>-8.6999999999999993</v>
      </c>
      <c r="F536" s="64">
        <v>0.4</v>
      </c>
      <c r="G536" s="64">
        <v>0.3</v>
      </c>
      <c r="H536" s="64"/>
      <c r="I536" s="76">
        <f t="shared" si="29"/>
        <v>-1.044</v>
      </c>
      <c r="J536" s="83"/>
      <c r="K536" s="84"/>
      <c r="L536" s="85"/>
      <c r="M536" s="84"/>
      <c r="N536" s="86"/>
    </row>
    <row r="537" spans="1:14" x14ac:dyDescent="0.25">
      <c r="A537" s="73"/>
      <c r="B537" s="62" t="s">
        <v>2880</v>
      </c>
      <c r="C537" s="63"/>
      <c r="D537" s="64"/>
      <c r="E537" s="64">
        <v>-13</v>
      </c>
      <c r="F537" s="64">
        <v>0.4</v>
      </c>
      <c r="G537" s="64">
        <v>0.3</v>
      </c>
      <c r="H537" s="64"/>
      <c r="I537" s="76">
        <f t="shared" si="29"/>
        <v>-1.56</v>
      </c>
      <c r="J537" s="83"/>
      <c r="K537" s="84"/>
      <c r="L537" s="85"/>
      <c r="M537" s="84"/>
      <c r="N537" s="86"/>
    </row>
    <row r="538" spans="1:14" x14ac:dyDescent="0.25">
      <c r="A538" s="73"/>
      <c r="B538" s="62" t="s">
        <v>2897</v>
      </c>
      <c r="C538" s="63"/>
      <c r="D538" s="64"/>
      <c r="E538" s="64">
        <v>-7.7</v>
      </c>
      <c r="F538" s="64">
        <v>0.4</v>
      </c>
      <c r="G538" s="64">
        <v>0.3</v>
      </c>
      <c r="H538" s="64"/>
      <c r="I538" s="76">
        <f t="shared" si="29"/>
        <v>-0.92400000000000004</v>
      </c>
      <c r="J538" s="83"/>
      <c r="K538" s="84"/>
      <c r="L538" s="85"/>
      <c r="M538" s="84"/>
      <c r="N538" s="86"/>
    </row>
    <row r="539" spans="1:14" x14ac:dyDescent="0.25">
      <c r="A539" s="73"/>
      <c r="B539" s="62" t="s">
        <v>2882</v>
      </c>
      <c r="C539" s="63"/>
      <c r="D539" s="64"/>
      <c r="E539" s="64">
        <v>-8</v>
      </c>
      <c r="F539" s="64">
        <v>0.4</v>
      </c>
      <c r="G539" s="64">
        <v>0.3</v>
      </c>
      <c r="H539" s="64"/>
      <c r="I539" s="76">
        <f t="shared" si="29"/>
        <v>-0.96</v>
      </c>
      <c r="J539" s="83"/>
      <c r="K539" s="84"/>
      <c r="L539" s="85"/>
      <c r="M539" s="84"/>
      <c r="N539" s="86"/>
    </row>
    <row r="540" spans="1:14" x14ac:dyDescent="0.25">
      <c r="A540" s="73"/>
      <c r="B540" s="62" t="s">
        <v>2884</v>
      </c>
      <c r="C540" s="63"/>
      <c r="D540" s="64">
        <v>2</v>
      </c>
      <c r="E540" s="64">
        <v>-3.1</v>
      </c>
      <c r="F540" s="64">
        <v>0.3</v>
      </c>
      <c r="G540" s="64">
        <v>0.3</v>
      </c>
      <c r="H540" s="64"/>
      <c r="I540" s="76">
        <f t="shared" si="29"/>
        <v>-0.55800000000000005</v>
      </c>
      <c r="J540" s="83"/>
      <c r="K540" s="84"/>
      <c r="L540" s="85"/>
      <c r="M540" s="84"/>
      <c r="N540" s="86"/>
    </row>
    <row r="541" spans="1:14" x14ac:dyDescent="0.25">
      <c r="A541" s="73"/>
      <c r="B541" s="62" t="s">
        <v>2948</v>
      </c>
      <c r="C541" s="63"/>
      <c r="D541" s="64"/>
      <c r="E541" s="64">
        <v>-7.4</v>
      </c>
      <c r="F541" s="64">
        <v>0.3</v>
      </c>
      <c r="G541" s="64">
        <v>0.3</v>
      </c>
      <c r="H541" s="64"/>
      <c r="I541" s="76">
        <f t="shared" si="29"/>
        <v>-0.66600000000000004</v>
      </c>
      <c r="J541" s="83"/>
      <c r="K541" s="84"/>
      <c r="L541" s="85"/>
      <c r="M541" s="84"/>
      <c r="N541" s="86"/>
    </row>
    <row r="542" spans="1:14" x14ac:dyDescent="0.25">
      <c r="A542" s="73"/>
      <c r="B542" s="62" t="s">
        <v>2949</v>
      </c>
      <c r="C542" s="63"/>
      <c r="D542" s="64">
        <v>4</v>
      </c>
      <c r="E542" s="64">
        <v>-0.6</v>
      </c>
      <c r="F542" s="64">
        <v>0.4</v>
      </c>
      <c r="G542" s="64">
        <v>0.3</v>
      </c>
      <c r="H542" s="64"/>
      <c r="I542" s="76">
        <f t="shared" si="29"/>
        <v>-0.28799999999999998</v>
      </c>
      <c r="J542" s="83"/>
      <c r="K542" s="84"/>
      <c r="L542" s="85"/>
      <c r="M542" s="84"/>
      <c r="N542" s="86"/>
    </row>
    <row r="543" spans="1:14" x14ac:dyDescent="0.25">
      <c r="A543" s="73"/>
      <c r="B543" s="62" t="s">
        <v>2950</v>
      </c>
      <c r="C543" s="63"/>
      <c r="D543" s="64"/>
      <c r="E543" s="64">
        <v>-2</v>
      </c>
      <c r="F543" s="64">
        <v>2.08</v>
      </c>
      <c r="G543" s="64">
        <v>0.3</v>
      </c>
      <c r="H543" s="64"/>
      <c r="I543" s="76">
        <f t="shared" si="29"/>
        <v>-1.248</v>
      </c>
      <c r="J543" s="83"/>
      <c r="K543" s="84"/>
      <c r="L543" s="85"/>
      <c r="M543" s="84"/>
      <c r="N543" s="86"/>
    </row>
    <row r="544" spans="1:14" x14ac:dyDescent="0.25">
      <c r="A544" s="73"/>
      <c r="B544" s="62" t="s">
        <v>2951</v>
      </c>
      <c r="C544" s="63"/>
      <c r="D544" s="64"/>
      <c r="E544" s="64">
        <v>-1</v>
      </c>
      <c r="F544" s="64">
        <v>1</v>
      </c>
      <c r="G544" s="64">
        <v>0.3</v>
      </c>
      <c r="H544" s="64"/>
      <c r="I544" s="76">
        <f t="shared" si="29"/>
        <v>-0.3</v>
      </c>
      <c r="J544" s="83"/>
      <c r="K544" s="84"/>
      <c r="L544" s="85"/>
      <c r="M544" s="84"/>
      <c r="N544" s="86"/>
    </row>
    <row r="545" spans="1:14" x14ac:dyDescent="0.25">
      <c r="A545" s="73"/>
      <c r="B545" s="66" t="s">
        <v>2952</v>
      </c>
      <c r="C545" s="63"/>
      <c r="D545" s="64"/>
      <c r="E545" s="64"/>
      <c r="F545" s="64"/>
      <c r="G545" s="64"/>
      <c r="H545" s="64"/>
      <c r="I545" s="76"/>
      <c r="J545" s="83"/>
      <c r="K545" s="84"/>
      <c r="L545" s="85"/>
      <c r="M545" s="84"/>
      <c r="N545" s="86"/>
    </row>
    <row r="546" spans="1:14" x14ac:dyDescent="0.25">
      <c r="A546" s="73"/>
      <c r="B546" s="62" t="s">
        <v>2887</v>
      </c>
      <c r="C546" s="63"/>
      <c r="D546" s="64"/>
      <c r="E546" s="64">
        <v>2</v>
      </c>
      <c r="F546" s="64">
        <v>6.2</v>
      </c>
      <c r="G546" s="64">
        <v>0.3</v>
      </c>
      <c r="H546" s="64"/>
      <c r="I546" s="76">
        <f t="shared" si="29"/>
        <v>3.72</v>
      </c>
      <c r="J546" s="83"/>
      <c r="K546" s="84"/>
      <c r="L546" s="85"/>
      <c r="M546" s="84"/>
      <c r="N546" s="86"/>
    </row>
    <row r="547" spans="1:14" x14ac:dyDescent="0.25">
      <c r="A547" s="73"/>
      <c r="B547" s="66" t="s">
        <v>2938</v>
      </c>
      <c r="C547" s="63"/>
      <c r="D547" s="64"/>
      <c r="E547" s="64"/>
      <c r="F547" s="64"/>
      <c r="G547" s="64"/>
      <c r="H547" s="64"/>
      <c r="I547" s="76"/>
      <c r="J547" s="83"/>
      <c r="K547" s="84"/>
      <c r="L547" s="85"/>
      <c r="M547" s="84"/>
      <c r="N547" s="86"/>
    </row>
    <row r="548" spans="1:14" x14ac:dyDescent="0.25">
      <c r="A548" s="73"/>
      <c r="B548" s="62" t="s">
        <v>2953</v>
      </c>
      <c r="C548" s="63"/>
      <c r="D548" s="64"/>
      <c r="E548" s="64">
        <v>9.1999999999999993</v>
      </c>
      <c r="F548" s="64">
        <v>7.35</v>
      </c>
      <c r="G548" s="64">
        <v>0.2</v>
      </c>
      <c r="H548" s="64"/>
      <c r="I548" s="76">
        <f t="shared" si="29"/>
        <v>13.523999999999999</v>
      </c>
      <c r="J548" s="83"/>
      <c r="K548" s="84"/>
      <c r="L548" s="85"/>
      <c r="M548" s="84"/>
      <c r="N548" s="86"/>
    </row>
    <row r="549" spans="1:14" x14ac:dyDescent="0.25">
      <c r="A549" s="73"/>
      <c r="B549" s="62" t="s">
        <v>2954</v>
      </c>
      <c r="C549" s="63"/>
      <c r="D549" s="64"/>
      <c r="E549" s="64">
        <v>7.35</v>
      </c>
      <c r="F549" s="64">
        <v>0.9</v>
      </c>
      <c r="G549" s="64">
        <v>0.2</v>
      </c>
      <c r="H549" s="64"/>
      <c r="I549" s="76">
        <f t="shared" si="29"/>
        <v>1.323</v>
      </c>
      <c r="J549" s="83"/>
      <c r="K549" s="84"/>
      <c r="L549" s="85"/>
      <c r="M549" s="84"/>
      <c r="N549" s="86"/>
    </row>
    <row r="550" spans="1:14" ht="25.5" x14ac:dyDescent="0.25">
      <c r="A550" s="73">
        <v>20</v>
      </c>
      <c r="B550" s="65" t="s">
        <v>81</v>
      </c>
      <c r="C550" s="63" t="s">
        <v>37</v>
      </c>
      <c r="D550" s="64"/>
      <c r="E550" s="64"/>
      <c r="F550" s="64"/>
      <c r="G550" s="64"/>
      <c r="H550" s="64"/>
      <c r="I550" s="76">
        <f>SUM(I551:I554)</f>
        <v>0.629</v>
      </c>
      <c r="J550" s="83" t="e">
        <f>PL03a!#REF!</f>
        <v>#REF!</v>
      </c>
      <c r="K550" s="84">
        <f t="shared" ref="K550" si="30">I550</f>
        <v>0.629</v>
      </c>
      <c r="L550" s="85"/>
      <c r="M550" s="84">
        <f>K550</f>
        <v>0.629</v>
      </c>
      <c r="N550" s="86">
        <f>L550+M550</f>
        <v>0.629</v>
      </c>
    </row>
    <row r="551" spans="1:14" x14ac:dyDescent="0.25">
      <c r="A551" s="73"/>
      <c r="B551" s="66" t="s">
        <v>2955</v>
      </c>
      <c r="C551" s="63"/>
      <c r="D551" s="64"/>
      <c r="E551" s="64"/>
      <c r="F551" s="64"/>
      <c r="G551" s="64"/>
      <c r="H551" s="64"/>
      <c r="I551" s="76"/>
      <c r="J551" s="83"/>
      <c r="K551" s="84"/>
      <c r="L551" s="85"/>
      <c r="M551" s="84"/>
      <c r="N551" s="86"/>
    </row>
    <row r="552" spans="1:14" x14ac:dyDescent="0.25">
      <c r="A552" s="73"/>
      <c r="B552" s="62" t="s">
        <v>2903</v>
      </c>
      <c r="C552" s="63"/>
      <c r="D552" s="64">
        <v>4</v>
      </c>
      <c r="E552" s="64">
        <v>0.6</v>
      </c>
      <c r="F552" s="64">
        <v>0.4</v>
      </c>
      <c r="G552" s="64">
        <v>0.1</v>
      </c>
      <c r="H552" s="64"/>
      <c r="I552" s="76">
        <f t="shared" si="29"/>
        <v>9.6000000000000002E-2</v>
      </c>
      <c r="J552" s="83"/>
      <c r="K552" s="84"/>
      <c r="L552" s="85"/>
      <c r="M552" s="84"/>
      <c r="N552" s="86"/>
    </row>
    <row r="553" spans="1:14" x14ac:dyDescent="0.25">
      <c r="A553" s="73"/>
      <c r="B553" s="62" t="s">
        <v>2904</v>
      </c>
      <c r="C553" s="63"/>
      <c r="D553" s="64">
        <v>2</v>
      </c>
      <c r="E553" s="64">
        <v>1.04</v>
      </c>
      <c r="F553" s="64">
        <v>2.08</v>
      </c>
      <c r="G553" s="64">
        <v>0.1</v>
      </c>
      <c r="H553" s="64"/>
      <c r="I553" s="76">
        <f t="shared" si="29"/>
        <v>0.433</v>
      </c>
      <c r="J553" s="83"/>
      <c r="K553" s="84"/>
      <c r="L553" s="85"/>
      <c r="M553" s="84"/>
      <c r="N553" s="86"/>
    </row>
    <row r="554" spans="1:14" x14ac:dyDescent="0.25">
      <c r="A554" s="73"/>
      <c r="B554" s="62" t="s">
        <v>2946</v>
      </c>
      <c r="C554" s="63"/>
      <c r="D554" s="64"/>
      <c r="E554" s="64">
        <v>1</v>
      </c>
      <c r="F554" s="64">
        <v>1</v>
      </c>
      <c r="G554" s="64">
        <v>0.1</v>
      </c>
      <c r="H554" s="64"/>
      <c r="I554" s="76">
        <f t="shared" si="29"/>
        <v>0.1</v>
      </c>
      <c r="J554" s="83"/>
      <c r="K554" s="84"/>
      <c r="L554" s="85"/>
      <c r="M554" s="84"/>
      <c r="N554" s="86"/>
    </row>
    <row r="555" spans="1:14" ht="25.5" x14ac:dyDescent="0.25">
      <c r="A555" s="73">
        <v>21</v>
      </c>
      <c r="B555" s="65" t="s">
        <v>83</v>
      </c>
      <c r="C555" s="63" t="s">
        <v>61</v>
      </c>
      <c r="D555" s="64"/>
      <c r="E555" s="64"/>
      <c r="F555" s="64"/>
      <c r="G555" s="64"/>
      <c r="H555" s="64"/>
      <c r="I555" s="76">
        <f>SUM(I556:I559)</f>
        <v>0.02</v>
      </c>
      <c r="J555" s="83" t="e">
        <f>PL03a!#REF!</f>
        <v>#REF!</v>
      </c>
      <c r="K555" s="84">
        <f t="shared" ref="K555" si="31">I555</f>
        <v>0.02</v>
      </c>
      <c r="L555" s="85"/>
      <c r="M555" s="84">
        <f>K555</f>
        <v>0.02</v>
      </c>
      <c r="N555" s="86">
        <f>L555+M555</f>
        <v>0.02</v>
      </c>
    </row>
    <row r="556" spans="1:14" x14ac:dyDescent="0.25">
      <c r="A556" s="73"/>
      <c r="B556" s="66" t="s">
        <v>2955</v>
      </c>
      <c r="C556" s="63"/>
      <c r="D556" s="64"/>
      <c r="E556" s="64"/>
      <c r="F556" s="64"/>
      <c r="G556" s="64"/>
      <c r="H556" s="64"/>
      <c r="I556" s="76"/>
      <c r="J556" s="83"/>
      <c r="K556" s="84"/>
      <c r="L556" s="85"/>
      <c r="M556" s="84"/>
      <c r="N556" s="86"/>
    </row>
    <row r="557" spans="1:14" x14ac:dyDescent="0.25">
      <c r="A557" s="73"/>
      <c r="B557" s="62" t="s">
        <v>2956</v>
      </c>
      <c r="C557" s="63"/>
      <c r="D557" s="64">
        <v>4</v>
      </c>
      <c r="E557" s="64">
        <v>2</v>
      </c>
      <c r="F557" s="64">
        <v>0.1</v>
      </c>
      <c r="G557" s="64"/>
      <c r="H557" s="64">
        <v>0.01</v>
      </c>
      <c r="I557" s="76">
        <f t="shared" si="29"/>
        <v>8.0000000000000002E-3</v>
      </c>
      <c r="J557" s="83"/>
      <c r="K557" s="84"/>
      <c r="L557" s="85"/>
      <c r="M557" s="84"/>
      <c r="N557" s="86"/>
    </row>
    <row r="558" spans="1:14" x14ac:dyDescent="0.25">
      <c r="A558" s="73"/>
      <c r="B558" s="62" t="s">
        <v>2957</v>
      </c>
      <c r="C558" s="63"/>
      <c r="D558" s="64">
        <v>2</v>
      </c>
      <c r="E558" s="64">
        <v>6.24</v>
      </c>
      <c r="F558" s="64">
        <v>0.1</v>
      </c>
      <c r="G558" s="64"/>
      <c r="H558" s="64">
        <v>0.01</v>
      </c>
      <c r="I558" s="76">
        <f t="shared" si="29"/>
        <v>1.2E-2</v>
      </c>
      <c r="J558" s="83"/>
      <c r="K558" s="84"/>
      <c r="L558" s="85"/>
      <c r="M558" s="84"/>
      <c r="N558" s="86"/>
    </row>
    <row r="559" spans="1:14" x14ac:dyDescent="0.25">
      <c r="A559" s="73"/>
      <c r="B559" s="66" t="s">
        <v>2958</v>
      </c>
      <c r="C559" s="63"/>
      <c r="D559" s="64"/>
      <c r="E559" s="64">
        <v>0.4</v>
      </c>
      <c r="F559" s="64">
        <v>0.1</v>
      </c>
      <c r="G559" s="64"/>
      <c r="H559" s="64">
        <v>0.01</v>
      </c>
      <c r="I559" s="76"/>
      <c r="J559" s="83"/>
      <c r="K559" s="84"/>
      <c r="L559" s="85"/>
      <c r="M559" s="84"/>
      <c r="N559" s="86"/>
    </row>
    <row r="560" spans="1:14" ht="25.5" x14ac:dyDescent="0.25">
      <c r="A560" s="73">
        <v>22</v>
      </c>
      <c r="B560" s="65" t="s">
        <v>85</v>
      </c>
      <c r="C560" s="63" t="s">
        <v>86</v>
      </c>
      <c r="D560" s="64"/>
      <c r="E560" s="64"/>
      <c r="F560" s="64"/>
      <c r="G560" s="64"/>
      <c r="H560" s="64"/>
      <c r="I560" s="76">
        <f>I561</f>
        <v>4</v>
      </c>
      <c r="J560" s="83" t="e">
        <f>PL03a!#REF!</f>
        <v>#REF!</v>
      </c>
      <c r="K560" s="84">
        <f t="shared" ref="K560" si="32">I560</f>
        <v>4</v>
      </c>
      <c r="L560" s="85"/>
      <c r="M560" s="84">
        <f>K560</f>
        <v>4</v>
      </c>
      <c r="N560" s="86">
        <f>L560+M560</f>
        <v>4</v>
      </c>
    </row>
    <row r="561" spans="1:14" x14ac:dyDescent="0.25">
      <c r="A561" s="73"/>
      <c r="B561" s="62" t="s">
        <v>2959</v>
      </c>
      <c r="C561" s="63"/>
      <c r="D561" s="64">
        <v>4</v>
      </c>
      <c r="E561" s="64"/>
      <c r="F561" s="64"/>
      <c r="G561" s="64"/>
      <c r="H561" s="64"/>
      <c r="I561" s="76">
        <f t="shared" ref="I561:I623" si="33">ROUND(PRODUCT(D561:H561),3)</f>
        <v>4</v>
      </c>
      <c r="J561" s="83"/>
      <c r="K561" s="84"/>
      <c r="L561" s="85"/>
      <c r="M561" s="84"/>
      <c r="N561" s="86"/>
    </row>
    <row r="562" spans="1:14" ht="25.5" x14ac:dyDescent="0.25">
      <c r="A562" s="73">
        <v>23</v>
      </c>
      <c r="B562" s="65" t="s">
        <v>88</v>
      </c>
      <c r="C562" s="63" t="s">
        <v>86</v>
      </c>
      <c r="D562" s="64"/>
      <c r="E562" s="64"/>
      <c r="F562" s="64"/>
      <c r="G562" s="64"/>
      <c r="H562" s="64"/>
      <c r="I562" s="76">
        <f>I563+I564</f>
        <v>3</v>
      </c>
      <c r="J562" s="83" t="e">
        <f>PL03a!#REF!</f>
        <v>#REF!</v>
      </c>
      <c r="K562" s="84">
        <f t="shared" ref="K562" si="34">I562</f>
        <v>3</v>
      </c>
      <c r="L562" s="85"/>
      <c r="M562" s="84">
        <f>K562</f>
        <v>3</v>
      </c>
      <c r="N562" s="86">
        <f>L562+M562</f>
        <v>3</v>
      </c>
    </row>
    <row r="563" spans="1:14" x14ac:dyDescent="0.25">
      <c r="A563" s="73"/>
      <c r="B563" s="62" t="s">
        <v>2960</v>
      </c>
      <c r="C563" s="63"/>
      <c r="D563" s="64">
        <v>1</v>
      </c>
      <c r="E563" s="64"/>
      <c r="F563" s="64"/>
      <c r="G563" s="64"/>
      <c r="H563" s="64"/>
      <c r="I563" s="76">
        <f t="shared" si="33"/>
        <v>1</v>
      </c>
      <c r="J563" s="83"/>
      <c r="K563" s="84"/>
      <c r="L563" s="85"/>
      <c r="M563" s="84"/>
      <c r="N563" s="86"/>
    </row>
    <row r="564" spans="1:14" x14ac:dyDescent="0.25">
      <c r="A564" s="73"/>
      <c r="B564" s="62" t="s">
        <v>2961</v>
      </c>
      <c r="C564" s="63"/>
      <c r="D564" s="64">
        <v>2</v>
      </c>
      <c r="E564" s="64"/>
      <c r="F564" s="64"/>
      <c r="G564" s="64"/>
      <c r="H564" s="64"/>
      <c r="I564" s="76">
        <f t="shared" si="33"/>
        <v>2</v>
      </c>
      <c r="J564" s="83"/>
      <c r="K564" s="84"/>
      <c r="L564" s="85"/>
      <c r="M564" s="84"/>
      <c r="N564" s="86"/>
    </row>
    <row r="565" spans="1:14" x14ac:dyDescent="0.25">
      <c r="A565" s="73">
        <v>24</v>
      </c>
      <c r="B565" s="65" t="s">
        <v>90</v>
      </c>
      <c r="C565" s="63" t="s">
        <v>32</v>
      </c>
      <c r="D565" s="64"/>
      <c r="E565" s="64"/>
      <c r="F565" s="64"/>
      <c r="G565" s="64"/>
      <c r="H565" s="64"/>
      <c r="I565" s="76">
        <f>I566</f>
        <v>2.7E-2</v>
      </c>
      <c r="J565" s="83" t="e">
        <f>PL03a!#REF!</f>
        <v>#REF!</v>
      </c>
      <c r="K565" s="84">
        <f t="shared" ref="K565" si="35">I565</f>
        <v>2.7E-2</v>
      </c>
      <c r="L565" s="85"/>
      <c r="M565" s="84">
        <f>K565</f>
        <v>2.7E-2</v>
      </c>
      <c r="N565" s="86">
        <f>L565+M565</f>
        <v>2.7E-2</v>
      </c>
    </row>
    <row r="566" spans="1:14" x14ac:dyDescent="0.25">
      <c r="A566" s="73"/>
      <c r="B566" s="62" t="s">
        <v>2962</v>
      </c>
      <c r="C566" s="63"/>
      <c r="D566" s="64"/>
      <c r="E566" s="64">
        <v>27.38</v>
      </c>
      <c r="F566" s="64"/>
      <c r="G566" s="64"/>
      <c r="H566" s="64">
        <v>1E-3</v>
      </c>
      <c r="I566" s="76">
        <f t="shared" si="33"/>
        <v>2.7E-2</v>
      </c>
      <c r="J566" s="83"/>
      <c r="K566" s="84"/>
      <c r="L566" s="85"/>
      <c r="M566" s="84"/>
      <c r="N566" s="86"/>
    </row>
    <row r="567" spans="1:14" x14ac:dyDescent="0.25">
      <c r="A567" s="73">
        <v>25</v>
      </c>
      <c r="B567" s="65" t="s">
        <v>92</v>
      </c>
      <c r="C567" s="63" t="s">
        <v>32</v>
      </c>
      <c r="D567" s="64"/>
      <c r="E567" s="64"/>
      <c r="F567" s="64"/>
      <c r="G567" s="64"/>
      <c r="H567" s="64"/>
      <c r="I567" s="76">
        <f>I568</f>
        <v>31.126000000000001</v>
      </c>
      <c r="J567" s="83" t="e">
        <f>PL03a!#REF!</f>
        <v>#REF!</v>
      </c>
      <c r="K567" s="84">
        <f t="shared" ref="K567" si="36">I567</f>
        <v>31.126000000000001</v>
      </c>
      <c r="L567" s="85"/>
      <c r="M567" s="84">
        <f>K567</f>
        <v>31.126000000000001</v>
      </c>
      <c r="N567" s="86">
        <f>L567+M567</f>
        <v>31.126000000000001</v>
      </c>
    </row>
    <row r="568" spans="1:14" x14ac:dyDescent="0.25">
      <c r="A568" s="73"/>
      <c r="B568" s="62" t="s">
        <v>2932</v>
      </c>
      <c r="C568" s="63"/>
      <c r="D568" s="64"/>
      <c r="E568" s="64">
        <v>31126.13</v>
      </c>
      <c r="F568" s="64"/>
      <c r="G568" s="64"/>
      <c r="H568" s="64">
        <v>1E-3</v>
      </c>
      <c r="I568" s="76">
        <f t="shared" si="33"/>
        <v>31.126000000000001</v>
      </c>
      <c r="J568" s="83"/>
      <c r="K568" s="84"/>
      <c r="L568" s="85"/>
      <c r="M568" s="84"/>
      <c r="N568" s="86"/>
    </row>
    <row r="569" spans="1:14" ht="38.25" x14ac:dyDescent="0.25">
      <c r="A569" s="73">
        <v>26</v>
      </c>
      <c r="B569" s="65" t="s">
        <v>94</v>
      </c>
      <c r="C569" s="63" t="s">
        <v>37</v>
      </c>
      <c r="D569" s="64"/>
      <c r="E569" s="64"/>
      <c r="F569" s="64"/>
      <c r="G569" s="64"/>
      <c r="H569" s="64"/>
      <c r="I569" s="76">
        <f>SUM(I570:I589)</f>
        <v>94.891000000000005</v>
      </c>
      <c r="J569" s="83" t="e">
        <f>PL03a!#REF!</f>
        <v>#REF!</v>
      </c>
      <c r="K569" s="84">
        <f t="shared" ref="K569" si="37">I569</f>
        <v>94.891000000000005</v>
      </c>
      <c r="L569" s="85"/>
      <c r="M569" s="84">
        <f>K569</f>
        <v>94.891000000000005</v>
      </c>
      <c r="N569" s="86">
        <f>L569+M569</f>
        <v>94.891000000000005</v>
      </c>
    </row>
    <row r="570" spans="1:14" x14ac:dyDescent="0.25">
      <c r="A570" s="73"/>
      <c r="B570" s="66" t="s">
        <v>2963</v>
      </c>
      <c r="C570" s="63"/>
      <c r="D570" s="64"/>
      <c r="E570" s="64"/>
      <c r="F570" s="64"/>
      <c r="G570" s="64"/>
      <c r="H570" s="64"/>
      <c r="I570" s="76"/>
      <c r="J570" s="83"/>
      <c r="K570" s="84"/>
      <c r="L570" s="85"/>
      <c r="M570" s="84"/>
      <c r="N570" s="86"/>
    </row>
    <row r="571" spans="1:14" x14ac:dyDescent="0.25">
      <c r="A571" s="73"/>
      <c r="B571" s="66" t="s">
        <v>2964</v>
      </c>
      <c r="C571" s="63"/>
      <c r="D571" s="64"/>
      <c r="E571" s="64"/>
      <c r="F571" s="64"/>
      <c r="G571" s="64"/>
      <c r="H571" s="64"/>
      <c r="I571" s="76"/>
      <c r="J571" s="83"/>
      <c r="K571" s="84"/>
      <c r="L571" s="85"/>
      <c r="M571" s="84"/>
      <c r="N571" s="86"/>
    </row>
    <row r="572" spans="1:14" x14ac:dyDescent="0.25">
      <c r="A572" s="73"/>
      <c r="B572" s="62" t="s">
        <v>2965</v>
      </c>
      <c r="C572" s="63"/>
      <c r="D572" s="64"/>
      <c r="E572" s="64">
        <v>26</v>
      </c>
      <c r="F572" s="64">
        <v>2.6</v>
      </c>
      <c r="G572" s="64">
        <v>0.3</v>
      </c>
      <c r="H572" s="64"/>
      <c r="I572" s="76">
        <f t="shared" si="33"/>
        <v>20.28</v>
      </c>
      <c r="J572" s="83"/>
      <c r="K572" s="84"/>
      <c r="L572" s="85"/>
      <c r="M572" s="84"/>
      <c r="N572" s="86"/>
    </row>
    <row r="573" spans="1:14" x14ac:dyDescent="0.25">
      <c r="A573" s="73"/>
      <c r="B573" s="62" t="s">
        <v>2966</v>
      </c>
      <c r="C573" s="63"/>
      <c r="D573" s="64"/>
      <c r="E573" s="64">
        <v>7.25</v>
      </c>
      <c r="F573" s="64">
        <v>2.6</v>
      </c>
      <c r="G573" s="64">
        <v>0.3</v>
      </c>
      <c r="H573" s="64"/>
      <c r="I573" s="76">
        <f t="shared" si="33"/>
        <v>5.6550000000000002</v>
      </c>
      <c r="J573" s="83"/>
      <c r="K573" s="84"/>
      <c r="L573" s="85"/>
      <c r="M573" s="84"/>
      <c r="N573" s="86"/>
    </row>
    <row r="574" spans="1:14" x14ac:dyDescent="0.25">
      <c r="A574" s="73"/>
      <c r="B574" s="62" t="s">
        <v>2967</v>
      </c>
      <c r="C574" s="63"/>
      <c r="D574" s="64"/>
      <c r="E574" s="64">
        <v>34.25</v>
      </c>
      <c r="F574" s="64">
        <v>2.6</v>
      </c>
      <c r="G574" s="64">
        <v>0.3</v>
      </c>
      <c r="H574" s="64"/>
      <c r="I574" s="76">
        <f t="shared" si="33"/>
        <v>26.715</v>
      </c>
      <c r="J574" s="83"/>
      <c r="K574" s="84"/>
      <c r="L574" s="85"/>
      <c r="M574" s="84"/>
      <c r="N574" s="86"/>
    </row>
    <row r="575" spans="1:14" x14ac:dyDescent="0.25">
      <c r="A575" s="73"/>
      <c r="B575" s="62" t="s">
        <v>2968</v>
      </c>
      <c r="C575" s="63"/>
      <c r="D575" s="64"/>
      <c r="E575" s="64">
        <v>9.8000000000000007</v>
      </c>
      <c r="F575" s="64">
        <v>2.6</v>
      </c>
      <c r="G575" s="64">
        <v>0.3</v>
      </c>
      <c r="H575" s="64"/>
      <c r="I575" s="76">
        <f t="shared" si="33"/>
        <v>7.6440000000000001</v>
      </c>
      <c r="J575" s="83"/>
      <c r="K575" s="84"/>
      <c r="L575" s="85"/>
      <c r="M575" s="84"/>
      <c r="N575" s="86"/>
    </row>
    <row r="576" spans="1:14" x14ac:dyDescent="0.25">
      <c r="A576" s="73"/>
      <c r="B576" s="62" t="s">
        <v>2969</v>
      </c>
      <c r="C576" s="63"/>
      <c r="D576" s="64"/>
      <c r="E576" s="64">
        <v>5.4</v>
      </c>
      <c r="F576" s="64">
        <v>2.6</v>
      </c>
      <c r="G576" s="64">
        <v>0.3</v>
      </c>
      <c r="H576" s="64"/>
      <c r="I576" s="76">
        <f t="shared" si="33"/>
        <v>4.2119999999999997</v>
      </c>
      <c r="J576" s="83"/>
      <c r="K576" s="84"/>
      <c r="L576" s="85"/>
      <c r="M576" s="84"/>
      <c r="N576" s="86"/>
    </row>
    <row r="577" spans="1:14" x14ac:dyDescent="0.25">
      <c r="A577" s="73"/>
      <c r="B577" s="66" t="s">
        <v>2970</v>
      </c>
      <c r="C577" s="63"/>
      <c r="D577" s="64"/>
      <c r="E577" s="64"/>
      <c r="F577" s="64"/>
      <c r="G577" s="64"/>
      <c r="H577" s="64"/>
      <c r="I577" s="76"/>
      <c r="J577" s="83"/>
      <c r="K577" s="84"/>
      <c r="L577" s="85"/>
      <c r="M577" s="84"/>
      <c r="N577" s="86"/>
    </row>
    <row r="578" spans="1:14" x14ac:dyDescent="0.25">
      <c r="A578" s="73"/>
      <c r="B578" s="62" t="s">
        <v>2971</v>
      </c>
      <c r="C578" s="63"/>
      <c r="D578" s="64"/>
      <c r="E578" s="64">
        <v>14.75</v>
      </c>
      <c r="F578" s="64">
        <v>2.4500000000000002</v>
      </c>
      <c r="G578" s="64">
        <v>0.3</v>
      </c>
      <c r="H578" s="64"/>
      <c r="I578" s="76">
        <f t="shared" si="33"/>
        <v>10.840999999999999</v>
      </c>
      <c r="J578" s="83"/>
      <c r="K578" s="84"/>
      <c r="L578" s="85"/>
      <c r="M578" s="84"/>
      <c r="N578" s="86"/>
    </row>
    <row r="579" spans="1:14" x14ac:dyDescent="0.25">
      <c r="A579" s="73"/>
      <c r="B579" s="62" t="s">
        <v>2972</v>
      </c>
      <c r="C579" s="63"/>
      <c r="D579" s="64"/>
      <c r="E579" s="64">
        <v>7.1</v>
      </c>
      <c r="F579" s="64">
        <v>2.4500000000000002</v>
      </c>
      <c r="G579" s="64">
        <v>0.3</v>
      </c>
      <c r="H579" s="64"/>
      <c r="I579" s="76">
        <f t="shared" si="33"/>
        <v>5.2190000000000003</v>
      </c>
      <c r="J579" s="83"/>
      <c r="K579" s="84"/>
      <c r="L579" s="85"/>
      <c r="M579" s="84"/>
      <c r="N579" s="86"/>
    </row>
    <row r="580" spans="1:14" x14ac:dyDescent="0.25">
      <c r="A580" s="73"/>
      <c r="B580" s="66" t="s">
        <v>2973</v>
      </c>
      <c r="C580" s="63"/>
      <c r="D580" s="64"/>
      <c r="E580" s="64"/>
      <c r="F580" s="64"/>
      <c r="G580" s="64"/>
      <c r="H580" s="64"/>
      <c r="I580" s="76"/>
      <c r="J580" s="83"/>
      <c r="K580" s="84"/>
      <c r="L580" s="85"/>
      <c r="M580" s="84"/>
      <c r="N580" s="86"/>
    </row>
    <row r="581" spans="1:14" x14ac:dyDescent="0.25">
      <c r="A581" s="73"/>
      <c r="B581" s="62" t="s">
        <v>2974</v>
      </c>
      <c r="C581" s="63"/>
      <c r="D581" s="64"/>
      <c r="E581" s="64">
        <v>5.2</v>
      </c>
      <c r="F581" s="64">
        <v>1.45</v>
      </c>
      <c r="G581" s="64">
        <v>0.3</v>
      </c>
      <c r="H581" s="64"/>
      <c r="I581" s="76">
        <f t="shared" si="33"/>
        <v>2.262</v>
      </c>
      <c r="J581" s="83"/>
      <c r="K581" s="84"/>
      <c r="L581" s="85"/>
      <c r="M581" s="84"/>
      <c r="N581" s="86"/>
    </row>
    <row r="582" spans="1:14" x14ac:dyDescent="0.25">
      <c r="A582" s="73"/>
      <c r="B582" s="66" t="s">
        <v>2975</v>
      </c>
      <c r="C582" s="63"/>
      <c r="D582" s="64"/>
      <c r="E582" s="64"/>
      <c r="F582" s="64"/>
      <c r="G582" s="64"/>
      <c r="H582" s="64"/>
      <c r="I582" s="76"/>
      <c r="J582" s="83"/>
      <c r="K582" s="84"/>
      <c r="L582" s="85"/>
      <c r="M582" s="84"/>
      <c r="N582" s="86"/>
    </row>
    <row r="583" spans="1:14" x14ac:dyDescent="0.25">
      <c r="A583" s="73"/>
      <c r="B583" s="62" t="s">
        <v>2976</v>
      </c>
      <c r="C583" s="63"/>
      <c r="D583" s="64"/>
      <c r="E583" s="64">
        <v>17.2</v>
      </c>
      <c r="F583" s="64">
        <v>1.25</v>
      </c>
      <c r="G583" s="64">
        <v>0.3</v>
      </c>
      <c r="H583" s="64"/>
      <c r="I583" s="76">
        <f t="shared" si="33"/>
        <v>6.45</v>
      </c>
      <c r="J583" s="83"/>
      <c r="K583" s="84"/>
      <c r="L583" s="85"/>
      <c r="M583" s="84"/>
      <c r="N583" s="86"/>
    </row>
    <row r="584" spans="1:14" x14ac:dyDescent="0.25">
      <c r="A584" s="73"/>
      <c r="B584" s="66" t="s">
        <v>2977</v>
      </c>
      <c r="C584" s="63"/>
      <c r="D584" s="64"/>
      <c r="E584" s="64"/>
      <c r="F584" s="64"/>
      <c r="G584" s="64"/>
      <c r="H584" s="64"/>
      <c r="I584" s="76"/>
      <c r="J584" s="83"/>
      <c r="K584" s="84"/>
      <c r="L584" s="85"/>
      <c r="M584" s="84"/>
      <c r="N584" s="86"/>
    </row>
    <row r="585" spans="1:14" x14ac:dyDescent="0.25">
      <c r="A585" s="73"/>
      <c r="B585" s="62" t="s">
        <v>2978</v>
      </c>
      <c r="C585" s="63"/>
      <c r="D585" s="64"/>
      <c r="E585" s="64">
        <v>6.9</v>
      </c>
      <c r="F585" s="64">
        <v>1.2150000000000001</v>
      </c>
      <c r="G585" s="64">
        <v>0.3</v>
      </c>
      <c r="H585" s="64"/>
      <c r="I585" s="76">
        <f t="shared" si="33"/>
        <v>2.5150000000000001</v>
      </c>
      <c r="J585" s="83"/>
      <c r="K585" s="84"/>
      <c r="L585" s="85"/>
      <c r="M585" s="84"/>
      <c r="N585" s="86"/>
    </row>
    <row r="586" spans="1:14" x14ac:dyDescent="0.25">
      <c r="A586" s="73"/>
      <c r="B586" s="66" t="s">
        <v>2979</v>
      </c>
      <c r="C586" s="63"/>
      <c r="D586" s="64"/>
      <c r="E586" s="64"/>
      <c r="F586" s="64"/>
      <c r="G586" s="64"/>
      <c r="H586" s="64"/>
      <c r="I586" s="76"/>
      <c r="J586" s="83"/>
      <c r="K586" s="84"/>
      <c r="L586" s="85"/>
      <c r="M586" s="84"/>
      <c r="N586" s="86"/>
    </row>
    <row r="587" spans="1:14" x14ac:dyDescent="0.25">
      <c r="A587" s="73"/>
      <c r="B587" s="62" t="s">
        <v>2980</v>
      </c>
      <c r="C587" s="63"/>
      <c r="D587" s="64"/>
      <c r="E587" s="64">
        <v>2.6</v>
      </c>
      <c r="F587" s="64">
        <v>1.8</v>
      </c>
      <c r="G587" s="64">
        <v>0.2</v>
      </c>
      <c r="H587" s="64"/>
      <c r="I587" s="76">
        <f t="shared" si="33"/>
        <v>0.93600000000000005</v>
      </c>
      <c r="J587" s="83"/>
      <c r="K587" s="84"/>
      <c r="L587" s="85"/>
      <c r="M587" s="84"/>
      <c r="N587" s="86"/>
    </row>
    <row r="588" spans="1:14" x14ac:dyDescent="0.25">
      <c r="A588" s="73"/>
      <c r="B588" s="66" t="s">
        <v>2934</v>
      </c>
      <c r="C588" s="63"/>
      <c r="D588" s="64"/>
      <c r="E588" s="64"/>
      <c r="F588" s="64"/>
      <c r="G588" s="64"/>
      <c r="H588" s="64"/>
      <c r="I588" s="76"/>
      <c r="J588" s="83"/>
      <c r="K588" s="84"/>
      <c r="L588" s="85"/>
      <c r="M588" s="84"/>
      <c r="N588" s="86"/>
    </row>
    <row r="589" spans="1:14" x14ac:dyDescent="0.25">
      <c r="A589" s="73"/>
      <c r="B589" s="62" t="s">
        <v>2981</v>
      </c>
      <c r="C589" s="63"/>
      <c r="D589" s="64"/>
      <c r="E589" s="64"/>
      <c r="F589" s="64"/>
      <c r="G589" s="64"/>
      <c r="H589" s="64"/>
      <c r="I589" s="76">
        <v>2.1619999999999999</v>
      </c>
      <c r="J589" s="83"/>
      <c r="K589" s="84"/>
      <c r="L589" s="85"/>
      <c r="M589" s="84"/>
      <c r="N589" s="86"/>
    </row>
    <row r="590" spans="1:14" x14ac:dyDescent="0.25">
      <c r="A590" s="73">
        <v>27</v>
      </c>
      <c r="B590" s="65" t="s">
        <v>96</v>
      </c>
      <c r="C590" s="63" t="s">
        <v>61</v>
      </c>
      <c r="D590" s="64"/>
      <c r="E590" s="64"/>
      <c r="F590" s="64"/>
      <c r="G590" s="64"/>
      <c r="H590" s="64"/>
      <c r="I590" s="76">
        <f>SUM(I591:I610)</f>
        <v>6.286999999999999</v>
      </c>
      <c r="J590" s="83" t="e">
        <f>PL03a!#REF!</f>
        <v>#REF!</v>
      </c>
      <c r="K590" s="84">
        <f t="shared" ref="K590" si="38">I590</f>
        <v>6.286999999999999</v>
      </c>
      <c r="L590" s="85"/>
      <c r="M590" s="84">
        <f>K590</f>
        <v>6.286999999999999</v>
      </c>
      <c r="N590" s="86">
        <f>L590+M590</f>
        <v>6.286999999999999</v>
      </c>
    </row>
    <row r="591" spans="1:14" x14ac:dyDescent="0.25">
      <c r="A591" s="73"/>
      <c r="B591" s="66" t="s">
        <v>2982</v>
      </c>
      <c r="C591" s="63"/>
      <c r="D591" s="64"/>
      <c r="E591" s="64"/>
      <c r="F591" s="64"/>
      <c r="G591" s="64"/>
      <c r="H591" s="64"/>
      <c r="I591" s="76"/>
      <c r="J591" s="83"/>
      <c r="K591" s="84"/>
      <c r="L591" s="85"/>
      <c r="M591" s="84"/>
      <c r="N591" s="86"/>
    </row>
    <row r="592" spans="1:14" x14ac:dyDescent="0.25">
      <c r="A592" s="73"/>
      <c r="B592" s="66" t="s">
        <v>2964</v>
      </c>
      <c r="C592" s="63"/>
      <c r="D592" s="64"/>
      <c r="E592" s="64"/>
      <c r="F592" s="64"/>
      <c r="G592" s="64"/>
      <c r="H592" s="64"/>
      <c r="I592" s="76"/>
      <c r="J592" s="83"/>
      <c r="K592" s="84"/>
      <c r="L592" s="85"/>
      <c r="M592" s="84"/>
      <c r="N592" s="86"/>
    </row>
    <row r="593" spans="1:14" x14ac:dyDescent="0.25">
      <c r="A593" s="73"/>
      <c r="B593" s="62" t="s">
        <v>2965</v>
      </c>
      <c r="C593" s="63"/>
      <c r="D593" s="64">
        <v>2</v>
      </c>
      <c r="E593" s="64">
        <v>26</v>
      </c>
      <c r="F593" s="64">
        <v>2.6</v>
      </c>
      <c r="G593" s="64"/>
      <c r="H593" s="64">
        <v>0.01</v>
      </c>
      <c r="I593" s="76">
        <f t="shared" si="33"/>
        <v>1.3520000000000001</v>
      </c>
      <c r="J593" s="83"/>
      <c r="K593" s="84"/>
      <c r="L593" s="85"/>
      <c r="M593" s="84"/>
      <c r="N593" s="86"/>
    </row>
    <row r="594" spans="1:14" x14ac:dyDescent="0.25">
      <c r="A594" s="73"/>
      <c r="B594" s="62" t="s">
        <v>2966</v>
      </c>
      <c r="C594" s="63"/>
      <c r="D594" s="64">
        <v>2</v>
      </c>
      <c r="E594" s="64">
        <v>7.25</v>
      </c>
      <c r="F594" s="64">
        <v>2.6</v>
      </c>
      <c r="G594" s="64"/>
      <c r="H594" s="64">
        <v>0.01</v>
      </c>
      <c r="I594" s="76">
        <f t="shared" si="33"/>
        <v>0.377</v>
      </c>
      <c r="J594" s="83"/>
      <c r="K594" s="84"/>
      <c r="L594" s="85"/>
      <c r="M594" s="84"/>
      <c r="N594" s="86"/>
    </row>
    <row r="595" spans="1:14" x14ac:dyDescent="0.25">
      <c r="A595" s="73"/>
      <c r="B595" s="62" t="s">
        <v>2967</v>
      </c>
      <c r="C595" s="63"/>
      <c r="D595" s="64">
        <v>2</v>
      </c>
      <c r="E595" s="64">
        <v>34.25</v>
      </c>
      <c r="F595" s="64">
        <v>2.6</v>
      </c>
      <c r="G595" s="64"/>
      <c r="H595" s="64">
        <v>0.01</v>
      </c>
      <c r="I595" s="76">
        <f t="shared" si="33"/>
        <v>1.7809999999999999</v>
      </c>
      <c r="J595" s="83"/>
      <c r="K595" s="84"/>
      <c r="L595" s="85"/>
      <c r="M595" s="84"/>
      <c r="N595" s="86"/>
    </row>
    <row r="596" spans="1:14" x14ac:dyDescent="0.25">
      <c r="A596" s="73"/>
      <c r="B596" s="62" t="s">
        <v>2968</v>
      </c>
      <c r="C596" s="63"/>
      <c r="D596" s="64">
        <v>2</v>
      </c>
      <c r="E596" s="64">
        <v>9.8000000000000007</v>
      </c>
      <c r="F596" s="64">
        <v>2.6</v>
      </c>
      <c r="G596" s="64"/>
      <c r="H596" s="64">
        <v>0.01</v>
      </c>
      <c r="I596" s="76">
        <f t="shared" si="33"/>
        <v>0.51</v>
      </c>
      <c r="J596" s="83"/>
      <c r="K596" s="84"/>
      <c r="L596" s="85"/>
      <c r="M596" s="84"/>
      <c r="N596" s="86"/>
    </row>
    <row r="597" spans="1:14" x14ac:dyDescent="0.25">
      <c r="A597" s="73"/>
      <c r="B597" s="62" t="s">
        <v>2969</v>
      </c>
      <c r="C597" s="63"/>
      <c r="D597" s="64">
        <v>2</v>
      </c>
      <c r="E597" s="64">
        <v>5.4</v>
      </c>
      <c r="F597" s="64">
        <v>2.6</v>
      </c>
      <c r="G597" s="64"/>
      <c r="H597" s="64">
        <v>0.01</v>
      </c>
      <c r="I597" s="76">
        <f t="shared" si="33"/>
        <v>0.28100000000000003</v>
      </c>
      <c r="J597" s="83"/>
      <c r="K597" s="84"/>
      <c r="L597" s="85"/>
      <c r="M597" s="84"/>
      <c r="N597" s="86"/>
    </row>
    <row r="598" spans="1:14" x14ac:dyDescent="0.25">
      <c r="A598" s="73"/>
      <c r="B598" s="66" t="s">
        <v>2970</v>
      </c>
      <c r="C598" s="63"/>
      <c r="D598" s="64"/>
      <c r="E598" s="64"/>
      <c r="F598" s="64"/>
      <c r="G598" s="64"/>
      <c r="H598" s="64"/>
      <c r="I598" s="76"/>
      <c r="J598" s="83"/>
      <c r="K598" s="84"/>
      <c r="L598" s="85"/>
      <c r="M598" s="84"/>
      <c r="N598" s="86"/>
    </row>
    <row r="599" spans="1:14" x14ac:dyDescent="0.25">
      <c r="A599" s="73"/>
      <c r="B599" s="62" t="s">
        <v>2971</v>
      </c>
      <c r="C599" s="63"/>
      <c r="D599" s="64">
        <v>2</v>
      </c>
      <c r="E599" s="64">
        <v>14.75</v>
      </c>
      <c r="F599" s="64">
        <v>2.4500000000000002</v>
      </c>
      <c r="G599" s="64"/>
      <c r="H599" s="64">
        <v>0.01</v>
      </c>
      <c r="I599" s="76">
        <f t="shared" si="33"/>
        <v>0.72299999999999998</v>
      </c>
      <c r="J599" s="83"/>
      <c r="K599" s="84"/>
      <c r="L599" s="85"/>
      <c r="M599" s="84"/>
      <c r="N599" s="86"/>
    </row>
    <row r="600" spans="1:14" x14ac:dyDescent="0.25">
      <c r="A600" s="73"/>
      <c r="B600" s="62" t="s">
        <v>2972</v>
      </c>
      <c r="C600" s="63"/>
      <c r="D600" s="64">
        <v>2</v>
      </c>
      <c r="E600" s="64">
        <v>7.1</v>
      </c>
      <c r="F600" s="64">
        <v>2.4500000000000002</v>
      </c>
      <c r="G600" s="64"/>
      <c r="H600" s="64">
        <v>0.01</v>
      </c>
      <c r="I600" s="76">
        <f t="shared" si="33"/>
        <v>0.34799999999999998</v>
      </c>
      <c r="J600" s="83"/>
      <c r="K600" s="84"/>
      <c r="L600" s="85"/>
      <c r="M600" s="84"/>
      <c r="N600" s="86"/>
    </row>
    <row r="601" spans="1:14" x14ac:dyDescent="0.25">
      <c r="A601" s="73"/>
      <c r="B601" s="66" t="s">
        <v>2973</v>
      </c>
      <c r="C601" s="63"/>
      <c r="D601" s="64"/>
      <c r="E601" s="64"/>
      <c r="F601" s="64"/>
      <c r="G601" s="64"/>
      <c r="H601" s="64"/>
      <c r="I601" s="76"/>
      <c r="J601" s="83"/>
      <c r="K601" s="84"/>
      <c r="L601" s="85"/>
      <c r="M601" s="84"/>
      <c r="N601" s="86"/>
    </row>
    <row r="602" spans="1:14" x14ac:dyDescent="0.25">
      <c r="A602" s="73"/>
      <c r="B602" s="62" t="s">
        <v>2974</v>
      </c>
      <c r="C602" s="63"/>
      <c r="D602" s="64">
        <v>2</v>
      </c>
      <c r="E602" s="64">
        <v>5.2</v>
      </c>
      <c r="F602" s="64">
        <v>1.45</v>
      </c>
      <c r="G602" s="64"/>
      <c r="H602" s="64">
        <v>0.01</v>
      </c>
      <c r="I602" s="76">
        <f t="shared" si="33"/>
        <v>0.151</v>
      </c>
      <c r="J602" s="83"/>
      <c r="K602" s="84"/>
      <c r="L602" s="85"/>
      <c r="M602" s="84"/>
      <c r="N602" s="86"/>
    </row>
    <row r="603" spans="1:14" x14ac:dyDescent="0.25">
      <c r="A603" s="73"/>
      <c r="B603" s="66" t="s">
        <v>2975</v>
      </c>
      <c r="C603" s="63"/>
      <c r="D603" s="64"/>
      <c r="E603" s="64"/>
      <c r="F603" s="64"/>
      <c r="G603" s="64"/>
      <c r="H603" s="64"/>
      <c r="I603" s="76"/>
      <c r="J603" s="83"/>
      <c r="K603" s="84"/>
      <c r="L603" s="85"/>
      <c r="M603" s="84"/>
      <c r="N603" s="86"/>
    </row>
    <row r="604" spans="1:14" x14ac:dyDescent="0.25">
      <c r="A604" s="73"/>
      <c r="B604" s="62" t="s">
        <v>2976</v>
      </c>
      <c r="C604" s="63"/>
      <c r="D604" s="64">
        <v>2</v>
      </c>
      <c r="E604" s="64">
        <v>17.2</v>
      </c>
      <c r="F604" s="64">
        <v>1.25</v>
      </c>
      <c r="G604" s="64"/>
      <c r="H604" s="64">
        <v>0.01</v>
      </c>
      <c r="I604" s="76">
        <f t="shared" si="33"/>
        <v>0.43</v>
      </c>
      <c r="J604" s="83"/>
      <c r="K604" s="84"/>
      <c r="L604" s="85"/>
      <c r="M604" s="84"/>
      <c r="N604" s="86"/>
    </row>
    <row r="605" spans="1:14" x14ac:dyDescent="0.25">
      <c r="A605" s="73"/>
      <c r="B605" s="66" t="s">
        <v>2977</v>
      </c>
      <c r="C605" s="63"/>
      <c r="D605" s="64"/>
      <c r="E605" s="64"/>
      <c r="F605" s="64"/>
      <c r="G605" s="64"/>
      <c r="H605" s="64"/>
      <c r="I605" s="76"/>
      <c r="J605" s="83"/>
      <c r="K605" s="84"/>
      <c r="L605" s="85"/>
      <c r="M605" s="84"/>
      <c r="N605" s="86"/>
    </row>
    <row r="606" spans="1:14" x14ac:dyDescent="0.25">
      <c r="A606" s="73"/>
      <c r="B606" s="62" t="s">
        <v>2978</v>
      </c>
      <c r="C606" s="63"/>
      <c r="D606" s="64">
        <v>2</v>
      </c>
      <c r="E606" s="64">
        <v>6.9</v>
      </c>
      <c r="F606" s="64">
        <v>1.2150000000000001</v>
      </c>
      <c r="G606" s="64"/>
      <c r="H606" s="64">
        <v>0.01</v>
      </c>
      <c r="I606" s="76">
        <f t="shared" si="33"/>
        <v>0.16800000000000001</v>
      </c>
      <c r="J606" s="83"/>
      <c r="K606" s="84"/>
      <c r="L606" s="85"/>
      <c r="M606" s="84"/>
      <c r="N606" s="86"/>
    </row>
    <row r="607" spans="1:14" x14ac:dyDescent="0.25">
      <c r="A607" s="73"/>
      <c r="B607" s="66" t="s">
        <v>2979</v>
      </c>
      <c r="C607" s="63"/>
      <c r="D607" s="64"/>
      <c r="E607" s="64"/>
      <c r="F607" s="64"/>
      <c r="G607" s="64"/>
      <c r="H607" s="64"/>
      <c r="I607" s="76"/>
      <c r="J607" s="83"/>
      <c r="K607" s="84"/>
      <c r="L607" s="85"/>
      <c r="M607" s="84"/>
      <c r="N607" s="86"/>
    </row>
    <row r="608" spans="1:14" x14ac:dyDescent="0.25">
      <c r="A608" s="73"/>
      <c r="B608" s="62" t="s">
        <v>2980</v>
      </c>
      <c r="C608" s="63"/>
      <c r="D608" s="64">
        <v>2</v>
      </c>
      <c r="E608" s="64">
        <v>2.6</v>
      </c>
      <c r="F608" s="64">
        <v>1.8</v>
      </c>
      <c r="G608" s="64"/>
      <c r="H608" s="64">
        <v>0.01</v>
      </c>
      <c r="I608" s="76">
        <f t="shared" si="33"/>
        <v>9.4E-2</v>
      </c>
      <c r="J608" s="83"/>
      <c r="K608" s="84"/>
      <c r="L608" s="85"/>
      <c r="M608" s="84"/>
      <c r="N608" s="86"/>
    </row>
    <row r="609" spans="1:14" x14ac:dyDescent="0.25">
      <c r="A609" s="73"/>
      <c r="B609" s="66" t="s">
        <v>2934</v>
      </c>
      <c r="C609" s="63"/>
      <c r="D609" s="64"/>
      <c r="E609" s="64"/>
      <c r="F609" s="64"/>
      <c r="G609" s="64"/>
      <c r="H609" s="64"/>
      <c r="I609" s="76"/>
      <c r="J609" s="83"/>
      <c r="K609" s="84"/>
      <c r="L609" s="85"/>
      <c r="M609" s="84"/>
      <c r="N609" s="86"/>
    </row>
    <row r="610" spans="1:14" x14ac:dyDescent="0.25">
      <c r="A610" s="73"/>
      <c r="B610" s="62" t="s">
        <v>2983</v>
      </c>
      <c r="C610" s="63"/>
      <c r="D610" s="64"/>
      <c r="E610" s="64"/>
      <c r="F610" s="64"/>
      <c r="G610" s="64"/>
      <c r="H610" s="64"/>
      <c r="I610" s="76">
        <v>7.1999999999999995E-2</v>
      </c>
      <c r="J610" s="83"/>
      <c r="K610" s="84"/>
      <c r="L610" s="85"/>
      <c r="M610" s="84"/>
      <c r="N610" s="86"/>
    </row>
    <row r="611" spans="1:14" x14ac:dyDescent="0.25">
      <c r="A611" s="73">
        <v>28</v>
      </c>
      <c r="B611" s="65" t="s">
        <v>98</v>
      </c>
      <c r="C611" s="63" t="s">
        <v>32</v>
      </c>
      <c r="D611" s="64"/>
      <c r="E611" s="64"/>
      <c r="F611" s="64"/>
      <c r="G611" s="64"/>
      <c r="H611" s="64"/>
      <c r="I611" s="76">
        <f>I612</f>
        <v>6.492</v>
      </c>
      <c r="J611" s="83" t="e">
        <f>PL03a!#REF!</f>
        <v>#REF!</v>
      </c>
      <c r="K611" s="84">
        <f t="shared" ref="K611" si="39">I611</f>
        <v>6.492</v>
      </c>
      <c r="L611" s="85"/>
      <c r="M611" s="84">
        <f>K611</f>
        <v>6.492</v>
      </c>
      <c r="N611" s="86">
        <f>L611+M611</f>
        <v>6.492</v>
      </c>
    </row>
    <row r="612" spans="1:14" x14ac:dyDescent="0.25">
      <c r="A612" s="73"/>
      <c r="B612" s="62" t="s">
        <v>2931</v>
      </c>
      <c r="C612" s="63"/>
      <c r="D612" s="64"/>
      <c r="E612" s="64">
        <v>6492.47</v>
      </c>
      <c r="F612" s="64"/>
      <c r="G612" s="64"/>
      <c r="H612" s="64">
        <v>1E-3</v>
      </c>
      <c r="I612" s="76">
        <f t="shared" si="33"/>
        <v>6.492</v>
      </c>
      <c r="J612" s="83"/>
      <c r="K612" s="84"/>
      <c r="L612" s="85"/>
      <c r="M612" s="84"/>
      <c r="N612" s="86"/>
    </row>
    <row r="613" spans="1:14" x14ac:dyDescent="0.25">
      <c r="A613" s="73">
        <v>29</v>
      </c>
      <c r="B613" s="65" t="s">
        <v>100</v>
      </c>
      <c r="C613" s="63" t="s">
        <v>32</v>
      </c>
      <c r="D613" s="64"/>
      <c r="E613" s="64"/>
      <c r="F613" s="64"/>
      <c r="G613" s="64"/>
      <c r="H613" s="64"/>
      <c r="I613" s="76">
        <f>I614</f>
        <v>0.11600000000000001</v>
      </c>
      <c r="J613" s="83" t="e">
        <f>PL03a!#REF!</f>
        <v>#REF!</v>
      </c>
      <c r="K613" s="84">
        <f t="shared" ref="K613" si="40">I613</f>
        <v>0.11600000000000001</v>
      </c>
      <c r="L613" s="85"/>
      <c r="M613" s="84">
        <f>K613</f>
        <v>0.11600000000000001</v>
      </c>
      <c r="N613" s="86">
        <f>L613+M613</f>
        <v>0.11600000000000001</v>
      </c>
    </row>
    <row r="614" spans="1:14" x14ac:dyDescent="0.25">
      <c r="A614" s="73"/>
      <c r="B614" s="62" t="s">
        <v>2984</v>
      </c>
      <c r="C614" s="63"/>
      <c r="D614" s="64"/>
      <c r="E614" s="64">
        <v>115.78</v>
      </c>
      <c r="F614" s="64"/>
      <c r="G614" s="64"/>
      <c r="H614" s="64">
        <v>1E-3</v>
      </c>
      <c r="I614" s="76">
        <f t="shared" si="33"/>
        <v>0.11600000000000001</v>
      </c>
      <c r="J614" s="83"/>
      <c r="K614" s="84"/>
      <c r="L614" s="85"/>
      <c r="M614" s="84"/>
      <c r="N614" s="86"/>
    </row>
    <row r="615" spans="1:14" ht="38.25" x14ac:dyDescent="0.25">
      <c r="A615" s="73">
        <v>30</v>
      </c>
      <c r="B615" s="65" t="s">
        <v>102</v>
      </c>
      <c r="C615" s="63" t="s">
        <v>37</v>
      </c>
      <c r="D615" s="64"/>
      <c r="E615" s="64"/>
      <c r="F615" s="64"/>
      <c r="G615" s="64"/>
      <c r="H615" s="64"/>
      <c r="I615" s="76">
        <f>SUM(I616:I636)</f>
        <v>72.237000000000009</v>
      </c>
      <c r="J615" s="83" t="e">
        <f>PL03a!#REF!</f>
        <v>#REF!</v>
      </c>
      <c r="K615" s="84">
        <f t="shared" ref="K615" si="41">I615</f>
        <v>72.237000000000009</v>
      </c>
      <c r="L615" s="85"/>
      <c r="M615" s="84">
        <f>K615</f>
        <v>72.237000000000009</v>
      </c>
      <c r="N615" s="86">
        <f>L615+M615</f>
        <v>72.237000000000009</v>
      </c>
    </row>
    <row r="616" spans="1:14" x14ac:dyDescent="0.25">
      <c r="A616" s="73"/>
      <c r="B616" s="66" t="s">
        <v>2985</v>
      </c>
      <c r="C616" s="63"/>
      <c r="D616" s="64"/>
      <c r="E616" s="64"/>
      <c r="F616" s="64"/>
      <c r="G616" s="64"/>
      <c r="H616" s="64"/>
      <c r="I616" s="76"/>
      <c r="J616" s="83"/>
      <c r="K616" s="84"/>
      <c r="L616" s="85"/>
      <c r="M616" s="84"/>
      <c r="N616" s="86"/>
    </row>
    <row r="617" spans="1:14" x14ac:dyDescent="0.25">
      <c r="A617" s="73"/>
      <c r="B617" s="62" t="s">
        <v>2986</v>
      </c>
      <c r="C617" s="63"/>
      <c r="D617" s="64">
        <v>2</v>
      </c>
      <c r="E617" s="64">
        <v>0.4</v>
      </c>
      <c r="F617" s="64">
        <v>1.6</v>
      </c>
      <c r="G617" s="64">
        <v>3.3</v>
      </c>
      <c r="H617" s="64"/>
      <c r="I617" s="76">
        <f t="shared" si="33"/>
        <v>4.2240000000000002</v>
      </c>
      <c r="J617" s="83"/>
      <c r="K617" s="84"/>
      <c r="L617" s="85"/>
      <c r="M617" s="84"/>
      <c r="N617" s="86"/>
    </row>
    <row r="618" spans="1:14" x14ac:dyDescent="0.25">
      <c r="A618" s="73"/>
      <c r="B618" s="62" t="s">
        <v>2987</v>
      </c>
      <c r="C618" s="63"/>
      <c r="D618" s="64"/>
      <c r="E618" s="64">
        <v>0.5</v>
      </c>
      <c r="F618" s="64">
        <v>1.6</v>
      </c>
      <c r="G618" s="64">
        <v>3.3</v>
      </c>
      <c r="H618" s="64"/>
      <c r="I618" s="76">
        <f t="shared" si="33"/>
        <v>2.64</v>
      </c>
      <c r="J618" s="83"/>
      <c r="K618" s="84"/>
      <c r="L618" s="85"/>
      <c r="M618" s="84"/>
      <c r="N618" s="86"/>
    </row>
    <row r="619" spans="1:14" x14ac:dyDescent="0.25">
      <c r="A619" s="73"/>
      <c r="B619" s="62" t="s">
        <v>2988</v>
      </c>
      <c r="C619" s="63"/>
      <c r="D619" s="64">
        <v>2</v>
      </c>
      <c r="E619" s="64">
        <v>0.5</v>
      </c>
      <c r="F619" s="64">
        <v>1.6</v>
      </c>
      <c r="G619" s="64">
        <v>3.3</v>
      </c>
      <c r="H619" s="64"/>
      <c r="I619" s="76">
        <f t="shared" si="33"/>
        <v>5.28</v>
      </c>
      <c r="J619" s="83"/>
      <c r="K619" s="84"/>
      <c r="L619" s="85"/>
      <c r="M619" s="84"/>
      <c r="N619" s="86"/>
    </row>
    <row r="620" spans="1:14" x14ac:dyDescent="0.25">
      <c r="A620" s="73"/>
      <c r="B620" s="62" t="s">
        <v>2989</v>
      </c>
      <c r="C620" s="63"/>
      <c r="D620" s="64"/>
      <c r="E620" s="64">
        <v>0.4</v>
      </c>
      <c r="F620" s="64">
        <v>2.8</v>
      </c>
      <c r="G620" s="64">
        <v>3.3</v>
      </c>
      <c r="H620" s="64"/>
      <c r="I620" s="76">
        <f t="shared" si="33"/>
        <v>3.6960000000000002</v>
      </c>
      <c r="J620" s="83"/>
      <c r="K620" s="84"/>
      <c r="L620" s="85"/>
      <c r="M620" s="84"/>
      <c r="N620" s="86"/>
    </row>
    <row r="621" spans="1:14" x14ac:dyDescent="0.25">
      <c r="A621" s="73"/>
      <c r="B621" s="62" t="s">
        <v>2990</v>
      </c>
      <c r="C621" s="63"/>
      <c r="D621" s="64"/>
      <c r="E621" s="64">
        <v>0.4</v>
      </c>
      <c r="F621" s="64">
        <v>3.7</v>
      </c>
      <c r="G621" s="64">
        <v>3.3</v>
      </c>
      <c r="H621" s="64"/>
      <c r="I621" s="76">
        <f t="shared" si="33"/>
        <v>4.8840000000000003</v>
      </c>
      <c r="J621" s="83"/>
      <c r="K621" s="84"/>
      <c r="L621" s="85"/>
      <c r="M621" s="84"/>
      <c r="N621" s="86"/>
    </row>
    <row r="622" spans="1:14" x14ac:dyDescent="0.25">
      <c r="A622" s="73"/>
      <c r="B622" s="62" t="s">
        <v>2991</v>
      </c>
      <c r="C622" s="63"/>
      <c r="D622" s="64"/>
      <c r="E622" s="64">
        <v>0.6</v>
      </c>
      <c r="F622" s="64">
        <v>1.6</v>
      </c>
      <c r="G622" s="64">
        <v>3.3</v>
      </c>
      <c r="H622" s="64"/>
      <c r="I622" s="76">
        <f t="shared" si="33"/>
        <v>3.1680000000000001</v>
      </c>
      <c r="J622" s="83"/>
      <c r="K622" s="84"/>
      <c r="L622" s="85"/>
      <c r="M622" s="84"/>
      <c r="N622" s="86"/>
    </row>
    <row r="623" spans="1:14" x14ac:dyDescent="0.25">
      <c r="A623" s="73"/>
      <c r="B623" s="62" t="s">
        <v>2992</v>
      </c>
      <c r="C623" s="63"/>
      <c r="D623" s="64"/>
      <c r="E623" s="64">
        <v>0.5</v>
      </c>
      <c r="F623" s="64">
        <v>1.6</v>
      </c>
      <c r="G623" s="64">
        <v>3.3</v>
      </c>
      <c r="H623" s="64"/>
      <c r="I623" s="76">
        <f t="shared" si="33"/>
        <v>2.64</v>
      </c>
      <c r="J623" s="83"/>
      <c r="K623" s="84"/>
      <c r="L623" s="85"/>
      <c r="M623" s="84"/>
      <c r="N623" s="86"/>
    </row>
    <row r="624" spans="1:14" x14ac:dyDescent="0.25">
      <c r="A624" s="73"/>
      <c r="B624" s="62" t="s">
        <v>2993</v>
      </c>
      <c r="C624" s="63"/>
      <c r="D624" s="64"/>
      <c r="E624" s="64">
        <v>0.5</v>
      </c>
      <c r="F624" s="64">
        <v>1.6</v>
      </c>
      <c r="G624" s="64">
        <v>3.3</v>
      </c>
      <c r="H624" s="64"/>
      <c r="I624" s="76">
        <f t="shared" ref="I624:I687" si="42">ROUND(PRODUCT(D624:H624),3)</f>
        <v>2.64</v>
      </c>
      <c r="J624" s="83"/>
      <c r="K624" s="84"/>
      <c r="L624" s="85"/>
      <c r="M624" s="84"/>
      <c r="N624" s="86"/>
    </row>
    <row r="625" spans="1:14" x14ac:dyDescent="0.25">
      <c r="A625" s="73"/>
      <c r="B625" s="62" t="s">
        <v>2994</v>
      </c>
      <c r="C625" s="63"/>
      <c r="D625" s="64">
        <v>2</v>
      </c>
      <c r="E625" s="64">
        <v>0.3</v>
      </c>
      <c r="F625" s="64">
        <v>1.2</v>
      </c>
      <c r="G625" s="64">
        <v>3.3</v>
      </c>
      <c r="H625" s="64"/>
      <c r="I625" s="76">
        <f t="shared" si="42"/>
        <v>2.3759999999999999</v>
      </c>
      <c r="J625" s="83"/>
      <c r="K625" s="84"/>
      <c r="L625" s="85"/>
      <c r="M625" s="84"/>
      <c r="N625" s="86"/>
    </row>
    <row r="626" spans="1:14" x14ac:dyDescent="0.25">
      <c r="A626" s="73"/>
      <c r="B626" s="66" t="s">
        <v>2995</v>
      </c>
      <c r="C626" s="63"/>
      <c r="D626" s="64"/>
      <c r="E626" s="64"/>
      <c r="F626" s="64"/>
      <c r="G626" s="64"/>
      <c r="H626" s="64"/>
      <c r="I626" s="76"/>
      <c r="J626" s="83"/>
      <c r="K626" s="84"/>
      <c r="L626" s="85"/>
      <c r="M626" s="84"/>
      <c r="N626" s="86"/>
    </row>
    <row r="627" spans="1:14" x14ac:dyDescent="0.25">
      <c r="A627" s="73"/>
      <c r="B627" s="62" t="s">
        <v>2996</v>
      </c>
      <c r="C627" s="63"/>
      <c r="D627" s="64"/>
      <c r="E627" s="64">
        <v>2.7</v>
      </c>
      <c r="F627" s="64">
        <v>3.3</v>
      </c>
      <c r="G627" s="64">
        <v>0.3</v>
      </c>
      <c r="H627" s="64"/>
      <c r="I627" s="76">
        <f t="shared" si="42"/>
        <v>2.673</v>
      </c>
      <c r="J627" s="83"/>
      <c r="K627" s="84"/>
      <c r="L627" s="85"/>
      <c r="M627" s="84"/>
      <c r="N627" s="86"/>
    </row>
    <row r="628" spans="1:14" x14ac:dyDescent="0.25">
      <c r="A628" s="73"/>
      <c r="B628" s="62"/>
      <c r="C628" s="63"/>
      <c r="D628" s="64">
        <v>2</v>
      </c>
      <c r="E628" s="64">
        <v>8</v>
      </c>
      <c r="F628" s="64">
        <v>3.3</v>
      </c>
      <c r="G628" s="64">
        <v>0.3</v>
      </c>
      <c r="H628" s="64"/>
      <c r="I628" s="76">
        <f t="shared" si="42"/>
        <v>15.84</v>
      </c>
      <c r="J628" s="83"/>
      <c r="K628" s="84"/>
      <c r="L628" s="85"/>
      <c r="M628" s="84"/>
      <c r="N628" s="86"/>
    </row>
    <row r="629" spans="1:14" x14ac:dyDescent="0.25">
      <c r="A629" s="73"/>
      <c r="B629" s="62" t="s">
        <v>2997</v>
      </c>
      <c r="C629" s="63"/>
      <c r="D629" s="64">
        <v>2</v>
      </c>
      <c r="E629" s="64">
        <v>2.2000000000000002</v>
      </c>
      <c r="F629" s="64">
        <v>3.3</v>
      </c>
      <c r="G629" s="64">
        <v>0.3</v>
      </c>
      <c r="H629" s="64"/>
      <c r="I629" s="76">
        <f t="shared" si="42"/>
        <v>4.3559999999999999</v>
      </c>
      <c r="J629" s="83"/>
      <c r="K629" s="84"/>
      <c r="L629" s="85"/>
      <c r="M629" s="84"/>
      <c r="N629" s="86"/>
    </row>
    <row r="630" spans="1:14" x14ac:dyDescent="0.25">
      <c r="A630" s="73"/>
      <c r="B630" s="62"/>
      <c r="C630" s="63"/>
      <c r="D630" s="64">
        <v>2</v>
      </c>
      <c r="E630" s="64">
        <v>2</v>
      </c>
      <c r="F630" s="64">
        <v>3.3</v>
      </c>
      <c r="G630" s="64">
        <v>0.4</v>
      </c>
      <c r="H630" s="64"/>
      <c r="I630" s="76">
        <f t="shared" si="42"/>
        <v>5.28</v>
      </c>
      <c r="J630" s="83"/>
      <c r="K630" s="84"/>
      <c r="L630" s="85"/>
      <c r="M630" s="84"/>
      <c r="N630" s="86"/>
    </row>
    <row r="631" spans="1:14" x14ac:dyDescent="0.25">
      <c r="A631" s="73"/>
      <c r="B631" s="62"/>
      <c r="C631" s="63"/>
      <c r="D631" s="64">
        <v>2</v>
      </c>
      <c r="E631" s="64">
        <v>2</v>
      </c>
      <c r="F631" s="64">
        <v>3.3</v>
      </c>
      <c r="G631" s="64">
        <v>0.3</v>
      </c>
      <c r="H631" s="64"/>
      <c r="I631" s="76">
        <f t="shared" si="42"/>
        <v>3.96</v>
      </c>
      <c r="J631" s="83"/>
      <c r="K631" s="84"/>
      <c r="L631" s="85"/>
      <c r="M631" s="84"/>
      <c r="N631" s="86"/>
    </row>
    <row r="632" spans="1:14" x14ac:dyDescent="0.25">
      <c r="A632" s="73"/>
      <c r="B632" s="62" t="s">
        <v>2998</v>
      </c>
      <c r="C632" s="63"/>
      <c r="D632" s="64"/>
      <c r="E632" s="64">
        <v>-1.4</v>
      </c>
      <c r="F632" s="64">
        <v>2.2000000000000002</v>
      </c>
      <c r="G632" s="64">
        <v>0.3</v>
      </c>
      <c r="H632" s="64"/>
      <c r="I632" s="76">
        <f t="shared" si="42"/>
        <v>-0.92400000000000004</v>
      </c>
      <c r="J632" s="83"/>
      <c r="K632" s="84"/>
      <c r="L632" s="85"/>
      <c r="M632" s="84"/>
      <c r="N632" s="86"/>
    </row>
    <row r="633" spans="1:14" x14ac:dyDescent="0.25">
      <c r="A633" s="73"/>
      <c r="B633" s="62"/>
      <c r="C633" s="63"/>
      <c r="D633" s="64">
        <v>3</v>
      </c>
      <c r="E633" s="64">
        <v>-1.5</v>
      </c>
      <c r="F633" s="64">
        <v>2.2000000000000002</v>
      </c>
      <c r="G633" s="64">
        <v>0.3</v>
      </c>
      <c r="H633" s="64"/>
      <c r="I633" s="76">
        <f t="shared" si="42"/>
        <v>-2.97</v>
      </c>
      <c r="J633" s="83"/>
      <c r="K633" s="84"/>
      <c r="L633" s="85"/>
      <c r="M633" s="84"/>
      <c r="N633" s="86"/>
    </row>
    <row r="634" spans="1:14" x14ac:dyDescent="0.25">
      <c r="A634" s="73"/>
      <c r="B634" s="66" t="s">
        <v>2999</v>
      </c>
      <c r="C634" s="63"/>
      <c r="D634" s="64"/>
      <c r="E634" s="64"/>
      <c r="F634" s="64"/>
      <c r="G634" s="64"/>
      <c r="H634" s="64"/>
      <c r="I634" s="76"/>
      <c r="J634" s="83"/>
      <c r="K634" s="84"/>
      <c r="L634" s="85"/>
      <c r="M634" s="84"/>
      <c r="N634" s="86"/>
    </row>
    <row r="635" spans="1:14" x14ac:dyDescent="0.25">
      <c r="A635" s="73"/>
      <c r="B635" s="62" t="s">
        <v>2996</v>
      </c>
      <c r="C635" s="63"/>
      <c r="D635" s="64"/>
      <c r="E635" s="64">
        <v>8</v>
      </c>
      <c r="F635" s="64">
        <v>3.3</v>
      </c>
      <c r="G635" s="64">
        <v>0.3</v>
      </c>
      <c r="H635" s="64"/>
      <c r="I635" s="76">
        <f t="shared" si="42"/>
        <v>7.92</v>
      </c>
      <c r="J635" s="83"/>
      <c r="K635" s="84"/>
      <c r="L635" s="85"/>
      <c r="M635" s="84"/>
      <c r="N635" s="86"/>
    </row>
    <row r="636" spans="1:14" x14ac:dyDescent="0.25">
      <c r="A636" s="73"/>
      <c r="B636" s="62" t="s">
        <v>2997</v>
      </c>
      <c r="C636" s="63"/>
      <c r="D636" s="64">
        <v>2</v>
      </c>
      <c r="E636" s="64">
        <v>2.2999999999999998</v>
      </c>
      <c r="F636" s="64">
        <v>3.3</v>
      </c>
      <c r="G636" s="64">
        <v>0.3</v>
      </c>
      <c r="H636" s="64"/>
      <c r="I636" s="76">
        <f t="shared" si="42"/>
        <v>4.5540000000000003</v>
      </c>
      <c r="J636" s="83"/>
      <c r="K636" s="84"/>
      <c r="L636" s="85"/>
      <c r="M636" s="84"/>
      <c r="N636" s="86"/>
    </row>
    <row r="637" spans="1:14" ht="38.25" x14ac:dyDescent="0.25">
      <c r="A637" s="73">
        <v>31</v>
      </c>
      <c r="B637" s="65" t="s">
        <v>104</v>
      </c>
      <c r="C637" s="63" t="s">
        <v>61</v>
      </c>
      <c r="D637" s="64"/>
      <c r="E637" s="64"/>
      <c r="F637" s="64"/>
      <c r="G637" s="64"/>
      <c r="H637" s="64"/>
      <c r="I637" s="76">
        <f>SUM(I638:I658)</f>
        <v>4.2440000000000007</v>
      </c>
      <c r="J637" s="83" t="e">
        <f>PL03a!#REF!</f>
        <v>#REF!</v>
      </c>
      <c r="K637" s="84">
        <f t="shared" ref="K637" si="43">I637</f>
        <v>4.2440000000000007</v>
      </c>
      <c r="L637" s="85"/>
      <c r="M637" s="84">
        <f>K637</f>
        <v>4.2440000000000007</v>
      </c>
      <c r="N637" s="86">
        <f>L637+M637</f>
        <v>4.2440000000000007</v>
      </c>
    </row>
    <row r="638" spans="1:14" x14ac:dyDescent="0.25">
      <c r="A638" s="73"/>
      <c r="B638" s="66" t="s">
        <v>2985</v>
      </c>
      <c r="C638" s="63"/>
      <c r="D638" s="64"/>
      <c r="E638" s="64"/>
      <c r="F638" s="64"/>
      <c r="G638" s="64"/>
      <c r="H638" s="64"/>
      <c r="I638" s="76"/>
      <c r="J638" s="83"/>
      <c r="K638" s="84"/>
      <c r="L638" s="85"/>
      <c r="M638" s="84"/>
      <c r="N638" s="86"/>
    </row>
    <row r="639" spans="1:14" x14ac:dyDescent="0.25">
      <c r="A639" s="73"/>
      <c r="B639" s="62" t="s">
        <v>3000</v>
      </c>
      <c r="C639" s="63"/>
      <c r="D639" s="64">
        <v>2</v>
      </c>
      <c r="E639" s="64">
        <v>4</v>
      </c>
      <c r="F639" s="64">
        <v>3</v>
      </c>
      <c r="G639" s="64"/>
      <c r="H639" s="64">
        <v>0.01</v>
      </c>
      <c r="I639" s="76">
        <f t="shared" si="42"/>
        <v>0.24</v>
      </c>
      <c r="J639" s="83"/>
      <c r="K639" s="84"/>
      <c r="L639" s="85"/>
      <c r="M639" s="84"/>
      <c r="N639" s="86"/>
    </row>
    <row r="640" spans="1:14" x14ac:dyDescent="0.25">
      <c r="A640" s="73"/>
      <c r="B640" s="62" t="s">
        <v>3001</v>
      </c>
      <c r="C640" s="63"/>
      <c r="D640" s="64"/>
      <c r="E640" s="64">
        <v>4.2</v>
      </c>
      <c r="F640" s="64">
        <v>3</v>
      </c>
      <c r="G640" s="64"/>
      <c r="H640" s="64">
        <v>0.01</v>
      </c>
      <c r="I640" s="76">
        <f t="shared" si="42"/>
        <v>0.126</v>
      </c>
      <c r="J640" s="83"/>
      <c r="K640" s="84"/>
      <c r="L640" s="85"/>
      <c r="M640" s="84"/>
      <c r="N640" s="86"/>
    </row>
    <row r="641" spans="1:14" x14ac:dyDescent="0.25">
      <c r="A641" s="73"/>
      <c r="B641" s="62" t="s">
        <v>3002</v>
      </c>
      <c r="C641" s="63"/>
      <c r="D641" s="64">
        <v>2</v>
      </c>
      <c r="E641" s="64">
        <v>4.2</v>
      </c>
      <c r="F641" s="64">
        <v>3</v>
      </c>
      <c r="G641" s="64"/>
      <c r="H641" s="64">
        <v>0.01</v>
      </c>
      <c r="I641" s="76">
        <f t="shared" si="42"/>
        <v>0.252</v>
      </c>
      <c r="J641" s="83"/>
      <c r="K641" s="84"/>
      <c r="L641" s="85"/>
      <c r="M641" s="84"/>
      <c r="N641" s="86"/>
    </row>
    <row r="642" spans="1:14" x14ac:dyDescent="0.25">
      <c r="A642" s="73"/>
      <c r="B642" s="62" t="s">
        <v>3003</v>
      </c>
      <c r="C642" s="63"/>
      <c r="D642" s="64"/>
      <c r="E642" s="64">
        <v>6.4</v>
      </c>
      <c r="F642" s="64">
        <v>3</v>
      </c>
      <c r="G642" s="64"/>
      <c r="H642" s="64">
        <v>0.01</v>
      </c>
      <c r="I642" s="76">
        <f t="shared" si="42"/>
        <v>0.192</v>
      </c>
      <c r="J642" s="83"/>
      <c r="K642" s="84"/>
      <c r="L642" s="85"/>
      <c r="M642" s="84"/>
      <c r="N642" s="86"/>
    </row>
    <row r="643" spans="1:14" x14ac:dyDescent="0.25">
      <c r="A643" s="73"/>
      <c r="B643" s="62" t="s">
        <v>3004</v>
      </c>
      <c r="C643" s="63"/>
      <c r="D643" s="64"/>
      <c r="E643" s="64">
        <v>8.1999999999999993</v>
      </c>
      <c r="F643" s="64">
        <v>3</v>
      </c>
      <c r="G643" s="64"/>
      <c r="H643" s="64">
        <v>0.01</v>
      </c>
      <c r="I643" s="76">
        <f t="shared" si="42"/>
        <v>0.246</v>
      </c>
      <c r="J643" s="83"/>
      <c r="K643" s="84"/>
      <c r="L643" s="85"/>
      <c r="M643" s="84"/>
      <c r="N643" s="86"/>
    </row>
    <row r="644" spans="1:14" x14ac:dyDescent="0.25">
      <c r="A644" s="73"/>
      <c r="B644" s="62" t="s">
        <v>3005</v>
      </c>
      <c r="C644" s="63"/>
      <c r="D644" s="64"/>
      <c r="E644" s="64">
        <v>4.4000000000000004</v>
      </c>
      <c r="F644" s="64">
        <v>3</v>
      </c>
      <c r="G644" s="64"/>
      <c r="H644" s="64">
        <v>0.01</v>
      </c>
      <c r="I644" s="76">
        <f t="shared" si="42"/>
        <v>0.13200000000000001</v>
      </c>
      <c r="J644" s="83"/>
      <c r="K644" s="84"/>
      <c r="L644" s="85"/>
      <c r="M644" s="84"/>
      <c r="N644" s="86"/>
    </row>
    <row r="645" spans="1:14" x14ac:dyDescent="0.25">
      <c r="A645" s="73"/>
      <c r="B645" s="62" t="s">
        <v>3006</v>
      </c>
      <c r="C645" s="63"/>
      <c r="D645" s="64"/>
      <c r="E645" s="64">
        <v>4.2</v>
      </c>
      <c r="F645" s="64">
        <v>3</v>
      </c>
      <c r="G645" s="64"/>
      <c r="H645" s="64">
        <v>0.01</v>
      </c>
      <c r="I645" s="76">
        <f t="shared" si="42"/>
        <v>0.126</v>
      </c>
      <c r="J645" s="83"/>
      <c r="K645" s="84"/>
      <c r="L645" s="85"/>
      <c r="M645" s="84"/>
      <c r="N645" s="86"/>
    </row>
    <row r="646" spans="1:14" x14ac:dyDescent="0.25">
      <c r="A646" s="73"/>
      <c r="B646" s="62" t="s">
        <v>3007</v>
      </c>
      <c r="C646" s="63"/>
      <c r="D646" s="64"/>
      <c r="E646" s="64">
        <v>4.2</v>
      </c>
      <c r="F646" s="64">
        <v>3</v>
      </c>
      <c r="G646" s="64"/>
      <c r="H646" s="64">
        <v>0.01</v>
      </c>
      <c r="I646" s="76">
        <f t="shared" si="42"/>
        <v>0.126</v>
      </c>
      <c r="J646" s="83"/>
      <c r="K646" s="84"/>
      <c r="L646" s="85"/>
      <c r="M646" s="84"/>
      <c r="N646" s="86"/>
    </row>
    <row r="647" spans="1:14" x14ac:dyDescent="0.25">
      <c r="A647" s="73"/>
      <c r="B647" s="62" t="s">
        <v>3008</v>
      </c>
      <c r="C647" s="63"/>
      <c r="D647" s="64">
        <v>2</v>
      </c>
      <c r="E647" s="64">
        <v>3</v>
      </c>
      <c r="F647" s="64">
        <v>3</v>
      </c>
      <c r="G647" s="64"/>
      <c r="H647" s="64">
        <v>0.01</v>
      </c>
      <c r="I647" s="76">
        <f t="shared" si="42"/>
        <v>0.18</v>
      </c>
      <c r="J647" s="83"/>
      <c r="K647" s="84"/>
      <c r="L647" s="85"/>
      <c r="M647" s="84"/>
      <c r="N647" s="86"/>
    </row>
    <row r="648" spans="1:14" x14ac:dyDescent="0.25">
      <c r="A648" s="73"/>
      <c r="B648" s="66" t="s">
        <v>2995</v>
      </c>
      <c r="C648" s="63"/>
      <c r="D648" s="64"/>
      <c r="E648" s="64"/>
      <c r="F648" s="64"/>
      <c r="G648" s="64"/>
      <c r="H648" s="64"/>
      <c r="I648" s="76"/>
      <c r="J648" s="83"/>
      <c r="K648" s="84"/>
      <c r="L648" s="85"/>
      <c r="M648" s="84"/>
      <c r="N648" s="86"/>
    </row>
    <row r="649" spans="1:14" x14ac:dyDescent="0.25">
      <c r="A649" s="73"/>
      <c r="B649" s="62" t="s">
        <v>2996</v>
      </c>
      <c r="C649" s="63"/>
      <c r="D649" s="64">
        <v>2</v>
      </c>
      <c r="E649" s="64">
        <v>2.7</v>
      </c>
      <c r="F649" s="64">
        <v>3.3</v>
      </c>
      <c r="G649" s="64"/>
      <c r="H649" s="64">
        <v>0.01</v>
      </c>
      <c r="I649" s="76">
        <f t="shared" si="42"/>
        <v>0.17799999999999999</v>
      </c>
      <c r="J649" s="83"/>
      <c r="K649" s="84"/>
      <c r="L649" s="85"/>
      <c r="M649" s="84"/>
      <c r="N649" s="86"/>
    </row>
    <row r="650" spans="1:14" x14ac:dyDescent="0.25">
      <c r="A650" s="73"/>
      <c r="B650" s="62"/>
      <c r="C650" s="63"/>
      <c r="D650" s="64">
        <v>4</v>
      </c>
      <c r="E650" s="64">
        <v>8</v>
      </c>
      <c r="F650" s="64">
        <v>3.3</v>
      </c>
      <c r="G650" s="64"/>
      <c r="H650" s="64">
        <v>0.01</v>
      </c>
      <c r="I650" s="76">
        <f t="shared" si="42"/>
        <v>1.056</v>
      </c>
      <c r="J650" s="83"/>
      <c r="K650" s="84"/>
      <c r="L650" s="85"/>
      <c r="M650" s="84"/>
      <c r="N650" s="86"/>
    </row>
    <row r="651" spans="1:14" x14ac:dyDescent="0.25">
      <c r="A651" s="73"/>
      <c r="B651" s="62" t="s">
        <v>2997</v>
      </c>
      <c r="C651" s="63"/>
      <c r="D651" s="64">
        <v>4</v>
      </c>
      <c r="E651" s="64">
        <v>2.2000000000000002</v>
      </c>
      <c r="F651" s="64">
        <v>3.3</v>
      </c>
      <c r="G651" s="64"/>
      <c r="H651" s="64">
        <v>0.01</v>
      </c>
      <c r="I651" s="76">
        <f t="shared" si="42"/>
        <v>0.28999999999999998</v>
      </c>
      <c r="J651" s="83"/>
      <c r="K651" s="84"/>
      <c r="L651" s="85"/>
      <c r="M651" s="84"/>
      <c r="N651" s="86"/>
    </row>
    <row r="652" spans="1:14" x14ac:dyDescent="0.25">
      <c r="A652" s="73"/>
      <c r="B652" s="62"/>
      <c r="C652" s="63"/>
      <c r="D652" s="64">
        <v>4</v>
      </c>
      <c r="E652" s="64">
        <v>2</v>
      </c>
      <c r="F652" s="64">
        <v>3.3</v>
      </c>
      <c r="G652" s="64"/>
      <c r="H652" s="64">
        <v>0.01</v>
      </c>
      <c r="I652" s="76">
        <f t="shared" si="42"/>
        <v>0.26400000000000001</v>
      </c>
      <c r="J652" s="83"/>
      <c r="K652" s="84"/>
      <c r="L652" s="85"/>
      <c r="M652" s="84"/>
      <c r="N652" s="86"/>
    </row>
    <row r="653" spans="1:14" x14ac:dyDescent="0.25">
      <c r="A653" s="73"/>
      <c r="B653" s="62"/>
      <c r="C653" s="63"/>
      <c r="D653" s="64">
        <v>4</v>
      </c>
      <c r="E653" s="64">
        <v>2</v>
      </c>
      <c r="F653" s="64">
        <v>3.3</v>
      </c>
      <c r="G653" s="64"/>
      <c r="H653" s="64">
        <v>0.01</v>
      </c>
      <c r="I653" s="76">
        <f t="shared" si="42"/>
        <v>0.26400000000000001</v>
      </c>
      <c r="J653" s="83"/>
      <c r="K653" s="84"/>
      <c r="L653" s="85"/>
      <c r="M653" s="84"/>
      <c r="N653" s="86"/>
    </row>
    <row r="654" spans="1:14" x14ac:dyDescent="0.25">
      <c r="A654" s="73"/>
      <c r="B654" s="62" t="s">
        <v>2998</v>
      </c>
      <c r="C654" s="63"/>
      <c r="D654" s="64">
        <v>2</v>
      </c>
      <c r="E654" s="64">
        <v>-1.4</v>
      </c>
      <c r="F654" s="64">
        <v>2.2000000000000002</v>
      </c>
      <c r="G654" s="64"/>
      <c r="H654" s="64">
        <v>0.01</v>
      </c>
      <c r="I654" s="76">
        <f t="shared" si="42"/>
        <v>-6.2E-2</v>
      </c>
      <c r="J654" s="83"/>
      <c r="K654" s="84"/>
      <c r="L654" s="85"/>
      <c r="M654" s="84"/>
      <c r="N654" s="86"/>
    </row>
    <row r="655" spans="1:14" x14ac:dyDescent="0.25">
      <c r="A655" s="73"/>
      <c r="B655" s="62"/>
      <c r="C655" s="63"/>
      <c r="D655" s="64">
        <v>6</v>
      </c>
      <c r="E655" s="64">
        <v>-1.5</v>
      </c>
      <c r="F655" s="64">
        <v>2.2000000000000002</v>
      </c>
      <c r="G655" s="64"/>
      <c r="H655" s="64">
        <v>0.01</v>
      </c>
      <c r="I655" s="76">
        <f t="shared" si="42"/>
        <v>-0.19800000000000001</v>
      </c>
      <c r="J655" s="83"/>
      <c r="K655" s="84"/>
      <c r="L655" s="85"/>
      <c r="M655" s="84"/>
      <c r="N655" s="86"/>
    </row>
    <row r="656" spans="1:14" x14ac:dyDescent="0.25">
      <c r="A656" s="73"/>
      <c r="B656" s="66" t="s">
        <v>2999</v>
      </c>
      <c r="C656" s="63"/>
      <c r="D656" s="64"/>
      <c r="E656" s="64"/>
      <c r="F656" s="64"/>
      <c r="G656" s="64"/>
      <c r="H656" s="64"/>
      <c r="I656" s="76"/>
      <c r="J656" s="83"/>
      <c r="K656" s="84"/>
      <c r="L656" s="85"/>
      <c r="M656" s="84"/>
      <c r="N656" s="86"/>
    </row>
    <row r="657" spans="1:14" x14ac:dyDescent="0.25">
      <c r="A657" s="73"/>
      <c r="B657" s="62" t="s">
        <v>2996</v>
      </c>
      <c r="C657" s="63"/>
      <c r="D657" s="64">
        <v>2</v>
      </c>
      <c r="E657" s="64">
        <v>8</v>
      </c>
      <c r="F657" s="64">
        <v>3.3</v>
      </c>
      <c r="G657" s="64"/>
      <c r="H657" s="64">
        <v>0.01</v>
      </c>
      <c r="I657" s="76">
        <f t="shared" si="42"/>
        <v>0.52800000000000002</v>
      </c>
      <c r="J657" s="83"/>
      <c r="K657" s="84"/>
      <c r="L657" s="85"/>
      <c r="M657" s="84"/>
      <c r="N657" s="86"/>
    </row>
    <row r="658" spans="1:14" x14ac:dyDescent="0.25">
      <c r="A658" s="73"/>
      <c r="B658" s="62" t="s">
        <v>2997</v>
      </c>
      <c r="C658" s="63"/>
      <c r="D658" s="64">
        <v>4</v>
      </c>
      <c r="E658" s="64">
        <v>2.2999999999999998</v>
      </c>
      <c r="F658" s="64">
        <v>3.3</v>
      </c>
      <c r="G658" s="64"/>
      <c r="H658" s="64">
        <v>0.01</v>
      </c>
      <c r="I658" s="76">
        <f t="shared" si="42"/>
        <v>0.30399999999999999</v>
      </c>
      <c r="J658" s="83"/>
      <c r="K658" s="84"/>
      <c r="L658" s="85"/>
      <c r="M658" s="84"/>
      <c r="N658" s="86"/>
    </row>
    <row r="659" spans="1:14" ht="38.25" x14ac:dyDescent="0.25">
      <c r="A659" s="73">
        <v>32</v>
      </c>
      <c r="B659" s="65" t="s">
        <v>106</v>
      </c>
      <c r="C659" s="63" t="s">
        <v>37</v>
      </c>
      <c r="D659" s="64"/>
      <c r="E659" s="64"/>
      <c r="F659" s="64"/>
      <c r="G659" s="64"/>
      <c r="H659" s="64"/>
      <c r="I659" s="76">
        <f>SUM(I660:I666)</f>
        <v>59.064</v>
      </c>
      <c r="J659" s="83" t="e">
        <f>PL03a!#REF!</f>
        <v>#REF!</v>
      </c>
      <c r="K659" s="84">
        <f t="shared" ref="K659" si="44">I659</f>
        <v>59.064</v>
      </c>
      <c r="L659" s="85"/>
      <c r="M659" s="84">
        <f>K659</f>
        <v>59.064</v>
      </c>
      <c r="N659" s="86">
        <f>L659+M659</f>
        <v>59.064</v>
      </c>
    </row>
    <row r="660" spans="1:14" x14ac:dyDescent="0.25">
      <c r="A660" s="73"/>
      <c r="B660" s="62" t="s">
        <v>3009</v>
      </c>
      <c r="C660" s="63"/>
      <c r="D660" s="64">
        <v>4</v>
      </c>
      <c r="E660" s="64">
        <v>0.6</v>
      </c>
      <c r="F660" s="64">
        <v>0.6</v>
      </c>
      <c r="G660" s="64">
        <v>3.3</v>
      </c>
      <c r="H660" s="64"/>
      <c r="I660" s="76">
        <f t="shared" si="42"/>
        <v>4.7519999999999998</v>
      </c>
      <c r="J660" s="83"/>
      <c r="K660" s="84"/>
      <c r="L660" s="85"/>
      <c r="M660" s="84"/>
      <c r="N660" s="86"/>
    </row>
    <row r="661" spans="1:14" x14ac:dyDescent="0.25">
      <c r="A661" s="73"/>
      <c r="B661" s="62" t="s">
        <v>3010</v>
      </c>
      <c r="C661" s="63"/>
      <c r="D661" s="64">
        <v>4</v>
      </c>
      <c r="E661" s="64">
        <v>0.8</v>
      </c>
      <c r="F661" s="64">
        <v>0.8</v>
      </c>
      <c r="G661" s="64">
        <v>3.3</v>
      </c>
      <c r="H661" s="64"/>
      <c r="I661" s="76">
        <f t="shared" si="42"/>
        <v>8.4480000000000004</v>
      </c>
      <c r="J661" s="83"/>
      <c r="K661" s="84"/>
      <c r="L661" s="85"/>
      <c r="M661" s="84"/>
      <c r="N661" s="86"/>
    </row>
    <row r="662" spans="1:14" x14ac:dyDescent="0.25">
      <c r="A662" s="73"/>
      <c r="B662" s="62" t="s">
        <v>3011</v>
      </c>
      <c r="C662" s="63"/>
      <c r="D662" s="64">
        <v>2</v>
      </c>
      <c r="E662" s="64">
        <v>0.8</v>
      </c>
      <c r="F662" s="64">
        <v>1.2</v>
      </c>
      <c r="G662" s="64">
        <v>3.3</v>
      </c>
      <c r="H662" s="64"/>
      <c r="I662" s="76">
        <f t="shared" si="42"/>
        <v>6.3360000000000003</v>
      </c>
      <c r="J662" s="83"/>
      <c r="K662" s="84"/>
      <c r="L662" s="85"/>
      <c r="M662" s="84"/>
      <c r="N662" s="86"/>
    </row>
    <row r="663" spans="1:14" x14ac:dyDescent="0.25">
      <c r="A663" s="73"/>
      <c r="B663" s="62" t="s">
        <v>3012</v>
      </c>
      <c r="C663" s="63"/>
      <c r="D663" s="64">
        <v>4</v>
      </c>
      <c r="E663" s="64">
        <v>0.8</v>
      </c>
      <c r="F663" s="64">
        <v>0.8</v>
      </c>
      <c r="G663" s="64">
        <v>3.3</v>
      </c>
      <c r="H663" s="64"/>
      <c r="I663" s="76">
        <f t="shared" si="42"/>
        <v>8.4480000000000004</v>
      </c>
      <c r="J663" s="83"/>
      <c r="K663" s="84"/>
      <c r="L663" s="85"/>
      <c r="M663" s="84"/>
      <c r="N663" s="86"/>
    </row>
    <row r="664" spans="1:14" x14ac:dyDescent="0.25">
      <c r="A664" s="73"/>
      <c r="B664" s="62" t="s">
        <v>3013</v>
      </c>
      <c r="C664" s="63"/>
      <c r="D664" s="64">
        <v>2</v>
      </c>
      <c r="E664" s="64">
        <v>0.8</v>
      </c>
      <c r="F664" s="64">
        <v>0.8</v>
      </c>
      <c r="G664" s="64">
        <v>3.3</v>
      </c>
      <c r="H664" s="64"/>
      <c r="I664" s="76">
        <f t="shared" si="42"/>
        <v>4.2240000000000002</v>
      </c>
      <c r="J664" s="83"/>
      <c r="K664" s="84"/>
      <c r="L664" s="85"/>
      <c r="M664" s="84"/>
      <c r="N664" s="86"/>
    </row>
    <row r="665" spans="1:14" x14ac:dyDescent="0.25">
      <c r="A665" s="73"/>
      <c r="B665" s="62" t="s">
        <v>3014</v>
      </c>
      <c r="C665" s="63"/>
      <c r="D665" s="64">
        <v>4</v>
      </c>
      <c r="E665" s="64">
        <v>1.2</v>
      </c>
      <c r="F665" s="64">
        <v>1.6</v>
      </c>
      <c r="G665" s="64">
        <v>3.3</v>
      </c>
      <c r="H665" s="64"/>
      <c r="I665" s="76">
        <f t="shared" si="42"/>
        <v>25.344000000000001</v>
      </c>
      <c r="J665" s="83"/>
      <c r="K665" s="84"/>
      <c r="L665" s="85"/>
      <c r="M665" s="84"/>
      <c r="N665" s="86"/>
    </row>
    <row r="666" spans="1:14" x14ac:dyDescent="0.25">
      <c r="A666" s="73"/>
      <c r="B666" s="62" t="s">
        <v>3015</v>
      </c>
      <c r="C666" s="63"/>
      <c r="D666" s="64">
        <v>3</v>
      </c>
      <c r="E666" s="64">
        <v>0.4</v>
      </c>
      <c r="F666" s="64">
        <v>0.4</v>
      </c>
      <c r="G666" s="64">
        <v>3.15</v>
      </c>
      <c r="H666" s="64"/>
      <c r="I666" s="76">
        <f t="shared" si="42"/>
        <v>1.512</v>
      </c>
      <c r="J666" s="83"/>
      <c r="K666" s="84"/>
      <c r="L666" s="85"/>
      <c r="M666" s="84"/>
      <c r="N666" s="86"/>
    </row>
    <row r="667" spans="1:14" ht="51" x14ac:dyDescent="0.25">
      <c r="A667" s="73">
        <v>33</v>
      </c>
      <c r="B667" s="65" t="s">
        <v>108</v>
      </c>
      <c r="C667" s="63" t="s">
        <v>61</v>
      </c>
      <c r="D667" s="64"/>
      <c r="E667" s="64"/>
      <c r="F667" s="64"/>
      <c r="G667" s="64"/>
      <c r="H667" s="64"/>
      <c r="I667" s="76">
        <f>SUM(I668:I674)</f>
        <v>2.2970000000000002</v>
      </c>
      <c r="J667" s="83" t="e">
        <f>PL03a!#REF!</f>
        <v>#REF!</v>
      </c>
      <c r="K667" s="84">
        <f t="shared" ref="K667" si="45">I667</f>
        <v>2.2970000000000002</v>
      </c>
      <c r="L667" s="85"/>
      <c r="M667" s="84">
        <f>K667</f>
        <v>2.2970000000000002</v>
      </c>
      <c r="N667" s="86">
        <f>L667+M667</f>
        <v>2.2970000000000002</v>
      </c>
    </row>
    <row r="668" spans="1:14" x14ac:dyDescent="0.25">
      <c r="A668" s="73"/>
      <c r="B668" s="62" t="s">
        <v>3016</v>
      </c>
      <c r="C668" s="63"/>
      <c r="D668" s="64">
        <v>4</v>
      </c>
      <c r="E668" s="64">
        <v>2.4</v>
      </c>
      <c r="F668" s="64">
        <v>3</v>
      </c>
      <c r="G668" s="64"/>
      <c r="H668" s="64">
        <v>0.01</v>
      </c>
      <c r="I668" s="76">
        <f t="shared" si="42"/>
        <v>0.28799999999999998</v>
      </c>
      <c r="J668" s="83"/>
      <c r="K668" s="84"/>
      <c r="L668" s="85"/>
      <c r="M668" s="84"/>
      <c r="N668" s="86"/>
    </row>
    <row r="669" spans="1:14" x14ac:dyDescent="0.25">
      <c r="A669" s="73"/>
      <c r="B669" s="62" t="s">
        <v>3017</v>
      </c>
      <c r="C669" s="63"/>
      <c r="D669" s="64">
        <v>4</v>
      </c>
      <c r="E669" s="64">
        <v>3.2</v>
      </c>
      <c r="F669" s="64">
        <v>3</v>
      </c>
      <c r="G669" s="64"/>
      <c r="H669" s="64">
        <v>0.01</v>
      </c>
      <c r="I669" s="76">
        <f t="shared" si="42"/>
        <v>0.38400000000000001</v>
      </c>
      <c r="J669" s="83"/>
      <c r="K669" s="84"/>
      <c r="L669" s="85"/>
      <c r="M669" s="84"/>
      <c r="N669" s="86"/>
    </row>
    <row r="670" spans="1:14" x14ac:dyDescent="0.25">
      <c r="A670" s="73"/>
      <c r="B670" s="62" t="s">
        <v>3018</v>
      </c>
      <c r="C670" s="63"/>
      <c r="D670" s="64">
        <v>4</v>
      </c>
      <c r="E670" s="64">
        <v>3.2</v>
      </c>
      <c r="F670" s="64">
        <v>3</v>
      </c>
      <c r="G670" s="64"/>
      <c r="H670" s="64">
        <v>0.01</v>
      </c>
      <c r="I670" s="76">
        <f t="shared" si="42"/>
        <v>0.38400000000000001</v>
      </c>
      <c r="J670" s="83"/>
      <c r="K670" s="84"/>
      <c r="L670" s="85"/>
      <c r="M670" s="84"/>
      <c r="N670" s="86"/>
    </row>
    <row r="671" spans="1:14" x14ac:dyDescent="0.25">
      <c r="A671" s="73"/>
      <c r="B671" s="62" t="s">
        <v>3019</v>
      </c>
      <c r="C671" s="63"/>
      <c r="D671" s="64">
        <v>2</v>
      </c>
      <c r="E671" s="64">
        <v>3.2</v>
      </c>
      <c r="F671" s="64">
        <v>3</v>
      </c>
      <c r="G671" s="64"/>
      <c r="H671" s="64">
        <v>0.01</v>
      </c>
      <c r="I671" s="76">
        <f t="shared" si="42"/>
        <v>0.192</v>
      </c>
      <c r="J671" s="83"/>
      <c r="K671" s="84"/>
      <c r="L671" s="85"/>
      <c r="M671" s="84"/>
      <c r="N671" s="86"/>
    </row>
    <row r="672" spans="1:14" x14ac:dyDescent="0.25">
      <c r="A672" s="73"/>
      <c r="B672" s="62" t="s">
        <v>3020</v>
      </c>
      <c r="C672" s="63"/>
      <c r="D672" s="64">
        <v>3</v>
      </c>
      <c r="E672" s="64">
        <v>1.6</v>
      </c>
      <c r="F672" s="64">
        <v>2.85</v>
      </c>
      <c r="G672" s="64"/>
      <c r="H672" s="64">
        <v>0.01</v>
      </c>
      <c r="I672" s="76">
        <f t="shared" si="42"/>
        <v>0.13700000000000001</v>
      </c>
      <c r="J672" s="83"/>
      <c r="K672" s="84"/>
      <c r="L672" s="85"/>
      <c r="M672" s="84"/>
      <c r="N672" s="86"/>
    </row>
    <row r="673" spans="1:14" x14ac:dyDescent="0.25">
      <c r="A673" s="73"/>
      <c r="B673" s="62" t="s">
        <v>3021</v>
      </c>
      <c r="C673" s="63"/>
      <c r="D673" s="64">
        <v>2</v>
      </c>
      <c r="E673" s="64">
        <v>4</v>
      </c>
      <c r="F673" s="64">
        <v>3</v>
      </c>
      <c r="G673" s="64"/>
      <c r="H673" s="64">
        <v>0.01</v>
      </c>
      <c r="I673" s="76">
        <f t="shared" si="42"/>
        <v>0.24</v>
      </c>
      <c r="J673" s="83"/>
      <c r="K673" s="84"/>
      <c r="L673" s="85"/>
      <c r="M673" s="84"/>
      <c r="N673" s="86"/>
    </row>
    <row r="674" spans="1:14" x14ac:dyDescent="0.25">
      <c r="A674" s="73"/>
      <c r="B674" s="62" t="s">
        <v>3022</v>
      </c>
      <c r="C674" s="63"/>
      <c r="D674" s="64">
        <v>4</v>
      </c>
      <c r="E674" s="64">
        <v>5.6</v>
      </c>
      <c r="F674" s="64">
        <v>3</v>
      </c>
      <c r="G674" s="64"/>
      <c r="H674" s="64">
        <v>0.01</v>
      </c>
      <c r="I674" s="76">
        <f t="shared" si="42"/>
        <v>0.67200000000000004</v>
      </c>
      <c r="J674" s="83"/>
      <c r="K674" s="84"/>
      <c r="L674" s="85"/>
      <c r="M674" s="84"/>
      <c r="N674" s="86"/>
    </row>
    <row r="675" spans="1:14" ht="38.25" x14ac:dyDescent="0.25">
      <c r="A675" s="73">
        <v>34</v>
      </c>
      <c r="B675" s="65" t="s">
        <v>110</v>
      </c>
      <c r="C675" s="63" t="s">
        <v>37</v>
      </c>
      <c r="D675" s="64"/>
      <c r="E675" s="64"/>
      <c r="F675" s="64"/>
      <c r="G675" s="64"/>
      <c r="H675" s="64"/>
      <c r="I675" s="76">
        <f>SUM(I676:I719)</f>
        <v>149.38400000000001</v>
      </c>
      <c r="J675" s="83" t="e">
        <f>PL03a!#REF!</f>
        <v>#REF!</v>
      </c>
      <c r="K675" s="84">
        <f t="shared" ref="K675" si="46">I675</f>
        <v>149.38400000000001</v>
      </c>
      <c r="L675" s="85"/>
      <c r="M675" s="84">
        <f>K675</f>
        <v>149.38400000000001</v>
      </c>
      <c r="N675" s="86">
        <f>L675+M675</f>
        <v>149.38400000000001</v>
      </c>
    </row>
    <row r="676" spans="1:14" x14ac:dyDescent="0.25">
      <c r="A676" s="73"/>
      <c r="B676" s="66" t="s">
        <v>3023</v>
      </c>
      <c r="C676" s="63"/>
      <c r="D676" s="64"/>
      <c r="E676" s="64"/>
      <c r="F676" s="64"/>
      <c r="G676" s="64"/>
      <c r="H676" s="64"/>
      <c r="I676" s="76"/>
      <c r="J676" s="83"/>
      <c r="K676" s="84"/>
      <c r="L676" s="85"/>
      <c r="M676" s="84"/>
      <c r="N676" s="86"/>
    </row>
    <row r="677" spans="1:14" x14ac:dyDescent="0.25">
      <c r="A677" s="73"/>
      <c r="B677" s="62" t="s">
        <v>3024</v>
      </c>
      <c r="C677" s="63"/>
      <c r="D677" s="64"/>
      <c r="E677" s="64">
        <v>34.35</v>
      </c>
      <c r="F677" s="64">
        <v>0.3</v>
      </c>
      <c r="G677" s="64">
        <v>0.7</v>
      </c>
      <c r="H677" s="64"/>
      <c r="I677" s="76">
        <f t="shared" si="42"/>
        <v>7.2140000000000004</v>
      </c>
      <c r="J677" s="83"/>
      <c r="K677" s="84"/>
      <c r="L677" s="85"/>
      <c r="M677" s="84"/>
      <c r="N677" s="86"/>
    </row>
    <row r="678" spans="1:14" x14ac:dyDescent="0.25">
      <c r="A678" s="73"/>
      <c r="B678" s="62" t="s">
        <v>3025</v>
      </c>
      <c r="C678" s="63"/>
      <c r="D678" s="64"/>
      <c r="E678" s="64">
        <v>7.25</v>
      </c>
      <c r="F678" s="64">
        <v>0.3</v>
      </c>
      <c r="G678" s="64">
        <v>0.7</v>
      </c>
      <c r="H678" s="64"/>
      <c r="I678" s="76">
        <f t="shared" si="42"/>
        <v>1.5229999999999999</v>
      </c>
      <c r="J678" s="83"/>
      <c r="K678" s="84"/>
      <c r="L678" s="85"/>
      <c r="M678" s="84"/>
      <c r="N678" s="86"/>
    </row>
    <row r="679" spans="1:14" x14ac:dyDescent="0.25">
      <c r="A679" s="73"/>
      <c r="B679" s="62" t="s">
        <v>3026</v>
      </c>
      <c r="C679" s="63"/>
      <c r="D679" s="64"/>
      <c r="E679" s="64">
        <v>5.5</v>
      </c>
      <c r="F679" s="64">
        <v>0.3</v>
      </c>
      <c r="G679" s="64">
        <v>0.7</v>
      </c>
      <c r="H679" s="64"/>
      <c r="I679" s="76">
        <f t="shared" si="42"/>
        <v>1.155</v>
      </c>
      <c r="J679" s="83"/>
      <c r="K679" s="84"/>
      <c r="L679" s="85"/>
      <c r="M679" s="84"/>
      <c r="N679" s="86"/>
    </row>
    <row r="680" spans="1:14" x14ac:dyDescent="0.25">
      <c r="A680" s="73"/>
      <c r="B680" s="62" t="s">
        <v>3027</v>
      </c>
      <c r="C680" s="63"/>
      <c r="D680" s="64"/>
      <c r="E680" s="64">
        <v>14</v>
      </c>
      <c r="F680" s="64">
        <v>0.4</v>
      </c>
      <c r="G680" s="64">
        <v>0.7</v>
      </c>
      <c r="H680" s="64"/>
      <c r="I680" s="76">
        <f t="shared" si="42"/>
        <v>3.92</v>
      </c>
      <c r="J680" s="83"/>
      <c r="K680" s="84"/>
      <c r="L680" s="85"/>
      <c r="M680" s="84"/>
      <c r="N680" s="86"/>
    </row>
    <row r="681" spans="1:14" x14ac:dyDescent="0.25">
      <c r="A681" s="73"/>
      <c r="B681" s="62" t="s">
        <v>3028</v>
      </c>
      <c r="C681" s="63"/>
      <c r="D681" s="64"/>
      <c r="E681" s="64">
        <v>7.25</v>
      </c>
      <c r="F681" s="64">
        <v>0.3</v>
      </c>
      <c r="G681" s="64">
        <v>1.3</v>
      </c>
      <c r="H681" s="64"/>
      <c r="I681" s="76">
        <f t="shared" si="42"/>
        <v>2.8279999999999998</v>
      </c>
      <c r="J681" s="83"/>
      <c r="K681" s="84"/>
      <c r="L681" s="85"/>
      <c r="M681" s="84"/>
      <c r="N681" s="86"/>
    </row>
    <row r="682" spans="1:14" x14ac:dyDescent="0.25">
      <c r="A682" s="73"/>
      <c r="B682" s="62" t="s">
        <v>3029</v>
      </c>
      <c r="C682" s="63"/>
      <c r="D682" s="64"/>
      <c r="E682" s="64">
        <v>21</v>
      </c>
      <c r="F682" s="64">
        <v>0.8</v>
      </c>
      <c r="G682" s="64">
        <v>0.7</v>
      </c>
      <c r="H682" s="64"/>
      <c r="I682" s="76">
        <f t="shared" si="42"/>
        <v>11.76</v>
      </c>
      <c r="J682" s="83"/>
      <c r="K682" s="84"/>
      <c r="L682" s="85"/>
      <c r="M682" s="84"/>
      <c r="N682" s="86"/>
    </row>
    <row r="683" spans="1:14" x14ac:dyDescent="0.25">
      <c r="A683" s="73"/>
      <c r="B683" s="62" t="s">
        <v>3030</v>
      </c>
      <c r="C683" s="63"/>
      <c r="D683" s="64"/>
      <c r="E683" s="64">
        <v>26</v>
      </c>
      <c r="F683" s="64">
        <v>0.4</v>
      </c>
      <c r="G683" s="64">
        <v>0.7</v>
      </c>
      <c r="H683" s="64"/>
      <c r="I683" s="76">
        <f t="shared" si="42"/>
        <v>7.28</v>
      </c>
      <c r="J683" s="83"/>
      <c r="K683" s="84"/>
      <c r="L683" s="85"/>
      <c r="M683" s="84"/>
      <c r="N683" s="86"/>
    </row>
    <row r="684" spans="1:14" x14ac:dyDescent="0.25">
      <c r="A684" s="73"/>
      <c r="B684" s="62" t="s">
        <v>3031</v>
      </c>
      <c r="C684" s="63"/>
      <c r="D684" s="64"/>
      <c r="E684" s="64">
        <v>27.9</v>
      </c>
      <c r="F684" s="64">
        <v>0.4</v>
      </c>
      <c r="G684" s="64">
        <v>0.7</v>
      </c>
      <c r="H684" s="64"/>
      <c r="I684" s="76">
        <f t="shared" si="42"/>
        <v>7.8120000000000003</v>
      </c>
      <c r="J684" s="83"/>
      <c r="K684" s="84"/>
      <c r="L684" s="85"/>
      <c r="M684" s="84"/>
      <c r="N684" s="86"/>
    </row>
    <row r="685" spans="1:14" x14ac:dyDescent="0.25">
      <c r="A685" s="73"/>
      <c r="B685" s="62" t="s">
        <v>3032</v>
      </c>
      <c r="C685" s="63"/>
      <c r="D685" s="64"/>
      <c r="E685" s="64">
        <v>26.9</v>
      </c>
      <c r="F685" s="64">
        <v>0.3</v>
      </c>
      <c r="G685" s="64">
        <v>0.7</v>
      </c>
      <c r="H685" s="64"/>
      <c r="I685" s="76">
        <f t="shared" si="42"/>
        <v>5.649</v>
      </c>
      <c r="J685" s="83"/>
      <c r="K685" s="84"/>
      <c r="L685" s="85"/>
      <c r="M685" s="84"/>
      <c r="N685" s="86"/>
    </row>
    <row r="686" spans="1:14" x14ac:dyDescent="0.25">
      <c r="A686" s="73"/>
      <c r="B686" s="62" t="s">
        <v>3033</v>
      </c>
      <c r="C686" s="63"/>
      <c r="D686" s="64"/>
      <c r="E686" s="64">
        <v>6.2</v>
      </c>
      <c r="F686" s="64">
        <v>0.3</v>
      </c>
      <c r="G686" s="64">
        <v>0.7</v>
      </c>
      <c r="H686" s="64"/>
      <c r="I686" s="76">
        <f t="shared" si="42"/>
        <v>1.302</v>
      </c>
      <c r="J686" s="83"/>
      <c r="K686" s="84"/>
      <c r="L686" s="85"/>
      <c r="M686" s="84"/>
      <c r="N686" s="86"/>
    </row>
    <row r="687" spans="1:14" x14ac:dyDescent="0.25">
      <c r="A687" s="73"/>
      <c r="B687" s="62" t="s">
        <v>3034</v>
      </c>
      <c r="C687" s="63"/>
      <c r="D687" s="64"/>
      <c r="E687" s="64">
        <v>3.6</v>
      </c>
      <c r="F687" s="64">
        <v>0.3</v>
      </c>
      <c r="G687" s="64">
        <v>0.7</v>
      </c>
      <c r="H687" s="64"/>
      <c r="I687" s="76">
        <f t="shared" si="42"/>
        <v>0.75600000000000001</v>
      </c>
      <c r="J687" s="83"/>
      <c r="K687" s="84"/>
      <c r="L687" s="85"/>
      <c r="M687" s="84"/>
      <c r="N687" s="86"/>
    </row>
    <row r="688" spans="1:14" x14ac:dyDescent="0.25">
      <c r="A688" s="73"/>
      <c r="B688" s="62" t="s">
        <v>3035</v>
      </c>
      <c r="C688" s="63"/>
      <c r="D688" s="64"/>
      <c r="E688" s="64">
        <v>7.4</v>
      </c>
      <c r="F688" s="64">
        <v>0.3</v>
      </c>
      <c r="G688" s="64">
        <v>0.7</v>
      </c>
      <c r="H688" s="64"/>
      <c r="I688" s="76">
        <f t="shared" ref="I688:I751" si="47">ROUND(PRODUCT(D688:H688),3)</f>
        <v>1.554</v>
      </c>
      <c r="J688" s="83"/>
      <c r="K688" s="84"/>
      <c r="L688" s="85"/>
      <c r="M688" s="84"/>
      <c r="N688" s="86"/>
    </row>
    <row r="689" spans="1:14" x14ac:dyDescent="0.25">
      <c r="A689" s="73"/>
      <c r="B689" s="62" t="s">
        <v>3036</v>
      </c>
      <c r="C689" s="63"/>
      <c r="D689" s="64"/>
      <c r="E689" s="64">
        <v>14.3</v>
      </c>
      <c r="F689" s="64">
        <v>0.5</v>
      </c>
      <c r="G689" s="64">
        <v>0.7</v>
      </c>
      <c r="H689" s="64"/>
      <c r="I689" s="76">
        <f t="shared" si="47"/>
        <v>5.0049999999999999</v>
      </c>
      <c r="J689" s="83"/>
      <c r="K689" s="84"/>
      <c r="L689" s="85"/>
      <c r="M689" s="84"/>
      <c r="N689" s="86"/>
    </row>
    <row r="690" spans="1:14" x14ac:dyDescent="0.25">
      <c r="A690" s="73"/>
      <c r="B690" s="62" t="s">
        <v>3037</v>
      </c>
      <c r="C690" s="63"/>
      <c r="D690" s="64">
        <v>2</v>
      </c>
      <c r="E690" s="64">
        <v>7.1</v>
      </c>
      <c r="F690" s="64">
        <v>0.4</v>
      </c>
      <c r="G690" s="64">
        <v>0.7</v>
      </c>
      <c r="H690" s="64"/>
      <c r="I690" s="76">
        <f t="shared" si="47"/>
        <v>3.976</v>
      </c>
      <c r="J690" s="83"/>
      <c r="K690" s="84"/>
      <c r="L690" s="85"/>
      <c r="M690" s="84"/>
      <c r="N690" s="86"/>
    </row>
    <row r="691" spans="1:14" x14ac:dyDescent="0.25">
      <c r="A691" s="73"/>
      <c r="B691" s="62" t="s">
        <v>3038</v>
      </c>
      <c r="C691" s="63"/>
      <c r="D691" s="64"/>
      <c r="E691" s="64">
        <v>8.3000000000000007</v>
      </c>
      <c r="F691" s="64">
        <v>0.5</v>
      </c>
      <c r="G691" s="64">
        <v>0.7</v>
      </c>
      <c r="H691" s="64"/>
      <c r="I691" s="76">
        <f t="shared" si="47"/>
        <v>2.9049999999999998</v>
      </c>
      <c r="J691" s="83"/>
      <c r="K691" s="84"/>
      <c r="L691" s="85"/>
      <c r="M691" s="84"/>
      <c r="N691" s="86"/>
    </row>
    <row r="692" spans="1:14" x14ac:dyDescent="0.25">
      <c r="A692" s="73"/>
      <c r="B692" s="62" t="s">
        <v>3039</v>
      </c>
      <c r="C692" s="63"/>
      <c r="D692" s="64"/>
      <c r="E692" s="64">
        <v>4.8</v>
      </c>
      <c r="F692" s="64">
        <v>0.5</v>
      </c>
      <c r="G692" s="64">
        <v>1.3</v>
      </c>
      <c r="H692" s="64"/>
      <c r="I692" s="76">
        <f t="shared" si="47"/>
        <v>3.12</v>
      </c>
      <c r="J692" s="83"/>
      <c r="K692" s="84"/>
      <c r="L692" s="85"/>
      <c r="M692" s="84"/>
      <c r="N692" s="86"/>
    </row>
    <row r="693" spans="1:14" x14ac:dyDescent="0.25">
      <c r="A693" s="73"/>
      <c r="B693" s="62" t="s">
        <v>3040</v>
      </c>
      <c r="C693" s="63"/>
      <c r="D693" s="64"/>
      <c r="E693" s="64">
        <v>8.4</v>
      </c>
      <c r="F693" s="64">
        <v>0.4</v>
      </c>
      <c r="G693" s="64">
        <v>0.7</v>
      </c>
      <c r="H693" s="64"/>
      <c r="I693" s="76">
        <f t="shared" si="47"/>
        <v>2.3519999999999999</v>
      </c>
      <c r="J693" s="83"/>
      <c r="K693" s="84"/>
      <c r="L693" s="85"/>
      <c r="M693" s="84"/>
      <c r="N693" s="86"/>
    </row>
    <row r="694" spans="1:14" x14ac:dyDescent="0.25">
      <c r="A694" s="73"/>
      <c r="B694" s="62" t="s">
        <v>3041</v>
      </c>
      <c r="C694" s="63"/>
      <c r="D694" s="64"/>
      <c r="E694" s="64">
        <v>6.3</v>
      </c>
      <c r="F694" s="64">
        <v>0.2</v>
      </c>
      <c r="G694" s="64">
        <v>0.7</v>
      </c>
      <c r="H694" s="64"/>
      <c r="I694" s="76">
        <f t="shared" si="47"/>
        <v>0.88200000000000001</v>
      </c>
      <c r="J694" s="83"/>
      <c r="K694" s="84"/>
      <c r="L694" s="85"/>
      <c r="M694" s="84"/>
      <c r="N694" s="86"/>
    </row>
    <row r="695" spans="1:14" x14ac:dyDescent="0.25">
      <c r="A695" s="73"/>
      <c r="B695" s="62" t="s">
        <v>3042</v>
      </c>
      <c r="C695" s="63"/>
      <c r="D695" s="64"/>
      <c r="E695" s="64">
        <v>6.3</v>
      </c>
      <c r="F695" s="64">
        <v>0.3</v>
      </c>
      <c r="G695" s="64">
        <v>0.5</v>
      </c>
      <c r="H695" s="64"/>
      <c r="I695" s="76">
        <f t="shared" si="47"/>
        <v>0.94499999999999995</v>
      </c>
      <c r="J695" s="83"/>
      <c r="K695" s="84"/>
      <c r="L695" s="85"/>
      <c r="M695" s="84"/>
      <c r="N695" s="86"/>
    </row>
    <row r="696" spans="1:14" x14ac:dyDescent="0.25">
      <c r="A696" s="73"/>
      <c r="B696" s="62" t="s">
        <v>3043</v>
      </c>
      <c r="C696" s="63"/>
      <c r="D696" s="64"/>
      <c r="E696" s="64">
        <v>22.4</v>
      </c>
      <c r="F696" s="64">
        <v>0.8</v>
      </c>
      <c r="G696" s="64">
        <v>0.7</v>
      </c>
      <c r="H696" s="64"/>
      <c r="I696" s="76">
        <f t="shared" si="47"/>
        <v>12.544</v>
      </c>
      <c r="J696" s="83"/>
      <c r="K696" s="84"/>
      <c r="L696" s="85"/>
      <c r="M696" s="84"/>
      <c r="N696" s="86"/>
    </row>
    <row r="697" spans="1:14" x14ac:dyDescent="0.25">
      <c r="A697" s="73"/>
      <c r="B697" s="62" t="s">
        <v>3044</v>
      </c>
      <c r="C697" s="63"/>
      <c r="D697" s="64">
        <v>2</v>
      </c>
      <c r="E697" s="64">
        <v>20.399999999999999</v>
      </c>
      <c r="F697" s="64">
        <v>0.8</v>
      </c>
      <c r="G697" s="64">
        <v>0.7</v>
      </c>
      <c r="H697" s="64"/>
      <c r="I697" s="76">
        <f t="shared" si="47"/>
        <v>22.847999999999999</v>
      </c>
      <c r="J697" s="83"/>
      <c r="K697" s="84"/>
      <c r="L697" s="85"/>
      <c r="M697" s="84"/>
      <c r="N697" s="86"/>
    </row>
    <row r="698" spans="1:14" x14ac:dyDescent="0.25">
      <c r="A698" s="73"/>
      <c r="B698" s="62" t="s">
        <v>3045</v>
      </c>
      <c r="C698" s="63"/>
      <c r="D698" s="64"/>
      <c r="E698" s="64">
        <v>5.4</v>
      </c>
      <c r="F698" s="64">
        <v>0.3</v>
      </c>
      <c r="G698" s="64">
        <v>0.7</v>
      </c>
      <c r="H698" s="64"/>
      <c r="I698" s="76">
        <f t="shared" si="47"/>
        <v>1.1339999999999999</v>
      </c>
      <c r="J698" s="83"/>
      <c r="K698" s="84"/>
      <c r="L698" s="85"/>
      <c r="M698" s="84"/>
      <c r="N698" s="86"/>
    </row>
    <row r="699" spans="1:14" x14ac:dyDescent="0.25">
      <c r="A699" s="73"/>
      <c r="B699" s="62" t="s">
        <v>3046</v>
      </c>
      <c r="C699" s="63"/>
      <c r="D699" s="64"/>
      <c r="E699" s="64">
        <v>17.2</v>
      </c>
      <c r="F699" s="64">
        <v>0.3</v>
      </c>
      <c r="G699" s="64">
        <v>0.7</v>
      </c>
      <c r="H699" s="64"/>
      <c r="I699" s="76">
        <f t="shared" si="47"/>
        <v>3.6120000000000001</v>
      </c>
      <c r="J699" s="83"/>
      <c r="K699" s="84"/>
      <c r="L699" s="85"/>
      <c r="M699" s="84"/>
      <c r="N699" s="86"/>
    </row>
    <row r="700" spans="1:14" x14ac:dyDescent="0.25">
      <c r="A700" s="73"/>
      <c r="B700" s="62" t="s">
        <v>3047</v>
      </c>
      <c r="C700" s="63"/>
      <c r="D700" s="64">
        <v>2</v>
      </c>
      <c r="E700" s="64">
        <v>18</v>
      </c>
      <c r="F700" s="64">
        <v>0.3</v>
      </c>
      <c r="G700" s="64">
        <v>0.5</v>
      </c>
      <c r="H700" s="64"/>
      <c r="I700" s="76">
        <f t="shared" si="47"/>
        <v>5.4</v>
      </c>
      <c r="J700" s="83"/>
      <c r="K700" s="84"/>
      <c r="L700" s="85"/>
      <c r="M700" s="84"/>
      <c r="N700" s="86"/>
    </row>
    <row r="701" spans="1:14" x14ac:dyDescent="0.25">
      <c r="A701" s="73"/>
      <c r="B701" s="62" t="s">
        <v>3048</v>
      </c>
      <c r="C701" s="63"/>
      <c r="D701" s="64">
        <v>2</v>
      </c>
      <c r="E701" s="64">
        <v>3.1</v>
      </c>
      <c r="F701" s="64">
        <v>0.3</v>
      </c>
      <c r="G701" s="64">
        <v>0.5</v>
      </c>
      <c r="H701" s="64"/>
      <c r="I701" s="76">
        <f t="shared" si="47"/>
        <v>0.93</v>
      </c>
      <c r="J701" s="83"/>
      <c r="K701" s="84"/>
      <c r="L701" s="85"/>
      <c r="M701" s="84"/>
      <c r="N701" s="86"/>
    </row>
    <row r="702" spans="1:14" x14ac:dyDescent="0.25">
      <c r="A702" s="73"/>
      <c r="B702" s="62" t="s">
        <v>3049</v>
      </c>
      <c r="C702" s="63"/>
      <c r="D702" s="64"/>
      <c r="E702" s="64">
        <v>2</v>
      </c>
      <c r="F702" s="64">
        <v>0.2</v>
      </c>
      <c r="G702" s="64">
        <v>0.4</v>
      </c>
      <c r="H702" s="64"/>
      <c r="I702" s="76">
        <f t="shared" si="47"/>
        <v>0.16</v>
      </c>
      <c r="J702" s="83"/>
      <c r="K702" s="84"/>
      <c r="L702" s="85"/>
      <c r="M702" s="84"/>
      <c r="N702" s="86"/>
    </row>
    <row r="703" spans="1:14" x14ac:dyDescent="0.25">
      <c r="A703" s="73"/>
      <c r="B703" s="62" t="s">
        <v>3050</v>
      </c>
      <c r="C703" s="63"/>
      <c r="D703" s="64"/>
      <c r="E703" s="64">
        <v>14.05</v>
      </c>
      <c r="F703" s="64">
        <v>0.3</v>
      </c>
      <c r="G703" s="64">
        <v>0.5</v>
      </c>
      <c r="H703" s="64"/>
      <c r="I703" s="76">
        <f t="shared" si="47"/>
        <v>2.1080000000000001</v>
      </c>
      <c r="J703" s="83"/>
      <c r="K703" s="84"/>
      <c r="L703" s="85"/>
      <c r="M703" s="84"/>
      <c r="N703" s="86"/>
    </row>
    <row r="704" spans="1:14" x14ac:dyDescent="0.25">
      <c r="A704" s="73"/>
      <c r="B704" s="62" t="s">
        <v>3051</v>
      </c>
      <c r="C704" s="63"/>
      <c r="D704" s="64"/>
      <c r="E704" s="64">
        <v>7</v>
      </c>
      <c r="F704" s="64">
        <v>0.3</v>
      </c>
      <c r="G704" s="64">
        <v>0.5</v>
      </c>
      <c r="H704" s="64"/>
      <c r="I704" s="76">
        <f t="shared" si="47"/>
        <v>1.05</v>
      </c>
      <c r="J704" s="83"/>
      <c r="K704" s="84"/>
      <c r="L704" s="85"/>
      <c r="M704" s="84"/>
      <c r="N704" s="86"/>
    </row>
    <row r="705" spans="1:14" x14ac:dyDescent="0.25">
      <c r="A705" s="73"/>
      <c r="B705" s="62" t="s">
        <v>3052</v>
      </c>
      <c r="C705" s="63"/>
      <c r="D705" s="64"/>
      <c r="E705" s="64">
        <v>6.95</v>
      </c>
      <c r="F705" s="64">
        <v>0.3</v>
      </c>
      <c r="G705" s="64">
        <v>0.5</v>
      </c>
      <c r="H705" s="64"/>
      <c r="I705" s="76">
        <f t="shared" si="47"/>
        <v>1.0429999999999999</v>
      </c>
      <c r="J705" s="83"/>
      <c r="K705" s="84"/>
      <c r="L705" s="85"/>
      <c r="M705" s="84"/>
      <c r="N705" s="86"/>
    </row>
    <row r="706" spans="1:14" x14ac:dyDescent="0.25">
      <c r="A706" s="73"/>
      <c r="B706" s="62" t="s">
        <v>3053</v>
      </c>
      <c r="C706" s="63"/>
      <c r="D706" s="64"/>
      <c r="E706" s="64">
        <v>4.0199999999999996</v>
      </c>
      <c r="F706" s="64">
        <v>0.2</v>
      </c>
      <c r="G706" s="64">
        <v>0.3</v>
      </c>
      <c r="H706" s="64"/>
      <c r="I706" s="76">
        <f t="shared" si="47"/>
        <v>0.24099999999999999</v>
      </c>
      <c r="J706" s="83"/>
      <c r="K706" s="84"/>
      <c r="L706" s="85"/>
      <c r="M706" s="84"/>
      <c r="N706" s="86"/>
    </row>
    <row r="707" spans="1:14" x14ac:dyDescent="0.25">
      <c r="A707" s="73"/>
      <c r="B707" s="62" t="s">
        <v>3054</v>
      </c>
      <c r="C707" s="63"/>
      <c r="D707" s="64"/>
      <c r="E707" s="64">
        <v>12.45</v>
      </c>
      <c r="F707" s="64">
        <v>0.3</v>
      </c>
      <c r="G707" s="64">
        <v>0.5</v>
      </c>
      <c r="H707" s="64"/>
      <c r="I707" s="76">
        <f t="shared" si="47"/>
        <v>1.8680000000000001</v>
      </c>
      <c r="J707" s="83"/>
      <c r="K707" s="84"/>
      <c r="L707" s="85"/>
      <c r="M707" s="84"/>
      <c r="N707" s="86"/>
    </row>
    <row r="708" spans="1:14" x14ac:dyDescent="0.25">
      <c r="A708" s="73"/>
      <c r="B708" s="62" t="s">
        <v>3055</v>
      </c>
      <c r="C708" s="63"/>
      <c r="D708" s="64"/>
      <c r="E708" s="64">
        <v>14.75</v>
      </c>
      <c r="F708" s="64">
        <v>0.3</v>
      </c>
      <c r="G708" s="64">
        <v>0.7</v>
      </c>
      <c r="H708" s="64"/>
      <c r="I708" s="76">
        <f t="shared" si="47"/>
        <v>3.0979999999999999</v>
      </c>
      <c r="J708" s="83"/>
      <c r="K708" s="84"/>
      <c r="L708" s="85"/>
      <c r="M708" s="84"/>
      <c r="N708" s="86"/>
    </row>
    <row r="709" spans="1:14" x14ac:dyDescent="0.25">
      <c r="A709" s="73"/>
      <c r="B709" s="62" t="s">
        <v>3056</v>
      </c>
      <c r="C709" s="63"/>
      <c r="D709" s="64"/>
      <c r="E709" s="64">
        <v>6.1</v>
      </c>
      <c r="F709" s="64">
        <v>0.3</v>
      </c>
      <c r="G709" s="64">
        <v>0.5</v>
      </c>
      <c r="H709" s="64"/>
      <c r="I709" s="76">
        <f t="shared" si="47"/>
        <v>0.91500000000000004</v>
      </c>
      <c r="J709" s="83"/>
      <c r="K709" s="84"/>
      <c r="L709" s="85"/>
      <c r="M709" s="84"/>
      <c r="N709" s="86"/>
    </row>
    <row r="710" spans="1:14" x14ac:dyDescent="0.25">
      <c r="A710" s="73"/>
      <c r="B710" s="62" t="s">
        <v>3057</v>
      </c>
      <c r="C710" s="63"/>
      <c r="D710" s="64"/>
      <c r="E710" s="64">
        <v>2.8</v>
      </c>
      <c r="F710" s="64">
        <v>0.2</v>
      </c>
      <c r="G710" s="64">
        <v>0.4</v>
      </c>
      <c r="H710" s="64"/>
      <c r="I710" s="76">
        <f t="shared" si="47"/>
        <v>0.224</v>
      </c>
      <c r="J710" s="83"/>
      <c r="K710" s="84"/>
      <c r="L710" s="85"/>
      <c r="M710" s="84"/>
      <c r="N710" s="86"/>
    </row>
    <row r="711" spans="1:14" x14ac:dyDescent="0.25">
      <c r="A711" s="73"/>
      <c r="B711" s="62" t="s">
        <v>3058</v>
      </c>
      <c r="C711" s="63"/>
      <c r="D711" s="64"/>
      <c r="E711" s="64">
        <v>6.1</v>
      </c>
      <c r="F711" s="64">
        <v>0.3</v>
      </c>
      <c r="G711" s="64">
        <v>1.1499999999999999</v>
      </c>
      <c r="H711" s="64"/>
      <c r="I711" s="76">
        <f t="shared" si="47"/>
        <v>2.105</v>
      </c>
      <c r="J711" s="83"/>
      <c r="K711" s="84"/>
      <c r="L711" s="85"/>
      <c r="M711" s="84"/>
      <c r="N711" s="86"/>
    </row>
    <row r="712" spans="1:14" x14ac:dyDescent="0.25">
      <c r="A712" s="73"/>
      <c r="B712" s="62" t="s">
        <v>3059</v>
      </c>
      <c r="C712" s="63"/>
      <c r="D712" s="64"/>
      <c r="E712" s="64">
        <v>16.5</v>
      </c>
      <c r="F712" s="64">
        <v>0.3</v>
      </c>
      <c r="G712" s="64">
        <v>0.5</v>
      </c>
      <c r="H712" s="64"/>
      <c r="I712" s="76">
        <f t="shared" si="47"/>
        <v>2.4750000000000001</v>
      </c>
      <c r="J712" s="83"/>
      <c r="K712" s="84"/>
      <c r="L712" s="85"/>
      <c r="M712" s="84"/>
      <c r="N712" s="86"/>
    </row>
    <row r="713" spans="1:14" x14ac:dyDescent="0.25">
      <c r="A713" s="73"/>
      <c r="B713" s="62" t="s">
        <v>3060</v>
      </c>
      <c r="C713" s="63"/>
      <c r="D713" s="64">
        <v>2</v>
      </c>
      <c r="E713" s="64">
        <v>7.2</v>
      </c>
      <c r="F713" s="64">
        <v>0.3</v>
      </c>
      <c r="G713" s="64">
        <v>0.5</v>
      </c>
      <c r="H713" s="64"/>
      <c r="I713" s="76">
        <f t="shared" si="47"/>
        <v>2.16</v>
      </c>
      <c r="J713" s="83"/>
      <c r="K713" s="84"/>
      <c r="L713" s="85"/>
      <c r="M713" s="84"/>
      <c r="N713" s="86"/>
    </row>
    <row r="714" spans="1:14" x14ac:dyDescent="0.25">
      <c r="A714" s="73"/>
      <c r="B714" s="62" t="s">
        <v>3061</v>
      </c>
      <c r="C714" s="63"/>
      <c r="D714" s="64"/>
      <c r="E714" s="64">
        <v>9.1999999999999993</v>
      </c>
      <c r="F714" s="64">
        <v>0.3</v>
      </c>
      <c r="G714" s="64">
        <v>0.5</v>
      </c>
      <c r="H714" s="64"/>
      <c r="I714" s="76">
        <f t="shared" si="47"/>
        <v>1.38</v>
      </c>
      <c r="J714" s="83"/>
      <c r="K714" s="84"/>
      <c r="L714" s="85"/>
      <c r="M714" s="84"/>
      <c r="N714" s="86"/>
    </row>
    <row r="715" spans="1:14" x14ac:dyDescent="0.25">
      <c r="A715" s="73"/>
      <c r="B715" s="62" t="s">
        <v>3062</v>
      </c>
      <c r="C715" s="63"/>
      <c r="D715" s="64"/>
      <c r="E715" s="64">
        <v>2.7</v>
      </c>
      <c r="F715" s="64">
        <v>0.2</v>
      </c>
      <c r="G715" s="64">
        <v>0.4</v>
      </c>
      <c r="H715" s="64"/>
      <c r="I715" s="76">
        <f t="shared" si="47"/>
        <v>0.216</v>
      </c>
      <c r="J715" s="83"/>
      <c r="K715" s="84"/>
      <c r="L715" s="85"/>
      <c r="M715" s="84"/>
      <c r="N715" s="86"/>
    </row>
    <row r="716" spans="1:14" x14ac:dyDescent="0.25">
      <c r="A716" s="73"/>
      <c r="B716" s="62" t="s">
        <v>3063</v>
      </c>
      <c r="C716" s="63"/>
      <c r="D716" s="64"/>
      <c r="E716" s="64">
        <v>9.5</v>
      </c>
      <c r="F716" s="64">
        <v>0.3</v>
      </c>
      <c r="G716" s="64">
        <v>0.5</v>
      </c>
      <c r="H716" s="64"/>
      <c r="I716" s="76">
        <f t="shared" si="47"/>
        <v>1.425</v>
      </c>
      <c r="J716" s="83"/>
      <c r="K716" s="84"/>
      <c r="L716" s="85"/>
      <c r="M716" s="84"/>
      <c r="N716" s="86"/>
    </row>
    <row r="717" spans="1:14" x14ac:dyDescent="0.25">
      <c r="A717" s="73"/>
      <c r="B717" s="62" t="s">
        <v>3064</v>
      </c>
      <c r="C717" s="63"/>
      <c r="D717" s="64"/>
      <c r="E717" s="64">
        <v>16.8</v>
      </c>
      <c r="F717" s="64">
        <v>0.3</v>
      </c>
      <c r="G717" s="64">
        <v>0.5</v>
      </c>
      <c r="H717" s="64"/>
      <c r="I717" s="76">
        <f t="shared" si="47"/>
        <v>2.52</v>
      </c>
      <c r="J717" s="83"/>
      <c r="K717" s="84"/>
      <c r="L717" s="85"/>
      <c r="M717" s="84"/>
      <c r="N717" s="86"/>
    </row>
    <row r="718" spans="1:14" x14ac:dyDescent="0.25">
      <c r="A718" s="73"/>
      <c r="B718" s="62" t="s">
        <v>3065</v>
      </c>
      <c r="C718" s="63"/>
      <c r="D718" s="64">
        <v>2</v>
      </c>
      <c r="E718" s="64">
        <v>10.3</v>
      </c>
      <c r="F718" s="64">
        <v>0.3</v>
      </c>
      <c r="G718" s="64">
        <v>0.5</v>
      </c>
      <c r="H718" s="64"/>
      <c r="I718" s="76">
        <f t="shared" si="47"/>
        <v>3.09</v>
      </c>
      <c r="J718" s="83"/>
      <c r="K718" s="84"/>
      <c r="L718" s="85"/>
      <c r="M718" s="84"/>
      <c r="N718" s="86"/>
    </row>
    <row r="719" spans="1:14" x14ac:dyDescent="0.25">
      <c r="A719" s="73"/>
      <c r="B719" s="62" t="s">
        <v>3066</v>
      </c>
      <c r="C719" s="63"/>
      <c r="D719" s="64"/>
      <c r="E719" s="64">
        <v>17.5</v>
      </c>
      <c r="F719" s="64">
        <v>0.4</v>
      </c>
      <c r="G719" s="64">
        <v>0.7</v>
      </c>
      <c r="H719" s="64"/>
      <c r="I719" s="76">
        <f t="shared" si="47"/>
        <v>4.9000000000000004</v>
      </c>
      <c r="J719" s="83"/>
      <c r="K719" s="84"/>
      <c r="L719" s="85"/>
      <c r="M719" s="84"/>
      <c r="N719" s="86"/>
    </row>
    <row r="720" spans="1:14" ht="38.25" x14ac:dyDescent="0.25">
      <c r="A720" s="73">
        <v>35</v>
      </c>
      <c r="B720" s="65" t="s">
        <v>112</v>
      </c>
      <c r="C720" s="63" t="s">
        <v>61</v>
      </c>
      <c r="D720" s="64"/>
      <c r="E720" s="64"/>
      <c r="F720" s="64"/>
      <c r="G720" s="64"/>
      <c r="H720" s="64"/>
      <c r="I720" s="76">
        <f>SUM(I721:I765)</f>
        <v>7.855999999999999</v>
      </c>
      <c r="J720" s="83" t="e">
        <f>PL03a!#REF!</f>
        <v>#REF!</v>
      </c>
      <c r="K720" s="84">
        <f t="shared" ref="K720" si="48">I720</f>
        <v>7.855999999999999</v>
      </c>
      <c r="L720" s="85"/>
      <c r="M720" s="84">
        <f>K720</f>
        <v>7.855999999999999</v>
      </c>
      <c r="N720" s="86">
        <f>L720+M720</f>
        <v>7.855999999999999</v>
      </c>
    </row>
    <row r="721" spans="1:14" x14ac:dyDescent="0.25">
      <c r="A721" s="73"/>
      <c r="B721" s="66" t="s">
        <v>3023</v>
      </c>
      <c r="C721" s="63"/>
      <c r="D721" s="64"/>
      <c r="E721" s="64"/>
      <c r="F721" s="64"/>
      <c r="G721" s="64"/>
      <c r="H721" s="64"/>
      <c r="I721" s="76"/>
      <c r="J721" s="83"/>
      <c r="K721" s="84"/>
      <c r="L721" s="85"/>
      <c r="M721" s="84"/>
      <c r="N721" s="86"/>
    </row>
    <row r="722" spans="1:14" x14ac:dyDescent="0.25">
      <c r="A722" s="73"/>
      <c r="B722" s="62" t="s">
        <v>3024</v>
      </c>
      <c r="C722" s="63"/>
      <c r="D722" s="64"/>
      <c r="E722" s="64">
        <v>34.35</v>
      </c>
      <c r="F722" s="64">
        <v>1.25</v>
      </c>
      <c r="G722" s="64"/>
      <c r="H722" s="64">
        <v>0.01</v>
      </c>
      <c r="I722" s="76">
        <f t="shared" si="47"/>
        <v>0.42899999999999999</v>
      </c>
      <c r="J722" s="83"/>
      <c r="K722" s="84"/>
      <c r="L722" s="85"/>
      <c r="M722" s="84"/>
      <c r="N722" s="86"/>
    </row>
    <row r="723" spans="1:14" x14ac:dyDescent="0.25">
      <c r="A723" s="73"/>
      <c r="B723" s="62" t="s">
        <v>3025</v>
      </c>
      <c r="C723" s="63"/>
      <c r="D723" s="64"/>
      <c r="E723" s="64">
        <v>7.25</v>
      </c>
      <c r="F723" s="64">
        <v>1.25</v>
      </c>
      <c r="G723" s="64"/>
      <c r="H723" s="64">
        <v>0.01</v>
      </c>
      <c r="I723" s="76">
        <f t="shared" si="47"/>
        <v>9.0999999999999998E-2</v>
      </c>
      <c r="J723" s="83"/>
      <c r="K723" s="84"/>
      <c r="L723" s="85"/>
      <c r="M723" s="84"/>
      <c r="N723" s="86"/>
    </row>
    <row r="724" spans="1:14" x14ac:dyDescent="0.25">
      <c r="A724" s="73"/>
      <c r="B724" s="62" t="s">
        <v>3026</v>
      </c>
      <c r="C724" s="63"/>
      <c r="D724" s="64"/>
      <c r="E724" s="64">
        <v>5.5</v>
      </c>
      <c r="F724" s="64">
        <v>1.25</v>
      </c>
      <c r="G724" s="64"/>
      <c r="H724" s="64">
        <v>0.01</v>
      </c>
      <c r="I724" s="76">
        <f t="shared" si="47"/>
        <v>6.9000000000000006E-2</v>
      </c>
      <c r="J724" s="83"/>
      <c r="K724" s="84"/>
      <c r="L724" s="85"/>
      <c r="M724" s="84"/>
      <c r="N724" s="86"/>
    </row>
    <row r="725" spans="1:14" x14ac:dyDescent="0.25">
      <c r="A725" s="73"/>
      <c r="B725" s="62" t="s">
        <v>3027</v>
      </c>
      <c r="C725" s="63"/>
      <c r="D725" s="64"/>
      <c r="E725" s="64">
        <v>14</v>
      </c>
      <c r="F725" s="64">
        <v>1.5</v>
      </c>
      <c r="G725" s="64"/>
      <c r="H725" s="64">
        <v>0.01</v>
      </c>
      <c r="I725" s="76">
        <f t="shared" si="47"/>
        <v>0.21</v>
      </c>
      <c r="J725" s="83"/>
      <c r="K725" s="84"/>
      <c r="L725" s="85"/>
      <c r="M725" s="84"/>
      <c r="N725" s="86"/>
    </row>
    <row r="726" spans="1:14" x14ac:dyDescent="0.25">
      <c r="A726" s="73"/>
      <c r="B726" s="62" t="s">
        <v>3028</v>
      </c>
      <c r="C726" s="63"/>
      <c r="D726" s="64"/>
      <c r="E726" s="64">
        <v>7.25</v>
      </c>
      <c r="F726" s="64">
        <v>2.6</v>
      </c>
      <c r="G726" s="64"/>
      <c r="H726" s="64">
        <v>0.01</v>
      </c>
      <c r="I726" s="76">
        <f t="shared" si="47"/>
        <v>0.189</v>
      </c>
      <c r="J726" s="83"/>
      <c r="K726" s="84"/>
      <c r="L726" s="85"/>
      <c r="M726" s="84"/>
      <c r="N726" s="86"/>
    </row>
    <row r="727" spans="1:14" x14ac:dyDescent="0.25">
      <c r="A727" s="73"/>
      <c r="B727" s="62" t="s">
        <v>3029</v>
      </c>
      <c r="C727" s="63"/>
      <c r="D727" s="64"/>
      <c r="E727" s="64">
        <v>21</v>
      </c>
      <c r="F727" s="64">
        <v>1.9</v>
      </c>
      <c r="G727" s="64"/>
      <c r="H727" s="64">
        <v>0.01</v>
      </c>
      <c r="I727" s="76">
        <f t="shared" si="47"/>
        <v>0.39900000000000002</v>
      </c>
      <c r="J727" s="83"/>
      <c r="K727" s="84"/>
      <c r="L727" s="85"/>
      <c r="M727" s="84"/>
      <c r="N727" s="86"/>
    </row>
    <row r="728" spans="1:14" x14ac:dyDescent="0.25">
      <c r="A728" s="73"/>
      <c r="B728" s="62" t="s">
        <v>3030</v>
      </c>
      <c r="C728" s="63"/>
      <c r="D728" s="64"/>
      <c r="E728" s="64">
        <v>26</v>
      </c>
      <c r="F728" s="64">
        <v>1.5</v>
      </c>
      <c r="G728" s="64"/>
      <c r="H728" s="64">
        <v>0.01</v>
      </c>
      <c r="I728" s="76">
        <f t="shared" si="47"/>
        <v>0.39</v>
      </c>
      <c r="J728" s="83"/>
      <c r="K728" s="84"/>
      <c r="L728" s="85"/>
      <c r="M728" s="84"/>
      <c r="N728" s="86"/>
    </row>
    <row r="729" spans="1:14" x14ac:dyDescent="0.25">
      <c r="A729" s="73"/>
      <c r="B729" s="62" t="s">
        <v>3031</v>
      </c>
      <c r="C729" s="63"/>
      <c r="D729" s="64"/>
      <c r="E729" s="64">
        <v>27.9</v>
      </c>
      <c r="F729" s="64">
        <v>1.5</v>
      </c>
      <c r="G729" s="64"/>
      <c r="H729" s="64">
        <v>0.01</v>
      </c>
      <c r="I729" s="76">
        <f t="shared" si="47"/>
        <v>0.41899999999999998</v>
      </c>
      <c r="J729" s="83"/>
      <c r="K729" s="84"/>
      <c r="L729" s="85"/>
      <c r="M729" s="84"/>
      <c r="N729" s="86"/>
    </row>
    <row r="730" spans="1:14" x14ac:dyDescent="0.25">
      <c r="A730" s="73"/>
      <c r="B730" s="62" t="s">
        <v>3032</v>
      </c>
      <c r="C730" s="63"/>
      <c r="D730" s="64"/>
      <c r="E730" s="64">
        <v>26.9</v>
      </c>
      <c r="F730" s="64">
        <v>1.25</v>
      </c>
      <c r="G730" s="64"/>
      <c r="H730" s="64">
        <v>0.01</v>
      </c>
      <c r="I730" s="76">
        <f t="shared" si="47"/>
        <v>0.33600000000000002</v>
      </c>
      <c r="J730" s="83"/>
      <c r="K730" s="84"/>
      <c r="L730" s="85"/>
      <c r="M730" s="84"/>
      <c r="N730" s="86"/>
    </row>
    <row r="731" spans="1:14" x14ac:dyDescent="0.25">
      <c r="A731" s="73"/>
      <c r="B731" s="62" t="s">
        <v>3033</v>
      </c>
      <c r="C731" s="63"/>
      <c r="D731" s="64"/>
      <c r="E731" s="64">
        <v>6.2</v>
      </c>
      <c r="F731" s="64">
        <v>1.25</v>
      </c>
      <c r="G731" s="64"/>
      <c r="H731" s="64">
        <v>0.01</v>
      </c>
      <c r="I731" s="76">
        <f t="shared" si="47"/>
        <v>7.8E-2</v>
      </c>
      <c r="J731" s="83"/>
      <c r="K731" s="84"/>
      <c r="L731" s="85"/>
      <c r="M731" s="84"/>
      <c r="N731" s="86"/>
    </row>
    <row r="732" spans="1:14" x14ac:dyDescent="0.25">
      <c r="A732" s="73"/>
      <c r="B732" s="62" t="s">
        <v>3034</v>
      </c>
      <c r="C732" s="63"/>
      <c r="D732" s="64"/>
      <c r="E732" s="64">
        <v>3.6</v>
      </c>
      <c r="F732" s="64">
        <v>1.25</v>
      </c>
      <c r="G732" s="64"/>
      <c r="H732" s="64">
        <v>0.01</v>
      </c>
      <c r="I732" s="76">
        <f t="shared" si="47"/>
        <v>4.4999999999999998E-2</v>
      </c>
      <c r="J732" s="83"/>
      <c r="K732" s="84"/>
      <c r="L732" s="85"/>
      <c r="M732" s="84"/>
      <c r="N732" s="86"/>
    </row>
    <row r="733" spans="1:14" x14ac:dyDescent="0.25">
      <c r="A733" s="73"/>
      <c r="B733" s="62" t="s">
        <v>3035</v>
      </c>
      <c r="C733" s="63"/>
      <c r="D733" s="64"/>
      <c r="E733" s="64">
        <v>7.4</v>
      </c>
      <c r="F733" s="64">
        <v>1.25</v>
      </c>
      <c r="G733" s="64"/>
      <c r="H733" s="64">
        <v>0.01</v>
      </c>
      <c r="I733" s="76">
        <f t="shared" si="47"/>
        <v>9.2999999999999999E-2</v>
      </c>
      <c r="J733" s="83"/>
      <c r="K733" s="84"/>
      <c r="L733" s="85"/>
      <c r="M733" s="84"/>
      <c r="N733" s="86"/>
    </row>
    <row r="734" spans="1:14" x14ac:dyDescent="0.25">
      <c r="A734" s="73"/>
      <c r="B734" s="62" t="s">
        <v>3036</v>
      </c>
      <c r="C734" s="63"/>
      <c r="D734" s="64"/>
      <c r="E734" s="64">
        <v>14.3</v>
      </c>
      <c r="F734" s="64">
        <v>1.6</v>
      </c>
      <c r="G734" s="64"/>
      <c r="H734" s="64">
        <v>0.01</v>
      </c>
      <c r="I734" s="76">
        <f t="shared" si="47"/>
        <v>0.22900000000000001</v>
      </c>
      <c r="J734" s="83"/>
      <c r="K734" s="84"/>
      <c r="L734" s="85"/>
      <c r="M734" s="84"/>
      <c r="N734" s="86"/>
    </row>
    <row r="735" spans="1:14" x14ac:dyDescent="0.25">
      <c r="A735" s="73"/>
      <c r="B735" s="62" t="s">
        <v>3037</v>
      </c>
      <c r="C735" s="63"/>
      <c r="D735" s="64">
        <v>2</v>
      </c>
      <c r="E735" s="64">
        <v>7.1</v>
      </c>
      <c r="F735" s="64">
        <v>1.65</v>
      </c>
      <c r="G735" s="64"/>
      <c r="H735" s="64">
        <v>0.01</v>
      </c>
      <c r="I735" s="76">
        <f t="shared" si="47"/>
        <v>0.23400000000000001</v>
      </c>
      <c r="J735" s="83"/>
      <c r="K735" s="84"/>
      <c r="L735" s="85"/>
      <c r="M735" s="84"/>
      <c r="N735" s="86"/>
    </row>
    <row r="736" spans="1:14" x14ac:dyDescent="0.25">
      <c r="A736" s="73"/>
      <c r="B736" s="62" t="s">
        <v>3038</v>
      </c>
      <c r="C736" s="63"/>
      <c r="D736" s="64"/>
      <c r="E736" s="64">
        <v>8.3000000000000007</v>
      </c>
      <c r="F736" s="64">
        <v>1.65</v>
      </c>
      <c r="G736" s="64"/>
      <c r="H736" s="64">
        <v>0.01</v>
      </c>
      <c r="I736" s="76">
        <f t="shared" si="47"/>
        <v>0.13700000000000001</v>
      </c>
      <c r="J736" s="83"/>
      <c r="K736" s="84"/>
      <c r="L736" s="85"/>
      <c r="M736" s="84"/>
      <c r="N736" s="86"/>
    </row>
    <row r="737" spans="1:14" x14ac:dyDescent="0.25">
      <c r="A737" s="73"/>
      <c r="B737" s="62" t="s">
        <v>3039</v>
      </c>
      <c r="C737" s="63"/>
      <c r="D737" s="64"/>
      <c r="E737" s="64">
        <v>4.8</v>
      </c>
      <c r="F737" s="64">
        <v>2.8</v>
      </c>
      <c r="G737" s="64"/>
      <c r="H737" s="64">
        <v>0.01</v>
      </c>
      <c r="I737" s="76">
        <f t="shared" si="47"/>
        <v>0.13400000000000001</v>
      </c>
      <c r="J737" s="83"/>
      <c r="K737" s="84"/>
      <c r="L737" s="85"/>
      <c r="M737" s="84"/>
      <c r="N737" s="86"/>
    </row>
    <row r="738" spans="1:14" x14ac:dyDescent="0.25">
      <c r="A738" s="73"/>
      <c r="B738" s="62" t="s">
        <v>3040</v>
      </c>
      <c r="C738" s="63"/>
      <c r="D738" s="64"/>
      <c r="E738" s="64">
        <v>8.4</v>
      </c>
      <c r="F738" s="64">
        <v>1.5</v>
      </c>
      <c r="G738" s="64"/>
      <c r="H738" s="64">
        <v>0.01</v>
      </c>
      <c r="I738" s="76">
        <f t="shared" si="47"/>
        <v>0.126</v>
      </c>
      <c r="J738" s="83"/>
      <c r="K738" s="84"/>
      <c r="L738" s="85"/>
      <c r="M738" s="84"/>
      <c r="N738" s="86"/>
    </row>
    <row r="739" spans="1:14" x14ac:dyDescent="0.25">
      <c r="A739" s="73"/>
      <c r="B739" s="62" t="s">
        <v>3041</v>
      </c>
      <c r="C739" s="63"/>
      <c r="D739" s="64"/>
      <c r="E739" s="64">
        <v>6.3</v>
      </c>
      <c r="F739" s="64">
        <v>1.6</v>
      </c>
      <c r="G739" s="64"/>
      <c r="H739" s="64">
        <v>0.01</v>
      </c>
      <c r="I739" s="76">
        <f t="shared" si="47"/>
        <v>0.10100000000000001</v>
      </c>
      <c r="J739" s="83"/>
      <c r="K739" s="84"/>
      <c r="L739" s="85"/>
      <c r="M739" s="84"/>
      <c r="N739" s="86"/>
    </row>
    <row r="740" spans="1:14" x14ac:dyDescent="0.25">
      <c r="A740" s="73"/>
      <c r="B740" s="62" t="s">
        <v>3067</v>
      </c>
      <c r="C740" s="63"/>
      <c r="D740" s="64"/>
      <c r="E740" s="64">
        <v>9.3000000000000007</v>
      </c>
      <c r="F740" s="64">
        <v>1</v>
      </c>
      <c r="G740" s="64"/>
      <c r="H740" s="64">
        <v>0.01</v>
      </c>
      <c r="I740" s="76">
        <f t="shared" si="47"/>
        <v>9.2999999999999999E-2</v>
      </c>
      <c r="J740" s="83"/>
      <c r="K740" s="84"/>
      <c r="L740" s="85"/>
      <c r="M740" s="84"/>
      <c r="N740" s="86"/>
    </row>
    <row r="741" spans="1:14" x14ac:dyDescent="0.25">
      <c r="A741" s="73"/>
      <c r="B741" s="62" t="s">
        <v>3060</v>
      </c>
      <c r="C741" s="63"/>
      <c r="D741" s="64">
        <v>2</v>
      </c>
      <c r="E741" s="64">
        <v>7.2</v>
      </c>
      <c r="F741" s="64">
        <v>1</v>
      </c>
      <c r="G741" s="64"/>
      <c r="H741" s="64">
        <v>0.01</v>
      </c>
      <c r="I741" s="76">
        <f t="shared" si="47"/>
        <v>0.14399999999999999</v>
      </c>
      <c r="J741" s="83"/>
      <c r="K741" s="84"/>
      <c r="L741" s="85"/>
      <c r="M741" s="84"/>
      <c r="N741" s="86"/>
    </row>
    <row r="742" spans="1:14" x14ac:dyDescent="0.25">
      <c r="A742" s="73"/>
      <c r="B742" s="62" t="s">
        <v>3043</v>
      </c>
      <c r="C742" s="63"/>
      <c r="D742" s="64"/>
      <c r="E742" s="64">
        <v>22.4</v>
      </c>
      <c r="F742" s="64">
        <v>1.9</v>
      </c>
      <c r="G742" s="64"/>
      <c r="H742" s="64">
        <v>0.01</v>
      </c>
      <c r="I742" s="76">
        <f t="shared" si="47"/>
        <v>0.42599999999999999</v>
      </c>
      <c r="J742" s="83"/>
      <c r="K742" s="84"/>
      <c r="L742" s="85"/>
      <c r="M742" s="84"/>
      <c r="N742" s="86"/>
    </row>
    <row r="743" spans="1:14" x14ac:dyDescent="0.25">
      <c r="A743" s="73"/>
      <c r="B743" s="62" t="s">
        <v>3044</v>
      </c>
      <c r="C743" s="63"/>
      <c r="D743" s="64">
        <v>2</v>
      </c>
      <c r="E743" s="64">
        <v>20.399999999999999</v>
      </c>
      <c r="F743" s="64">
        <v>1.9</v>
      </c>
      <c r="G743" s="64"/>
      <c r="H743" s="64">
        <v>0.01</v>
      </c>
      <c r="I743" s="76">
        <f t="shared" si="47"/>
        <v>0.77500000000000002</v>
      </c>
      <c r="J743" s="83"/>
      <c r="K743" s="84"/>
      <c r="L743" s="85"/>
      <c r="M743" s="84"/>
      <c r="N743" s="86"/>
    </row>
    <row r="744" spans="1:14" x14ac:dyDescent="0.25">
      <c r="A744" s="73"/>
      <c r="B744" s="62" t="s">
        <v>3045</v>
      </c>
      <c r="C744" s="63"/>
      <c r="D744" s="64"/>
      <c r="E744" s="64">
        <v>5.4</v>
      </c>
      <c r="F744" s="64">
        <v>1.25</v>
      </c>
      <c r="G744" s="64"/>
      <c r="H744" s="64">
        <v>0.01</v>
      </c>
      <c r="I744" s="76">
        <f t="shared" si="47"/>
        <v>6.8000000000000005E-2</v>
      </c>
      <c r="J744" s="83"/>
      <c r="K744" s="84"/>
      <c r="L744" s="85"/>
      <c r="M744" s="84"/>
      <c r="N744" s="86"/>
    </row>
    <row r="745" spans="1:14" x14ac:dyDescent="0.25">
      <c r="A745" s="73"/>
      <c r="B745" s="62" t="s">
        <v>3046</v>
      </c>
      <c r="C745" s="63"/>
      <c r="D745" s="64"/>
      <c r="E745" s="64">
        <v>17.2</v>
      </c>
      <c r="F745" s="64">
        <v>1.25</v>
      </c>
      <c r="G745" s="64"/>
      <c r="H745" s="64">
        <v>0.01</v>
      </c>
      <c r="I745" s="76">
        <f t="shared" si="47"/>
        <v>0.215</v>
      </c>
      <c r="J745" s="83"/>
      <c r="K745" s="84"/>
      <c r="L745" s="85"/>
      <c r="M745" s="84"/>
      <c r="N745" s="86"/>
    </row>
    <row r="746" spans="1:14" x14ac:dyDescent="0.25">
      <c r="A746" s="73"/>
      <c r="B746" s="62" t="s">
        <v>3047</v>
      </c>
      <c r="C746" s="63"/>
      <c r="D746" s="64">
        <v>2</v>
      </c>
      <c r="E746" s="64">
        <v>18</v>
      </c>
      <c r="F746" s="64">
        <v>1</v>
      </c>
      <c r="G746" s="64"/>
      <c r="H746" s="64">
        <v>0.01</v>
      </c>
      <c r="I746" s="76">
        <f t="shared" si="47"/>
        <v>0.36</v>
      </c>
      <c r="J746" s="83"/>
      <c r="K746" s="84"/>
      <c r="L746" s="85"/>
      <c r="M746" s="84"/>
      <c r="N746" s="86"/>
    </row>
    <row r="747" spans="1:14" x14ac:dyDescent="0.25">
      <c r="A747" s="73"/>
      <c r="B747" s="62" t="s">
        <v>3048</v>
      </c>
      <c r="C747" s="63"/>
      <c r="D747" s="64">
        <v>2</v>
      </c>
      <c r="E747" s="64">
        <v>3.1</v>
      </c>
      <c r="F747" s="64">
        <v>1.1499999999999999</v>
      </c>
      <c r="G747" s="64"/>
      <c r="H747" s="64">
        <v>0.01</v>
      </c>
      <c r="I747" s="76">
        <f t="shared" si="47"/>
        <v>7.0999999999999994E-2</v>
      </c>
      <c r="J747" s="83"/>
      <c r="K747" s="84"/>
      <c r="L747" s="85"/>
      <c r="M747" s="84"/>
      <c r="N747" s="86"/>
    </row>
    <row r="748" spans="1:14" x14ac:dyDescent="0.25">
      <c r="A748" s="73"/>
      <c r="B748" s="62" t="s">
        <v>3049</v>
      </c>
      <c r="C748" s="63"/>
      <c r="D748" s="64"/>
      <c r="E748" s="64">
        <v>2</v>
      </c>
      <c r="F748" s="64">
        <v>1</v>
      </c>
      <c r="G748" s="64"/>
      <c r="H748" s="64">
        <v>0.01</v>
      </c>
      <c r="I748" s="76">
        <f t="shared" si="47"/>
        <v>0.02</v>
      </c>
      <c r="J748" s="83"/>
      <c r="K748" s="84"/>
      <c r="L748" s="85"/>
      <c r="M748" s="84"/>
      <c r="N748" s="86"/>
    </row>
    <row r="749" spans="1:14" x14ac:dyDescent="0.25">
      <c r="A749" s="73"/>
      <c r="B749" s="62" t="s">
        <v>3050</v>
      </c>
      <c r="C749" s="63"/>
      <c r="D749" s="64"/>
      <c r="E749" s="64">
        <v>14.05</v>
      </c>
      <c r="F749" s="64">
        <v>1</v>
      </c>
      <c r="G749" s="64"/>
      <c r="H749" s="64">
        <v>0.01</v>
      </c>
      <c r="I749" s="76">
        <f t="shared" si="47"/>
        <v>0.14099999999999999</v>
      </c>
      <c r="J749" s="83"/>
      <c r="K749" s="84"/>
      <c r="L749" s="85"/>
      <c r="M749" s="84"/>
      <c r="N749" s="86"/>
    </row>
    <row r="750" spans="1:14" x14ac:dyDescent="0.25">
      <c r="A750" s="73"/>
      <c r="B750" s="62" t="s">
        <v>3051</v>
      </c>
      <c r="C750" s="63"/>
      <c r="D750" s="64"/>
      <c r="E750" s="64">
        <v>7</v>
      </c>
      <c r="F750" s="64">
        <v>1</v>
      </c>
      <c r="G750" s="64"/>
      <c r="H750" s="64">
        <v>0.01</v>
      </c>
      <c r="I750" s="76">
        <f t="shared" si="47"/>
        <v>7.0000000000000007E-2</v>
      </c>
      <c r="J750" s="83"/>
      <c r="K750" s="84"/>
      <c r="L750" s="85"/>
      <c r="M750" s="84"/>
      <c r="N750" s="86"/>
    </row>
    <row r="751" spans="1:14" x14ac:dyDescent="0.25">
      <c r="A751" s="73"/>
      <c r="B751" s="62" t="s">
        <v>3052</v>
      </c>
      <c r="C751" s="63"/>
      <c r="D751" s="64"/>
      <c r="E751" s="64">
        <v>6.95</v>
      </c>
      <c r="F751" s="64">
        <v>1</v>
      </c>
      <c r="G751" s="64"/>
      <c r="H751" s="64">
        <v>0.01</v>
      </c>
      <c r="I751" s="76">
        <f t="shared" si="47"/>
        <v>7.0000000000000007E-2</v>
      </c>
      <c r="J751" s="83"/>
      <c r="K751" s="84"/>
      <c r="L751" s="85"/>
      <c r="M751" s="84"/>
      <c r="N751" s="86"/>
    </row>
    <row r="752" spans="1:14" x14ac:dyDescent="0.25">
      <c r="A752" s="73"/>
      <c r="B752" s="62" t="s">
        <v>3053</v>
      </c>
      <c r="C752" s="63"/>
      <c r="D752" s="64"/>
      <c r="E752" s="64">
        <v>4.0199999999999996</v>
      </c>
      <c r="F752" s="64">
        <v>0.3</v>
      </c>
      <c r="G752" s="64"/>
      <c r="H752" s="64">
        <v>0.01</v>
      </c>
      <c r="I752" s="76">
        <f t="shared" ref="I752:I815" si="49">ROUND(PRODUCT(D752:H752),3)</f>
        <v>1.2E-2</v>
      </c>
      <c r="J752" s="83"/>
      <c r="K752" s="84"/>
      <c r="L752" s="85"/>
      <c r="M752" s="84"/>
      <c r="N752" s="86"/>
    </row>
    <row r="753" spans="1:14" x14ac:dyDescent="0.25">
      <c r="A753" s="73"/>
      <c r="B753" s="62" t="s">
        <v>3054</v>
      </c>
      <c r="C753" s="63"/>
      <c r="D753" s="64"/>
      <c r="E753" s="64">
        <v>12.45</v>
      </c>
      <c r="F753" s="64">
        <v>1</v>
      </c>
      <c r="G753" s="64"/>
      <c r="H753" s="64">
        <v>0.01</v>
      </c>
      <c r="I753" s="76">
        <f t="shared" si="49"/>
        <v>0.125</v>
      </c>
      <c r="J753" s="83"/>
      <c r="K753" s="84"/>
      <c r="L753" s="85"/>
      <c r="M753" s="84"/>
      <c r="N753" s="86"/>
    </row>
    <row r="754" spans="1:14" x14ac:dyDescent="0.25">
      <c r="A754" s="73"/>
      <c r="B754" s="62" t="s">
        <v>3055</v>
      </c>
      <c r="C754" s="63"/>
      <c r="D754" s="64"/>
      <c r="E754" s="64">
        <v>14.75</v>
      </c>
      <c r="F754" s="64">
        <v>1.25</v>
      </c>
      <c r="G754" s="64"/>
      <c r="H754" s="64">
        <v>0.01</v>
      </c>
      <c r="I754" s="76">
        <f t="shared" si="49"/>
        <v>0.184</v>
      </c>
      <c r="J754" s="83"/>
      <c r="K754" s="84"/>
      <c r="L754" s="85"/>
      <c r="M754" s="84"/>
      <c r="N754" s="86"/>
    </row>
    <row r="755" spans="1:14" x14ac:dyDescent="0.25">
      <c r="A755" s="73"/>
      <c r="B755" s="62" t="s">
        <v>3056</v>
      </c>
      <c r="C755" s="63"/>
      <c r="D755" s="64"/>
      <c r="E755" s="64">
        <v>6.1</v>
      </c>
      <c r="F755" s="64">
        <v>1</v>
      </c>
      <c r="G755" s="64"/>
      <c r="H755" s="64">
        <v>0.01</v>
      </c>
      <c r="I755" s="76">
        <f t="shared" si="49"/>
        <v>6.0999999999999999E-2</v>
      </c>
      <c r="J755" s="83"/>
      <c r="K755" s="84"/>
      <c r="L755" s="85"/>
      <c r="M755" s="84"/>
      <c r="N755" s="86"/>
    </row>
    <row r="756" spans="1:14" x14ac:dyDescent="0.25">
      <c r="A756" s="73"/>
      <c r="B756" s="62" t="s">
        <v>3057</v>
      </c>
      <c r="C756" s="63"/>
      <c r="D756" s="64"/>
      <c r="E756" s="64">
        <v>2.8</v>
      </c>
      <c r="F756" s="64">
        <v>0.7</v>
      </c>
      <c r="G756" s="64"/>
      <c r="H756" s="64">
        <v>0.01</v>
      </c>
      <c r="I756" s="76">
        <f t="shared" si="49"/>
        <v>0.02</v>
      </c>
      <c r="J756" s="83"/>
      <c r="K756" s="84"/>
      <c r="L756" s="85"/>
      <c r="M756" s="84"/>
      <c r="N756" s="86"/>
    </row>
    <row r="757" spans="1:14" x14ac:dyDescent="0.25">
      <c r="A757" s="73"/>
      <c r="B757" s="62" t="s">
        <v>3058</v>
      </c>
      <c r="C757" s="63"/>
      <c r="D757" s="64"/>
      <c r="E757" s="64">
        <v>6.1</v>
      </c>
      <c r="F757" s="64">
        <v>2.2999999999999998</v>
      </c>
      <c r="G757" s="64"/>
      <c r="H757" s="64">
        <v>0.01</v>
      </c>
      <c r="I757" s="76">
        <f t="shared" si="49"/>
        <v>0.14000000000000001</v>
      </c>
      <c r="J757" s="83"/>
      <c r="K757" s="84"/>
      <c r="L757" s="85"/>
      <c r="M757" s="84"/>
      <c r="N757" s="86"/>
    </row>
    <row r="758" spans="1:14" x14ac:dyDescent="0.25">
      <c r="A758" s="73"/>
      <c r="B758" s="62" t="s">
        <v>3059</v>
      </c>
      <c r="C758" s="63"/>
      <c r="D758" s="64"/>
      <c r="E758" s="64">
        <v>16.5</v>
      </c>
      <c r="F758" s="64">
        <v>1</v>
      </c>
      <c r="G758" s="64"/>
      <c r="H758" s="64">
        <v>0.01</v>
      </c>
      <c r="I758" s="76">
        <f t="shared" si="49"/>
        <v>0.16500000000000001</v>
      </c>
      <c r="J758" s="83"/>
      <c r="K758" s="84"/>
      <c r="L758" s="85"/>
      <c r="M758" s="84"/>
      <c r="N758" s="86"/>
    </row>
    <row r="759" spans="1:14" x14ac:dyDescent="0.25">
      <c r="A759" s="73"/>
      <c r="B759" s="62" t="s">
        <v>3060</v>
      </c>
      <c r="C759" s="63"/>
      <c r="D759" s="64">
        <v>2</v>
      </c>
      <c r="E759" s="64">
        <v>7.2</v>
      </c>
      <c r="F759" s="64">
        <v>1</v>
      </c>
      <c r="G759" s="64"/>
      <c r="H759" s="64">
        <v>0.01</v>
      </c>
      <c r="I759" s="76">
        <f t="shared" si="49"/>
        <v>0.14399999999999999</v>
      </c>
      <c r="J759" s="83"/>
      <c r="K759" s="84"/>
      <c r="L759" s="85"/>
      <c r="M759" s="84"/>
      <c r="N759" s="86"/>
    </row>
    <row r="760" spans="1:14" x14ac:dyDescent="0.25">
      <c r="A760" s="73"/>
      <c r="B760" s="62" t="s">
        <v>3061</v>
      </c>
      <c r="C760" s="63"/>
      <c r="D760" s="64"/>
      <c r="E760" s="64">
        <v>9.1999999999999993</v>
      </c>
      <c r="F760" s="64">
        <v>1</v>
      </c>
      <c r="G760" s="64"/>
      <c r="H760" s="64">
        <v>0.01</v>
      </c>
      <c r="I760" s="76">
        <f t="shared" si="49"/>
        <v>9.1999999999999998E-2</v>
      </c>
      <c r="J760" s="83"/>
      <c r="K760" s="84"/>
      <c r="L760" s="85"/>
      <c r="M760" s="84"/>
      <c r="N760" s="86"/>
    </row>
    <row r="761" spans="1:14" x14ac:dyDescent="0.25">
      <c r="A761" s="73"/>
      <c r="B761" s="62" t="s">
        <v>3062</v>
      </c>
      <c r="C761" s="63"/>
      <c r="D761" s="64"/>
      <c r="E761" s="64">
        <v>2.7</v>
      </c>
      <c r="F761" s="64">
        <v>0.7</v>
      </c>
      <c r="G761" s="64"/>
      <c r="H761" s="64">
        <v>0.01</v>
      </c>
      <c r="I761" s="76">
        <f t="shared" si="49"/>
        <v>1.9E-2</v>
      </c>
      <c r="J761" s="83"/>
      <c r="K761" s="84"/>
      <c r="L761" s="85"/>
      <c r="M761" s="84"/>
      <c r="N761" s="86"/>
    </row>
    <row r="762" spans="1:14" x14ac:dyDescent="0.25">
      <c r="A762" s="73"/>
      <c r="B762" s="62" t="s">
        <v>3063</v>
      </c>
      <c r="C762" s="63"/>
      <c r="D762" s="64"/>
      <c r="E762" s="64">
        <v>9.5</v>
      </c>
      <c r="F762" s="64">
        <v>1</v>
      </c>
      <c r="G762" s="64"/>
      <c r="H762" s="64">
        <v>0.01</v>
      </c>
      <c r="I762" s="76">
        <f t="shared" si="49"/>
        <v>9.5000000000000001E-2</v>
      </c>
      <c r="J762" s="83"/>
      <c r="K762" s="84"/>
      <c r="L762" s="85"/>
      <c r="M762" s="84"/>
      <c r="N762" s="86"/>
    </row>
    <row r="763" spans="1:14" x14ac:dyDescent="0.25">
      <c r="A763" s="73"/>
      <c r="B763" s="62" t="s">
        <v>3064</v>
      </c>
      <c r="C763" s="63"/>
      <c r="D763" s="64"/>
      <c r="E763" s="64">
        <v>16.8</v>
      </c>
      <c r="F763" s="64">
        <v>1</v>
      </c>
      <c r="G763" s="64"/>
      <c r="H763" s="64">
        <v>0.01</v>
      </c>
      <c r="I763" s="76">
        <f t="shared" si="49"/>
        <v>0.16800000000000001</v>
      </c>
      <c r="J763" s="83"/>
      <c r="K763" s="84"/>
      <c r="L763" s="85"/>
      <c r="M763" s="84"/>
      <c r="N763" s="86"/>
    </row>
    <row r="764" spans="1:14" x14ac:dyDescent="0.25">
      <c r="A764" s="73"/>
      <c r="B764" s="62" t="s">
        <v>3065</v>
      </c>
      <c r="C764" s="63"/>
      <c r="D764" s="64">
        <v>2</v>
      </c>
      <c r="E764" s="64">
        <v>10.3</v>
      </c>
      <c r="F764" s="64">
        <v>1</v>
      </c>
      <c r="G764" s="64"/>
      <c r="H764" s="64">
        <v>0.01</v>
      </c>
      <c r="I764" s="76">
        <f t="shared" si="49"/>
        <v>0.20599999999999999</v>
      </c>
      <c r="J764" s="83"/>
      <c r="K764" s="84"/>
      <c r="L764" s="85"/>
      <c r="M764" s="84"/>
      <c r="N764" s="86"/>
    </row>
    <row r="765" spans="1:14" x14ac:dyDescent="0.25">
      <c r="A765" s="73"/>
      <c r="B765" s="62" t="s">
        <v>3066</v>
      </c>
      <c r="C765" s="63"/>
      <c r="D765" s="64"/>
      <c r="E765" s="64">
        <v>17.5</v>
      </c>
      <c r="F765" s="64">
        <v>1.5</v>
      </c>
      <c r="G765" s="64"/>
      <c r="H765" s="64">
        <v>0.01</v>
      </c>
      <c r="I765" s="76">
        <f t="shared" si="49"/>
        <v>0.26300000000000001</v>
      </c>
      <c r="J765" s="83"/>
      <c r="K765" s="84"/>
      <c r="L765" s="85"/>
      <c r="M765" s="84"/>
      <c r="N765" s="86"/>
    </row>
    <row r="766" spans="1:14" ht="25.5" x14ac:dyDescent="0.25">
      <c r="A766" s="73">
        <v>36</v>
      </c>
      <c r="B766" s="65" t="s">
        <v>114</v>
      </c>
      <c r="C766" s="63" t="s">
        <v>32</v>
      </c>
      <c r="D766" s="64"/>
      <c r="E766" s="64"/>
      <c r="F766" s="64"/>
      <c r="G766" s="64"/>
      <c r="H766" s="64"/>
      <c r="I766" s="76">
        <f>I767</f>
        <v>5.0049999999999999</v>
      </c>
      <c r="J766" s="83" t="e">
        <f>PL03a!#REF!</f>
        <v>#REF!</v>
      </c>
      <c r="K766" s="84">
        <f t="shared" ref="K766" si="50">I766</f>
        <v>5.0049999999999999</v>
      </c>
      <c r="L766" s="85"/>
      <c r="M766" s="84">
        <f>K766</f>
        <v>5.0049999999999999</v>
      </c>
      <c r="N766" s="86">
        <f>L766+M766</f>
        <v>5.0049999999999999</v>
      </c>
    </row>
    <row r="767" spans="1:14" x14ac:dyDescent="0.25">
      <c r="A767" s="73"/>
      <c r="B767" s="62" t="s">
        <v>3068</v>
      </c>
      <c r="C767" s="63"/>
      <c r="D767" s="64"/>
      <c r="E767" s="64">
        <v>5005.2</v>
      </c>
      <c r="F767" s="64"/>
      <c r="G767" s="64"/>
      <c r="H767" s="64">
        <v>1E-3</v>
      </c>
      <c r="I767" s="76">
        <f t="shared" si="49"/>
        <v>5.0049999999999999</v>
      </c>
      <c r="J767" s="83"/>
      <c r="K767" s="84"/>
      <c r="L767" s="85"/>
      <c r="M767" s="84"/>
      <c r="N767" s="86"/>
    </row>
    <row r="768" spans="1:14" ht="25.5" x14ac:dyDescent="0.25">
      <c r="A768" s="73">
        <v>37</v>
      </c>
      <c r="B768" s="65" t="s">
        <v>116</v>
      </c>
      <c r="C768" s="63" t="s">
        <v>32</v>
      </c>
      <c r="D768" s="64"/>
      <c r="E768" s="64"/>
      <c r="F768" s="64"/>
      <c r="G768" s="64"/>
      <c r="H768" s="64"/>
      <c r="I768" s="76">
        <f>I769</f>
        <v>9.7360000000000007</v>
      </c>
      <c r="J768" s="83" t="e">
        <f>PL03a!#REF!</f>
        <v>#REF!</v>
      </c>
      <c r="K768" s="84">
        <f t="shared" ref="K768" si="51">I768</f>
        <v>9.7360000000000007</v>
      </c>
      <c r="L768" s="85"/>
      <c r="M768" s="84">
        <f>K768</f>
        <v>9.7360000000000007</v>
      </c>
      <c r="N768" s="86">
        <f>L768+M768</f>
        <v>9.7360000000000007</v>
      </c>
    </row>
    <row r="769" spans="1:14" x14ac:dyDescent="0.25">
      <c r="A769" s="73"/>
      <c r="B769" s="62" t="s">
        <v>3068</v>
      </c>
      <c r="C769" s="63"/>
      <c r="D769" s="64"/>
      <c r="E769" s="64">
        <v>9736.2999999999993</v>
      </c>
      <c r="F769" s="64"/>
      <c r="G769" s="64"/>
      <c r="H769" s="64">
        <v>1E-3</v>
      </c>
      <c r="I769" s="76">
        <f t="shared" si="49"/>
        <v>9.7360000000000007</v>
      </c>
      <c r="J769" s="83"/>
      <c r="K769" s="84"/>
      <c r="L769" s="85"/>
      <c r="M769" s="84"/>
      <c r="N769" s="86"/>
    </row>
    <row r="770" spans="1:14" ht="25.5" x14ac:dyDescent="0.25">
      <c r="A770" s="73">
        <v>38</v>
      </c>
      <c r="B770" s="65" t="s">
        <v>118</v>
      </c>
      <c r="C770" s="63" t="s">
        <v>32</v>
      </c>
      <c r="D770" s="64"/>
      <c r="E770" s="64"/>
      <c r="F770" s="64"/>
      <c r="G770" s="64"/>
      <c r="H770" s="64"/>
      <c r="I770" s="76">
        <f>I771</f>
        <v>6.5890000000000004</v>
      </c>
      <c r="J770" s="83" t="e">
        <f>PL03a!#REF!</f>
        <v>#REF!</v>
      </c>
      <c r="K770" s="84">
        <f t="shared" ref="K770" si="52">I770</f>
        <v>6.5890000000000004</v>
      </c>
      <c r="L770" s="85"/>
      <c r="M770" s="84">
        <f>K770</f>
        <v>6.5890000000000004</v>
      </c>
      <c r="N770" s="86">
        <f>L770+M770</f>
        <v>6.5890000000000004</v>
      </c>
    </row>
    <row r="771" spans="1:14" x14ac:dyDescent="0.25">
      <c r="A771" s="73"/>
      <c r="B771" s="62" t="s">
        <v>3068</v>
      </c>
      <c r="C771" s="63"/>
      <c r="D771" s="64"/>
      <c r="E771" s="64">
        <v>6589.3</v>
      </c>
      <c r="F771" s="64"/>
      <c r="G771" s="64"/>
      <c r="H771" s="64">
        <v>1E-3</v>
      </c>
      <c r="I771" s="76">
        <f t="shared" si="49"/>
        <v>6.5890000000000004</v>
      </c>
      <c r="J771" s="83"/>
      <c r="K771" s="84"/>
      <c r="L771" s="85"/>
      <c r="M771" s="84"/>
      <c r="N771" s="86"/>
    </row>
    <row r="772" spans="1:14" ht="25.5" x14ac:dyDescent="0.25">
      <c r="A772" s="73">
        <v>39</v>
      </c>
      <c r="B772" s="65" t="s">
        <v>120</v>
      </c>
      <c r="C772" s="63" t="s">
        <v>37</v>
      </c>
      <c r="D772" s="64"/>
      <c r="E772" s="64"/>
      <c r="F772" s="64"/>
      <c r="G772" s="64"/>
      <c r="H772" s="64"/>
      <c r="I772" s="76">
        <f>SUM(I773:I835)</f>
        <v>159.18799999999996</v>
      </c>
      <c r="J772" s="83" t="e">
        <f>PL03a!#REF!</f>
        <v>#REF!</v>
      </c>
      <c r="K772" s="84">
        <f t="shared" ref="K772" si="53">I772</f>
        <v>159.18799999999996</v>
      </c>
      <c r="L772" s="85"/>
      <c r="M772" s="84">
        <f>K772</f>
        <v>159.18799999999996</v>
      </c>
      <c r="N772" s="86">
        <f>L772+M772</f>
        <v>159.18799999999996</v>
      </c>
    </row>
    <row r="773" spans="1:14" x14ac:dyDescent="0.25">
      <c r="A773" s="73"/>
      <c r="B773" s="66" t="s">
        <v>3023</v>
      </c>
      <c r="C773" s="63"/>
      <c r="D773" s="64"/>
      <c r="E773" s="64"/>
      <c r="F773" s="64"/>
      <c r="G773" s="64"/>
      <c r="H773" s="64"/>
      <c r="I773" s="76"/>
      <c r="J773" s="83"/>
      <c r="K773" s="84"/>
      <c r="L773" s="85"/>
      <c r="M773" s="84"/>
      <c r="N773" s="86"/>
    </row>
    <row r="774" spans="1:14" x14ac:dyDescent="0.25">
      <c r="A774" s="73"/>
      <c r="B774" s="62" t="s">
        <v>3069</v>
      </c>
      <c r="C774" s="63"/>
      <c r="D774" s="64"/>
      <c r="E774" s="64">
        <v>3.5</v>
      </c>
      <c r="F774" s="64">
        <v>3.5750000000000002</v>
      </c>
      <c r="G774" s="64">
        <v>0.15</v>
      </c>
      <c r="H774" s="64"/>
      <c r="I774" s="76">
        <f t="shared" si="49"/>
        <v>1.877</v>
      </c>
      <c r="J774" s="83"/>
      <c r="K774" s="84"/>
      <c r="L774" s="85"/>
      <c r="M774" s="84"/>
      <c r="N774" s="86"/>
    </row>
    <row r="775" spans="1:14" x14ac:dyDescent="0.25">
      <c r="A775" s="73"/>
      <c r="B775" s="62"/>
      <c r="C775" s="63"/>
      <c r="D775" s="64"/>
      <c r="E775" s="64">
        <v>3.5</v>
      </c>
      <c r="F775" s="64">
        <v>3.5249999999999999</v>
      </c>
      <c r="G775" s="64">
        <v>0.15</v>
      </c>
      <c r="H775" s="64"/>
      <c r="I775" s="76">
        <f t="shared" si="49"/>
        <v>1.851</v>
      </c>
      <c r="J775" s="83"/>
      <c r="K775" s="84"/>
      <c r="L775" s="85"/>
      <c r="M775" s="84"/>
      <c r="N775" s="86"/>
    </row>
    <row r="776" spans="1:14" x14ac:dyDescent="0.25">
      <c r="A776" s="73"/>
      <c r="B776" s="62"/>
      <c r="C776" s="63"/>
      <c r="D776" s="64"/>
      <c r="E776" s="64">
        <v>3.4</v>
      </c>
      <c r="F776" s="64">
        <v>3.5750000000000002</v>
      </c>
      <c r="G776" s="64">
        <v>0.15</v>
      </c>
      <c r="H776" s="64"/>
      <c r="I776" s="76">
        <f t="shared" si="49"/>
        <v>1.823</v>
      </c>
      <c r="J776" s="83"/>
      <c r="K776" s="84"/>
      <c r="L776" s="85"/>
      <c r="M776" s="84"/>
      <c r="N776" s="86"/>
    </row>
    <row r="777" spans="1:14" x14ac:dyDescent="0.25">
      <c r="A777" s="73"/>
      <c r="B777" s="62"/>
      <c r="C777" s="63"/>
      <c r="D777" s="64"/>
      <c r="E777" s="64">
        <v>3.4</v>
      </c>
      <c r="F777" s="64">
        <v>3.5249999999999999</v>
      </c>
      <c r="G777" s="64">
        <v>0.15</v>
      </c>
      <c r="H777" s="64"/>
      <c r="I777" s="76">
        <f t="shared" si="49"/>
        <v>1.798</v>
      </c>
      <c r="J777" s="83"/>
      <c r="K777" s="84"/>
      <c r="L777" s="85"/>
      <c r="M777" s="84"/>
      <c r="N777" s="86"/>
    </row>
    <row r="778" spans="1:14" x14ac:dyDescent="0.25">
      <c r="A778" s="73"/>
      <c r="B778" s="62" t="s">
        <v>3070</v>
      </c>
      <c r="C778" s="63"/>
      <c r="D778" s="64">
        <v>2</v>
      </c>
      <c r="E778" s="64">
        <v>3.5</v>
      </c>
      <c r="F778" s="64">
        <v>3.55</v>
      </c>
      <c r="G778" s="64">
        <v>0.15</v>
      </c>
      <c r="H778" s="64"/>
      <c r="I778" s="76">
        <f t="shared" si="49"/>
        <v>3.7280000000000002</v>
      </c>
      <c r="J778" s="83"/>
      <c r="K778" s="84"/>
      <c r="L778" s="85"/>
      <c r="M778" s="84"/>
      <c r="N778" s="86"/>
    </row>
    <row r="779" spans="1:14" x14ac:dyDescent="0.25">
      <c r="A779" s="73"/>
      <c r="B779" s="62"/>
      <c r="C779" s="63"/>
      <c r="D779" s="64">
        <v>2</v>
      </c>
      <c r="E779" s="64">
        <v>3.4</v>
      </c>
      <c r="F779" s="64">
        <v>3.55</v>
      </c>
      <c r="G779" s="64">
        <v>0.15</v>
      </c>
      <c r="H779" s="64"/>
      <c r="I779" s="76">
        <f t="shared" si="49"/>
        <v>3.621</v>
      </c>
      <c r="J779" s="83"/>
      <c r="K779" s="84"/>
      <c r="L779" s="85"/>
      <c r="M779" s="84"/>
      <c r="N779" s="86"/>
    </row>
    <row r="780" spans="1:14" x14ac:dyDescent="0.25">
      <c r="A780" s="73"/>
      <c r="B780" s="62" t="s">
        <v>3071</v>
      </c>
      <c r="C780" s="63"/>
      <c r="D780" s="64"/>
      <c r="E780" s="64">
        <v>2.8</v>
      </c>
      <c r="F780" s="64">
        <v>2.4</v>
      </c>
      <c r="G780" s="64">
        <v>0.15</v>
      </c>
      <c r="H780" s="64"/>
      <c r="I780" s="76">
        <f t="shared" si="49"/>
        <v>1.008</v>
      </c>
      <c r="J780" s="83"/>
      <c r="K780" s="84"/>
      <c r="L780" s="85"/>
      <c r="M780" s="84"/>
      <c r="N780" s="86"/>
    </row>
    <row r="781" spans="1:14" x14ac:dyDescent="0.25">
      <c r="A781" s="73"/>
      <c r="B781" s="62"/>
      <c r="C781" s="63"/>
      <c r="D781" s="64"/>
      <c r="E781" s="64">
        <v>-0.95</v>
      </c>
      <c r="F781" s="64">
        <v>1.1000000000000001</v>
      </c>
      <c r="G781" s="64">
        <v>0.15</v>
      </c>
      <c r="H781" s="64"/>
      <c r="I781" s="76">
        <f t="shared" si="49"/>
        <v>-0.157</v>
      </c>
      <c r="J781" s="83"/>
      <c r="K781" s="84"/>
      <c r="L781" s="85"/>
      <c r="M781" s="84"/>
      <c r="N781" s="86"/>
    </row>
    <row r="782" spans="1:14" x14ac:dyDescent="0.25">
      <c r="A782" s="73"/>
      <c r="B782" s="62"/>
      <c r="C782" s="63"/>
      <c r="D782" s="64"/>
      <c r="E782" s="64">
        <v>3.3</v>
      </c>
      <c r="F782" s="64">
        <v>7.2</v>
      </c>
      <c r="G782" s="64">
        <v>0.15</v>
      </c>
      <c r="H782" s="64"/>
      <c r="I782" s="76">
        <f t="shared" si="49"/>
        <v>3.5640000000000001</v>
      </c>
      <c r="J782" s="83"/>
      <c r="K782" s="84"/>
      <c r="L782" s="85"/>
      <c r="M782" s="84"/>
      <c r="N782" s="86"/>
    </row>
    <row r="783" spans="1:14" x14ac:dyDescent="0.25">
      <c r="A783" s="73"/>
      <c r="B783" s="62" t="s">
        <v>3072</v>
      </c>
      <c r="C783" s="63"/>
      <c r="D783" s="64"/>
      <c r="E783" s="64">
        <v>4</v>
      </c>
      <c r="F783" s="64">
        <v>7</v>
      </c>
      <c r="G783" s="64">
        <v>0.15</v>
      </c>
      <c r="H783" s="64"/>
      <c r="I783" s="76">
        <f t="shared" si="49"/>
        <v>4.2</v>
      </c>
      <c r="J783" s="83"/>
      <c r="K783" s="84"/>
      <c r="L783" s="85"/>
      <c r="M783" s="84"/>
      <c r="N783" s="86"/>
    </row>
    <row r="784" spans="1:14" x14ac:dyDescent="0.25">
      <c r="A784" s="73"/>
      <c r="B784" s="62"/>
      <c r="C784" s="63"/>
      <c r="D784" s="64"/>
      <c r="E784" s="64">
        <v>2.8</v>
      </c>
      <c r="F784" s="64">
        <v>7</v>
      </c>
      <c r="G784" s="64">
        <v>0.15</v>
      </c>
      <c r="H784" s="64"/>
      <c r="I784" s="76">
        <f t="shared" si="49"/>
        <v>2.94</v>
      </c>
      <c r="J784" s="83"/>
      <c r="K784" s="84"/>
      <c r="L784" s="85"/>
      <c r="M784" s="84"/>
      <c r="N784" s="86"/>
    </row>
    <row r="785" spans="1:14" x14ac:dyDescent="0.25">
      <c r="A785" s="73"/>
      <c r="B785" s="62" t="s">
        <v>3073</v>
      </c>
      <c r="C785" s="63"/>
      <c r="D785" s="64">
        <v>2</v>
      </c>
      <c r="E785" s="64">
        <v>-0.2</v>
      </c>
      <c r="F785" s="64">
        <v>0.4</v>
      </c>
      <c r="G785" s="64">
        <v>0.15</v>
      </c>
      <c r="H785" s="64"/>
      <c r="I785" s="76">
        <f t="shared" si="49"/>
        <v>-2.4E-2</v>
      </c>
      <c r="J785" s="83"/>
      <c r="K785" s="84"/>
      <c r="L785" s="85"/>
      <c r="M785" s="84"/>
      <c r="N785" s="86"/>
    </row>
    <row r="786" spans="1:14" x14ac:dyDescent="0.25">
      <c r="A786" s="73"/>
      <c r="B786" s="62" t="s">
        <v>3074</v>
      </c>
      <c r="C786" s="63"/>
      <c r="D786" s="64"/>
      <c r="E786" s="64">
        <v>4</v>
      </c>
      <c r="F786" s="64">
        <v>8.5</v>
      </c>
      <c r="G786" s="64">
        <v>0.15</v>
      </c>
      <c r="H786" s="64"/>
      <c r="I786" s="76">
        <f t="shared" si="49"/>
        <v>5.0999999999999996</v>
      </c>
      <c r="J786" s="83"/>
      <c r="K786" s="84"/>
      <c r="L786" s="85"/>
      <c r="M786" s="84"/>
      <c r="N786" s="86"/>
    </row>
    <row r="787" spans="1:14" x14ac:dyDescent="0.25">
      <c r="A787" s="73"/>
      <c r="B787" s="62"/>
      <c r="C787" s="63"/>
      <c r="D787" s="64"/>
      <c r="E787" s="64">
        <v>2.8</v>
      </c>
      <c r="F787" s="64">
        <v>8.5</v>
      </c>
      <c r="G787" s="64">
        <v>0.15</v>
      </c>
      <c r="H787" s="64"/>
      <c r="I787" s="76">
        <f t="shared" si="49"/>
        <v>3.57</v>
      </c>
      <c r="J787" s="83"/>
      <c r="K787" s="84"/>
      <c r="L787" s="85"/>
      <c r="M787" s="84"/>
      <c r="N787" s="86"/>
    </row>
    <row r="788" spans="1:14" x14ac:dyDescent="0.25">
      <c r="A788" s="73"/>
      <c r="B788" s="62" t="s">
        <v>3075</v>
      </c>
      <c r="C788" s="63"/>
      <c r="D788" s="64"/>
      <c r="E788" s="64">
        <v>-0.3</v>
      </c>
      <c r="F788" s="64">
        <v>0.6</v>
      </c>
      <c r="G788" s="64">
        <v>0.15</v>
      </c>
      <c r="H788" s="64"/>
      <c r="I788" s="76">
        <f t="shared" si="49"/>
        <v>-2.7E-2</v>
      </c>
      <c r="J788" s="83"/>
      <c r="K788" s="84"/>
      <c r="L788" s="85"/>
      <c r="M788" s="84"/>
      <c r="N788" s="86"/>
    </row>
    <row r="789" spans="1:14" x14ac:dyDescent="0.25">
      <c r="A789" s="73"/>
      <c r="B789" s="62" t="s">
        <v>3073</v>
      </c>
      <c r="C789" s="63"/>
      <c r="D789" s="64">
        <v>2</v>
      </c>
      <c r="E789" s="64">
        <v>-0.2</v>
      </c>
      <c r="F789" s="64">
        <v>0.4</v>
      </c>
      <c r="G789" s="64">
        <v>0.15</v>
      </c>
      <c r="H789" s="64"/>
      <c r="I789" s="76">
        <f t="shared" si="49"/>
        <v>-2.4E-2</v>
      </c>
      <c r="J789" s="83"/>
      <c r="K789" s="84"/>
      <c r="L789" s="85"/>
      <c r="M789" s="84"/>
      <c r="N789" s="86"/>
    </row>
    <row r="790" spans="1:14" x14ac:dyDescent="0.25">
      <c r="A790" s="73"/>
      <c r="B790" s="62"/>
      <c r="C790" s="63"/>
      <c r="D790" s="64">
        <v>2</v>
      </c>
      <c r="E790" s="64">
        <v>-0.2</v>
      </c>
      <c r="F790" s="64">
        <v>0.8</v>
      </c>
      <c r="G790" s="64">
        <v>0.15</v>
      </c>
      <c r="H790" s="64"/>
      <c r="I790" s="76">
        <f t="shared" si="49"/>
        <v>-4.8000000000000001E-2</v>
      </c>
      <c r="J790" s="83"/>
      <c r="K790" s="84"/>
      <c r="L790" s="85"/>
      <c r="M790" s="84"/>
      <c r="N790" s="86"/>
    </row>
    <row r="791" spans="1:14" x14ac:dyDescent="0.25">
      <c r="A791" s="73"/>
      <c r="B791" s="62" t="s">
        <v>3076</v>
      </c>
      <c r="C791" s="63"/>
      <c r="D791" s="64"/>
      <c r="E791" s="64">
        <v>3.1</v>
      </c>
      <c r="F791" s="64">
        <v>7.2</v>
      </c>
      <c r="G791" s="64">
        <v>0.15</v>
      </c>
      <c r="H791" s="64"/>
      <c r="I791" s="76">
        <f t="shared" si="49"/>
        <v>3.3479999999999999</v>
      </c>
      <c r="J791" s="83"/>
      <c r="K791" s="84"/>
      <c r="L791" s="85"/>
      <c r="M791" s="84"/>
      <c r="N791" s="86"/>
    </row>
    <row r="792" spans="1:14" x14ac:dyDescent="0.25">
      <c r="A792" s="73"/>
      <c r="B792" s="62" t="s">
        <v>3077</v>
      </c>
      <c r="C792" s="63"/>
      <c r="D792" s="64"/>
      <c r="E792" s="64">
        <v>3.02</v>
      </c>
      <c r="F792" s="64">
        <v>7.2</v>
      </c>
      <c r="G792" s="64">
        <v>0.15</v>
      </c>
      <c r="H792" s="64"/>
      <c r="I792" s="76">
        <f t="shared" si="49"/>
        <v>3.262</v>
      </c>
      <c r="J792" s="83"/>
      <c r="K792" s="84"/>
      <c r="L792" s="85"/>
      <c r="M792" s="84"/>
      <c r="N792" s="86"/>
    </row>
    <row r="793" spans="1:14" x14ac:dyDescent="0.25">
      <c r="A793" s="73"/>
      <c r="B793" s="62" t="s">
        <v>3078</v>
      </c>
      <c r="C793" s="63"/>
      <c r="D793" s="64">
        <v>2</v>
      </c>
      <c r="E793" s="64">
        <v>4.5999999999999996</v>
      </c>
      <c r="F793" s="64">
        <v>3.5750000000000002</v>
      </c>
      <c r="G793" s="64">
        <v>0.15</v>
      </c>
      <c r="H793" s="64"/>
      <c r="I793" s="76">
        <f t="shared" si="49"/>
        <v>4.9340000000000002</v>
      </c>
      <c r="J793" s="83"/>
      <c r="K793" s="84"/>
      <c r="L793" s="85"/>
      <c r="M793" s="84"/>
      <c r="N793" s="86"/>
    </row>
    <row r="794" spans="1:14" x14ac:dyDescent="0.25">
      <c r="A794" s="73"/>
      <c r="B794" s="62" t="s">
        <v>3073</v>
      </c>
      <c r="C794" s="63"/>
      <c r="D794" s="64"/>
      <c r="E794" s="64">
        <v>-3.6</v>
      </c>
      <c r="F794" s="64">
        <v>0.1</v>
      </c>
      <c r="G794" s="64">
        <v>0.15</v>
      </c>
      <c r="H794" s="64"/>
      <c r="I794" s="76">
        <f t="shared" si="49"/>
        <v>-5.3999999999999999E-2</v>
      </c>
      <c r="J794" s="83"/>
      <c r="K794" s="84"/>
      <c r="L794" s="85"/>
      <c r="M794" s="84"/>
      <c r="N794" s="86"/>
    </row>
    <row r="795" spans="1:14" x14ac:dyDescent="0.25">
      <c r="A795" s="73"/>
      <c r="B795" s="62"/>
      <c r="C795" s="63"/>
      <c r="D795" s="64">
        <v>2</v>
      </c>
      <c r="E795" s="64">
        <v>4.5999999999999996</v>
      </c>
      <c r="F795" s="64">
        <v>3.5</v>
      </c>
      <c r="G795" s="64">
        <v>0.15</v>
      </c>
      <c r="H795" s="64"/>
      <c r="I795" s="76">
        <f t="shared" si="49"/>
        <v>4.83</v>
      </c>
      <c r="J795" s="83"/>
      <c r="K795" s="84"/>
      <c r="L795" s="85"/>
      <c r="M795" s="84"/>
      <c r="N795" s="86"/>
    </row>
    <row r="796" spans="1:14" x14ac:dyDescent="0.25">
      <c r="A796" s="73"/>
      <c r="B796" s="62" t="s">
        <v>3079</v>
      </c>
      <c r="C796" s="63"/>
      <c r="D796" s="64">
        <v>4</v>
      </c>
      <c r="E796" s="64">
        <v>4.5999999999999996</v>
      </c>
      <c r="F796" s="64">
        <v>3.55</v>
      </c>
      <c r="G796" s="64">
        <v>0.15</v>
      </c>
      <c r="H796" s="64"/>
      <c r="I796" s="76">
        <f t="shared" si="49"/>
        <v>9.798</v>
      </c>
      <c r="J796" s="83"/>
      <c r="K796" s="84"/>
      <c r="L796" s="85"/>
      <c r="M796" s="84"/>
      <c r="N796" s="86"/>
    </row>
    <row r="797" spans="1:14" x14ac:dyDescent="0.25">
      <c r="A797" s="73"/>
      <c r="B797" s="62" t="s">
        <v>3080</v>
      </c>
      <c r="C797" s="63"/>
      <c r="D797" s="64"/>
      <c r="E797" s="64">
        <v>2.93</v>
      </c>
      <c r="F797" s="64">
        <v>6.95</v>
      </c>
      <c r="G797" s="64">
        <v>0.15</v>
      </c>
      <c r="H797" s="64"/>
      <c r="I797" s="76">
        <f t="shared" si="49"/>
        <v>3.0550000000000002</v>
      </c>
      <c r="J797" s="83"/>
      <c r="K797" s="84"/>
      <c r="L797" s="85"/>
      <c r="M797" s="84"/>
      <c r="N797" s="86"/>
    </row>
    <row r="798" spans="1:14" x14ac:dyDescent="0.25">
      <c r="A798" s="73"/>
      <c r="B798" s="62"/>
      <c r="C798" s="63"/>
      <c r="D798" s="64"/>
      <c r="E798" s="64">
        <v>2.93</v>
      </c>
      <c r="F798" s="64">
        <v>2.25</v>
      </c>
      <c r="G798" s="64">
        <v>0.15</v>
      </c>
      <c r="H798" s="64"/>
      <c r="I798" s="76">
        <f t="shared" si="49"/>
        <v>0.98899999999999999</v>
      </c>
      <c r="J798" s="83"/>
      <c r="K798" s="84"/>
      <c r="L798" s="85"/>
      <c r="M798" s="84"/>
      <c r="N798" s="86"/>
    </row>
    <row r="799" spans="1:14" x14ac:dyDescent="0.25">
      <c r="A799" s="73"/>
      <c r="B799" s="62"/>
      <c r="C799" s="63"/>
      <c r="D799" s="64"/>
      <c r="E799" s="64">
        <v>3.35</v>
      </c>
      <c r="F799" s="64">
        <v>4.0199999999999996</v>
      </c>
      <c r="G799" s="64">
        <v>0.15</v>
      </c>
      <c r="H799" s="64"/>
      <c r="I799" s="76">
        <f t="shared" si="49"/>
        <v>2.02</v>
      </c>
      <c r="J799" s="83"/>
      <c r="K799" s="84"/>
      <c r="L799" s="85"/>
      <c r="M799" s="84"/>
      <c r="N799" s="86"/>
    </row>
    <row r="800" spans="1:14" x14ac:dyDescent="0.25">
      <c r="A800" s="73"/>
      <c r="B800" s="62"/>
      <c r="C800" s="63"/>
      <c r="D800" s="64"/>
      <c r="E800" s="64">
        <v>3.4</v>
      </c>
      <c r="F800" s="64">
        <v>4.0199999999999996</v>
      </c>
      <c r="G800" s="64">
        <v>0.15</v>
      </c>
      <c r="H800" s="64"/>
      <c r="I800" s="76">
        <f t="shared" si="49"/>
        <v>2.0499999999999998</v>
      </c>
      <c r="J800" s="83"/>
      <c r="K800" s="84"/>
      <c r="L800" s="85"/>
      <c r="M800" s="84"/>
      <c r="N800" s="86"/>
    </row>
    <row r="801" spans="1:14" x14ac:dyDescent="0.25">
      <c r="A801" s="73"/>
      <c r="B801" s="62"/>
      <c r="C801" s="63"/>
      <c r="D801" s="64"/>
      <c r="E801" s="64">
        <v>2.25</v>
      </c>
      <c r="F801" s="64">
        <v>4.0199999999999996</v>
      </c>
      <c r="G801" s="64">
        <v>0.15</v>
      </c>
      <c r="H801" s="64"/>
      <c r="I801" s="76">
        <f t="shared" si="49"/>
        <v>1.357</v>
      </c>
      <c r="J801" s="83"/>
      <c r="K801" s="84"/>
      <c r="L801" s="85"/>
      <c r="M801" s="84"/>
      <c r="N801" s="86"/>
    </row>
    <row r="802" spans="1:14" x14ac:dyDescent="0.25">
      <c r="A802" s="73"/>
      <c r="B802" s="62" t="s">
        <v>3081</v>
      </c>
      <c r="C802" s="63"/>
      <c r="D802" s="64">
        <v>4</v>
      </c>
      <c r="E802" s="64">
        <v>4.5999999999999996</v>
      </c>
      <c r="F802" s="64">
        <v>3.05</v>
      </c>
      <c r="G802" s="64">
        <v>0.15</v>
      </c>
      <c r="H802" s="64"/>
      <c r="I802" s="76">
        <f t="shared" si="49"/>
        <v>8.4179999999999993</v>
      </c>
      <c r="J802" s="83"/>
      <c r="K802" s="84"/>
      <c r="L802" s="85"/>
      <c r="M802" s="84"/>
      <c r="N802" s="86"/>
    </row>
    <row r="803" spans="1:14" x14ac:dyDescent="0.25">
      <c r="A803" s="73"/>
      <c r="B803" s="62" t="s">
        <v>3082</v>
      </c>
      <c r="C803" s="63"/>
      <c r="D803" s="64">
        <v>4</v>
      </c>
      <c r="E803" s="64">
        <v>3.35</v>
      </c>
      <c r="F803" s="64">
        <v>3.25</v>
      </c>
      <c r="G803" s="64">
        <v>0.2</v>
      </c>
      <c r="H803" s="64"/>
      <c r="I803" s="76">
        <f t="shared" si="49"/>
        <v>8.7100000000000009</v>
      </c>
      <c r="J803" s="83"/>
      <c r="K803" s="84"/>
      <c r="L803" s="85"/>
      <c r="M803" s="84"/>
      <c r="N803" s="86"/>
    </row>
    <row r="804" spans="1:14" x14ac:dyDescent="0.25">
      <c r="A804" s="73"/>
      <c r="B804" s="62"/>
      <c r="C804" s="63"/>
      <c r="D804" s="64">
        <v>2</v>
      </c>
      <c r="E804" s="64">
        <v>3.35</v>
      </c>
      <c r="F804" s="64">
        <v>3.2</v>
      </c>
      <c r="G804" s="64">
        <v>0.2</v>
      </c>
      <c r="H804" s="64"/>
      <c r="I804" s="76">
        <f t="shared" si="49"/>
        <v>4.2880000000000003</v>
      </c>
      <c r="J804" s="83"/>
      <c r="K804" s="84"/>
      <c r="L804" s="85"/>
      <c r="M804" s="84"/>
      <c r="N804" s="86"/>
    </row>
    <row r="805" spans="1:14" x14ac:dyDescent="0.25">
      <c r="A805" s="73"/>
      <c r="B805" s="62" t="s">
        <v>3083</v>
      </c>
      <c r="C805" s="63"/>
      <c r="D805" s="64">
        <v>4</v>
      </c>
      <c r="E805" s="64">
        <v>4.0999999999999996</v>
      </c>
      <c r="F805" s="64">
        <v>3.25</v>
      </c>
      <c r="G805" s="64">
        <v>0.2</v>
      </c>
      <c r="H805" s="64"/>
      <c r="I805" s="76">
        <f t="shared" si="49"/>
        <v>10.66</v>
      </c>
      <c r="J805" s="83"/>
      <c r="K805" s="84"/>
      <c r="L805" s="85"/>
      <c r="M805" s="84"/>
      <c r="N805" s="86"/>
    </row>
    <row r="806" spans="1:14" x14ac:dyDescent="0.25">
      <c r="A806" s="73"/>
      <c r="B806" s="62"/>
      <c r="C806" s="63"/>
      <c r="D806" s="64">
        <v>2</v>
      </c>
      <c r="E806" s="64">
        <v>4.0999999999999996</v>
      </c>
      <c r="F806" s="64">
        <v>3.2</v>
      </c>
      <c r="G806" s="64">
        <v>0.2</v>
      </c>
      <c r="H806" s="64"/>
      <c r="I806" s="76">
        <f t="shared" si="49"/>
        <v>5.2480000000000002</v>
      </c>
      <c r="J806" s="83"/>
      <c r="K806" s="84"/>
      <c r="L806" s="85"/>
      <c r="M806" s="84"/>
      <c r="N806" s="86"/>
    </row>
    <row r="807" spans="1:14" x14ac:dyDescent="0.25">
      <c r="A807" s="73"/>
      <c r="B807" s="62" t="s">
        <v>3084</v>
      </c>
      <c r="C807" s="63"/>
      <c r="D807" s="64">
        <v>2</v>
      </c>
      <c r="E807" s="64">
        <v>3.1</v>
      </c>
      <c r="F807" s="64">
        <v>3.25</v>
      </c>
      <c r="G807" s="64">
        <v>0.2</v>
      </c>
      <c r="H807" s="64"/>
      <c r="I807" s="76">
        <f t="shared" si="49"/>
        <v>4.03</v>
      </c>
      <c r="J807" s="83"/>
      <c r="K807" s="84"/>
      <c r="L807" s="85"/>
      <c r="M807" s="84"/>
      <c r="N807" s="86"/>
    </row>
    <row r="808" spans="1:14" x14ac:dyDescent="0.25">
      <c r="A808" s="73"/>
      <c r="B808" s="62"/>
      <c r="C808" s="63"/>
      <c r="D808" s="64"/>
      <c r="E808" s="64">
        <v>3.1</v>
      </c>
      <c r="F808" s="64">
        <v>3.2</v>
      </c>
      <c r="G808" s="64">
        <v>0.2</v>
      </c>
      <c r="H808" s="64"/>
      <c r="I808" s="76">
        <f t="shared" si="49"/>
        <v>1.984</v>
      </c>
      <c r="J808" s="83"/>
      <c r="K808" s="84"/>
      <c r="L808" s="85"/>
      <c r="M808" s="84"/>
      <c r="N808" s="86"/>
    </row>
    <row r="809" spans="1:14" x14ac:dyDescent="0.25">
      <c r="A809" s="73"/>
      <c r="B809" s="62" t="s">
        <v>3077</v>
      </c>
      <c r="C809" s="63"/>
      <c r="D809" s="64"/>
      <c r="E809" s="64">
        <v>3.02</v>
      </c>
      <c r="F809" s="64">
        <v>10.3</v>
      </c>
      <c r="G809" s="64">
        <v>0.15</v>
      </c>
      <c r="H809" s="64"/>
      <c r="I809" s="76">
        <f t="shared" si="49"/>
        <v>4.6660000000000004</v>
      </c>
      <c r="J809" s="83"/>
      <c r="K809" s="84"/>
      <c r="L809" s="85"/>
      <c r="M809" s="84"/>
      <c r="N809" s="86"/>
    </row>
    <row r="810" spans="1:14" x14ac:dyDescent="0.25">
      <c r="A810" s="73"/>
      <c r="B810" s="62" t="s">
        <v>3085</v>
      </c>
      <c r="C810" s="63"/>
      <c r="D810" s="64"/>
      <c r="E810" s="64">
        <v>2.1</v>
      </c>
      <c r="F810" s="64">
        <v>3.4750000000000001</v>
      </c>
      <c r="G810" s="64">
        <v>0.15</v>
      </c>
      <c r="H810" s="64"/>
      <c r="I810" s="76">
        <f t="shared" si="49"/>
        <v>1.095</v>
      </c>
      <c r="J810" s="83"/>
      <c r="K810" s="84"/>
      <c r="L810" s="85"/>
      <c r="M810" s="84"/>
      <c r="N810" s="86"/>
    </row>
    <row r="811" spans="1:14" x14ac:dyDescent="0.25">
      <c r="A811" s="73"/>
      <c r="B811" s="62"/>
      <c r="C811" s="63"/>
      <c r="D811" s="64"/>
      <c r="E811" s="64">
        <v>2.1</v>
      </c>
      <c r="F811" s="64">
        <v>3.5</v>
      </c>
      <c r="G811" s="64">
        <v>0.15</v>
      </c>
      <c r="H811" s="64"/>
      <c r="I811" s="76">
        <f t="shared" si="49"/>
        <v>1.103</v>
      </c>
      <c r="J811" s="83"/>
      <c r="K811" s="84"/>
      <c r="L811" s="85"/>
      <c r="M811" s="84"/>
      <c r="N811" s="86"/>
    </row>
    <row r="812" spans="1:14" x14ac:dyDescent="0.25">
      <c r="A812" s="73"/>
      <c r="B812" s="62"/>
      <c r="C812" s="63"/>
      <c r="D812" s="64"/>
      <c r="E812" s="64">
        <v>4.9000000000000004</v>
      </c>
      <c r="F812" s="64">
        <v>3.4750000000000001</v>
      </c>
      <c r="G812" s="64">
        <v>0.15</v>
      </c>
      <c r="H812" s="64"/>
      <c r="I812" s="76">
        <f t="shared" si="49"/>
        <v>2.5539999999999998</v>
      </c>
      <c r="J812" s="83"/>
      <c r="K812" s="84"/>
      <c r="L812" s="85"/>
      <c r="M812" s="84"/>
      <c r="N812" s="86"/>
    </row>
    <row r="813" spans="1:14" x14ac:dyDescent="0.25">
      <c r="A813" s="73"/>
      <c r="B813" s="62"/>
      <c r="C813" s="63"/>
      <c r="D813" s="64"/>
      <c r="E813" s="64">
        <v>4.9000000000000004</v>
      </c>
      <c r="F813" s="64">
        <v>3.5</v>
      </c>
      <c r="G813" s="64">
        <v>0.15</v>
      </c>
      <c r="H813" s="64"/>
      <c r="I813" s="76">
        <f t="shared" si="49"/>
        <v>2.573</v>
      </c>
      <c r="J813" s="83"/>
      <c r="K813" s="84"/>
      <c r="L813" s="85"/>
      <c r="M813" s="84"/>
      <c r="N813" s="86"/>
    </row>
    <row r="814" spans="1:14" x14ac:dyDescent="0.25">
      <c r="A814" s="73"/>
      <c r="B814" s="62" t="s">
        <v>3086</v>
      </c>
      <c r="C814" s="63"/>
      <c r="D814" s="64"/>
      <c r="E814" s="64">
        <v>0.9</v>
      </c>
      <c r="F814" s="64">
        <v>7.25</v>
      </c>
      <c r="G814" s="64">
        <v>0.15</v>
      </c>
      <c r="H814" s="64"/>
      <c r="I814" s="76">
        <f t="shared" si="49"/>
        <v>0.97899999999999998</v>
      </c>
      <c r="J814" s="83"/>
      <c r="K814" s="84"/>
      <c r="L814" s="85"/>
      <c r="M814" s="84"/>
      <c r="N814" s="86"/>
    </row>
    <row r="815" spans="1:14" x14ac:dyDescent="0.25">
      <c r="A815" s="73"/>
      <c r="B815" s="62"/>
      <c r="C815" s="63"/>
      <c r="D815" s="64"/>
      <c r="E815" s="64">
        <v>5.2</v>
      </c>
      <c r="F815" s="64">
        <v>6.1</v>
      </c>
      <c r="G815" s="64">
        <v>0.15</v>
      </c>
      <c r="H815" s="64"/>
      <c r="I815" s="76">
        <f t="shared" si="49"/>
        <v>4.758</v>
      </c>
      <c r="J815" s="83"/>
      <c r="K815" s="84"/>
      <c r="L815" s="85"/>
      <c r="M815" s="84"/>
      <c r="N815" s="86"/>
    </row>
    <row r="816" spans="1:14" x14ac:dyDescent="0.25">
      <c r="A816" s="73"/>
      <c r="B816" s="62"/>
      <c r="C816" s="63"/>
      <c r="D816" s="64"/>
      <c r="E816" s="64">
        <v>1.8</v>
      </c>
      <c r="F816" s="64">
        <v>6.1</v>
      </c>
      <c r="G816" s="64">
        <v>0.15</v>
      </c>
      <c r="H816" s="64"/>
      <c r="I816" s="76">
        <f t="shared" ref="I816:I879" si="54">ROUND(PRODUCT(D816:H816),3)</f>
        <v>1.647</v>
      </c>
      <c r="J816" s="83"/>
      <c r="K816" s="84"/>
      <c r="L816" s="85"/>
      <c r="M816" s="84"/>
      <c r="N816" s="86"/>
    </row>
    <row r="817" spans="1:14" x14ac:dyDescent="0.25">
      <c r="A817" s="73"/>
      <c r="B817" s="62" t="s">
        <v>3087</v>
      </c>
      <c r="C817" s="63"/>
      <c r="D817" s="64"/>
      <c r="E817" s="64">
        <v>1.2</v>
      </c>
      <c r="F817" s="64">
        <v>2.2999999999999998</v>
      </c>
      <c r="G817" s="64">
        <v>0.15</v>
      </c>
      <c r="H817" s="64"/>
      <c r="I817" s="76">
        <f t="shared" si="54"/>
        <v>0.41399999999999998</v>
      </c>
      <c r="J817" s="83"/>
      <c r="K817" s="84"/>
      <c r="L817" s="85"/>
      <c r="M817" s="84"/>
      <c r="N817" s="86"/>
    </row>
    <row r="818" spans="1:14" x14ac:dyDescent="0.25">
      <c r="A818" s="73"/>
      <c r="B818" s="62" t="s">
        <v>3075</v>
      </c>
      <c r="C818" s="63"/>
      <c r="D818" s="64"/>
      <c r="E818" s="64">
        <v>-0.55000000000000004</v>
      </c>
      <c r="F818" s="64">
        <v>0.95</v>
      </c>
      <c r="G818" s="64">
        <v>0.15</v>
      </c>
      <c r="H818" s="64"/>
      <c r="I818" s="76">
        <f t="shared" si="54"/>
        <v>-7.8E-2</v>
      </c>
      <c r="J818" s="83"/>
      <c r="K818" s="84"/>
      <c r="L818" s="85"/>
      <c r="M818" s="84"/>
      <c r="N818" s="86"/>
    </row>
    <row r="819" spans="1:14" x14ac:dyDescent="0.25">
      <c r="A819" s="73"/>
      <c r="B819" s="62"/>
      <c r="C819" s="63"/>
      <c r="D819" s="64"/>
      <c r="E819" s="64">
        <v>1.7</v>
      </c>
      <c r="F819" s="64">
        <v>2.5499999999999998</v>
      </c>
      <c r="G819" s="64">
        <v>0.15</v>
      </c>
      <c r="H819" s="64"/>
      <c r="I819" s="76">
        <f t="shared" si="54"/>
        <v>0.65</v>
      </c>
      <c r="J819" s="83"/>
      <c r="K819" s="84"/>
      <c r="L819" s="85"/>
      <c r="M819" s="84"/>
      <c r="N819" s="86"/>
    </row>
    <row r="820" spans="1:14" x14ac:dyDescent="0.25">
      <c r="A820" s="73"/>
      <c r="B820" s="62" t="s">
        <v>3075</v>
      </c>
      <c r="C820" s="63"/>
      <c r="D820" s="64"/>
      <c r="E820" s="64">
        <v>-0.55000000000000004</v>
      </c>
      <c r="F820" s="64">
        <v>0.95</v>
      </c>
      <c r="G820" s="64">
        <v>0.15</v>
      </c>
      <c r="H820" s="64"/>
      <c r="I820" s="76">
        <f t="shared" si="54"/>
        <v>-7.8E-2</v>
      </c>
      <c r="J820" s="83"/>
      <c r="K820" s="84"/>
      <c r="L820" s="85"/>
      <c r="M820" s="84"/>
      <c r="N820" s="86"/>
    </row>
    <row r="821" spans="1:14" x14ac:dyDescent="0.25">
      <c r="A821" s="73"/>
      <c r="B821" s="62"/>
      <c r="C821" s="63"/>
      <c r="D821" s="64"/>
      <c r="E821" s="64">
        <v>-0.28999999999999998</v>
      </c>
      <c r="F821" s="64">
        <v>1.2</v>
      </c>
      <c r="G821" s="64">
        <v>0.15</v>
      </c>
      <c r="H821" s="64"/>
      <c r="I821" s="76">
        <f t="shared" si="54"/>
        <v>-5.1999999999999998E-2</v>
      </c>
      <c r="J821" s="83"/>
      <c r="K821" s="84"/>
      <c r="L821" s="85"/>
      <c r="M821" s="84"/>
      <c r="N821" s="86"/>
    </row>
    <row r="822" spans="1:14" x14ac:dyDescent="0.25">
      <c r="A822" s="73"/>
      <c r="B822" s="62"/>
      <c r="C822" s="63"/>
      <c r="D822" s="64"/>
      <c r="E822" s="64">
        <v>-0.44</v>
      </c>
      <c r="F822" s="64">
        <v>0.9</v>
      </c>
      <c r="G822" s="64">
        <v>0.15</v>
      </c>
      <c r="H822" s="64"/>
      <c r="I822" s="76">
        <f t="shared" si="54"/>
        <v>-5.8999999999999997E-2</v>
      </c>
      <c r="J822" s="83"/>
      <c r="K822" s="84"/>
      <c r="L822" s="85"/>
      <c r="M822" s="84"/>
      <c r="N822" s="86"/>
    </row>
    <row r="823" spans="1:14" x14ac:dyDescent="0.25">
      <c r="A823" s="73"/>
      <c r="B823" s="62"/>
      <c r="C823" s="63"/>
      <c r="D823" s="64"/>
      <c r="E823" s="64">
        <v>2.65</v>
      </c>
      <c r="F823" s="64">
        <v>2</v>
      </c>
      <c r="G823" s="64">
        <v>0.15</v>
      </c>
      <c r="H823" s="64"/>
      <c r="I823" s="76">
        <f t="shared" si="54"/>
        <v>0.79500000000000004</v>
      </c>
      <c r="J823" s="83"/>
      <c r="K823" s="84"/>
      <c r="L823" s="85"/>
      <c r="M823" s="84"/>
      <c r="N823" s="86"/>
    </row>
    <row r="824" spans="1:14" x14ac:dyDescent="0.25">
      <c r="A824" s="73"/>
      <c r="B824" s="62"/>
      <c r="C824" s="63"/>
      <c r="D824" s="64"/>
      <c r="E824" s="64">
        <v>0.8</v>
      </c>
      <c r="F824" s="64">
        <v>2.7</v>
      </c>
      <c r="G824" s="64">
        <v>0.15</v>
      </c>
      <c r="H824" s="64"/>
      <c r="I824" s="76">
        <f t="shared" si="54"/>
        <v>0.32400000000000001</v>
      </c>
      <c r="J824" s="83"/>
      <c r="K824" s="84"/>
      <c r="L824" s="85"/>
      <c r="M824" s="84"/>
      <c r="N824" s="86"/>
    </row>
    <row r="825" spans="1:14" x14ac:dyDescent="0.25">
      <c r="A825" s="73"/>
      <c r="B825" s="62" t="s">
        <v>3088</v>
      </c>
      <c r="C825" s="63"/>
      <c r="D825" s="64">
        <v>2</v>
      </c>
      <c r="E825" s="64">
        <v>3.05</v>
      </c>
      <c r="F825" s="64">
        <v>7.3</v>
      </c>
      <c r="G825" s="64">
        <v>0.15</v>
      </c>
      <c r="H825" s="64"/>
      <c r="I825" s="76">
        <f t="shared" si="54"/>
        <v>6.68</v>
      </c>
      <c r="J825" s="83"/>
      <c r="K825" s="84"/>
      <c r="L825" s="85"/>
      <c r="M825" s="84"/>
      <c r="N825" s="86"/>
    </row>
    <row r="826" spans="1:14" x14ac:dyDescent="0.25">
      <c r="A826" s="73"/>
      <c r="B826" s="62" t="s">
        <v>3073</v>
      </c>
      <c r="C826" s="63"/>
      <c r="D826" s="64"/>
      <c r="E826" s="64">
        <v>-0.8</v>
      </c>
      <c r="F826" s="64">
        <v>0.2</v>
      </c>
      <c r="G826" s="64">
        <v>0.15</v>
      </c>
      <c r="H826" s="64"/>
      <c r="I826" s="76">
        <f t="shared" si="54"/>
        <v>-2.4E-2</v>
      </c>
      <c r="J826" s="83"/>
      <c r="K826" s="84"/>
      <c r="L826" s="85"/>
      <c r="M826" s="84"/>
      <c r="N826" s="86"/>
    </row>
    <row r="827" spans="1:14" x14ac:dyDescent="0.25">
      <c r="A827" s="73"/>
      <c r="B827" s="62" t="s">
        <v>3089</v>
      </c>
      <c r="C827" s="63"/>
      <c r="D827" s="64"/>
      <c r="E827" s="64">
        <v>2.9</v>
      </c>
      <c r="F827" s="64">
        <v>7</v>
      </c>
      <c r="G827" s="64">
        <v>0.15</v>
      </c>
      <c r="H827" s="64"/>
      <c r="I827" s="76">
        <f t="shared" si="54"/>
        <v>3.0449999999999999</v>
      </c>
      <c r="J827" s="83"/>
      <c r="K827" s="84"/>
      <c r="L827" s="85"/>
      <c r="M827" s="84"/>
      <c r="N827" s="86"/>
    </row>
    <row r="828" spans="1:14" x14ac:dyDescent="0.25">
      <c r="A828" s="73"/>
      <c r="B828" s="62"/>
      <c r="C828" s="63"/>
      <c r="D828" s="64"/>
      <c r="E828" s="64">
        <v>2.4</v>
      </c>
      <c r="F828" s="64">
        <v>7</v>
      </c>
      <c r="G828" s="64">
        <v>0.15</v>
      </c>
      <c r="H828" s="64"/>
      <c r="I828" s="76">
        <f t="shared" si="54"/>
        <v>2.52</v>
      </c>
      <c r="J828" s="83"/>
      <c r="K828" s="84"/>
      <c r="L828" s="85"/>
      <c r="M828" s="84"/>
      <c r="N828" s="86"/>
    </row>
    <row r="829" spans="1:14" x14ac:dyDescent="0.25">
      <c r="A829" s="73"/>
      <c r="B829" s="62" t="s">
        <v>3073</v>
      </c>
      <c r="C829" s="63"/>
      <c r="D829" s="64">
        <v>2</v>
      </c>
      <c r="E829" s="64">
        <v>-0.2</v>
      </c>
      <c r="F829" s="64">
        <v>0.4</v>
      </c>
      <c r="G829" s="64">
        <v>0.15</v>
      </c>
      <c r="H829" s="64"/>
      <c r="I829" s="76">
        <f t="shared" si="54"/>
        <v>-2.4E-2</v>
      </c>
      <c r="J829" s="83"/>
      <c r="K829" s="84"/>
      <c r="L829" s="85"/>
      <c r="M829" s="84"/>
      <c r="N829" s="86"/>
    </row>
    <row r="830" spans="1:14" x14ac:dyDescent="0.25">
      <c r="A830" s="73"/>
      <c r="B830" s="62" t="s">
        <v>3090</v>
      </c>
      <c r="C830" s="63"/>
      <c r="D830" s="64"/>
      <c r="E830" s="64">
        <v>2.9</v>
      </c>
      <c r="F830" s="64">
        <v>8.5</v>
      </c>
      <c r="G830" s="64">
        <v>0.15</v>
      </c>
      <c r="H830" s="64"/>
      <c r="I830" s="76">
        <f t="shared" si="54"/>
        <v>3.698</v>
      </c>
      <c r="J830" s="83"/>
      <c r="K830" s="84"/>
      <c r="L830" s="85"/>
      <c r="M830" s="84"/>
      <c r="N830" s="86"/>
    </row>
    <row r="831" spans="1:14" x14ac:dyDescent="0.25">
      <c r="A831" s="73"/>
      <c r="B831" s="62"/>
      <c r="C831" s="63"/>
      <c r="D831" s="64"/>
      <c r="E831" s="64">
        <v>2.4</v>
      </c>
      <c r="F831" s="64">
        <v>8.5</v>
      </c>
      <c r="G831" s="64">
        <v>0.15</v>
      </c>
      <c r="H831" s="64"/>
      <c r="I831" s="76">
        <f t="shared" si="54"/>
        <v>3.06</v>
      </c>
      <c r="J831" s="83"/>
      <c r="K831" s="84"/>
      <c r="L831" s="85"/>
      <c r="M831" s="84"/>
      <c r="N831" s="86"/>
    </row>
    <row r="832" spans="1:14" x14ac:dyDescent="0.25">
      <c r="A832" s="73"/>
      <c r="B832" s="62" t="s">
        <v>3073</v>
      </c>
      <c r="C832" s="63"/>
      <c r="D832" s="64">
        <v>2</v>
      </c>
      <c r="E832" s="64">
        <v>-0.2</v>
      </c>
      <c r="F832" s="64">
        <v>0.4</v>
      </c>
      <c r="G832" s="64">
        <v>0.15</v>
      </c>
      <c r="H832" s="64"/>
      <c r="I832" s="76">
        <f t="shared" si="54"/>
        <v>-2.4E-2</v>
      </c>
      <c r="J832" s="83"/>
      <c r="K832" s="84"/>
      <c r="L832" s="85"/>
      <c r="M832" s="84"/>
      <c r="N832" s="86"/>
    </row>
    <row r="833" spans="1:14" x14ac:dyDescent="0.25">
      <c r="A833" s="73"/>
      <c r="B833" s="62"/>
      <c r="C833" s="63"/>
      <c r="D833" s="64">
        <v>2</v>
      </c>
      <c r="E833" s="64">
        <v>-0.2</v>
      </c>
      <c r="F833" s="64">
        <v>0.8</v>
      </c>
      <c r="G833" s="64">
        <v>0.15</v>
      </c>
      <c r="H833" s="64"/>
      <c r="I833" s="76">
        <f t="shared" si="54"/>
        <v>-4.8000000000000001E-2</v>
      </c>
      <c r="J833" s="83"/>
      <c r="K833" s="84"/>
      <c r="L833" s="85"/>
      <c r="M833" s="84"/>
      <c r="N833" s="86"/>
    </row>
    <row r="834" spans="1:14" x14ac:dyDescent="0.25">
      <c r="A834" s="73"/>
      <c r="B834" s="62" t="s">
        <v>3091</v>
      </c>
      <c r="C834" s="63"/>
      <c r="D834" s="64"/>
      <c r="E834" s="64">
        <v>6.2</v>
      </c>
      <c r="F834" s="64">
        <v>5.7</v>
      </c>
      <c r="G834" s="64">
        <v>0.15</v>
      </c>
      <c r="H834" s="64"/>
      <c r="I834" s="76">
        <f t="shared" si="54"/>
        <v>5.3010000000000002</v>
      </c>
      <c r="J834" s="83"/>
      <c r="K834" s="84"/>
      <c r="L834" s="85"/>
      <c r="M834" s="84"/>
      <c r="N834" s="86"/>
    </row>
    <row r="835" spans="1:14" x14ac:dyDescent="0.25">
      <c r="A835" s="73"/>
      <c r="B835" s="62" t="s">
        <v>3073</v>
      </c>
      <c r="C835" s="63"/>
      <c r="D835" s="64"/>
      <c r="E835" s="64">
        <v>-0.3</v>
      </c>
      <c r="F835" s="64">
        <v>0.3</v>
      </c>
      <c r="G835" s="64">
        <v>0.15</v>
      </c>
      <c r="H835" s="64"/>
      <c r="I835" s="76">
        <f t="shared" si="54"/>
        <v>-1.4E-2</v>
      </c>
      <c r="J835" s="83"/>
      <c r="K835" s="84"/>
      <c r="L835" s="85"/>
      <c r="M835" s="84"/>
      <c r="N835" s="86"/>
    </row>
    <row r="836" spans="1:14" ht="38.25" x14ac:dyDescent="0.25">
      <c r="A836" s="73">
        <v>40</v>
      </c>
      <c r="B836" s="65" t="s">
        <v>122</v>
      </c>
      <c r="C836" s="63" t="s">
        <v>61</v>
      </c>
      <c r="D836" s="64"/>
      <c r="E836" s="64"/>
      <c r="F836" s="64"/>
      <c r="G836" s="64"/>
      <c r="H836" s="64"/>
      <c r="I836" s="76">
        <f>SUM(I837:I894)</f>
        <v>10.036999999999999</v>
      </c>
      <c r="J836" s="83" t="e">
        <f>PL03a!#REF!</f>
        <v>#REF!</v>
      </c>
      <c r="K836" s="84">
        <f t="shared" ref="K836" si="55">I836</f>
        <v>10.036999999999999</v>
      </c>
      <c r="L836" s="85"/>
      <c r="M836" s="84">
        <f>K836</f>
        <v>10.036999999999999</v>
      </c>
      <c r="N836" s="86">
        <f>L836+M836</f>
        <v>10.036999999999999</v>
      </c>
    </row>
    <row r="837" spans="1:14" x14ac:dyDescent="0.25">
      <c r="A837" s="73"/>
      <c r="B837" s="66" t="s">
        <v>3023</v>
      </c>
      <c r="C837" s="63"/>
      <c r="D837" s="64"/>
      <c r="E837" s="64"/>
      <c r="F837" s="64"/>
      <c r="G837" s="64"/>
      <c r="H837" s="64"/>
      <c r="I837" s="76"/>
      <c r="J837" s="83"/>
      <c r="K837" s="84"/>
      <c r="L837" s="85"/>
      <c r="M837" s="84"/>
      <c r="N837" s="86"/>
    </row>
    <row r="838" spans="1:14" x14ac:dyDescent="0.25">
      <c r="A838" s="73"/>
      <c r="B838" s="62" t="s">
        <v>3069</v>
      </c>
      <c r="C838" s="63"/>
      <c r="D838" s="64"/>
      <c r="E838" s="64">
        <v>3.5</v>
      </c>
      <c r="F838" s="64">
        <v>3.5750000000000002</v>
      </c>
      <c r="G838" s="64"/>
      <c r="H838" s="64">
        <v>0.01</v>
      </c>
      <c r="I838" s="76">
        <f t="shared" si="54"/>
        <v>0.125</v>
      </c>
      <c r="J838" s="83"/>
      <c r="K838" s="84"/>
      <c r="L838" s="85"/>
      <c r="M838" s="84"/>
      <c r="N838" s="86"/>
    </row>
    <row r="839" spans="1:14" x14ac:dyDescent="0.25">
      <c r="A839" s="73"/>
      <c r="B839" s="62"/>
      <c r="C839" s="63"/>
      <c r="D839" s="64"/>
      <c r="E839" s="64">
        <v>3.5</v>
      </c>
      <c r="F839" s="64">
        <v>3.5249999999999999</v>
      </c>
      <c r="G839" s="64"/>
      <c r="H839" s="64">
        <v>0.01</v>
      </c>
      <c r="I839" s="76">
        <f t="shared" si="54"/>
        <v>0.123</v>
      </c>
      <c r="J839" s="83"/>
      <c r="K839" s="84"/>
      <c r="L839" s="85"/>
      <c r="M839" s="84"/>
      <c r="N839" s="86"/>
    </row>
    <row r="840" spans="1:14" x14ac:dyDescent="0.25">
      <c r="A840" s="73"/>
      <c r="B840" s="62"/>
      <c r="C840" s="63"/>
      <c r="D840" s="64"/>
      <c r="E840" s="64">
        <v>3.4</v>
      </c>
      <c r="F840" s="64">
        <v>3.5750000000000002</v>
      </c>
      <c r="G840" s="64"/>
      <c r="H840" s="64">
        <v>0.01</v>
      </c>
      <c r="I840" s="76">
        <f t="shared" si="54"/>
        <v>0.122</v>
      </c>
      <c r="J840" s="83"/>
      <c r="K840" s="84"/>
      <c r="L840" s="85"/>
      <c r="M840" s="84"/>
      <c r="N840" s="86"/>
    </row>
    <row r="841" spans="1:14" x14ac:dyDescent="0.25">
      <c r="A841" s="73"/>
      <c r="B841" s="62"/>
      <c r="C841" s="63"/>
      <c r="D841" s="64"/>
      <c r="E841" s="64">
        <v>3.4</v>
      </c>
      <c r="F841" s="64">
        <v>3.5249999999999999</v>
      </c>
      <c r="G841" s="64"/>
      <c r="H841" s="64">
        <v>0.01</v>
      </c>
      <c r="I841" s="76">
        <f t="shared" si="54"/>
        <v>0.12</v>
      </c>
      <c r="J841" s="83"/>
      <c r="K841" s="84"/>
      <c r="L841" s="85"/>
      <c r="M841" s="84"/>
      <c r="N841" s="86"/>
    </row>
    <row r="842" spans="1:14" x14ac:dyDescent="0.25">
      <c r="A842" s="73"/>
      <c r="B842" s="62" t="s">
        <v>3070</v>
      </c>
      <c r="C842" s="63"/>
      <c r="D842" s="64">
        <v>2</v>
      </c>
      <c r="E842" s="64">
        <v>3.5</v>
      </c>
      <c r="F842" s="64">
        <v>3.55</v>
      </c>
      <c r="G842" s="64"/>
      <c r="H842" s="64">
        <v>0.01</v>
      </c>
      <c r="I842" s="76">
        <f t="shared" si="54"/>
        <v>0.249</v>
      </c>
      <c r="J842" s="83"/>
      <c r="K842" s="84"/>
      <c r="L842" s="85"/>
      <c r="M842" s="84"/>
      <c r="N842" s="86"/>
    </row>
    <row r="843" spans="1:14" x14ac:dyDescent="0.25">
      <c r="A843" s="73"/>
      <c r="B843" s="62"/>
      <c r="C843" s="63"/>
      <c r="D843" s="64">
        <v>2</v>
      </c>
      <c r="E843" s="64">
        <v>3.4</v>
      </c>
      <c r="F843" s="64">
        <v>3.55</v>
      </c>
      <c r="G843" s="64"/>
      <c r="H843" s="64">
        <v>0.01</v>
      </c>
      <c r="I843" s="76">
        <f t="shared" si="54"/>
        <v>0.24099999999999999</v>
      </c>
      <c r="J843" s="83"/>
      <c r="K843" s="84"/>
      <c r="L843" s="85"/>
      <c r="M843" s="84"/>
      <c r="N843" s="86"/>
    </row>
    <row r="844" spans="1:14" x14ac:dyDescent="0.25">
      <c r="A844" s="73"/>
      <c r="B844" s="62" t="s">
        <v>3071</v>
      </c>
      <c r="C844" s="63"/>
      <c r="D844" s="64"/>
      <c r="E844" s="64">
        <v>2.8</v>
      </c>
      <c r="F844" s="64">
        <v>2.4</v>
      </c>
      <c r="G844" s="64"/>
      <c r="H844" s="64">
        <v>0.01</v>
      </c>
      <c r="I844" s="76">
        <f t="shared" si="54"/>
        <v>6.7000000000000004E-2</v>
      </c>
      <c r="J844" s="83"/>
      <c r="K844" s="84"/>
      <c r="L844" s="85"/>
      <c r="M844" s="84"/>
      <c r="N844" s="86"/>
    </row>
    <row r="845" spans="1:14" x14ac:dyDescent="0.25">
      <c r="A845" s="73"/>
      <c r="B845" s="62"/>
      <c r="C845" s="63"/>
      <c r="D845" s="64"/>
      <c r="E845" s="64">
        <v>-0.95</v>
      </c>
      <c r="F845" s="64">
        <v>1.1000000000000001</v>
      </c>
      <c r="G845" s="64"/>
      <c r="H845" s="64">
        <v>0.01</v>
      </c>
      <c r="I845" s="76">
        <f t="shared" si="54"/>
        <v>-0.01</v>
      </c>
      <c r="J845" s="83"/>
      <c r="K845" s="84"/>
      <c r="L845" s="85"/>
      <c r="M845" s="84"/>
      <c r="N845" s="86"/>
    </row>
    <row r="846" spans="1:14" x14ac:dyDescent="0.25">
      <c r="A846" s="73"/>
      <c r="B846" s="62"/>
      <c r="C846" s="63"/>
      <c r="D846" s="64"/>
      <c r="E846" s="64">
        <v>3.3</v>
      </c>
      <c r="F846" s="64">
        <v>7.2</v>
      </c>
      <c r="G846" s="64"/>
      <c r="H846" s="64">
        <v>0.01</v>
      </c>
      <c r="I846" s="76">
        <f t="shared" si="54"/>
        <v>0.23799999999999999</v>
      </c>
      <c r="J846" s="83"/>
      <c r="K846" s="84"/>
      <c r="L846" s="85"/>
      <c r="M846" s="84"/>
      <c r="N846" s="86"/>
    </row>
    <row r="847" spans="1:14" x14ac:dyDescent="0.25">
      <c r="A847" s="73"/>
      <c r="B847" s="62" t="s">
        <v>3072</v>
      </c>
      <c r="C847" s="63"/>
      <c r="D847" s="64"/>
      <c r="E847" s="64">
        <v>4</v>
      </c>
      <c r="F847" s="64">
        <v>7</v>
      </c>
      <c r="G847" s="64"/>
      <c r="H847" s="64">
        <v>0.01</v>
      </c>
      <c r="I847" s="76">
        <f t="shared" si="54"/>
        <v>0.28000000000000003</v>
      </c>
      <c r="J847" s="83"/>
      <c r="K847" s="84"/>
      <c r="L847" s="85"/>
      <c r="M847" s="84"/>
      <c r="N847" s="86"/>
    </row>
    <row r="848" spans="1:14" x14ac:dyDescent="0.25">
      <c r="A848" s="73"/>
      <c r="B848" s="62"/>
      <c r="C848" s="63"/>
      <c r="D848" s="64"/>
      <c r="E848" s="64">
        <v>2.8</v>
      </c>
      <c r="F848" s="64">
        <v>7</v>
      </c>
      <c r="G848" s="64"/>
      <c r="H848" s="64">
        <v>0.01</v>
      </c>
      <c r="I848" s="76">
        <f t="shared" si="54"/>
        <v>0.19600000000000001</v>
      </c>
      <c r="J848" s="83"/>
      <c r="K848" s="84"/>
      <c r="L848" s="85"/>
      <c r="M848" s="84"/>
      <c r="N848" s="86"/>
    </row>
    <row r="849" spans="1:14" x14ac:dyDescent="0.25">
      <c r="A849" s="73"/>
      <c r="B849" s="62" t="s">
        <v>3073</v>
      </c>
      <c r="C849" s="63"/>
      <c r="D849" s="64">
        <v>2</v>
      </c>
      <c r="E849" s="64">
        <v>-0.2</v>
      </c>
      <c r="F849" s="64">
        <v>0.4</v>
      </c>
      <c r="G849" s="64"/>
      <c r="H849" s="64">
        <v>0.01</v>
      </c>
      <c r="I849" s="76">
        <f t="shared" si="54"/>
        <v>-2E-3</v>
      </c>
      <c r="J849" s="83"/>
      <c r="K849" s="84"/>
      <c r="L849" s="85"/>
      <c r="M849" s="84"/>
      <c r="N849" s="86"/>
    </row>
    <row r="850" spans="1:14" x14ac:dyDescent="0.25">
      <c r="A850" s="73"/>
      <c r="B850" s="62" t="s">
        <v>3074</v>
      </c>
      <c r="C850" s="63"/>
      <c r="D850" s="64"/>
      <c r="E850" s="64">
        <v>4</v>
      </c>
      <c r="F850" s="64">
        <v>8.5</v>
      </c>
      <c r="G850" s="64"/>
      <c r="H850" s="64">
        <v>0.01</v>
      </c>
      <c r="I850" s="76">
        <f t="shared" si="54"/>
        <v>0.34</v>
      </c>
      <c r="J850" s="83"/>
      <c r="K850" s="84"/>
      <c r="L850" s="85"/>
      <c r="M850" s="84"/>
      <c r="N850" s="86"/>
    </row>
    <row r="851" spans="1:14" x14ac:dyDescent="0.25">
      <c r="A851" s="73"/>
      <c r="B851" s="62"/>
      <c r="C851" s="63"/>
      <c r="D851" s="64"/>
      <c r="E851" s="64">
        <v>2.8</v>
      </c>
      <c r="F851" s="64">
        <v>8.5</v>
      </c>
      <c r="G851" s="64"/>
      <c r="H851" s="64">
        <v>0.01</v>
      </c>
      <c r="I851" s="76">
        <f t="shared" si="54"/>
        <v>0.23799999999999999</v>
      </c>
      <c r="J851" s="83"/>
      <c r="K851" s="84"/>
      <c r="L851" s="85"/>
      <c r="M851" s="84"/>
      <c r="N851" s="86"/>
    </row>
    <row r="852" spans="1:14" x14ac:dyDescent="0.25">
      <c r="A852" s="73"/>
      <c r="B852" s="62" t="s">
        <v>3073</v>
      </c>
      <c r="C852" s="63"/>
      <c r="D852" s="64">
        <v>2</v>
      </c>
      <c r="E852" s="64">
        <v>-0.2</v>
      </c>
      <c r="F852" s="64">
        <v>0.4</v>
      </c>
      <c r="G852" s="64"/>
      <c r="H852" s="64">
        <v>0.01</v>
      </c>
      <c r="I852" s="76">
        <f t="shared" si="54"/>
        <v>-2E-3</v>
      </c>
      <c r="J852" s="83"/>
      <c r="K852" s="84"/>
      <c r="L852" s="85"/>
      <c r="M852" s="84"/>
      <c r="N852" s="86"/>
    </row>
    <row r="853" spans="1:14" x14ac:dyDescent="0.25">
      <c r="A853" s="73"/>
      <c r="B853" s="62"/>
      <c r="C853" s="63"/>
      <c r="D853" s="64">
        <v>2</v>
      </c>
      <c r="E853" s="64">
        <v>-0.2</v>
      </c>
      <c r="F853" s="64">
        <v>0.8</v>
      </c>
      <c r="G853" s="64"/>
      <c r="H853" s="64">
        <v>0.01</v>
      </c>
      <c r="I853" s="76">
        <f t="shared" si="54"/>
        <v>-3.0000000000000001E-3</v>
      </c>
      <c r="J853" s="83"/>
      <c r="K853" s="84"/>
      <c r="L853" s="85"/>
      <c r="M853" s="84"/>
      <c r="N853" s="86"/>
    </row>
    <row r="854" spans="1:14" x14ac:dyDescent="0.25">
      <c r="A854" s="73"/>
      <c r="B854" s="62" t="s">
        <v>3074</v>
      </c>
      <c r="C854" s="63"/>
      <c r="D854" s="64"/>
      <c r="E854" s="64">
        <v>3.1</v>
      </c>
      <c r="F854" s="64">
        <v>7.2</v>
      </c>
      <c r="G854" s="64"/>
      <c r="H854" s="64">
        <v>0.01</v>
      </c>
      <c r="I854" s="76">
        <f t="shared" si="54"/>
        <v>0.223</v>
      </c>
      <c r="J854" s="83"/>
      <c r="K854" s="84"/>
      <c r="L854" s="85"/>
      <c r="M854" s="84"/>
      <c r="N854" s="86"/>
    </row>
    <row r="855" spans="1:14" x14ac:dyDescent="0.25">
      <c r="A855" s="73"/>
      <c r="B855" s="62" t="s">
        <v>3077</v>
      </c>
      <c r="C855" s="63"/>
      <c r="D855" s="64"/>
      <c r="E855" s="64">
        <v>3.02</v>
      </c>
      <c r="F855" s="64">
        <v>7.2</v>
      </c>
      <c r="G855" s="64"/>
      <c r="H855" s="64">
        <v>0.01</v>
      </c>
      <c r="I855" s="76">
        <f t="shared" si="54"/>
        <v>0.217</v>
      </c>
      <c r="J855" s="83"/>
      <c r="K855" s="84"/>
      <c r="L855" s="85"/>
      <c r="M855" s="84"/>
      <c r="N855" s="86"/>
    </row>
    <row r="856" spans="1:14" x14ac:dyDescent="0.25">
      <c r="A856" s="73"/>
      <c r="B856" s="62" t="s">
        <v>3078</v>
      </c>
      <c r="C856" s="63"/>
      <c r="D856" s="64">
        <v>2</v>
      </c>
      <c r="E856" s="64">
        <v>4.5999999999999996</v>
      </c>
      <c r="F856" s="64">
        <v>3.5750000000000002</v>
      </c>
      <c r="G856" s="64"/>
      <c r="H856" s="64">
        <v>0.01</v>
      </c>
      <c r="I856" s="76">
        <f t="shared" si="54"/>
        <v>0.32900000000000001</v>
      </c>
      <c r="J856" s="83"/>
      <c r="K856" s="84"/>
      <c r="L856" s="85"/>
      <c r="M856" s="84"/>
      <c r="N856" s="86"/>
    </row>
    <row r="857" spans="1:14" x14ac:dyDescent="0.25">
      <c r="A857" s="73"/>
      <c r="B857" s="62" t="s">
        <v>3073</v>
      </c>
      <c r="C857" s="63"/>
      <c r="D857" s="64"/>
      <c r="E857" s="64">
        <v>-3.6</v>
      </c>
      <c r="F857" s="64">
        <v>0.1</v>
      </c>
      <c r="G857" s="64"/>
      <c r="H857" s="64">
        <v>0.01</v>
      </c>
      <c r="I857" s="76">
        <f t="shared" si="54"/>
        <v>-4.0000000000000001E-3</v>
      </c>
      <c r="J857" s="83"/>
      <c r="K857" s="84"/>
      <c r="L857" s="85"/>
      <c r="M857" s="84"/>
      <c r="N857" s="86"/>
    </row>
    <row r="858" spans="1:14" x14ac:dyDescent="0.25">
      <c r="A858" s="73"/>
      <c r="B858" s="62"/>
      <c r="C858" s="63"/>
      <c r="D858" s="64">
        <v>2</v>
      </c>
      <c r="E858" s="64">
        <v>4.5999999999999996</v>
      </c>
      <c r="F858" s="64">
        <v>3.5</v>
      </c>
      <c r="G858" s="64"/>
      <c r="H858" s="64">
        <v>0.01</v>
      </c>
      <c r="I858" s="76">
        <f t="shared" si="54"/>
        <v>0.32200000000000001</v>
      </c>
      <c r="J858" s="83"/>
      <c r="K858" s="84"/>
      <c r="L858" s="85"/>
      <c r="M858" s="84"/>
      <c r="N858" s="86"/>
    </row>
    <row r="859" spans="1:14" x14ac:dyDescent="0.25">
      <c r="A859" s="73"/>
      <c r="B859" s="62" t="s">
        <v>3079</v>
      </c>
      <c r="C859" s="63"/>
      <c r="D859" s="64">
        <v>4</v>
      </c>
      <c r="E859" s="64">
        <v>4.5999999999999996</v>
      </c>
      <c r="F859" s="64">
        <v>3.55</v>
      </c>
      <c r="G859" s="64"/>
      <c r="H859" s="64">
        <v>0.01</v>
      </c>
      <c r="I859" s="76">
        <f t="shared" si="54"/>
        <v>0.65300000000000002</v>
      </c>
      <c r="J859" s="83"/>
      <c r="K859" s="84"/>
      <c r="L859" s="85"/>
      <c r="M859" s="84"/>
      <c r="N859" s="86"/>
    </row>
    <row r="860" spans="1:14" x14ac:dyDescent="0.25">
      <c r="A860" s="73"/>
      <c r="B860" s="62" t="s">
        <v>3080</v>
      </c>
      <c r="C860" s="63"/>
      <c r="D860" s="64"/>
      <c r="E860" s="64">
        <v>2.93</v>
      </c>
      <c r="F860" s="64">
        <v>6.95</v>
      </c>
      <c r="G860" s="64"/>
      <c r="H860" s="64">
        <v>0.01</v>
      </c>
      <c r="I860" s="76">
        <f t="shared" si="54"/>
        <v>0.20399999999999999</v>
      </c>
      <c r="J860" s="83"/>
      <c r="K860" s="84"/>
      <c r="L860" s="85"/>
      <c r="M860" s="84"/>
      <c r="N860" s="86"/>
    </row>
    <row r="861" spans="1:14" x14ac:dyDescent="0.25">
      <c r="A861" s="73"/>
      <c r="B861" s="62"/>
      <c r="C861" s="63"/>
      <c r="D861" s="64"/>
      <c r="E861" s="64">
        <v>2.93</v>
      </c>
      <c r="F861" s="64">
        <v>2.25</v>
      </c>
      <c r="G861" s="64"/>
      <c r="H861" s="64">
        <v>0.01</v>
      </c>
      <c r="I861" s="76">
        <f t="shared" si="54"/>
        <v>6.6000000000000003E-2</v>
      </c>
      <c r="J861" s="83"/>
      <c r="K861" s="84"/>
      <c r="L861" s="85"/>
      <c r="M861" s="84"/>
      <c r="N861" s="86"/>
    </row>
    <row r="862" spans="1:14" x14ac:dyDescent="0.25">
      <c r="A862" s="73"/>
      <c r="B862" s="62"/>
      <c r="C862" s="63"/>
      <c r="D862" s="64"/>
      <c r="E862" s="64">
        <v>3.35</v>
      </c>
      <c r="F862" s="64">
        <v>4.0199999999999996</v>
      </c>
      <c r="G862" s="64"/>
      <c r="H862" s="64">
        <v>0.01</v>
      </c>
      <c r="I862" s="76">
        <f t="shared" si="54"/>
        <v>0.13500000000000001</v>
      </c>
      <c r="J862" s="83"/>
      <c r="K862" s="84"/>
      <c r="L862" s="85"/>
      <c r="M862" s="84"/>
      <c r="N862" s="86"/>
    </row>
    <row r="863" spans="1:14" x14ac:dyDescent="0.25">
      <c r="A863" s="73"/>
      <c r="B863" s="62"/>
      <c r="C863" s="63"/>
      <c r="D863" s="64"/>
      <c r="E863" s="64">
        <v>3.4</v>
      </c>
      <c r="F863" s="64">
        <v>4.0199999999999996</v>
      </c>
      <c r="G863" s="64"/>
      <c r="H863" s="64">
        <v>0.01</v>
      </c>
      <c r="I863" s="76">
        <f t="shared" si="54"/>
        <v>0.13700000000000001</v>
      </c>
      <c r="J863" s="83"/>
      <c r="K863" s="84"/>
      <c r="L863" s="85"/>
      <c r="M863" s="84"/>
      <c r="N863" s="86"/>
    </row>
    <row r="864" spans="1:14" x14ac:dyDescent="0.25">
      <c r="A864" s="73"/>
      <c r="B864" s="62"/>
      <c r="C864" s="63"/>
      <c r="D864" s="64"/>
      <c r="E864" s="64">
        <v>2.25</v>
      </c>
      <c r="F864" s="64">
        <v>4.0199999999999996</v>
      </c>
      <c r="G864" s="64"/>
      <c r="H864" s="64">
        <v>0.01</v>
      </c>
      <c r="I864" s="76">
        <f t="shared" si="54"/>
        <v>0.09</v>
      </c>
      <c r="J864" s="83"/>
      <c r="K864" s="84"/>
      <c r="L864" s="85"/>
      <c r="M864" s="84"/>
      <c r="N864" s="86"/>
    </row>
    <row r="865" spans="1:14" x14ac:dyDescent="0.25">
      <c r="A865" s="73"/>
      <c r="B865" s="62" t="s">
        <v>3081</v>
      </c>
      <c r="C865" s="63"/>
      <c r="D865" s="64">
        <v>4</v>
      </c>
      <c r="E865" s="64">
        <v>4.5999999999999996</v>
      </c>
      <c r="F865" s="64">
        <v>3.05</v>
      </c>
      <c r="G865" s="64"/>
      <c r="H865" s="64">
        <v>0.01</v>
      </c>
      <c r="I865" s="76">
        <f t="shared" si="54"/>
        <v>0.56100000000000005</v>
      </c>
      <c r="J865" s="83"/>
      <c r="K865" s="84"/>
      <c r="L865" s="85"/>
      <c r="M865" s="84"/>
      <c r="N865" s="86"/>
    </row>
    <row r="866" spans="1:14" x14ac:dyDescent="0.25">
      <c r="A866" s="73"/>
      <c r="B866" s="62" t="s">
        <v>3082</v>
      </c>
      <c r="C866" s="63"/>
      <c r="D866" s="64">
        <v>4</v>
      </c>
      <c r="E866" s="64">
        <v>3.35</v>
      </c>
      <c r="F866" s="64">
        <v>3.25</v>
      </c>
      <c r="G866" s="64"/>
      <c r="H866" s="64">
        <v>0.01</v>
      </c>
      <c r="I866" s="76">
        <f t="shared" si="54"/>
        <v>0.436</v>
      </c>
      <c r="J866" s="83"/>
      <c r="K866" s="84"/>
      <c r="L866" s="85"/>
      <c r="M866" s="84"/>
      <c r="N866" s="86"/>
    </row>
    <row r="867" spans="1:14" x14ac:dyDescent="0.25">
      <c r="A867" s="73"/>
      <c r="B867" s="62"/>
      <c r="C867" s="63"/>
      <c r="D867" s="64">
        <v>2</v>
      </c>
      <c r="E867" s="64">
        <v>3.35</v>
      </c>
      <c r="F867" s="64">
        <v>3.2</v>
      </c>
      <c r="G867" s="64"/>
      <c r="H867" s="64">
        <v>0.01</v>
      </c>
      <c r="I867" s="76">
        <f t="shared" si="54"/>
        <v>0.214</v>
      </c>
      <c r="J867" s="83"/>
      <c r="K867" s="84"/>
      <c r="L867" s="85"/>
      <c r="M867" s="84"/>
      <c r="N867" s="86"/>
    </row>
    <row r="868" spans="1:14" x14ac:dyDescent="0.25">
      <c r="A868" s="73"/>
      <c r="B868" s="62" t="s">
        <v>3083</v>
      </c>
      <c r="C868" s="63"/>
      <c r="D868" s="64">
        <v>4</v>
      </c>
      <c r="E868" s="64">
        <v>4.0999999999999996</v>
      </c>
      <c r="F868" s="64">
        <v>3.25</v>
      </c>
      <c r="G868" s="64"/>
      <c r="H868" s="64">
        <v>0.01</v>
      </c>
      <c r="I868" s="76">
        <f t="shared" si="54"/>
        <v>0.53300000000000003</v>
      </c>
      <c r="J868" s="83"/>
      <c r="K868" s="84"/>
      <c r="L868" s="85"/>
      <c r="M868" s="84"/>
      <c r="N868" s="86"/>
    </row>
    <row r="869" spans="1:14" x14ac:dyDescent="0.25">
      <c r="A869" s="73"/>
      <c r="B869" s="62"/>
      <c r="C869" s="63"/>
      <c r="D869" s="64">
        <v>2</v>
      </c>
      <c r="E869" s="64">
        <v>4.0999999999999996</v>
      </c>
      <c r="F869" s="64">
        <v>3.2</v>
      </c>
      <c r="G869" s="64"/>
      <c r="H869" s="64">
        <v>0.01</v>
      </c>
      <c r="I869" s="76">
        <f t="shared" si="54"/>
        <v>0.26200000000000001</v>
      </c>
      <c r="J869" s="83"/>
      <c r="K869" s="84"/>
      <c r="L869" s="85"/>
      <c r="M869" s="84"/>
      <c r="N869" s="86"/>
    </row>
    <row r="870" spans="1:14" x14ac:dyDescent="0.25">
      <c r="A870" s="73"/>
      <c r="B870" s="62" t="s">
        <v>3084</v>
      </c>
      <c r="C870" s="63"/>
      <c r="D870" s="64">
        <v>2</v>
      </c>
      <c r="E870" s="64">
        <v>3.1</v>
      </c>
      <c r="F870" s="64">
        <v>3.25</v>
      </c>
      <c r="G870" s="64"/>
      <c r="H870" s="64">
        <v>0.01</v>
      </c>
      <c r="I870" s="76">
        <f t="shared" si="54"/>
        <v>0.20200000000000001</v>
      </c>
      <c r="J870" s="83"/>
      <c r="K870" s="84"/>
      <c r="L870" s="85"/>
      <c r="M870" s="84"/>
      <c r="N870" s="86"/>
    </row>
    <row r="871" spans="1:14" x14ac:dyDescent="0.25">
      <c r="A871" s="73"/>
      <c r="B871" s="62"/>
      <c r="C871" s="63"/>
      <c r="D871" s="64"/>
      <c r="E871" s="64">
        <v>3.1</v>
      </c>
      <c r="F871" s="64">
        <v>3.2</v>
      </c>
      <c r="G871" s="64"/>
      <c r="H871" s="64">
        <v>0.01</v>
      </c>
      <c r="I871" s="76">
        <f t="shared" si="54"/>
        <v>9.9000000000000005E-2</v>
      </c>
      <c r="J871" s="83"/>
      <c r="K871" s="84"/>
      <c r="L871" s="85"/>
      <c r="M871" s="84"/>
      <c r="N871" s="86"/>
    </row>
    <row r="872" spans="1:14" x14ac:dyDescent="0.25">
      <c r="A872" s="73"/>
      <c r="B872" s="62" t="s">
        <v>3077</v>
      </c>
      <c r="C872" s="63"/>
      <c r="D872" s="64"/>
      <c r="E872" s="64">
        <v>3.02</v>
      </c>
      <c r="F872" s="64">
        <v>10.3</v>
      </c>
      <c r="G872" s="64"/>
      <c r="H872" s="64">
        <v>0.01</v>
      </c>
      <c r="I872" s="76">
        <f t="shared" si="54"/>
        <v>0.311</v>
      </c>
      <c r="J872" s="83"/>
      <c r="K872" s="84"/>
      <c r="L872" s="85"/>
      <c r="M872" s="84"/>
      <c r="N872" s="86"/>
    </row>
    <row r="873" spans="1:14" x14ac:dyDescent="0.25">
      <c r="A873" s="73"/>
      <c r="B873" s="62" t="s">
        <v>3085</v>
      </c>
      <c r="C873" s="63"/>
      <c r="D873" s="64"/>
      <c r="E873" s="64">
        <v>2.1</v>
      </c>
      <c r="F873" s="64">
        <v>3.4750000000000001</v>
      </c>
      <c r="G873" s="64"/>
      <c r="H873" s="64">
        <v>0.01</v>
      </c>
      <c r="I873" s="76">
        <f t="shared" si="54"/>
        <v>7.2999999999999995E-2</v>
      </c>
      <c r="J873" s="83"/>
      <c r="K873" s="84"/>
      <c r="L873" s="85"/>
      <c r="M873" s="84"/>
      <c r="N873" s="86"/>
    </row>
    <row r="874" spans="1:14" x14ac:dyDescent="0.25">
      <c r="A874" s="73"/>
      <c r="B874" s="62"/>
      <c r="C874" s="63"/>
      <c r="D874" s="64"/>
      <c r="E874" s="64">
        <v>2.1</v>
      </c>
      <c r="F874" s="64">
        <v>3.5</v>
      </c>
      <c r="G874" s="64"/>
      <c r="H874" s="64">
        <v>0.01</v>
      </c>
      <c r="I874" s="76">
        <f t="shared" si="54"/>
        <v>7.3999999999999996E-2</v>
      </c>
      <c r="J874" s="83"/>
      <c r="K874" s="84"/>
      <c r="L874" s="85"/>
      <c r="M874" s="84"/>
      <c r="N874" s="86"/>
    </row>
    <row r="875" spans="1:14" x14ac:dyDescent="0.25">
      <c r="A875" s="73"/>
      <c r="B875" s="62"/>
      <c r="C875" s="63"/>
      <c r="D875" s="64"/>
      <c r="E875" s="64">
        <v>4.9000000000000004</v>
      </c>
      <c r="F875" s="64">
        <v>3.4750000000000001</v>
      </c>
      <c r="G875" s="64"/>
      <c r="H875" s="64">
        <v>0.01</v>
      </c>
      <c r="I875" s="76">
        <f t="shared" si="54"/>
        <v>0.17</v>
      </c>
      <c r="J875" s="83"/>
      <c r="K875" s="84"/>
      <c r="L875" s="85"/>
      <c r="M875" s="84"/>
      <c r="N875" s="86"/>
    </row>
    <row r="876" spans="1:14" x14ac:dyDescent="0.25">
      <c r="A876" s="73"/>
      <c r="B876" s="62"/>
      <c r="C876" s="63"/>
      <c r="D876" s="64"/>
      <c r="E876" s="64">
        <v>4.9000000000000004</v>
      </c>
      <c r="F876" s="64">
        <v>3.5</v>
      </c>
      <c r="G876" s="64"/>
      <c r="H876" s="64">
        <v>0.01</v>
      </c>
      <c r="I876" s="76">
        <f t="shared" si="54"/>
        <v>0.17199999999999999</v>
      </c>
      <c r="J876" s="83"/>
      <c r="K876" s="84"/>
      <c r="L876" s="85"/>
      <c r="M876" s="84"/>
      <c r="N876" s="86"/>
    </row>
    <row r="877" spans="1:14" x14ac:dyDescent="0.25">
      <c r="A877" s="73"/>
      <c r="B877" s="62" t="s">
        <v>3086</v>
      </c>
      <c r="C877" s="63"/>
      <c r="D877" s="64"/>
      <c r="E877" s="64">
        <v>0.9</v>
      </c>
      <c r="F877" s="64">
        <v>7.25</v>
      </c>
      <c r="G877" s="64"/>
      <c r="H877" s="64">
        <v>0.01</v>
      </c>
      <c r="I877" s="76">
        <f t="shared" si="54"/>
        <v>6.5000000000000002E-2</v>
      </c>
      <c r="J877" s="83"/>
      <c r="K877" s="84"/>
      <c r="L877" s="85"/>
      <c r="M877" s="84"/>
      <c r="N877" s="86"/>
    </row>
    <row r="878" spans="1:14" x14ac:dyDescent="0.25">
      <c r="A878" s="73"/>
      <c r="B878" s="62"/>
      <c r="C878" s="63"/>
      <c r="D878" s="64"/>
      <c r="E878" s="64">
        <v>5.2</v>
      </c>
      <c r="F878" s="64">
        <v>6.1</v>
      </c>
      <c r="G878" s="64"/>
      <c r="H878" s="64">
        <v>0.01</v>
      </c>
      <c r="I878" s="76">
        <f t="shared" si="54"/>
        <v>0.317</v>
      </c>
      <c r="J878" s="83"/>
      <c r="K878" s="84"/>
      <c r="L878" s="85"/>
      <c r="M878" s="84"/>
      <c r="N878" s="86"/>
    </row>
    <row r="879" spans="1:14" x14ac:dyDescent="0.25">
      <c r="A879" s="73"/>
      <c r="B879" s="62"/>
      <c r="C879" s="63"/>
      <c r="D879" s="64"/>
      <c r="E879" s="64">
        <v>1.8</v>
      </c>
      <c r="F879" s="64">
        <v>6.1</v>
      </c>
      <c r="G879" s="64"/>
      <c r="H879" s="64">
        <v>0.01</v>
      </c>
      <c r="I879" s="76">
        <f t="shared" si="54"/>
        <v>0.11</v>
      </c>
      <c r="J879" s="83"/>
      <c r="K879" s="84"/>
      <c r="L879" s="85"/>
      <c r="M879" s="84"/>
      <c r="N879" s="86"/>
    </row>
    <row r="880" spans="1:14" x14ac:dyDescent="0.25">
      <c r="A880" s="73"/>
      <c r="B880" s="62" t="s">
        <v>3087</v>
      </c>
      <c r="C880" s="63"/>
      <c r="D880" s="64"/>
      <c r="E880" s="64">
        <v>1.2</v>
      </c>
      <c r="F880" s="64">
        <v>2.2999999999999998</v>
      </c>
      <c r="G880" s="64"/>
      <c r="H880" s="64">
        <v>0.01</v>
      </c>
      <c r="I880" s="76">
        <f t="shared" ref="I880:I943" si="56">ROUND(PRODUCT(D880:H880),3)</f>
        <v>2.8000000000000001E-2</v>
      </c>
      <c r="J880" s="83"/>
      <c r="K880" s="84"/>
      <c r="L880" s="85"/>
      <c r="M880" s="84"/>
      <c r="N880" s="86"/>
    </row>
    <row r="881" spans="1:14" x14ac:dyDescent="0.25">
      <c r="A881" s="73"/>
      <c r="B881" s="62"/>
      <c r="C881" s="63"/>
      <c r="D881" s="64"/>
      <c r="E881" s="64">
        <v>1.2</v>
      </c>
      <c r="F881" s="64">
        <v>2.5499999999999998</v>
      </c>
      <c r="G881" s="64"/>
      <c r="H881" s="64">
        <v>0.01</v>
      </c>
      <c r="I881" s="76">
        <f t="shared" si="56"/>
        <v>3.1E-2</v>
      </c>
      <c r="J881" s="83"/>
      <c r="K881" s="84"/>
      <c r="L881" s="85"/>
      <c r="M881" s="84"/>
      <c r="N881" s="86"/>
    </row>
    <row r="882" spans="1:14" x14ac:dyDescent="0.25">
      <c r="A882" s="73"/>
      <c r="B882" s="62"/>
      <c r="C882" s="63"/>
      <c r="D882" s="64"/>
      <c r="E882" s="64">
        <v>2.65</v>
      </c>
      <c r="F882" s="64">
        <v>2</v>
      </c>
      <c r="G882" s="64"/>
      <c r="H882" s="64">
        <v>0.01</v>
      </c>
      <c r="I882" s="76">
        <f t="shared" si="56"/>
        <v>5.2999999999999999E-2</v>
      </c>
      <c r="J882" s="83"/>
      <c r="K882" s="84"/>
      <c r="L882" s="85"/>
      <c r="M882" s="84"/>
      <c r="N882" s="86"/>
    </row>
    <row r="883" spans="1:14" x14ac:dyDescent="0.25">
      <c r="A883" s="73"/>
      <c r="B883" s="62"/>
      <c r="C883" s="63"/>
      <c r="D883" s="64"/>
      <c r="E883" s="64">
        <v>0.8</v>
      </c>
      <c r="F883" s="64">
        <v>2.7</v>
      </c>
      <c r="G883" s="64"/>
      <c r="H883" s="64">
        <v>0.01</v>
      </c>
      <c r="I883" s="76">
        <f t="shared" si="56"/>
        <v>2.1999999999999999E-2</v>
      </c>
      <c r="J883" s="83"/>
      <c r="K883" s="84"/>
      <c r="L883" s="85"/>
      <c r="M883" s="84"/>
      <c r="N883" s="86"/>
    </row>
    <row r="884" spans="1:14" x14ac:dyDescent="0.25">
      <c r="A884" s="73"/>
      <c r="B884" s="62" t="s">
        <v>3088</v>
      </c>
      <c r="C884" s="63"/>
      <c r="D884" s="64">
        <v>2</v>
      </c>
      <c r="E884" s="64">
        <v>3.05</v>
      </c>
      <c r="F884" s="64">
        <v>7.3</v>
      </c>
      <c r="G884" s="64"/>
      <c r="H884" s="64">
        <v>0.01</v>
      </c>
      <c r="I884" s="76">
        <f t="shared" si="56"/>
        <v>0.44500000000000001</v>
      </c>
      <c r="J884" s="83"/>
      <c r="K884" s="84"/>
      <c r="L884" s="85"/>
      <c r="M884" s="84"/>
      <c r="N884" s="86"/>
    </row>
    <row r="885" spans="1:14" x14ac:dyDescent="0.25">
      <c r="A885" s="73"/>
      <c r="B885" s="62" t="s">
        <v>3073</v>
      </c>
      <c r="C885" s="63"/>
      <c r="D885" s="64"/>
      <c r="E885" s="64">
        <v>-0.8</v>
      </c>
      <c r="F885" s="64">
        <v>0.2</v>
      </c>
      <c r="G885" s="64"/>
      <c r="H885" s="64">
        <v>0.01</v>
      </c>
      <c r="I885" s="76">
        <f t="shared" si="56"/>
        <v>-2E-3</v>
      </c>
      <c r="J885" s="83"/>
      <c r="K885" s="84"/>
      <c r="L885" s="85"/>
      <c r="M885" s="84"/>
      <c r="N885" s="86"/>
    </row>
    <row r="886" spans="1:14" x14ac:dyDescent="0.25">
      <c r="A886" s="73"/>
      <c r="B886" s="62" t="s">
        <v>3089</v>
      </c>
      <c r="C886" s="63"/>
      <c r="D886" s="64"/>
      <c r="E886" s="64">
        <v>2.9</v>
      </c>
      <c r="F886" s="64">
        <v>7</v>
      </c>
      <c r="G886" s="64"/>
      <c r="H886" s="64">
        <v>0.01</v>
      </c>
      <c r="I886" s="76">
        <f t="shared" si="56"/>
        <v>0.20300000000000001</v>
      </c>
      <c r="J886" s="83"/>
      <c r="K886" s="84"/>
      <c r="L886" s="85"/>
      <c r="M886" s="84"/>
      <c r="N886" s="86"/>
    </row>
    <row r="887" spans="1:14" x14ac:dyDescent="0.25">
      <c r="A887" s="73"/>
      <c r="B887" s="62"/>
      <c r="C887" s="63"/>
      <c r="D887" s="64"/>
      <c r="E887" s="64">
        <v>2.4</v>
      </c>
      <c r="F887" s="64">
        <v>7</v>
      </c>
      <c r="G887" s="64"/>
      <c r="H887" s="64">
        <v>0.01</v>
      </c>
      <c r="I887" s="76">
        <f t="shared" si="56"/>
        <v>0.16800000000000001</v>
      </c>
      <c r="J887" s="83"/>
      <c r="K887" s="84"/>
      <c r="L887" s="85"/>
      <c r="M887" s="84"/>
      <c r="N887" s="86"/>
    </row>
    <row r="888" spans="1:14" x14ac:dyDescent="0.25">
      <c r="A888" s="73"/>
      <c r="B888" s="62" t="s">
        <v>3073</v>
      </c>
      <c r="C888" s="63"/>
      <c r="D888" s="64">
        <v>2</v>
      </c>
      <c r="E888" s="64">
        <v>-0.2</v>
      </c>
      <c r="F888" s="64">
        <v>0.4</v>
      </c>
      <c r="G888" s="64"/>
      <c r="H888" s="64">
        <v>0.01</v>
      </c>
      <c r="I888" s="76">
        <f t="shared" si="56"/>
        <v>-2E-3</v>
      </c>
      <c r="J888" s="83"/>
      <c r="K888" s="84"/>
      <c r="L888" s="85"/>
      <c r="M888" s="84"/>
      <c r="N888" s="86"/>
    </row>
    <row r="889" spans="1:14" x14ac:dyDescent="0.25">
      <c r="A889" s="73"/>
      <c r="B889" s="62" t="s">
        <v>3090</v>
      </c>
      <c r="C889" s="63"/>
      <c r="D889" s="64"/>
      <c r="E889" s="64">
        <v>2.9</v>
      </c>
      <c r="F889" s="64">
        <v>8.5</v>
      </c>
      <c r="G889" s="64"/>
      <c r="H889" s="64">
        <v>0.01</v>
      </c>
      <c r="I889" s="76">
        <f t="shared" si="56"/>
        <v>0.247</v>
      </c>
      <c r="J889" s="83"/>
      <c r="K889" s="84"/>
      <c r="L889" s="85"/>
      <c r="M889" s="84"/>
      <c r="N889" s="86"/>
    </row>
    <row r="890" spans="1:14" x14ac:dyDescent="0.25">
      <c r="A890" s="73"/>
      <c r="B890" s="62"/>
      <c r="C890" s="63"/>
      <c r="D890" s="64"/>
      <c r="E890" s="64">
        <v>2.4</v>
      </c>
      <c r="F890" s="64">
        <v>8.5</v>
      </c>
      <c r="G890" s="64"/>
      <c r="H890" s="64">
        <v>0.01</v>
      </c>
      <c r="I890" s="76">
        <f t="shared" si="56"/>
        <v>0.20399999999999999</v>
      </c>
      <c r="J890" s="83"/>
      <c r="K890" s="84"/>
      <c r="L890" s="85"/>
      <c r="M890" s="84"/>
      <c r="N890" s="86"/>
    </row>
    <row r="891" spans="1:14" x14ac:dyDescent="0.25">
      <c r="A891" s="73"/>
      <c r="B891" s="62" t="s">
        <v>3073</v>
      </c>
      <c r="C891" s="63"/>
      <c r="D891" s="64">
        <v>2</v>
      </c>
      <c r="E891" s="64">
        <v>-0.2</v>
      </c>
      <c r="F891" s="64">
        <v>0.4</v>
      </c>
      <c r="G891" s="64"/>
      <c r="H891" s="64">
        <v>0.01</v>
      </c>
      <c r="I891" s="76">
        <f t="shared" si="56"/>
        <v>-2E-3</v>
      </c>
      <c r="J891" s="83"/>
      <c r="K891" s="84"/>
      <c r="L891" s="85"/>
      <c r="M891" s="84"/>
      <c r="N891" s="86"/>
    </row>
    <row r="892" spans="1:14" x14ac:dyDescent="0.25">
      <c r="A892" s="73"/>
      <c r="B892" s="62"/>
      <c r="C892" s="63"/>
      <c r="D892" s="64">
        <v>2</v>
      </c>
      <c r="E892" s="64">
        <v>-0.2</v>
      </c>
      <c r="F892" s="64">
        <v>0.8</v>
      </c>
      <c r="G892" s="64"/>
      <c r="H892" s="64">
        <v>0.01</v>
      </c>
      <c r="I892" s="76">
        <f t="shared" si="56"/>
        <v>-3.0000000000000001E-3</v>
      </c>
      <c r="J892" s="83"/>
      <c r="K892" s="84"/>
      <c r="L892" s="85"/>
      <c r="M892" s="84"/>
      <c r="N892" s="86"/>
    </row>
    <row r="893" spans="1:14" x14ac:dyDescent="0.25">
      <c r="A893" s="73"/>
      <c r="B893" s="62" t="s">
        <v>3091</v>
      </c>
      <c r="C893" s="63"/>
      <c r="D893" s="64"/>
      <c r="E893" s="64">
        <v>6.2</v>
      </c>
      <c r="F893" s="64">
        <v>5.7</v>
      </c>
      <c r="G893" s="64"/>
      <c r="H893" s="64">
        <v>0.01</v>
      </c>
      <c r="I893" s="76">
        <f t="shared" si="56"/>
        <v>0.35299999999999998</v>
      </c>
      <c r="J893" s="83"/>
      <c r="K893" s="84"/>
      <c r="L893" s="85"/>
      <c r="M893" s="84"/>
      <c r="N893" s="86"/>
    </row>
    <row r="894" spans="1:14" x14ac:dyDescent="0.25">
      <c r="A894" s="73"/>
      <c r="B894" s="62" t="s">
        <v>3073</v>
      </c>
      <c r="C894" s="63"/>
      <c r="D894" s="64"/>
      <c r="E894" s="64">
        <v>-0.3</v>
      </c>
      <c r="F894" s="64">
        <v>0.3</v>
      </c>
      <c r="G894" s="64"/>
      <c r="H894" s="64">
        <v>0.01</v>
      </c>
      <c r="I894" s="76">
        <f t="shared" si="56"/>
        <v>-1E-3</v>
      </c>
      <c r="J894" s="83"/>
      <c r="K894" s="84"/>
      <c r="L894" s="85"/>
      <c r="M894" s="84"/>
      <c r="N894" s="86"/>
    </row>
    <row r="895" spans="1:14" ht="25.5" x14ac:dyDescent="0.25">
      <c r="A895" s="73">
        <v>41</v>
      </c>
      <c r="B895" s="65" t="s">
        <v>124</v>
      </c>
      <c r="C895" s="63" t="s">
        <v>32</v>
      </c>
      <c r="D895" s="64"/>
      <c r="E895" s="64"/>
      <c r="F895" s="64"/>
      <c r="G895" s="64"/>
      <c r="H895" s="64"/>
      <c r="I895" s="76">
        <f>I896</f>
        <v>15.003</v>
      </c>
      <c r="J895" s="83" t="e">
        <f>PL03a!#REF!</f>
        <v>#REF!</v>
      </c>
      <c r="K895" s="84">
        <f t="shared" ref="K895" si="57">I895</f>
        <v>15.003</v>
      </c>
      <c r="L895" s="85"/>
      <c r="M895" s="84">
        <f>K895</f>
        <v>15.003</v>
      </c>
      <c r="N895" s="86">
        <f>L895+M895</f>
        <v>15.003</v>
      </c>
    </row>
    <row r="896" spans="1:14" x14ac:dyDescent="0.25">
      <c r="A896" s="73"/>
      <c r="B896" s="62" t="s">
        <v>3092</v>
      </c>
      <c r="C896" s="63"/>
      <c r="D896" s="64"/>
      <c r="E896" s="64">
        <v>15003.1</v>
      </c>
      <c r="F896" s="64"/>
      <c r="G896" s="64"/>
      <c r="H896" s="64">
        <v>1E-3</v>
      </c>
      <c r="I896" s="76">
        <f t="shared" si="56"/>
        <v>15.003</v>
      </c>
      <c r="J896" s="83"/>
      <c r="K896" s="84"/>
      <c r="L896" s="85"/>
      <c r="M896" s="84"/>
      <c r="N896" s="86"/>
    </row>
    <row r="897" spans="1:14" ht="25.5" x14ac:dyDescent="0.25">
      <c r="A897" s="73">
        <v>42</v>
      </c>
      <c r="B897" s="65" t="s">
        <v>126</v>
      </c>
      <c r="C897" s="63" t="s">
        <v>32</v>
      </c>
      <c r="D897" s="64"/>
      <c r="E897" s="64"/>
      <c r="F897" s="64"/>
      <c r="G897" s="64"/>
      <c r="H897" s="64"/>
      <c r="I897" s="76">
        <f>I898</f>
        <v>6.1459999999999999</v>
      </c>
      <c r="J897" s="83" t="e">
        <f>PL03a!#REF!</f>
        <v>#REF!</v>
      </c>
      <c r="K897" s="84">
        <f t="shared" ref="K897" si="58">I897</f>
        <v>6.1459999999999999</v>
      </c>
      <c r="L897" s="85"/>
      <c r="M897" s="84">
        <f>K897</f>
        <v>6.1459999999999999</v>
      </c>
      <c r="N897" s="86">
        <f>L897+M897</f>
        <v>6.1459999999999999</v>
      </c>
    </row>
    <row r="898" spans="1:14" x14ac:dyDescent="0.25">
      <c r="A898" s="73"/>
      <c r="B898" s="62" t="s">
        <v>3093</v>
      </c>
      <c r="C898" s="63"/>
      <c r="D898" s="64"/>
      <c r="E898" s="64">
        <v>6145.8</v>
      </c>
      <c r="F898" s="64"/>
      <c r="G898" s="64"/>
      <c r="H898" s="64">
        <v>1E-3</v>
      </c>
      <c r="I898" s="76">
        <f t="shared" si="56"/>
        <v>6.1459999999999999</v>
      </c>
      <c r="J898" s="83"/>
      <c r="K898" s="84"/>
      <c r="L898" s="85"/>
      <c r="M898" s="84"/>
      <c r="N898" s="86"/>
    </row>
    <row r="899" spans="1:14" ht="25.5" x14ac:dyDescent="0.25">
      <c r="A899" s="73">
        <v>43</v>
      </c>
      <c r="B899" s="65" t="s">
        <v>128</v>
      </c>
      <c r="C899" s="63" t="s">
        <v>37</v>
      </c>
      <c r="D899" s="64"/>
      <c r="E899" s="64"/>
      <c r="F899" s="64"/>
      <c r="G899" s="64"/>
      <c r="H899" s="64"/>
      <c r="I899" s="76">
        <f>SUM(I900:I908)</f>
        <v>1.2650000000000001</v>
      </c>
      <c r="J899" s="83" t="e">
        <f>PL03a!#REF!</f>
        <v>#REF!</v>
      </c>
      <c r="K899" s="84">
        <f t="shared" ref="K899" si="59">I899</f>
        <v>1.2650000000000001</v>
      </c>
      <c r="L899" s="85"/>
      <c r="M899" s="84">
        <f>K899</f>
        <v>1.2650000000000001</v>
      </c>
      <c r="N899" s="86">
        <f>L899+M899</f>
        <v>1.2650000000000001</v>
      </c>
    </row>
    <row r="900" spans="1:14" x14ac:dyDescent="0.25">
      <c r="A900" s="73"/>
      <c r="B900" s="66" t="s">
        <v>3094</v>
      </c>
      <c r="C900" s="63"/>
      <c r="D900" s="64"/>
      <c r="E900" s="64"/>
      <c r="F900" s="64"/>
      <c r="G900" s="64"/>
      <c r="H900" s="64"/>
      <c r="I900" s="76"/>
      <c r="J900" s="83"/>
      <c r="K900" s="84"/>
      <c r="L900" s="85"/>
      <c r="M900" s="84"/>
      <c r="N900" s="86"/>
    </row>
    <row r="901" spans="1:14" x14ac:dyDescent="0.25">
      <c r="A901" s="73"/>
      <c r="B901" s="62" t="s">
        <v>3095</v>
      </c>
      <c r="C901" s="63"/>
      <c r="D901" s="64">
        <v>4</v>
      </c>
      <c r="E901" s="64">
        <v>1.4</v>
      </c>
      <c r="F901" s="64">
        <v>0.2</v>
      </c>
      <c r="G901" s="64">
        <v>0.1</v>
      </c>
      <c r="H901" s="64"/>
      <c r="I901" s="76">
        <f t="shared" si="56"/>
        <v>0.112</v>
      </c>
      <c r="J901" s="83"/>
      <c r="K901" s="84"/>
      <c r="L901" s="85"/>
      <c r="M901" s="84"/>
      <c r="N901" s="86"/>
    </row>
    <row r="902" spans="1:14" x14ac:dyDescent="0.25">
      <c r="A902" s="73"/>
      <c r="B902" s="62" t="s">
        <v>3096</v>
      </c>
      <c r="C902" s="63"/>
      <c r="D902" s="64">
        <v>9</v>
      </c>
      <c r="E902" s="64">
        <v>1.9</v>
      </c>
      <c r="F902" s="64">
        <v>0.2</v>
      </c>
      <c r="G902" s="64">
        <v>0.15</v>
      </c>
      <c r="H902" s="64"/>
      <c r="I902" s="76">
        <f t="shared" si="56"/>
        <v>0.51300000000000001</v>
      </c>
      <c r="J902" s="83"/>
      <c r="K902" s="84"/>
      <c r="L902" s="85"/>
      <c r="M902" s="84"/>
      <c r="N902" s="86"/>
    </row>
    <row r="903" spans="1:14" x14ac:dyDescent="0.25">
      <c r="A903" s="73"/>
      <c r="B903" s="62" t="s">
        <v>3097</v>
      </c>
      <c r="C903" s="63"/>
      <c r="D903" s="64">
        <v>1</v>
      </c>
      <c r="E903" s="64">
        <v>2.4</v>
      </c>
      <c r="F903" s="64">
        <v>0.2</v>
      </c>
      <c r="G903" s="64">
        <v>0.2</v>
      </c>
      <c r="H903" s="64"/>
      <c r="I903" s="76">
        <f t="shared" si="56"/>
        <v>9.6000000000000002E-2</v>
      </c>
      <c r="J903" s="83"/>
      <c r="K903" s="84"/>
      <c r="L903" s="85"/>
      <c r="M903" s="84"/>
      <c r="N903" s="86"/>
    </row>
    <row r="904" spans="1:14" x14ac:dyDescent="0.25">
      <c r="A904" s="73"/>
      <c r="B904" s="62" t="s">
        <v>3098</v>
      </c>
      <c r="C904" s="63"/>
      <c r="D904" s="64">
        <v>2</v>
      </c>
      <c r="E904" s="64">
        <v>3.4</v>
      </c>
      <c r="F904" s="64">
        <v>0.2</v>
      </c>
      <c r="G904" s="64">
        <v>0.3</v>
      </c>
      <c r="H904" s="64"/>
      <c r="I904" s="76">
        <f t="shared" si="56"/>
        <v>0.40799999999999997</v>
      </c>
      <c r="J904" s="83"/>
      <c r="K904" s="84"/>
      <c r="L904" s="85"/>
      <c r="M904" s="84"/>
      <c r="N904" s="86"/>
    </row>
    <row r="905" spans="1:14" x14ac:dyDescent="0.25">
      <c r="A905" s="73"/>
      <c r="B905" s="62" t="s">
        <v>3099</v>
      </c>
      <c r="C905" s="63"/>
      <c r="D905" s="64">
        <v>1</v>
      </c>
      <c r="E905" s="64">
        <v>1</v>
      </c>
      <c r="F905" s="64">
        <v>0.2</v>
      </c>
      <c r="G905" s="64">
        <v>0.1</v>
      </c>
      <c r="H905" s="64"/>
      <c r="I905" s="76">
        <f t="shared" si="56"/>
        <v>0.02</v>
      </c>
      <c r="J905" s="83"/>
      <c r="K905" s="84"/>
      <c r="L905" s="85"/>
      <c r="M905" s="84"/>
      <c r="N905" s="86"/>
    </row>
    <row r="906" spans="1:14" x14ac:dyDescent="0.25">
      <c r="A906" s="73"/>
      <c r="B906" s="62" t="s">
        <v>3100</v>
      </c>
      <c r="C906" s="63"/>
      <c r="D906" s="64">
        <v>1</v>
      </c>
      <c r="E906" s="64">
        <v>1.1499999999999999</v>
      </c>
      <c r="F906" s="64">
        <v>0.1</v>
      </c>
      <c r="G906" s="64">
        <v>0.1</v>
      </c>
      <c r="H906" s="64"/>
      <c r="I906" s="76">
        <f t="shared" si="56"/>
        <v>1.2E-2</v>
      </c>
      <c r="J906" s="83"/>
      <c r="K906" s="84"/>
      <c r="L906" s="85"/>
      <c r="M906" s="84"/>
      <c r="N906" s="86"/>
    </row>
    <row r="907" spans="1:14" x14ac:dyDescent="0.25">
      <c r="A907" s="73"/>
      <c r="B907" s="62" t="s">
        <v>3101</v>
      </c>
      <c r="C907" s="63"/>
      <c r="D907" s="64">
        <v>6</v>
      </c>
      <c r="E907" s="64">
        <v>1.3</v>
      </c>
      <c r="F907" s="64">
        <v>0.1</v>
      </c>
      <c r="G907" s="64">
        <v>0.1</v>
      </c>
      <c r="H907" s="64"/>
      <c r="I907" s="76">
        <f t="shared" si="56"/>
        <v>7.8E-2</v>
      </c>
      <c r="J907" s="83"/>
      <c r="K907" s="84"/>
      <c r="L907" s="85"/>
      <c r="M907" s="84"/>
      <c r="N907" s="86"/>
    </row>
    <row r="908" spans="1:14" x14ac:dyDescent="0.25">
      <c r="A908" s="73"/>
      <c r="B908" s="62" t="s">
        <v>3102</v>
      </c>
      <c r="C908" s="63"/>
      <c r="D908" s="64">
        <v>1</v>
      </c>
      <c r="E908" s="64">
        <v>1.3</v>
      </c>
      <c r="F908" s="64">
        <v>0.2</v>
      </c>
      <c r="G908" s="64">
        <v>0.1</v>
      </c>
      <c r="H908" s="64"/>
      <c r="I908" s="76">
        <f t="shared" si="56"/>
        <v>2.5999999999999999E-2</v>
      </c>
      <c r="J908" s="83"/>
      <c r="K908" s="84"/>
      <c r="L908" s="85"/>
      <c r="M908" s="84"/>
      <c r="N908" s="86"/>
    </row>
    <row r="909" spans="1:14" ht="25.5" x14ac:dyDescent="0.25">
      <c r="A909" s="73">
        <v>44</v>
      </c>
      <c r="B909" s="65" t="s">
        <v>130</v>
      </c>
      <c r="C909" s="63" t="s">
        <v>61</v>
      </c>
      <c r="D909" s="64"/>
      <c r="E909" s="64"/>
      <c r="F909" s="64"/>
      <c r="G909" s="64"/>
      <c r="H909" s="64"/>
      <c r="I909" s="76">
        <f>SUM(I910:I918)</f>
        <v>0.21099999999999999</v>
      </c>
      <c r="J909" s="83" t="e">
        <f>PL03a!#REF!</f>
        <v>#REF!</v>
      </c>
      <c r="K909" s="84">
        <f t="shared" ref="K909" si="60">I909</f>
        <v>0.21099999999999999</v>
      </c>
      <c r="L909" s="85"/>
      <c r="M909" s="84">
        <f>K909</f>
        <v>0.21099999999999999</v>
      </c>
      <c r="N909" s="86">
        <f>L909+M909</f>
        <v>0.21099999999999999</v>
      </c>
    </row>
    <row r="910" spans="1:14" x14ac:dyDescent="0.25">
      <c r="A910" s="73"/>
      <c r="B910" s="66" t="s">
        <v>3094</v>
      </c>
      <c r="C910" s="63"/>
      <c r="D910" s="64"/>
      <c r="E910" s="64"/>
      <c r="F910" s="64"/>
      <c r="G910" s="64"/>
      <c r="H910" s="64"/>
      <c r="I910" s="76"/>
      <c r="J910" s="83"/>
      <c r="K910" s="84"/>
      <c r="L910" s="85"/>
      <c r="M910" s="84"/>
      <c r="N910" s="86"/>
    </row>
    <row r="911" spans="1:14" x14ac:dyDescent="0.25">
      <c r="A911" s="73"/>
      <c r="B911" s="62" t="s">
        <v>3095</v>
      </c>
      <c r="C911" s="63"/>
      <c r="D911" s="64">
        <v>4</v>
      </c>
      <c r="E911" s="64">
        <v>1.4</v>
      </c>
      <c r="F911" s="64">
        <v>0.4</v>
      </c>
      <c r="G911" s="64"/>
      <c r="H911" s="64">
        <v>0.01</v>
      </c>
      <c r="I911" s="76">
        <f t="shared" si="56"/>
        <v>2.1999999999999999E-2</v>
      </c>
      <c r="J911" s="83"/>
      <c r="K911" s="84"/>
      <c r="L911" s="85"/>
      <c r="M911" s="84"/>
      <c r="N911" s="86"/>
    </row>
    <row r="912" spans="1:14" x14ac:dyDescent="0.25">
      <c r="A912" s="73"/>
      <c r="B912" s="62" t="s">
        <v>3096</v>
      </c>
      <c r="C912" s="63"/>
      <c r="D912" s="64">
        <v>9</v>
      </c>
      <c r="E912" s="64">
        <v>1.9</v>
      </c>
      <c r="F912" s="64">
        <v>0.5</v>
      </c>
      <c r="G912" s="64"/>
      <c r="H912" s="64">
        <v>0.01</v>
      </c>
      <c r="I912" s="76">
        <f t="shared" si="56"/>
        <v>8.5999999999999993E-2</v>
      </c>
      <c r="J912" s="83"/>
      <c r="K912" s="84"/>
      <c r="L912" s="85"/>
      <c r="M912" s="84"/>
      <c r="N912" s="86"/>
    </row>
    <row r="913" spans="1:14" x14ac:dyDescent="0.25">
      <c r="A913" s="73"/>
      <c r="B913" s="62" t="s">
        <v>3097</v>
      </c>
      <c r="C913" s="63"/>
      <c r="D913" s="64">
        <v>1</v>
      </c>
      <c r="E913" s="64">
        <v>2.4</v>
      </c>
      <c r="F913" s="64">
        <v>0.6</v>
      </c>
      <c r="G913" s="64"/>
      <c r="H913" s="64">
        <v>0.01</v>
      </c>
      <c r="I913" s="76">
        <f t="shared" si="56"/>
        <v>1.4E-2</v>
      </c>
      <c r="J913" s="83"/>
      <c r="K913" s="84"/>
      <c r="L913" s="85"/>
      <c r="M913" s="84"/>
      <c r="N913" s="86"/>
    </row>
    <row r="914" spans="1:14" x14ac:dyDescent="0.25">
      <c r="A914" s="73"/>
      <c r="B914" s="62" t="s">
        <v>3098</v>
      </c>
      <c r="C914" s="63"/>
      <c r="D914" s="64">
        <v>2</v>
      </c>
      <c r="E914" s="64">
        <v>3.4</v>
      </c>
      <c r="F914" s="64">
        <v>0.8</v>
      </c>
      <c r="G914" s="64"/>
      <c r="H914" s="64">
        <v>0.01</v>
      </c>
      <c r="I914" s="76">
        <f t="shared" si="56"/>
        <v>5.3999999999999999E-2</v>
      </c>
      <c r="J914" s="83"/>
      <c r="K914" s="84"/>
      <c r="L914" s="85"/>
      <c r="M914" s="84"/>
      <c r="N914" s="86"/>
    </row>
    <row r="915" spans="1:14" x14ac:dyDescent="0.25">
      <c r="A915" s="73"/>
      <c r="B915" s="62" t="s">
        <v>3099</v>
      </c>
      <c r="C915" s="63"/>
      <c r="D915" s="64">
        <v>1</v>
      </c>
      <c r="E915" s="64">
        <v>1</v>
      </c>
      <c r="F915" s="64">
        <v>0.4</v>
      </c>
      <c r="G915" s="64"/>
      <c r="H915" s="64">
        <v>0.01</v>
      </c>
      <c r="I915" s="76">
        <f t="shared" si="56"/>
        <v>4.0000000000000001E-3</v>
      </c>
      <c r="J915" s="83"/>
      <c r="K915" s="84"/>
      <c r="L915" s="85"/>
      <c r="M915" s="84"/>
      <c r="N915" s="86"/>
    </row>
    <row r="916" spans="1:14" x14ac:dyDescent="0.25">
      <c r="A916" s="73"/>
      <c r="B916" s="62" t="s">
        <v>3100</v>
      </c>
      <c r="C916" s="63"/>
      <c r="D916" s="64">
        <v>1</v>
      </c>
      <c r="E916" s="64">
        <v>1.1499999999999999</v>
      </c>
      <c r="F916" s="64">
        <v>0.3</v>
      </c>
      <c r="G916" s="64"/>
      <c r="H916" s="64">
        <v>0.01</v>
      </c>
      <c r="I916" s="76">
        <f t="shared" si="56"/>
        <v>3.0000000000000001E-3</v>
      </c>
      <c r="J916" s="83"/>
      <c r="K916" s="84"/>
      <c r="L916" s="85"/>
      <c r="M916" s="84"/>
      <c r="N916" s="86"/>
    </row>
    <row r="917" spans="1:14" x14ac:dyDescent="0.25">
      <c r="A917" s="73"/>
      <c r="B917" s="62" t="s">
        <v>3101</v>
      </c>
      <c r="C917" s="63"/>
      <c r="D917" s="64">
        <v>6</v>
      </c>
      <c r="E917" s="64">
        <v>1.3</v>
      </c>
      <c r="F917" s="64">
        <v>0.3</v>
      </c>
      <c r="G917" s="64"/>
      <c r="H917" s="64">
        <v>0.01</v>
      </c>
      <c r="I917" s="76">
        <f t="shared" si="56"/>
        <v>2.3E-2</v>
      </c>
      <c r="J917" s="83"/>
      <c r="K917" s="84"/>
      <c r="L917" s="85"/>
      <c r="M917" s="84"/>
      <c r="N917" s="86"/>
    </row>
    <row r="918" spans="1:14" x14ac:dyDescent="0.25">
      <c r="A918" s="73"/>
      <c r="B918" s="62" t="s">
        <v>3102</v>
      </c>
      <c r="C918" s="63"/>
      <c r="D918" s="64">
        <v>1</v>
      </c>
      <c r="E918" s="64">
        <v>1.3</v>
      </c>
      <c r="F918" s="64">
        <v>0.4</v>
      </c>
      <c r="G918" s="64"/>
      <c r="H918" s="64">
        <v>0.01</v>
      </c>
      <c r="I918" s="76">
        <f t="shared" si="56"/>
        <v>5.0000000000000001E-3</v>
      </c>
      <c r="J918" s="83"/>
      <c r="K918" s="84"/>
      <c r="L918" s="85"/>
      <c r="M918" s="84"/>
      <c r="N918" s="86"/>
    </row>
    <row r="919" spans="1:14" ht="25.5" x14ac:dyDescent="0.25">
      <c r="A919" s="73">
        <v>45</v>
      </c>
      <c r="B919" s="65" t="s">
        <v>132</v>
      </c>
      <c r="C919" s="63" t="s">
        <v>37</v>
      </c>
      <c r="D919" s="64"/>
      <c r="E919" s="64"/>
      <c r="F919" s="64"/>
      <c r="G919" s="64"/>
      <c r="H919" s="64"/>
      <c r="I919" s="76">
        <f>SUM(I920:I929)</f>
        <v>2.46</v>
      </c>
      <c r="J919" s="83" t="e">
        <f>PL03a!#REF!</f>
        <v>#REF!</v>
      </c>
      <c r="K919" s="84">
        <f t="shared" ref="K919" si="61">I919</f>
        <v>2.46</v>
      </c>
      <c r="L919" s="85"/>
      <c r="M919" s="84">
        <f>K919</f>
        <v>2.46</v>
      </c>
      <c r="N919" s="86">
        <f>L919+M919</f>
        <v>2.46</v>
      </c>
    </row>
    <row r="920" spans="1:14" x14ac:dyDescent="0.25">
      <c r="A920" s="73"/>
      <c r="B920" s="66" t="s">
        <v>3103</v>
      </c>
      <c r="C920" s="63"/>
      <c r="D920" s="64"/>
      <c r="E920" s="64"/>
      <c r="F920" s="64"/>
      <c r="G920" s="64"/>
      <c r="H920" s="64"/>
      <c r="I920" s="76"/>
      <c r="J920" s="83"/>
      <c r="K920" s="84"/>
      <c r="L920" s="85"/>
      <c r="M920" s="84"/>
      <c r="N920" s="86"/>
    </row>
    <row r="921" spans="1:14" x14ac:dyDescent="0.25">
      <c r="A921" s="73"/>
      <c r="B921" s="66" t="s">
        <v>3104</v>
      </c>
      <c r="C921" s="63"/>
      <c r="D921" s="64"/>
      <c r="E921" s="64"/>
      <c r="F921" s="64"/>
      <c r="G921" s="64"/>
      <c r="H921" s="64"/>
      <c r="I921" s="76"/>
      <c r="J921" s="83"/>
      <c r="K921" s="84"/>
      <c r="L921" s="85"/>
      <c r="M921" s="84"/>
      <c r="N921" s="86"/>
    </row>
    <row r="922" spans="1:14" x14ac:dyDescent="0.25">
      <c r="A922" s="73"/>
      <c r="B922" s="62" t="s">
        <v>3105</v>
      </c>
      <c r="C922" s="63"/>
      <c r="D922" s="64"/>
      <c r="E922" s="64">
        <v>3.2</v>
      </c>
      <c r="F922" s="64">
        <v>0.2</v>
      </c>
      <c r="G922" s="64">
        <v>0.4</v>
      </c>
      <c r="H922" s="64"/>
      <c r="I922" s="76">
        <f t="shared" si="56"/>
        <v>0.25600000000000001</v>
      </c>
      <c r="J922" s="83"/>
      <c r="K922" s="84"/>
      <c r="L922" s="85"/>
      <c r="M922" s="84"/>
      <c r="N922" s="86"/>
    </row>
    <row r="923" spans="1:14" x14ac:dyDescent="0.25">
      <c r="A923" s="73"/>
      <c r="B923" s="62" t="s">
        <v>3106</v>
      </c>
      <c r="C923" s="63"/>
      <c r="D923" s="64"/>
      <c r="E923" s="64">
        <v>3.2</v>
      </c>
      <c r="F923" s="64">
        <v>1.25</v>
      </c>
      <c r="G923" s="64">
        <v>0.12</v>
      </c>
      <c r="H923" s="64"/>
      <c r="I923" s="76">
        <f t="shared" si="56"/>
        <v>0.48</v>
      </c>
      <c r="J923" s="83"/>
      <c r="K923" s="84"/>
      <c r="L923" s="85"/>
      <c r="M923" s="84"/>
      <c r="N923" s="86"/>
    </row>
    <row r="924" spans="1:14" x14ac:dyDescent="0.25">
      <c r="A924" s="73"/>
      <c r="B924" s="62"/>
      <c r="C924" s="63"/>
      <c r="D924" s="64"/>
      <c r="E924" s="64">
        <v>3.25</v>
      </c>
      <c r="F924" s="64">
        <v>1.35</v>
      </c>
      <c r="G924" s="64">
        <v>0.12</v>
      </c>
      <c r="H924" s="64"/>
      <c r="I924" s="76">
        <f t="shared" si="56"/>
        <v>0.52700000000000002</v>
      </c>
      <c r="J924" s="83"/>
      <c r="K924" s="84"/>
      <c r="L924" s="85"/>
      <c r="M924" s="84"/>
      <c r="N924" s="86"/>
    </row>
    <row r="925" spans="1:14" x14ac:dyDescent="0.25">
      <c r="A925" s="73"/>
      <c r="B925" s="62" t="s">
        <v>3107</v>
      </c>
      <c r="C925" s="63"/>
      <c r="D925" s="64"/>
      <c r="E925" s="64">
        <v>1.05</v>
      </c>
      <c r="F925" s="64">
        <v>2.8</v>
      </c>
      <c r="G925" s="64">
        <v>0.12</v>
      </c>
      <c r="H925" s="64"/>
      <c r="I925" s="76">
        <f t="shared" si="56"/>
        <v>0.35299999999999998</v>
      </c>
      <c r="J925" s="83"/>
      <c r="K925" s="84"/>
      <c r="L925" s="85"/>
      <c r="M925" s="84"/>
      <c r="N925" s="86"/>
    </row>
    <row r="926" spans="1:14" x14ac:dyDescent="0.25">
      <c r="A926" s="73"/>
      <c r="B926" s="66" t="s">
        <v>3108</v>
      </c>
      <c r="C926" s="63"/>
      <c r="D926" s="64"/>
      <c r="E926" s="64"/>
      <c r="F926" s="64"/>
      <c r="G926" s="64"/>
      <c r="H926" s="64"/>
      <c r="I926" s="76"/>
      <c r="J926" s="83"/>
      <c r="K926" s="84"/>
      <c r="L926" s="85"/>
      <c r="M926" s="84"/>
      <c r="N926" s="86"/>
    </row>
    <row r="927" spans="1:14" x14ac:dyDescent="0.25">
      <c r="A927" s="73"/>
      <c r="B927" s="66" t="s">
        <v>3104</v>
      </c>
      <c r="C927" s="63"/>
      <c r="D927" s="64"/>
      <c r="E927" s="64"/>
      <c r="F927" s="64"/>
      <c r="G927" s="64"/>
      <c r="H927" s="64"/>
      <c r="I927" s="76"/>
      <c r="J927" s="83"/>
      <c r="K927" s="84"/>
      <c r="L927" s="85"/>
      <c r="M927" s="84"/>
      <c r="N927" s="86"/>
    </row>
    <row r="928" spans="1:14" x14ac:dyDescent="0.25">
      <c r="A928" s="73"/>
      <c r="B928" s="62" t="s">
        <v>3106</v>
      </c>
      <c r="C928" s="63"/>
      <c r="D928" s="64"/>
      <c r="E928" s="64">
        <v>3.9</v>
      </c>
      <c r="F928" s="64">
        <v>1.35</v>
      </c>
      <c r="G928" s="64">
        <v>0.12</v>
      </c>
      <c r="H928" s="64"/>
      <c r="I928" s="76">
        <f t="shared" si="56"/>
        <v>0.63200000000000001</v>
      </c>
      <c r="J928" s="83"/>
      <c r="K928" s="84"/>
      <c r="L928" s="85"/>
      <c r="M928" s="84"/>
      <c r="N928" s="86"/>
    </row>
    <row r="929" spans="1:14" x14ac:dyDescent="0.25">
      <c r="A929" s="73"/>
      <c r="B929" s="62" t="s">
        <v>3107</v>
      </c>
      <c r="C929" s="63"/>
      <c r="D929" s="64"/>
      <c r="E929" s="64">
        <v>1.04</v>
      </c>
      <c r="F929" s="64">
        <v>1.36</v>
      </c>
      <c r="G929" s="64">
        <v>0.15</v>
      </c>
      <c r="H929" s="64"/>
      <c r="I929" s="76">
        <f t="shared" si="56"/>
        <v>0.21199999999999999</v>
      </c>
      <c r="J929" s="83"/>
      <c r="K929" s="84"/>
      <c r="L929" s="85"/>
      <c r="M929" s="84"/>
      <c r="N929" s="86"/>
    </row>
    <row r="930" spans="1:14" x14ac:dyDescent="0.25">
      <c r="A930" s="73">
        <v>46</v>
      </c>
      <c r="B930" s="65" t="s">
        <v>134</v>
      </c>
      <c r="C930" s="63" t="s">
        <v>61</v>
      </c>
      <c r="D930" s="64"/>
      <c r="E930" s="64"/>
      <c r="F930" s="64"/>
      <c r="G930" s="64"/>
      <c r="H930" s="64"/>
      <c r="I930" s="76">
        <f>SUM(I931:I939)</f>
        <v>0.21200000000000002</v>
      </c>
      <c r="J930" s="83" t="e">
        <f>PL03a!#REF!</f>
        <v>#REF!</v>
      </c>
      <c r="K930" s="84">
        <f t="shared" ref="K930" si="62">I930</f>
        <v>0.21200000000000002</v>
      </c>
      <c r="L930" s="85"/>
      <c r="M930" s="84">
        <f>K930</f>
        <v>0.21200000000000002</v>
      </c>
      <c r="N930" s="86">
        <f>L930+M930</f>
        <v>0.21200000000000002</v>
      </c>
    </row>
    <row r="931" spans="1:14" x14ac:dyDescent="0.25">
      <c r="A931" s="73"/>
      <c r="B931" s="66" t="s">
        <v>3103</v>
      </c>
      <c r="C931" s="63"/>
      <c r="D931" s="64"/>
      <c r="E931" s="64"/>
      <c r="F931" s="64"/>
      <c r="G931" s="64"/>
      <c r="H931" s="64"/>
      <c r="I931" s="76"/>
      <c r="J931" s="83"/>
      <c r="K931" s="84"/>
      <c r="L931" s="85"/>
      <c r="M931" s="84"/>
      <c r="N931" s="86"/>
    </row>
    <row r="932" spans="1:14" x14ac:dyDescent="0.25">
      <c r="A932" s="73"/>
      <c r="B932" s="62" t="s">
        <v>3105</v>
      </c>
      <c r="C932" s="63"/>
      <c r="D932" s="64"/>
      <c r="E932" s="64">
        <v>3.2</v>
      </c>
      <c r="F932" s="64">
        <v>1</v>
      </c>
      <c r="G932" s="64"/>
      <c r="H932" s="64">
        <v>0.01</v>
      </c>
      <c r="I932" s="76">
        <f t="shared" si="56"/>
        <v>3.2000000000000001E-2</v>
      </c>
      <c r="J932" s="83"/>
      <c r="K932" s="84"/>
      <c r="L932" s="85"/>
      <c r="M932" s="84"/>
      <c r="N932" s="86"/>
    </row>
    <row r="933" spans="1:14" x14ac:dyDescent="0.25">
      <c r="A933" s="73"/>
      <c r="B933" s="62" t="s">
        <v>3106</v>
      </c>
      <c r="C933" s="63"/>
      <c r="D933" s="64"/>
      <c r="E933" s="64">
        <v>3.2</v>
      </c>
      <c r="F933" s="64">
        <v>1.25</v>
      </c>
      <c r="G933" s="64"/>
      <c r="H933" s="64">
        <v>0.01</v>
      </c>
      <c r="I933" s="76">
        <f t="shared" si="56"/>
        <v>0.04</v>
      </c>
      <c r="J933" s="83"/>
      <c r="K933" s="84"/>
      <c r="L933" s="85"/>
      <c r="M933" s="84"/>
      <c r="N933" s="86"/>
    </row>
    <row r="934" spans="1:14" x14ac:dyDescent="0.25">
      <c r="A934" s="73"/>
      <c r="B934" s="62"/>
      <c r="C934" s="63"/>
      <c r="D934" s="64"/>
      <c r="E934" s="64">
        <v>3.25</v>
      </c>
      <c r="F934" s="64">
        <v>1.35</v>
      </c>
      <c r="G934" s="64"/>
      <c r="H934" s="64">
        <v>0.01</v>
      </c>
      <c r="I934" s="76">
        <f t="shared" si="56"/>
        <v>4.3999999999999997E-2</v>
      </c>
      <c r="J934" s="83"/>
      <c r="K934" s="84"/>
      <c r="L934" s="85"/>
      <c r="M934" s="84"/>
      <c r="N934" s="86"/>
    </row>
    <row r="935" spans="1:14" x14ac:dyDescent="0.25">
      <c r="A935" s="73"/>
      <c r="B935" s="62" t="s">
        <v>3107</v>
      </c>
      <c r="C935" s="63"/>
      <c r="D935" s="64"/>
      <c r="E935" s="64">
        <v>1.05</v>
      </c>
      <c r="F935" s="64">
        <v>2.8</v>
      </c>
      <c r="G935" s="64"/>
      <c r="H935" s="64">
        <v>0.01</v>
      </c>
      <c r="I935" s="76">
        <f t="shared" si="56"/>
        <v>2.9000000000000001E-2</v>
      </c>
      <c r="J935" s="83"/>
      <c r="K935" s="84"/>
      <c r="L935" s="85"/>
      <c r="M935" s="84"/>
      <c r="N935" s="86"/>
    </row>
    <row r="936" spans="1:14" x14ac:dyDescent="0.25">
      <c r="A936" s="73"/>
      <c r="B936" s="66" t="s">
        <v>3108</v>
      </c>
      <c r="C936" s="63"/>
      <c r="D936" s="64"/>
      <c r="E936" s="64"/>
      <c r="F936" s="64"/>
      <c r="G936" s="64"/>
      <c r="H936" s="64"/>
      <c r="I936" s="76"/>
      <c r="J936" s="83"/>
      <c r="K936" s="84"/>
      <c r="L936" s="85"/>
      <c r="M936" s="84"/>
      <c r="N936" s="86"/>
    </row>
    <row r="937" spans="1:14" x14ac:dyDescent="0.25">
      <c r="A937" s="73"/>
      <c r="B937" s="66" t="s">
        <v>3104</v>
      </c>
      <c r="C937" s="63"/>
      <c r="D937" s="64"/>
      <c r="E937" s="64"/>
      <c r="F937" s="64"/>
      <c r="G937" s="64"/>
      <c r="H937" s="64"/>
      <c r="I937" s="76"/>
      <c r="J937" s="83"/>
      <c r="K937" s="84"/>
      <c r="L937" s="85"/>
      <c r="M937" s="84"/>
      <c r="N937" s="86"/>
    </row>
    <row r="938" spans="1:14" x14ac:dyDescent="0.25">
      <c r="A938" s="73"/>
      <c r="B938" s="62" t="s">
        <v>3106</v>
      </c>
      <c r="C938" s="63"/>
      <c r="D938" s="64"/>
      <c r="E938" s="64">
        <v>3.9</v>
      </c>
      <c r="F938" s="64">
        <v>1.35</v>
      </c>
      <c r="G938" s="64"/>
      <c r="H938" s="64">
        <v>0.01</v>
      </c>
      <c r="I938" s="76">
        <f t="shared" si="56"/>
        <v>5.2999999999999999E-2</v>
      </c>
      <c r="J938" s="83"/>
      <c r="K938" s="84"/>
      <c r="L938" s="85"/>
      <c r="M938" s="84"/>
      <c r="N938" s="86"/>
    </row>
    <row r="939" spans="1:14" x14ac:dyDescent="0.25">
      <c r="A939" s="73"/>
      <c r="B939" s="62" t="s">
        <v>3107</v>
      </c>
      <c r="C939" s="63"/>
      <c r="D939" s="64"/>
      <c r="E939" s="64">
        <v>1.04</v>
      </c>
      <c r="F939" s="64">
        <v>1.36</v>
      </c>
      <c r="G939" s="64"/>
      <c r="H939" s="64">
        <v>0.01</v>
      </c>
      <c r="I939" s="76">
        <f t="shared" si="56"/>
        <v>1.4E-2</v>
      </c>
      <c r="J939" s="83"/>
      <c r="K939" s="84"/>
      <c r="L939" s="85"/>
      <c r="M939" s="84"/>
      <c r="N939" s="86"/>
    </row>
    <row r="940" spans="1:14" ht="25.5" x14ac:dyDescent="0.25">
      <c r="A940" s="73">
        <v>47</v>
      </c>
      <c r="B940" s="65" t="s">
        <v>136</v>
      </c>
      <c r="C940" s="63" t="s">
        <v>52</v>
      </c>
      <c r="D940" s="64"/>
      <c r="E940" s="64"/>
      <c r="F940" s="64"/>
      <c r="G940" s="64"/>
      <c r="H940" s="64"/>
      <c r="I940" s="76">
        <f>SUM(I941:I946)</f>
        <v>370.173</v>
      </c>
      <c r="J940" s="83" t="e">
        <f>PL03a!#REF!</f>
        <v>#REF!</v>
      </c>
      <c r="K940" s="84">
        <f t="shared" ref="K940" si="63">I940</f>
        <v>370.173</v>
      </c>
      <c r="L940" s="85"/>
      <c r="M940" s="84">
        <f>K940</f>
        <v>370.173</v>
      </c>
      <c r="N940" s="86">
        <f>L940+M940</f>
        <v>370.173</v>
      </c>
    </row>
    <row r="941" spans="1:14" x14ac:dyDescent="0.25">
      <c r="A941" s="73"/>
      <c r="B941" s="66" t="s">
        <v>3109</v>
      </c>
      <c r="C941" s="63"/>
      <c r="D941" s="64"/>
      <c r="E941" s="64"/>
      <c r="F941" s="64"/>
      <c r="G941" s="64"/>
      <c r="H941" s="64"/>
      <c r="I941" s="76"/>
      <c r="J941" s="83"/>
      <c r="K941" s="84"/>
      <c r="L941" s="85"/>
      <c r="M941" s="84"/>
      <c r="N941" s="86"/>
    </row>
    <row r="942" spans="1:14" x14ac:dyDescent="0.25">
      <c r="A942" s="73"/>
      <c r="B942" s="62" t="s">
        <v>3110</v>
      </c>
      <c r="C942" s="63"/>
      <c r="D942" s="64"/>
      <c r="E942" s="64">
        <v>105</v>
      </c>
      <c r="F942" s="64">
        <v>2.6</v>
      </c>
      <c r="G942" s="64"/>
      <c r="H942" s="64"/>
      <c r="I942" s="76">
        <f t="shared" si="56"/>
        <v>273</v>
      </c>
      <c r="J942" s="83"/>
      <c r="K942" s="84"/>
      <c r="L942" s="85"/>
      <c r="M942" s="84"/>
      <c r="N942" s="86"/>
    </row>
    <row r="943" spans="1:14" x14ac:dyDescent="0.25">
      <c r="A943" s="73"/>
      <c r="B943" s="62" t="s">
        <v>3111</v>
      </c>
      <c r="C943" s="63"/>
      <c r="D943" s="64"/>
      <c r="E943" s="64">
        <v>23.45</v>
      </c>
      <c r="F943" s="64">
        <v>2.4500000000000002</v>
      </c>
      <c r="G943" s="64"/>
      <c r="H943" s="64"/>
      <c r="I943" s="76">
        <f t="shared" si="56"/>
        <v>57.453000000000003</v>
      </c>
      <c r="J943" s="83"/>
      <c r="K943" s="84"/>
      <c r="L943" s="85"/>
      <c r="M943" s="84"/>
      <c r="N943" s="86"/>
    </row>
    <row r="944" spans="1:14" x14ac:dyDescent="0.25">
      <c r="A944" s="73"/>
      <c r="B944" s="62" t="s">
        <v>3112</v>
      </c>
      <c r="C944" s="63"/>
      <c r="D944" s="64"/>
      <c r="E944" s="64">
        <v>5.2</v>
      </c>
      <c r="F944" s="64">
        <v>1.45</v>
      </c>
      <c r="G944" s="64"/>
      <c r="H944" s="64"/>
      <c r="I944" s="76">
        <f t="shared" ref="I944:I1007" si="64">ROUND(PRODUCT(D944:H944),3)</f>
        <v>7.54</v>
      </c>
      <c r="J944" s="83"/>
      <c r="K944" s="84"/>
      <c r="L944" s="85"/>
      <c r="M944" s="84"/>
      <c r="N944" s="86"/>
    </row>
    <row r="945" spans="1:14" x14ac:dyDescent="0.25">
      <c r="A945" s="73"/>
      <c r="B945" s="62" t="s">
        <v>3113</v>
      </c>
      <c r="C945" s="63"/>
      <c r="D945" s="64"/>
      <c r="E945" s="64">
        <v>18.600000000000001</v>
      </c>
      <c r="F945" s="64">
        <v>1.25</v>
      </c>
      <c r="G945" s="64"/>
      <c r="H945" s="64"/>
      <c r="I945" s="76">
        <f t="shared" si="64"/>
        <v>23.25</v>
      </c>
      <c r="J945" s="83"/>
      <c r="K945" s="84"/>
      <c r="L945" s="85"/>
      <c r="M945" s="84"/>
      <c r="N945" s="86"/>
    </row>
    <row r="946" spans="1:14" x14ac:dyDescent="0.25">
      <c r="A946" s="73"/>
      <c r="B946" s="62" t="s">
        <v>3114</v>
      </c>
      <c r="C946" s="63"/>
      <c r="D946" s="64"/>
      <c r="E946" s="64">
        <v>7.35</v>
      </c>
      <c r="F946" s="64">
        <v>1.2150000000000001</v>
      </c>
      <c r="G946" s="64"/>
      <c r="H946" s="64"/>
      <c r="I946" s="76">
        <f t="shared" si="64"/>
        <v>8.93</v>
      </c>
      <c r="J946" s="83"/>
      <c r="K946" s="84"/>
      <c r="L946" s="85"/>
      <c r="M946" s="84"/>
      <c r="N946" s="86"/>
    </row>
    <row r="947" spans="1:14" ht="25.5" x14ac:dyDescent="0.25">
      <c r="A947" s="73">
        <v>48</v>
      </c>
      <c r="B947" s="65" t="s">
        <v>138</v>
      </c>
      <c r="C947" s="63" t="s">
        <v>52</v>
      </c>
      <c r="D947" s="64"/>
      <c r="E947" s="64"/>
      <c r="F947" s="64"/>
      <c r="G947" s="64"/>
      <c r="H947" s="64"/>
      <c r="I947" s="76">
        <f>I948</f>
        <v>370.173</v>
      </c>
      <c r="J947" s="83" t="e">
        <f>PL03a!#REF!</f>
        <v>#REF!</v>
      </c>
      <c r="K947" s="84">
        <f t="shared" ref="K947" si="65">I947</f>
        <v>370.173</v>
      </c>
      <c r="L947" s="85"/>
      <c r="M947" s="84">
        <f>K947</f>
        <v>370.173</v>
      </c>
      <c r="N947" s="86">
        <f>L947+M947</f>
        <v>370.173</v>
      </c>
    </row>
    <row r="948" spans="1:14" x14ac:dyDescent="0.25">
      <c r="A948" s="73"/>
      <c r="B948" s="62" t="s">
        <v>3115</v>
      </c>
      <c r="C948" s="63"/>
      <c r="D948" s="64"/>
      <c r="E948" s="64">
        <v>370.173</v>
      </c>
      <c r="F948" s="64"/>
      <c r="G948" s="64"/>
      <c r="H948" s="64"/>
      <c r="I948" s="76">
        <f t="shared" si="64"/>
        <v>370.173</v>
      </c>
      <c r="J948" s="83"/>
      <c r="K948" s="84"/>
      <c r="L948" s="85"/>
      <c r="M948" s="84"/>
      <c r="N948" s="86"/>
    </row>
    <row r="949" spans="1:14" x14ac:dyDescent="0.25">
      <c r="A949" s="74">
        <v>49</v>
      </c>
      <c r="B949" s="59" t="s">
        <v>140</v>
      </c>
      <c r="C949" s="60" t="s">
        <v>52</v>
      </c>
      <c r="D949" s="61"/>
      <c r="E949" s="61"/>
      <c r="F949" s="61"/>
      <c r="G949" s="61"/>
      <c r="H949" s="61"/>
      <c r="I949" s="76">
        <f>SUM(I950:I1010)</f>
        <v>875.72999999999968</v>
      </c>
      <c r="J949" s="83" t="e">
        <f>PL03a!#REF!</f>
        <v>#REF!</v>
      </c>
      <c r="K949" s="84">
        <f t="shared" ref="K949" si="66">I949</f>
        <v>875.72999999999968</v>
      </c>
      <c r="L949" s="85"/>
      <c r="M949" s="84">
        <f>K949</f>
        <v>875.72999999999968</v>
      </c>
      <c r="N949" s="86">
        <f>L949+M949</f>
        <v>875.72999999999968</v>
      </c>
    </row>
    <row r="950" spans="1:14" x14ac:dyDescent="0.25">
      <c r="A950" s="73"/>
      <c r="B950" s="66" t="s">
        <v>2885</v>
      </c>
      <c r="C950" s="63"/>
      <c r="D950" s="64"/>
      <c r="E950" s="64"/>
      <c r="F950" s="64"/>
      <c r="G950" s="64"/>
      <c r="H950" s="64"/>
      <c r="I950" s="76"/>
      <c r="J950" s="83"/>
      <c r="K950" s="84"/>
      <c r="L950" s="85"/>
      <c r="M950" s="84"/>
      <c r="N950" s="86"/>
    </row>
    <row r="951" spans="1:14" x14ac:dyDescent="0.25">
      <c r="A951" s="73"/>
      <c r="B951" s="62" t="s">
        <v>2886</v>
      </c>
      <c r="C951" s="63"/>
      <c r="D951" s="64"/>
      <c r="E951" s="64">
        <v>24.7</v>
      </c>
      <c r="F951" s="64">
        <v>53.7</v>
      </c>
      <c r="G951" s="64"/>
      <c r="H951" s="64"/>
      <c r="I951" s="76">
        <f t="shared" si="64"/>
        <v>1326.39</v>
      </c>
      <c r="J951" s="83"/>
      <c r="K951" s="84"/>
      <c r="L951" s="85"/>
      <c r="M951" s="84"/>
      <c r="N951" s="86"/>
    </row>
    <row r="952" spans="1:14" x14ac:dyDescent="0.25">
      <c r="A952" s="73"/>
      <c r="B952" s="62" t="s">
        <v>2887</v>
      </c>
      <c r="C952" s="63"/>
      <c r="D952" s="64"/>
      <c r="E952" s="64">
        <v>2</v>
      </c>
      <c r="F952" s="64">
        <v>6.2</v>
      </c>
      <c r="G952" s="64"/>
      <c r="H952" s="64"/>
      <c r="I952" s="76">
        <f t="shared" si="64"/>
        <v>12.4</v>
      </c>
      <c r="J952" s="83"/>
      <c r="K952" s="84"/>
      <c r="L952" s="85"/>
      <c r="M952" s="84"/>
      <c r="N952" s="86"/>
    </row>
    <row r="953" spans="1:14" x14ac:dyDescent="0.25">
      <c r="A953" s="73"/>
      <c r="B953" s="66" t="s">
        <v>2888</v>
      </c>
      <c r="C953" s="63"/>
      <c r="D953" s="64"/>
      <c r="E953" s="64"/>
      <c r="F953" s="64"/>
      <c r="G953" s="64"/>
      <c r="H953" s="64"/>
      <c r="I953" s="76"/>
      <c r="J953" s="83"/>
      <c r="K953" s="84"/>
      <c r="L953" s="85"/>
      <c r="M953" s="84"/>
      <c r="N953" s="86"/>
    </row>
    <row r="954" spans="1:14" x14ac:dyDescent="0.25">
      <c r="A954" s="73"/>
      <c r="B954" s="66" t="s">
        <v>2809</v>
      </c>
      <c r="C954" s="63"/>
      <c r="D954" s="64"/>
      <c r="E954" s="64"/>
      <c r="F954" s="64"/>
      <c r="G954" s="64"/>
      <c r="H954" s="64"/>
      <c r="I954" s="76"/>
      <c r="J954" s="83"/>
      <c r="K954" s="84"/>
      <c r="L954" s="85"/>
      <c r="M954" s="84"/>
      <c r="N954" s="86"/>
    </row>
    <row r="955" spans="1:14" x14ac:dyDescent="0.25">
      <c r="A955" s="73"/>
      <c r="B955" s="66" t="s">
        <v>2889</v>
      </c>
      <c r="C955" s="63"/>
      <c r="D955" s="64"/>
      <c r="E955" s="64"/>
      <c r="F955" s="64"/>
      <c r="G955" s="64"/>
      <c r="H955" s="64"/>
      <c r="I955" s="76"/>
      <c r="J955" s="83"/>
      <c r="K955" s="84"/>
      <c r="L955" s="85"/>
      <c r="M955" s="84"/>
      <c r="N955" s="86"/>
    </row>
    <row r="956" spans="1:14" x14ac:dyDescent="0.25">
      <c r="A956" s="73"/>
      <c r="B956" s="62" t="s">
        <v>2810</v>
      </c>
      <c r="C956" s="63"/>
      <c r="D956" s="64"/>
      <c r="E956" s="64">
        <v>-0.4</v>
      </c>
      <c r="F956" s="64">
        <v>0.4</v>
      </c>
      <c r="G956" s="64"/>
      <c r="H956" s="64"/>
      <c r="I956" s="76">
        <f t="shared" si="64"/>
        <v>-0.16</v>
      </c>
      <c r="J956" s="83"/>
      <c r="K956" s="84"/>
      <c r="L956" s="85"/>
      <c r="M956" s="84"/>
      <c r="N956" s="86"/>
    </row>
    <row r="957" spans="1:14" x14ac:dyDescent="0.25">
      <c r="A957" s="73"/>
      <c r="B957" s="62" t="s">
        <v>2816</v>
      </c>
      <c r="C957" s="63"/>
      <c r="D957" s="64">
        <v>2</v>
      </c>
      <c r="E957" s="64">
        <v>-1.3</v>
      </c>
      <c r="F957" s="64">
        <v>6.5</v>
      </c>
      <c r="G957" s="64"/>
      <c r="H957" s="64"/>
      <c r="I957" s="76">
        <f t="shared" si="64"/>
        <v>-16.899999999999999</v>
      </c>
      <c r="J957" s="83"/>
      <c r="K957" s="84"/>
      <c r="L957" s="85"/>
      <c r="M957" s="84"/>
      <c r="N957" s="86"/>
    </row>
    <row r="958" spans="1:14" x14ac:dyDescent="0.25">
      <c r="A958" s="73"/>
      <c r="B958" s="62" t="s">
        <v>2812</v>
      </c>
      <c r="C958" s="63"/>
      <c r="D958" s="64"/>
      <c r="E958" s="64">
        <v>-1.3</v>
      </c>
      <c r="F958" s="64">
        <v>1.9</v>
      </c>
      <c r="G958" s="64"/>
      <c r="H958" s="64"/>
      <c r="I958" s="76">
        <f t="shared" si="64"/>
        <v>-2.4700000000000002</v>
      </c>
      <c r="J958" s="83"/>
      <c r="K958" s="84"/>
      <c r="L958" s="85"/>
      <c r="M958" s="84"/>
      <c r="N958" s="86"/>
    </row>
    <row r="959" spans="1:14" x14ac:dyDescent="0.25">
      <c r="A959" s="73"/>
      <c r="B959" s="66" t="s">
        <v>2890</v>
      </c>
      <c r="C959" s="63"/>
      <c r="D959" s="64"/>
      <c r="E959" s="64"/>
      <c r="F959" s="64"/>
      <c r="G959" s="64"/>
      <c r="H959" s="64"/>
      <c r="I959" s="76"/>
      <c r="J959" s="83"/>
      <c r="K959" s="84"/>
      <c r="L959" s="85"/>
      <c r="M959" s="84"/>
      <c r="N959" s="86"/>
    </row>
    <row r="960" spans="1:14" x14ac:dyDescent="0.25">
      <c r="A960" s="73"/>
      <c r="B960" s="62" t="s">
        <v>2810</v>
      </c>
      <c r="C960" s="63"/>
      <c r="D960" s="64"/>
      <c r="E960" s="64">
        <v>-0.4</v>
      </c>
      <c r="F960" s="64">
        <v>1.1000000000000001</v>
      </c>
      <c r="G960" s="64"/>
      <c r="H960" s="64"/>
      <c r="I960" s="76">
        <f t="shared" si="64"/>
        <v>-0.44</v>
      </c>
      <c r="J960" s="83"/>
      <c r="K960" s="84"/>
      <c r="L960" s="85"/>
      <c r="M960" s="84"/>
      <c r="N960" s="86"/>
    </row>
    <row r="961" spans="1:14" x14ac:dyDescent="0.25">
      <c r="A961" s="73"/>
      <c r="B961" s="62" t="s">
        <v>2817</v>
      </c>
      <c r="C961" s="63"/>
      <c r="D961" s="64"/>
      <c r="E961" s="64">
        <v>-4.3</v>
      </c>
      <c r="F961" s="64">
        <v>4.7</v>
      </c>
      <c r="G961" s="64"/>
      <c r="H961" s="64"/>
      <c r="I961" s="76">
        <f t="shared" si="64"/>
        <v>-20.21</v>
      </c>
      <c r="J961" s="83"/>
      <c r="K961" s="84"/>
      <c r="L961" s="85"/>
      <c r="M961" s="84"/>
      <c r="N961" s="86"/>
    </row>
    <row r="962" spans="1:14" x14ac:dyDescent="0.25">
      <c r="A962" s="73"/>
      <c r="B962" s="62" t="s">
        <v>2821</v>
      </c>
      <c r="C962" s="63"/>
      <c r="D962" s="64"/>
      <c r="E962" s="64">
        <v>-4.3</v>
      </c>
      <c r="F962" s="64">
        <v>6.5</v>
      </c>
      <c r="G962" s="64"/>
      <c r="H962" s="64"/>
      <c r="I962" s="76">
        <f t="shared" si="64"/>
        <v>-27.95</v>
      </c>
      <c r="J962" s="83"/>
      <c r="K962" s="84"/>
      <c r="L962" s="85"/>
      <c r="M962" s="84"/>
      <c r="N962" s="86"/>
    </row>
    <row r="963" spans="1:14" x14ac:dyDescent="0.25">
      <c r="A963" s="73"/>
      <c r="B963" s="62" t="s">
        <v>2814</v>
      </c>
      <c r="C963" s="63"/>
      <c r="D963" s="64"/>
      <c r="E963" s="64">
        <v>-2.8</v>
      </c>
      <c r="F963" s="64">
        <v>2.9</v>
      </c>
      <c r="G963" s="64"/>
      <c r="H963" s="64"/>
      <c r="I963" s="76">
        <f t="shared" si="64"/>
        <v>-8.1199999999999992</v>
      </c>
      <c r="J963" s="83"/>
      <c r="K963" s="84"/>
      <c r="L963" s="85"/>
      <c r="M963" s="84"/>
      <c r="N963" s="86"/>
    </row>
    <row r="964" spans="1:14" x14ac:dyDescent="0.25">
      <c r="A964" s="73"/>
      <c r="B964" s="66" t="s">
        <v>2891</v>
      </c>
      <c r="C964" s="63"/>
      <c r="D964" s="64"/>
      <c r="E964" s="64"/>
      <c r="F964" s="64"/>
      <c r="G964" s="64"/>
      <c r="H964" s="64"/>
      <c r="I964" s="76"/>
      <c r="J964" s="83"/>
      <c r="K964" s="84"/>
      <c r="L964" s="85"/>
      <c r="M964" s="84"/>
      <c r="N964" s="86"/>
    </row>
    <row r="965" spans="1:14" x14ac:dyDescent="0.25">
      <c r="A965" s="73"/>
      <c r="B965" s="62" t="s">
        <v>2810</v>
      </c>
      <c r="C965" s="63"/>
      <c r="D965" s="64"/>
      <c r="E965" s="64">
        <v>-0.4</v>
      </c>
      <c r="F965" s="64">
        <v>1.1000000000000001</v>
      </c>
      <c r="G965" s="64"/>
      <c r="H965" s="64"/>
      <c r="I965" s="76">
        <f t="shared" si="64"/>
        <v>-0.44</v>
      </c>
      <c r="J965" s="83"/>
      <c r="K965" s="84"/>
      <c r="L965" s="85"/>
      <c r="M965" s="84"/>
      <c r="N965" s="86"/>
    </row>
    <row r="966" spans="1:14" x14ac:dyDescent="0.25">
      <c r="A966" s="73"/>
      <c r="B966" s="62" t="s">
        <v>2817</v>
      </c>
      <c r="C966" s="63"/>
      <c r="D966" s="64"/>
      <c r="E966" s="64">
        <v>-4.3</v>
      </c>
      <c r="F966" s="64">
        <v>4.7</v>
      </c>
      <c r="G966" s="64"/>
      <c r="H966" s="64"/>
      <c r="I966" s="76">
        <f t="shared" si="64"/>
        <v>-20.21</v>
      </c>
      <c r="J966" s="83"/>
      <c r="K966" s="84"/>
      <c r="L966" s="85"/>
      <c r="M966" s="84"/>
      <c r="N966" s="86"/>
    </row>
    <row r="967" spans="1:14" x14ac:dyDescent="0.25">
      <c r="A967" s="73"/>
      <c r="B967" s="62" t="s">
        <v>2816</v>
      </c>
      <c r="C967" s="63"/>
      <c r="D967" s="64"/>
      <c r="E967" s="64">
        <v>-2.9</v>
      </c>
      <c r="F967" s="64">
        <v>6.5</v>
      </c>
      <c r="G967" s="64"/>
      <c r="H967" s="64"/>
      <c r="I967" s="76">
        <f t="shared" si="64"/>
        <v>-18.850000000000001</v>
      </c>
      <c r="J967" s="83"/>
      <c r="K967" s="84"/>
      <c r="L967" s="85"/>
      <c r="M967" s="84"/>
      <c r="N967" s="86"/>
    </row>
    <row r="968" spans="1:14" x14ac:dyDescent="0.25">
      <c r="A968" s="73"/>
      <c r="B968" s="62" t="s">
        <v>2812</v>
      </c>
      <c r="C968" s="63"/>
      <c r="D968" s="64"/>
      <c r="E968" s="64">
        <v>-1.3</v>
      </c>
      <c r="F968" s="64">
        <v>2.9</v>
      </c>
      <c r="G968" s="64"/>
      <c r="H968" s="64"/>
      <c r="I968" s="76">
        <f t="shared" si="64"/>
        <v>-3.77</v>
      </c>
      <c r="J968" s="83"/>
      <c r="K968" s="84"/>
      <c r="L968" s="85"/>
      <c r="M968" s="84"/>
      <c r="N968" s="86"/>
    </row>
    <row r="969" spans="1:14" x14ac:dyDescent="0.25">
      <c r="A969" s="73"/>
      <c r="B969" s="66" t="s">
        <v>2892</v>
      </c>
      <c r="C969" s="63"/>
      <c r="D969" s="64"/>
      <c r="E969" s="64"/>
      <c r="F969" s="64"/>
      <c r="G969" s="64"/>
      <c r="H969" s="64"/>
      <c r="I969" s="76"/>
      <c r="J969" s="83"/>
      <c r="K969" s="84"/>
      <c r="L969" s="85"/>
      <c r="M969" s="84"/>
      <c r="N969" s="86"/>
    </row>
    <row r="970" spans="1:14" x14ac:dyDescent="0.25">
      <c r="A970" s="73"/>
      <c r="B970" s="62" t="s">
        <v>2815</v>
      </c>
      <c r="C970" s="63"/>
      <c r="D970" s="64"/>
      <c r="E970" s="64">
        <v>-1.7</v>
      </c>
      <c r="F970" s="64">
        <v>4.7</v>
      </c>
      <c r="G970" s="64"/>
      <c r="H970" s="64"/>
      <c r="I970" s="76">
        <f t="shared" si="64"/>
        <v>-7.99</v>
      </c>
      <c r="J970" s="83"/>
      <c r="K970" s="84"/>
      <c r="L970" s="85"/>
      <c r="M970" s="84"/>
      <c r="N970" s="86"/>
    </row>
    <row r="971" spans="1:14" x14ac:dyDescent="0.25">
      <c r="A971" s="73"/>
      <c r="B971" s="62" t="s">
        <v>2819</v>
      </c>
      <c r="C971" s="63"/>
      <c r="D971" s="64"/>
      <c r="E971" s="64">
        <v>-4.7</v>
      </c>
      <c r="F971" s="64">
        <v>4.7</v>
      </c>
      <c r="G971" s="64"/>
      <c r="H971" s="64"/>
      <c r="I971" s="76">
        <f t="shared" si="64"/>
        <v>-22.09</v>
      </c>
      <c r="J971" s="83"/>
      <c r="K971" s="84"/>
      <c r="L971" s="85"/>
      <c r="M971" s="84"/>
      <c r="N971" s="86"/>
    </row>
    <row r="972" spans="1:14" x14ac:dyDescent="0.25">
      <c r="A972" s="73"/>
      <c r="B972" s="62" t="s">
        <v>2827</v>
      </c>
      <c r="C972" s="63"/>
      <c r="D972" s="64"/>
      <c r="E972" s="64">
        <v>-1.8</v>
      </c>
      <c r="F972" s="64">
        <v>4.7</v>
      </c>
      <c r="G972" s="64"/>
      <c r="H972" s="64"/>
      <c r="I972" s="76">
        <f t="shared" si="64"/>
        <v>-8.4600000000000009</v>
      </c>
      <c r="J972" s="83"/>
      <c r="K972" s="84"/>
      <c r="L972" s="85"/>
      <c r="M972" s="84"/>
      <c r="N972" s="86"/>
    </row>
    <row r="973" spans="1:14" x14ac:dyDescent="0.25">
      <c r="A973" s="73"/>
      <c r="B973" s="62"/>
      <c r="C973" s="63"/>
      <c r="D973" s="64"/>
      <c r="E973" s="64">
        <v>-6.5</v>
      </c>
      <c r="F973" s="64">
        <v>6.5</v>
      </c>
      <c r="G973" s="64"/>
      <c r="H973" s="64"/>
      <c r="I973" s="76">
        <f t="shared" si="64"/>
        <v>-42.25</v>
      </c>
      <c r="J973" s="83"/>
      <c r="K973" s="84"/>
      <c r="L973" s="85"/>
      <c r="M973" s="84"/>
      <c r="N973" s="86"/>
    </row>
    <row r="974" spans="1:14" x14ac:dyDescent="0.25">
      <c r="A974" s="73"/>
      <c r="B974" s="62"/>
      <c r="C974" s="63"/>
      <c r="D974" s="64"/>
      <c r="E974" s="64">
        <v>-1.35</v>
      </c>
      <c r="F974" s="64">
        <v>4.7</v>
      </c>
      <c r="G974" s="64"/>
      <c r="H974" s="64"/>
      <c r="I974" s="76">
        <f t="shared" si="64"/>
        <v>-6.3449999999999998</v>
      </c>
      <c r="J974" s="83"/>
      <c r="K974" s="84"/>
      <c r="L974" s="85"/>
      <c r="M974" s="84"/>
      <c r="N974" s="86"/>
    </row>
    <row r="975" spans="1:14" x14ac:dyDescent="0.25">
      <c r="A975" s="73"/>
      <c r="B975" s="66" t="s">
        <v>2893</v>
      </c>
      <c r="C975" s="63"/>
      <c r="D975" s="64"/>
      <c r="E975" s="64"/>
      <c r="F975" s="64"/>
      <c r="G975" s="64"/>
      <c r="H975" s="64"/>
      <c r="I975" s="76"/>
      <c r="J975" s="83"/>
      <c r="K975" s="84"/>
      <c r="L975" s="85"/>
      <c r="M975" s="84"/>
      <c r="N975" s="86"/>
    </row>
    <row r="976" spans="1:14" x14ac:dyDescent="0.25">
      <c r="A976" s="73"/>
      <c r="B976" s="62" t="s">
        <v>2813</v>
      </c>
      <c r="C976" s="63"/>
      <c r="D976" s="64"/>
      <c r="E976" s="64">
        <v>-2.2000000000000002</v>
      </c>
      <c r="F976" s="64">
        <v>2.9</v>
      </c>
      <c r="G976" s="64"/>
      <c r="H976" s="64"/>
      <c r="I976" s="76">
        <f t="shared" si="64"/>
        <v>-6.38</v>
      </c>
      <c r="J976" s="83"/>
      <c r="K976" s="84"/>
      <c r="L976" s="85"/>
      <c r="M976" s="84"/>
      <c r="N976" s="86"/>
    </row>
    <row r="977" spans="1:14" x14ac:dyDescent="0.25">
      <c r="A977" s="73"/>
      <c r="B977" s="62" t="s">
        <v>2823</v>
      </c>
      <c r="C977" s="63"/>
      <c r="D977" s="64"/>
      <c r="E977" s="64">
        <v>-4.3</v>
      </c>
      <c r="F977" s="64">
        <v>6.5</v>
      </c>
      <c r="G977" s="64"/>
      <c r="H977" s="64"/>
      <c r="I977" s="76">
        <f t="shared" si="64"/>
        <v>-27.95</v>
      </c>
      <c r="J977" s="83"/>
      <c r="K977" s="84"/>
      <c r="L977" s="85"/>
      <c r="M977" s="84"/>
      <c r="N977" s="86"/>
    </row>
    <row r="978" spans="1:14" x14ac:dyDescent="0.25">
      <c r="A978" s="73"/>
      <c r="B978" s="62" t="s">
        <v>2819</v>
      </c>
      <c r="C978" s="63"/>
      <c r="D978" s="64"/>
      <c r="E978" s="64">
        <v>-4.7</v>
      </c>
      <c r="F978" s="64">
        <v>4.7</v>
      </c>
      <c r="G978" s="64"/>
      <c r="H978" s="64"/>
      <c r="I978" s="76">
        <f t="shared" si="64"/>
        <v>-22.09</v>
      </c>
      <c r="J978" s="83"/>
      <c r="K978" s="84"/>
      <c r="L978" s="85"/>
      <c r="M978" s="84"/>
      <c r="N978" s="86"/>
    </row>
    <row r="979" spans="1:14" x14ac:dyDescent="0.25">
      <c r="A979" s="73"/>
      <c r="B979" s="62" t="s">
        <v>2811</v>
      </c>
      <c r="C979" s="63"/>
      <c r="D979" s="64"/>
      <c r="E979" s="64">
        <v>-0.5</v>
      </c>
      <c r="F979" s="64">
        <v>2.9</v>
      </c>
      <c r="G979" s="64"/>
      <c r="H979" s="64"/>
      <c r="I979" s="76">
        <f t="shared" si="64"/>
        <v>-1.45</v>
      </c>
      <c r="J979" s="83"/>
      <c r="K979" s="84"/>
      <c r="L979" s="85"/>
      <c r="M979" s="84"/>
      <c r="N979" s="86"/>
    </row>
    <row r="980" spans="1:14" x14ac:dyDescent="0.25">
      <c r="A980" s="73"/>
      <c r="B980" s="66" t="s">
        <v>2894</v>
      </c>
      <c r="C980" s="63"/>
      <c r="D980" s="64"/>
      <c r="E980" s="64"/>
      <c r="F980" s="64"/>
      <c r="G980" s="64"/>
      <c r="H980" s="64"/>
      <c r="I980" s="76"/>
      <c r="J980" s="83"/>
      <c r="K980" s="84"/>
      <c r="L980" s="85"/>
      <c r="M980" s="84"/>
      <c r="N980" s="86"/>
    </row>
    <row r="981" spans="1:14" x14ac:dyDescent="0.25">
      <c r="A981" s="73"/>
      <c r="B981" s="62" t="s">
        <v>2826</v>
      </c>
      <c r="C981" s="63"/>
      <c r="D981" s="64"/>
      <c r="E981" s="64">
        <v>-4.7</v>
      </c>
      <c r="F981" s="64">
        <v>8.1</v>
      </c>
      <c r="G981" s="64"/>
      <c r="H981" s="64"/>
      <c r="I981" s="76">
        <f t="shared" si="64"/>
        <v>-38.07</v>
      </c>
      <c r="J981" s="83"/>
      <c r="K981" s="84"/>
      <c r="L981" s="85"/>
      <c r="M981" s="84"/>
      <c r="N981" s="86"/>
    </row>
    <row r="982" spans="1:14" x14ac:dyDescent="0.25">
      <c r="A982" s="73"/>
      <c r="B982" s="62"/>
      <c r="C982" s="63"/>
      <c r="D982" s="64"/>
      <c r="E982" s="64">
        <v>-2.9</v>
      </c>
      <c r="F982" s="64">
        <v>1.6</v>
      </c>
      <c r="G982" s="64"/>
      <c r="H982" s="64"/>
      <c r="I982" s="76">
        <f t="shared" si="64"/>
        <v>-4.6399999999999997</v>
      </c>
      <c r="J982" s="83"/>
      <c r="K982" s="84"/>
      <c r="L982" s="85"/>
      <c r="M982" s="84"/>
      <c r="N982" s="86"/>
    </row>
    <row r="983" spans="1:14" x14ac:dyDescent="0.25">
      <c r="A983" s="73"/>
      <c r="B983" s="62" t="s">
        <v>2824</v>
      </c>
      <c r="C983" s="63"/>
      <c r="D983" s="64"/>
      <c r="E983" s="64">
        <v>-4.3</v>
      </c>
      <c r="F983" s="64">
        <v>7.5</v>
      </c>
      <c r="G983" s="64"/>
      <c r="H983" s="64"/>
      <c r="I983" s="76">
        <f t="shared" si="64"/>
        <v>-32.25</v>
      </c>
      <c r="J983" s="83"/>
      <c r="K983" s="84"/>
      <c r="L983" s="85"/>
      <c r="M983" s="84"/>
      <c r="N983" s="86"/>
    </row>
    <row r="984" spans="1:14" x14ac:dyDescent="0.25">
      <c r="A984" s="73"/>
      <c r="B984" s="66" t="s">
        <v>2895</v>
      </c>
      <c r="C984" s="63"/>
      <c r="D984" s="64"/>
      <c r="E984" s="64"/>
      <c r="F984" s="64"/>
      <c r="G984" s="64"/>
      <c r="H984" s="64"/>
      <c r="I984" s="76"/>
      <c r="J984" s="83"/>
      <c r="K984" s="84"/>
      <c r="L984" s="85"/>
      <c r="M984" s="84"/>
      <c r="N984" s="86"/>
    </row>
    <row r="985" spans="1:14" x14ac:dyDescent="0.25">
      <c r="A985" s="73"/>
      <c r="B985" s="62" t="s">
        <v>2825</v>
      </c>
      <c r="C985" s="63"/>
      <c r="D985" s="64"/>
      <c r="E985" s="64">
        <v>-6.45</v>
      </c>
      <c r="F985" s="64">
        <v>4.7</v>
      </c>
      <c r="G985" s="64"/>
      <c r="H985" s="64"/>
      <c r="I985" s="76">
        <f t="shared" si="64"/>
        <v>-30.315000000000001</v>
      </c>
      <c r="J985" s="83"/>
      <c r="K985" s="84"/>
      <c r="L985" s="85"/>
      <c r="M985" s="84"/>
      <c r="N985" s="86"/>
    </row>
    <row r="986" spans="1:14" x14ac:dyDescent="0.25">
      <c r="A986" s="73"/>
      <c r="B986" s="62"/>
      <c r="C986" s="63"/>
      <c r="D986" s="64"/>
      <c r="E986" s="64">
        <v>-3.2</v>
      </c>
      <c r="F986" s="64">
        <v>2.9</v>
      </c>
      <c r="G986" s="64"/>
      <c r="H986" s="64"/>
      <c r="I986" s="76">
        <f t="shared" si="64"/>
        <v>-9.2799999999999994</v>
      </c>
      <c r="J986" s="83"/>
      <c r="K986" s="84"/>
      <c r="L986" s="85"/>
      <c r="M986" s="84"/>
      <c r="N986" s="86"/>
    </row>
    <row r="987" spans="1:14" x14ac:dyDescent="0.25">
      <c r="A987" s="73"/>
      <c r="B987" s="62" t="s">
        <v>2822</v>
      </c>
      <c r="C987" s="63"/>
      <c r="D987" s="64"/>
      <c r="E987" s="64">
        <v>-2.9</v>
      </c>
      <c r="F987" s="64">
        <v>7.2</v>
      </c>
      <c r="G987" s="64"/>
      <c r="H987" s="64"/>
      <c r="I987" s="76">
        <f t="shared" si="64"/>
        <v>-20.88</v>
      </c>
      <c r="J987" s="83"/>
      <c r="K987" s="84"/>
      <c r="L987" s="85"/>
      <c r="M987" s="84"/>
      <c r="N987" s="86"/>
    </row>
    <row r="988" spans="1:14" x14ac:dyDescent="0.25">
      <c r="A988" s="73"/>
      <c r="B988" s="66" t="s">
        <v>2896</v>
      </c>
      <c r="C988" s="63"/>
      <c r="D988" s="64"/>
      <c r="E988" s="64"/>
      <c r="F988" s="64"/>
      <c r="G988" s="64"/>
      <c r="H988" s="64"/>
      <c r="I988" s="76"/>
      <c r="J988" s="83"/>
      <c r="K988" s="84"/>
      <c r="L988" s="85"/>
      <c r="M988" s="84"/>
      <c r="N988" s="86"/>
    </row>
    <row r="989" spans="1:14" x14ac:dyDescent="0.25">
      <c r="A989" s="73"/>
      <c r="B989" s="62" t="s">
        <v>2810</v>
      </c>
      <c r="C989" s="63"/>
      <c r="D989" s="64">
        <v>2</v>
      </c>
      <c r="E989" s="64">
        <v>-0.5</v>
      </c>
      <c r="F989" s="64">
        <v>0.5</v>
      </c>
      <c r="G989" s="64"/>
      <c r="H989" s="64"/>
      <c r="I989" s="76">
        <f t="shared" si="64"/>
        <v>-0.5</v>
      </c>
      <c r="J989" s="83"/>
      <c r="K989" s="84"/>
      <c r="L989" s="85"/>
      <c r="M989" s="84"/>
      <c r="N989" s="86"/>
    </row>
    <row r="990" spans="1:14" x14ac:dyDescent="0.25">
      <c r="A990" s="73"/>
      <c r="B990" s="62" t="s">
        <v>2811</v>
      </c>
      <c r="C990" s="63"/>
      <c r="D990" s="64">
        <v>2</v>
      </c>
      <c r="E990" s="64">
        <v>-0.6</v>
      </c>
      <c r="F990" s="64">
        <v>2.9</v>
      </c>
      <c r="G990" s="64"/>
      <c r="H990" s="64"/>
      <c r="I990" s="76">
        <f t="shared" si="64"/>
        <v>-3.48</v>
      </c>
      <c r="J990" s="83"/>
      <c r="K990" s="84"/>
      <c r="L990" s="85"/>
      <c r="M990" s="84"/>
      <c r="N990" s="86"/>
    </row>
    <row r="991" spans="1:14" x14ac:dyDescent="0.25">
      <c r="A991" s="73"/>
      <c r="B991" s="66" t="s">
        <v>2828</v>
      </c>
      <c r="C991" s="63"/>
      <c r="D991" s="64"/>
      <c r="E991" s="64"/>
      <c r="F991" s="64"/>
      <c r="G991" s="64"/>
      <c r="H991" s="64"/>
      <c r="I991" s="76"/>
      <c r="J991" s="83"/>
      <c r="K991" s="84"/>
      <c r="L991" s="85"/>
      <c r="M991" s="84"/>
      <c r="N991" s="86"/>
    </row>
    <row r="992" spans="1:14" x14ac:dyDescent="0.25">
      <c r="A992" s="73"/>
      <c r="B992" s="62" t="s">
        <v>2866</v>
      </c>
      <c r="C992" s="63"/>
      <c r="D992" s="64"/>
      <c r="E992" s="64">
        <v>-9.3000000000000007</v>
      </c>
      <c r="F992" s="64">
        <v>0.4</v>
      </c>
      <c r="G992" s="64"/>
      <c r="H992" s="64"/>
      <c r="I992" s="76">
        <f t="shared" si="64"/>
        <v>-3.72</v>
      </c>
      <c r="J992" s="83"/>
      <c r="K992" s="84"/>
      <c r="L992" s="85"/>
      <c r="M992" s="84"/>
      <c r="N992" s="86"/>
    </row>
    <row r="993" spans="1:14" x14ac:dyDescent="0.25">
      <c r="A993" s="73"/>
      <c r="B993" s="62" t="s">
        <v>2867</v>
      </c>
      <c r="C993" s="63"/>
      <c r="D993" s="64"/>
      <c r="E993" s="64">
        <v>-5.4</v>
      </c>
      <c r="F993" s="64">
        <v>0.4</v>
      </c>
      <c r="G993" s="64"/>
      <c r="H993" s="64"/>
      <c r="I993" s="76">
        <f t="shared" si="64"/>
        <v>-2.16</v>
      </c>
      <c r="J993" s="83"/>
      <c r="K993" s="84"/>
      <c r="L993" s="85"/>
      <c r="M993" s="84"/>
      <c r="N993" s="86"/>
    </row>
    <row r="994" spans="1:14" x14ac:dyDescent="0.25">
      <c r="A994" s="73"/>
      <c r="B994" s="62" t="s">
        <v>2868</v>
      </c>
      <c r="C994" s="63"/>
      <c r="D994" s="64"/>
      <c r="E994" s="64">
        <v>-16.899999999999999</v>
      </c>
      <c r="F994" s="64">
        <v>0.4</v>
      </c>
      <c r="G994" s="64"/>
      <c r="H994" s="64"/>
      <c r="I994" s="76">
        <f t="shared" si="64"/>
        <v>-6.76</v>
      </c>
      <c r="J994" s="83"/>
      <c r="K994" s="84"/>
      <c r="L994" s="85"/>
      <c r="M994" s="84"/>
      <c r="N994" s="86"/>
    </row>
    <row r="995" spans="1:14" x14ac:dyDescent="0.25">
      <c r="A995" s="73"/>
      <c r="B995" s="62" t="s">
        <v>2869</v>
      </c>
      <c r="C995" s="63"/>
      <c r="D995" s="64"/>
      <c r="E995" s="64">
        <v>-7.6</v>
      </c>
      <c r="F995" s="64">
        <v>0.4</v>
      </c>
      <c r="G995" s="64"/>
      <c r="H995" s="64"/>
      <c r="I995" s="76">
        <f t="shared" si="64"/>
        <v>-3.04</v>
      </c>
      <c r="J995" s="83"/>
      <c r="K995" s="84"/>
      <c r="L995" s="85"/>
      <c r="M995" s="84"/>
      <c r="N995" s="86"/>
    </row>
    <row r="996" spans="1:14" x14ac:dyDescent="0.25">
      <c r="A996" s="73"/>
      <c r="B996" s="62" t="s">
        <v>2870</v>
      </c>
      <c r="C996" s="63"/>
      <c r="D996" s="64"/>
      <c r="E996" s="64">
        <v>-13.7</v>
      </c>
      <c r="F996" s="64">
        <v>0.4</v>
      </c>
      <c r="G996" s="64"/>
      <c r="H996" s="64"/>
      <c r="I996" s="76">
        <f t="shared" si="64"/>
        <v>-5.48</v>
      </c>
      <c r="J996" s="83"/>
      <c r="K996" s="84"/>
      <c r="L996" s="85"/>
      <c r="M996" s="84"/>
      <c r="N996" s="86"/>
    </row>
    <row r="997" spans="1:14" x14ac:dyDescent="0.25">
      <c r="A997" s="73"/>
      <c r="B997" s="62" t="s">
        <v>2871</v>
      </c>
      <c r="C997" s="63"/>
      <c r="D997" s="64"/>
      <c r="E997" s="64">
        <v>-4.4000000000000004</v>
      </c>
      <c r="F997" s="64">
        <v>0.4</v>
      </c>
      <c r="G997" s="64"/>
      <c r="H997" s="64"/>
      <c r="I997" s="76">
        <f t="shared" si="64"/>
        <v>-1.76</v>
      </c>
      <c r="J997" s="83"/>
      <c r="K997" s="84"/>
      <c r="L997" s="85"/>
      <c r="M997" s="84"/>
      <c r="N997" s="86"/>
    </row>
    <row r="998" spans="1:14" x14ac:dyDescent="0.25">
      <c r="A998" s="73"/>
      <c r="B998" s="62" t="s">
        <v>2874</v>
      </c>
      <c r="C998" s="63"/>
      <c r="D998" s="64"/>
      <c r="E998" s="64">
        <v>-3.5</v>
      </c>
      <c r="F998" s="64">
        <v>0.4</v>
      </c>
      <c r="G998" s="64"/>
      <c r="H998" s="64"/>
      <c r="I998" s="76">
        <f t="shared" si="64"/>
        <v>-1.4</v>
      </c>
      <c r="J998" s="83"/>
      <c r="K998" s="84"/>
      <c r="L998" s="85"/>
      <c r="M998" s="84"/>
      <c r="N998" s="86"/>
    </row>
    <row r="999" spans="1:14" x14ac:dyDescent="0.25">
      <c r="A999" s="73"/>
      <c r="B999" s="62" t="s">
        <v>2875</v>
      </c>
      <c r="C999" s="63"/>
      <c r="D999" s="64"/>
      <c r="E999" s="64">
        <v>-2</v>
      </c>
      <c r="F999" s="64">
        <v>0.4</v>
      </c>
      <c r="G999" s="64"/>
      <c r="H999" s="64"/>
      <c r="I999" s="76">
        <f t="shared" si="64"/>
        <v>-0.8</v>
      </c>
      <c r="J999" s="83"/>
      <c r="K999" s="84"/>
      <c r="L999" s="85"/>
      <c r="M999" s="84"/>
      <c r="N999" s="86"/>
    </row>
    <row r="1000" spans="1:14" x14ac:dyDescent="0.25">
      <c r="A1000" s="73"/>
      <c r="B1000" s="62" t="s">
        <v>2877</v>
      </c>
      <c r="C1000" s="63"/>
      <c r="D1000" s="64"/>
      <c r="E1000" s="64">
        <v>-10.3</v>
      </c>
      <c r="F1000" s="64">
        <v>0.4</v>
      </c>
      <c r="G1000" s="64"/>
      <c r="H1000" s="64"/>
      <c r="I1000" s="76">
        <f t="shared" si="64"/>
        <v>-4.12</v>
      </c>
      <c r="J1000" s="83"/>
      <c r="K1000" s="84"/>
      <c r="L1000" s="85"/>
      <c r="M1000" s="84"/>
      <c r="N1000" s="86"/>
    </row>
    <row r="1001" spans="1:14" x14ac:dyDescent="0.25">
      <c r="A1001" s="73"/>
      <c r="B1001" s="62" t="s">
        <v>2878</v>
      </c>
      <c r="C1001" s="63"/>
      <c r="D1001" s="64"/>
      <c r="E1001" s="64">
        <v>-11.8</v>
      </c>
      <c r="F1001" s="64">
        <v>0.4</v>
      </c>
      <c r="G1001" s="64"/>
      <c r="H1001" s="64"/>
      <c r="I1001" s="76">
        <f t="shared" si="64"/>
        <v>-4.72</v>
      </c>
      <c r="J1001" s="83"/>
      <c r="K1001" s="84"/>
      <c r="L1001" s="85"/>
      <c r="M1001" s="84"/>
      <c r="N1001" s="86"/>
    </row>
    <row r="1002" spans="1:14" x14ac:dyDescent="0.25">
      <c r="A1002" s="73"/>
      <c r="B1002" s="62" t="s">
        <v>2879</v>
      </c>
      <c r="C1002" s="63"/>
      <c r="D1002" s="64"/>
      <c r="E1002" s="64">
        <v>-8.6999999999999993</v>
      </c>
      <c r="F1002" s="64">
        <v>0.4</v>
      </c>
      <c r="G1002" s="64"/>
      <c r="H1002" s="64"/>
      <c r="I1002" s="76">
        <f t="shared" si="64"/>
        <v>-3.48</v>
      </c>
      <c r="J1002" s="83"/>
      <c r="K1002" s="84"/>
      <c r="L1002" s="85"/>
      <c r="M1002" s="84"/>
      <c r="N1002" s="86"/>
    </row>
    <row r="1003" spans="1:14" x14ac:dyDescent="0.25">
      <c r="A1003" s="73"/>
      <c r="B1003" s="62" t="s">
        <v>2880</v>
      </c>
      <c r="C1003" s="63"/>
      <c r="D1003" s="64"/>
      <c r="E1003" s="64">
        <v>-13</v>
      </c>
      <c r="F1003" s="64">
        <v>0.4</v>
      </c>
      <c r="G1003" s="64"/>
      <c r="H1003" s="64"/>
      <c r="I1003" s="76">
        <f t="shared" si="64"/>
        <v>-5.2</v>
      </c>
      <c r="J1003" s="83"/>
      <c r="K1003" s="84"/>
      <c r="L1003" s="85"/>
      <c r="M1003" s="84"/>
      <c r="N1003" s="86"/>
    </row>
    <row r="1004" spans="1:14" x14ac:dyDescent="0.25">
      <c r="A1004" s="73"/>
      <c r="B1004" s="62" t="s">
        <v>2897</v>
      </c>
      <c r="C1004" s="63"/>
      <c r="D1004" s="64"/>
      <c r="E1004" s="64">
        <v>-7.7</v>
      </c>
      <c r="F1004" s="64">
        <v>0.4</v>
      </c>
      <c r="G1004" s="64"/>
      <c r="H1004" s="64"/>
      <c r="I1004" s="76">
        <f t="shared" si="64"/>
        <v>-3.08</v>
      </c>
      <c r="J1004" s="83"/>
      <c r="K1004" s="84"/>
      <c r="L1004" s="85"/>
      <c r="M1004" s="84"/>
      <c r="N1004" s="86"/>
    </row>
    <row r="1005" spans="1:14" x14ac:dyDescent="0.25">
      <c r="A1005" s="73"/>
      <c r="B1005" s="62" t="s">
        <v>2882</v>
      </c>
      <c r="C1005" s="63"/>
      <c r="D1005" s="64"/>
      <c r="E1005" s="64">
        <v>-8</v>
      </c>
      <c r="F1005" s="64">
        <v>0.4</v>
      </c>
      <c r="G1005" s="64"/>
      <c r="H1005" s="64"/>
      <c r="I1005" s="76">
        <f t="shared" si="64"/>
        <v>-3.2</v>
      </c>
      <c r="J1005" s="83"/>
      <c r="K1005" s="84"/>
      <c r="L1005" s="85"/>
      <c r="M1005" s="84"/>
      <c r="N1005" s="86"/>
    </row>
    <row r="1006" spans="1:14" x14ac:dyDescent="0.25">
      <c r="A1006" s="73"/>
      <c r="B1006" s="62" t="s">
        <v>2884</v>
      </c>
      <c r="C1006" s="63"/>
      <c r="D1006" s="64">
        <v>2</v>
      </c>
      <c r="E1006" s="64">
        <v>-3.1</v>
      </c>
      <c r="F1006" s="64">
        <v>0.3</v>
      </c>
      <c r="G1006" s="64"/>
      <c r="H1006" s="64"/>
      <c r="I1006" s="76">
        <f t="shared" si="64"/>
        <v>-1.86</v>
      </c>
      <c r="J1006" s="83"/>
      <c r="K1006" s="84"/>
      <c r="L1006" s="85"/>
      <c r="M1006" s="84"/>
      <c r="N1006" s="86"/>
    </row>
    <row r="1007" spans="1:14" x14ac:dyDescent="0.25">
      <c r="A1007" s="73"/>
      <c r="B1007" s="62" t="s">
        <v>2898</v>
      </c>
      <c r="C1007" s="63"/>
      <c r="D1007" s="64"/>
      <c r="E1007" s="64">
        <v>-7.4</v>
      </c>
      <c r="F1007" s="64">
        <v>0.3</v>
      </c>
      <c r="G1007" s="64"/>
      <c r="H1007" s="64"/>
      <c r="I1007" s="76">
        <f t="shared" si="64"/>
        <v>-2.2200000000000002</v>
      </c>
      <c r="J1007" s="83"/>
      <c r="K1007" s="84"/>
      <c r="L1007" s="85"/>
      <c r="M1007" s="84"/>
      <c r="N1007" s="86"/>
    </row>
    <row r="1008" spans="1:14" x14ac:dyDescent="0.25">
      <c r="A1008" s="73"/>
      <c r="B1008" s="62" t="s">
        <v>2899</v>
      </c>
      <c r="C1008" s="63"/>
      <c r="D1008" s="64">
        <v>4</v>
      </c>
      <c r="E1008" s="64">
        <v>-0.6</v>
      </c>
      <c r="F1008" s="64">
        <v>0.4</v>
      </c>
      <c r="G1008" s="64"/>
      <c r="H1008" s="64"/>
      <c r="I1008" s="76">
        <f t="shared" ref="I1008:I1070" si="67">ROUND(PRODUCT(D1008:H1008),3)</f>
        <v>-0.96</v>
      </c>
      <c r="J1008" s="83"/>
      <c r="K1008" s="84"/>
      <c r="L1008" s="85"/>
      <c r="M1008" s="84"/>
      <c r="N1008" s="86"/>
    </row>
    <row r="1009" spans="1:14" x14ac:dyDescent="0.25">
      <c r="A1009" s="73"/>
      <c r="B1009" s="62" t="s">
        <v>2900</v>
      </c>
      <c r="C1009" s="63"/>
      <c r="D1009" s="64"/>
      <c r="E1009" s="64">
        <v>-2</v>
      </c>
      <c r="F1009" s="64">
        <v>2.08</v>
      </c>
      <c r="G1009" s="64"/>
      <c r="H1009" s="64"/>
      <c r="I1009" s="76">
        <f t="shared" si="67"/>
        <v>-4.16</v>
      </c>
      <c r="J1009" s="83"/>
      <c r="K1009" s="84"/>
      <c r="L1009" s="85"/>
      <c r="M1009" s="84"/>
      <c r="N1009" s="86"/>
    </row>
    <row r="1010" spans="1:14" x14ac:dyDescent="0.25">
      <c r="A1010" s="73"/>
      <c r="B1010" s="62" t="s">
        <v>2906</v>
      </c>
      <c r="C1010" s="63"/>
      <c r="D1010" s="64"/>
      <c r="E1010" s="64">
        <v>-1</v>
      </c>
      <c r="F1010" s="64">
        <v>1</v>
      </c>
      <c r="G1010" s="64"/>
      <c r="H1010" s="64"/>
      <c r="I1010" s="76">
        <f t="shared" si="67"/>
        <v>-1</v>
      </c>
      <c r="J1010" s="83"/>
      <c r="K1010" s="84"/>
      <c r="L1010" s="85"/>
      <c r="M1010" s="84"/>
      <c r="N1010" s="86"/>
    </row>
    <row r="1011" spans="1:14" x14ac:dyDescent="0.25">
      <c r="A1011" s="73"/>
      <c r="B1011" s="89" t="s">
        <v>3116</v>
      </c>
      <c r="C1011" s="89"/>
      <c r="D1011" s="64"/>
      <c r="E1011" s="64"/>
      <c r="F1011" s="64"/>
      <c r="G1011" s="64"/>
      <c r="H1011" s="64"/>
      <c r="I1011" s="76"/>
      <c r="J1011" s="83"/>
      <c r="K1011" s="84"/>
      <c r="L1011" s="85"/>
      <c r="M1011" s="84"/>
      <c r="N1011" s="86"/>
    </row>
    <row r="1012" spans="1:14" x14ac:dyDescent="0.25">
      <c r="A1012" s="74">
        <v>50</v>
      </c>
      <c r="B1012" s="59" t="s">
        <v>142</v>
      </c>
      <c r="C1012" s="60" t="s">
        <v>143</v>
      </c>
      <c r="D1012" s="61"/>
      <c r="E1012" s="61"/>
      <c r="F1012" s="61"/>
      <c r="G1012" s="61"/>
      <c r="H1012" s="61"/>
      <c r="I1012" s="76">
        <f>I1015</f>
        <v>53934.75</v>
      </c>
      <c r="J1012" s="91" t="e">
        <f>PL03a!#REF!</f>
        <v>#REF!</v>
      </c>
      <c r="K1012" s="84">
        <f t="shared" ref="K1012" si="68">I1012</f>
        <v>53934.75</v>
      </c>
      <c r="L1012" s="85"/>
      <c r="M1012" s="84">
        <f>K1012</f>
        <v>53934.75</v>
      </c>
      <c r="N1012" s="86">
        <f>L1012+M1012</f>
        <v>53934.75</v>
      </c>
    </row>
    <row r="1013" spans="1:14" x14ac:dyDescent="0.25">
      <c r="A1013" s="73"/>
      <c r="B1013" s="66" t="s">
        <v>3117</v>
      </c>
      <c r="C1013" s="63"/>
      <c r="D1013" s="64"/>
      <c r="E1013" s="64"/>
      <c r="F1013" s="64"/>
      <c r="G1013" s="64"/>
      <c r="H1013" s="64"/>
      <c r="I1013" s="76"/>
      <c r="J1013" s="83"/>
      <c r="K1013" s="84"/>
      <c r="L1013" s="85"/>
      <c r="M1013" s="84"/>
      <c r="N1013" s="86"/>
    </row>
    <row r="1014" spans="1:14" x14ac:dyDescent="0.25">
      <c r="A1014" s="73"/>
      <c r="B1014" s="66" t="s">
        <v>3118</v>
      </c>
      <c r="C1014" s="63"/>
      <c r="D1014" s="64"/>
      <c r="E1014" s="64"/>
      <c r="F1014" s="64"/>
      <c r="G1014" s="64"/>
      <c r="H1014" s="64"/>
      <c r="I1014" s="76"/>
      <c r="J1014" s="83"/>
      <c r="K1014" s="84"/>
      <c r="L1014" s="85"/>
      <c r="M1014" s="84"/>
      <c r="N1014" s="86"/>
    </row>
    <row r="1015" spans="1:14" x14ac:dyDescent="0.25">
      <c r="A1015" s="73"/>
      <c r="B1015" s="62" t="s">
        <v>3119</v>
      </c>
      <c r="C1015" s="63"/>
      <c r="D1015" s="64">
        <v>150</v>
      </c>
      <c r="E1015" s="64">
        <v>359.565</v>
      </c>
      <c r="F1015" s="64"/>
      <c r="G1015" s="64"/>
      <c r="H1015" s="64"/>
      <c r="I1015" s="76">
        <f t="shared" si="67"/>
        <v>53934.75</v>
      </c>
      <c r="J1015" s="83"/>
      <c r="K1015" s="84"/>
      <c r="L1015" s="85"/>
      <c r="M1015" s="84"/>
      <c r="N1015" s="86"/>
    </row>
    <row r="1016" spans="1:14" x14ac:dyDescent="0.25">
      <c r="A1016" s="73"/>
      <c r="B1016" s="89" t="s">
        <v>3120</v>
      </c>
      <c r="C1016" s="89"/>
      <c r="D1016" s="64"/>
      <c r="E1016" s="64"/>
      <c r="F1016" s="64"/>
      <c r="G1016" s="64"/>
      <c r="H1016" s="64"/>
      <c r="I1016" s="76"/>
      <c r="J1016" s="83"/>
      <c r="K1016" s="84"/>
      <c r="L1016" s="85"/>
      <c r="M1016" s="84"/>
      <c r="N1016" s="86"/>
    </row>
    <row r="1017" spans="1:14" x14ac:dyDescent="0.25">
      <c r="A1017" s="73"/>
      <c r="B1017" s="89" t="s">
        <v>3121</v>
      </c>
      <c r="C1017" s="89"/>
      <c r="D1017" s="64"/>
      <c r="E1017" s="64"/>
      <c r="F1017" s="64"/>
      <c r="G1017" s="64"/>
      <c r="H1017" s="64"/>
      <c r="I1017" s="76"/>
      <c r="J1017" s="83"/>
      <c r="K1017" s="84"/>
      <c r="L1017" s="85"/>
      <c r="M1017" s="84"/>
      <c r="N1017" s="86"/>
    </row>
    <row r="1018" spans="1:14" x14ac:dyDescent="0.25">
      <c r="A1018" s="74">
        <v>51</v>
      </c>
      <c r="B1018" s="59" t="s">
        <v>145</v>
      </c>
      <c r="C1018" s="60" t="s">
        <v>143</v>
      </c>
      <c r="D1018" s="61"/>
      <c r="E1018" s="61"/>
      <c r="F1018" s="61"/>
      <c r="G1018" s="61"/>
      <c r="H1018" s="61"/>
      <c r="I1018" s="76">
        <f>SUM(I1019:I1026)</f>
        <v>683462.25</v>
      </c>
      <c r="J1018" s="83" t="e">
        <f>PL03a!#REF!</f>
        <v>#REF!</v>
      </c>
      <c r="K1018" s="84">
        <f t="shared" ref="K1018" si="69">I1018</f>
        <v>683462.25</v>
      </c>
      <c r="L1018" s="85"/>
      <c r="M1018" s="84">
        <f>K1018</f>
        <v>683462.25</v>
      </c>
      <c r="N1018" s="86">
        <f>L1018+M1018</f>
        <v>683462.25</v>
      </c>
    </row>
    <row r="1019" spans="1:14" x14ac:dyDescent="0.25">
      <c r="A1019" s="73"/>
      <c r="B1019" s="66" t="s">
        <v>3117</v>
      </c>
      <c r="C1019" s="63"/>
      <c r="D1019" s="64"/>
      <c r="E1019" s="64"/>
      <c r="F1019" s="64"/>
      <c r="G1019" s="64"/>
      <c r="H1019" s="64"/>
      <c r="I1019" s="76"/>
      <c r="J1019" s="83"/>
      <c r="K1019" s="84"/>
      <c r="L1019" s="85"/>
      <c r="M1019" s="84"/>
      <c r="N1019" s="86"/>
    </row>
    <row r="1020" spans="1:14" x14ac:dyDescent="0.25">
      <c r="A1020" s="73"/>
      <c r="B1020" s="66" t="s">
        <v>3122</v>
      </c>
      <c r="C1020" s="63"/>
      <c r="D1020" s="64"/>
      <c r="E1020" s="64"/>
      <c r="F1020" s="64"/>
      <c r="G1020" s="64"/>
      <c r="H1020" s="64"/>
      <c r="I1020" s="76"/>
      <c r="J1020" s="83"/>
      <c r="K1020" s="84"/>
      <c r="L1020" s="85"/>
      <c r="M1020" s="84"/>
      <c r="N1020" s="86"/>
    </row>
    <row r="1021" spans="1:14" ht="38.25" x14ac:dyDescent="0.25">
      <c r="A1021" s="73"/>
      <c r="B1021" s="62" t="s">
        <v>3123</v>
      </c>
      <c r="C1021" s="63"/>
      <c r="D1021" s="64">
        <v>150</v>
      </c>
      <c r="E1021" s="64">
        <v>2017.575</v>
      </c>
      <c r="F1021" s="64"/>
      <c r="G1021" s="64"/>
      <c r="H1021" s="64"/>
      <c r="I1021" s="76">
        <f t="shared" si="67"/>
        <v>302636.25</v>
      </c>
      <c r="J1021" s="83"/>
      <c r="K1021" s="84"/>
      <c r="L1021" s="85"/>
      <c r="M1021" s="84"/>
      <c r="N1021" s="86"/>
    </row>
    <row r="1022" spans="1:14" x14ac:dyDescent="0.25">
      <c r="A1022" s="73"/>
      <c r="B1022" s="62" t="s">
        <v>3124</v>
      </c>
      <c r="C1022" s="63"/>
      <c r="D1022" s="64">
        <v>150</v>
      </c>
      <c r="E1022" s="64">
        <v>1152</v>
      </c>
      <c r="F1022" s="64"/>
      <c r="G1022" s="64"/>
      <c r="H1022" s="64"/>
      <c r="I1022" s="76">
        <f t="shared" si="67"/>
        <v>172800</v>
      </c>
      <c r="J1022" s="83"/>
      <c r="K1022" s="84"/>
      <c r="L1022" s="85"/>
      <c r="M1022" s="84"/>
      <c r="N1022" s="86"/>
    </row>
    <row r="1023" spans="1:14" x14ac:dyDescent="0.25">
      <c r="A1023" s="73"/>
      <c r="B1023" s="62" t="s">
        <v>3125</v>
      </c>
      <c r="C1023" s="63"/>
      <c r="D1023" s="64">
        <v>150</v>
      </c>
      <c r="E1023" s="64">
        <v>551.34</v>
      </c>
      <c r="F1023" s="64"/>
      <c r="G1023" s="64"/>
      <c r="H1023" s="64"/>
      <c r="I1023" s="76">
        <f t="shared" si="67"/>
        <v>82701</v>
      </c>
      <c r="J1023" s="83"/>
      <c r="K1023" s="84"/>
      <c r="L1023" s="85"/>
      <c r="M1023" s="84"/>
      <c r="N1023" s="86"/>
    </row>
    <row r="1024" spans="1:14" x14ac:dyDescent="0.25">
      <c r="A1024" s="73"/>
      <c r="B1024" s="62" t="s">
        <v>3126</v>
      </c>
      <c r="C1024" s="63"/>
      <c r="D1024" s="64">
        <v>150</v>
      </c>
      <c r="E1024" s="64">
        <v>616.5</v>
      </c>
      <c r="F1024" s="64"/>
      <c r="G1024" s="64"/>
      <c r="H1024" s="64"/>
      <c r="I1024" s="76">
        <f t="shared" si="67"/>
        <v>92475</v>
      </c>
      <c r="J1024" s="83"/>
      <c r="K1024" s="84"/>
      <c r="L1024" s="85"/>
      <c r="M1024" s="84"/>
      <c r="N1024" s="86"/>
    </row>
    <row r="1025" spans="1:14" x14ac:dyDescent="0.25">
      <c r="A1025" s="73"/>
      <c r="B1025" s="66" t="s">
        <v>3127</v>
      </c>
      <c r="C1025" s="63"/>
      <c r="D1025" s="64"/>
      <c r="E1025" s="64"/>
      <c r="F1025" s="64"/>
      <c r="G1025" s="64"/>
      <c r="H1025" s="64"/>
      <c r="I1025" s="76"/>
      <c r="J1025" s="83"/>
      <c r="K1025" s="84"/>
      <c r="L1025" s="85"/>
      <c r="M1025" s="84"/>
      <c r="N1025" s="86"/>
    </row>
    <row r="1026" spans="1:14" x14ac:dyDescent="0.25">
      <c r="A1026" s="73"/>
      <c r="B1026" s="62" t="s">
        <v>3128</v>
      </c>
      <c r="C1026" s="63"/>
      <c r="D1026" s="64">
        <v>150</v>
      </c>
      <c r="E1026" s="64">
        <v>219</v>
      </c>
      <c r="F1026" s="64"/>
      <c r="G1026" s="64"/>
      <c r="H1026" s="64"/>
      <c r="I1026" s="76">
        <f t="shared" si="67"/>
        <v>32850</v>
      </c>
      <c r="J1026" s="83"/>
      <c r="K1026" s="84"/>
      <c r="L1026" s="85"/>
      <c r="M1026" s="84"/>
      <c r="N1026" s="86"/>
    </row>
    <row r="1027" spans="1:14" x14ac:dyDescent="0.25">
      <c r="A1027" s="73">
        <v>52</v>
      </c>
      <c r="B1027" s="65" t="s">
        <v>147</v>
      </c>
      <c r="C1027" s="63" t="s">
        <v>14</v>
      </c>
      <c r="D1027" s="64"/>
      <c r="E1027" s="64"/>
      <c r="F1027" s="64"/>
      <c r="G1027" s="64"/>
      <c r="H1027" s="64"/>
      <c r="I1027" s="76">
        <f>SUM(I1028:I1034)</f>
        <v>45.563999999999993</v>
      </c>
      <c r="J1027" s="83" t="e">
        <f>PL03a!#REF!</f>
        <v>#REF!</v>
      </c>
      <c r="K1027" s="84">
        <f t="shared" ref="K1027" si="70">I1027</f>
        <v>45.563999999999993</v>
      </c>
      <c r="L1027" s="85"/>
      <c r="M1027" s="84">
        <f>K1027</f>
        <v>45.563999999999993</v>
      </c>
      <c r="N1027" s="86">
        <f>L1027+M1027</f>
        <v>45.563999999999993</v>
      </c>
    </row>
    <row r="1028" spans="1:14" x14ac:dyDescent="0.25">
      <c r="A1028" s="73"/>
      <c r="B1028" s="66" t="s">
        <v>3122</v>
      </c>
      <c r="C1028" s="63"/>
      <c r="D1028" s="64"/>
      <c r="E1028" s="64"/>
      <c r="F1028" s="64"/>
      <c r="G1028" s="64"/>
      <c r="H1028" s="64"/>
      <c r="I1028" s="76"/>
      <c r="J1028" s="83"/>
      <c r="K1028" s="84"/>
      <c r="L1028" s="85"/>
      <c r="M1028" s="84"/>
      <c r="N1028" s="86"/>
    </row>
    <row r="1029" spans="1:14" ht="38.25" x14ac:dyDescent="0.25">
      <c r="A1029" s="73"/>
      <c r="B1029" s="62" t="s">
        <v>3123</v>
      </c>
      <c r="C1029" s="63"/>
      <c r="D1029" s="64"/>
      <c r="E1029" s="64">
        <v>2017.575</v>
      </c>
      <c r="F1029" s="64"/>
      <c r="G1029" s="64"/>
      <c r="H1029" s="64">
        <v>0.01</v>
      </c>
      <c r="I1029" s="76">
        <f t="shared" si="67"/>
        <v>20.175999999999998</v>
      </c>
      <c r="J1029" s="83"/>
      <c r="K1029" s="84"/>
      <c r="L1029" s="85"/>
      <c r="M1029" s="84"/>
      <c r="N1029" s="86"/>
    </row>
    <row r="1030" spans="1:14" x14ac:dyDescent="0.25">
      <c r="A1030" s="73"/>
      <c r="B1030" s="62" t="s">
        <v>3124</v>
      </c>
      <c r="C1030" s="63"/>
      <c r="D1030" s="64"/>
      <c r="E1030" s="64">
        <v>1152</v>
      </c>
      <c r="F1030" s="64"/>
      <c r="G1030" s="64"/>
      <c r="H1030" s="64">
        <v>0.01</v>
      </c>
      <c r="I1030" s="76">
        <f t="shared" si="67"/>
        <v>11.52</v>
      </c>
      <c r="J1030" s="83"/>
      <c r="K1030" s="84"/>
      <c r="L1030" s="85"/>
      <c r="M1030" s="84"/>
      <c r="N1030" s="86"/>
    </row>
    <row r="1031" spans="1:14" x14ac:dyDescent="0.25">
      <c r="A1031" s="73"/>
      <c r="B1031" s="62" t="s">
        <v>3125</v>
      </c>
      <c r="C1031" s="63"/>
      <c r="D1031" s="64"/>
      <c r="E1031" s="64">
        <v>551.34</v>
      </c>
      <c r="F1031" s="64"/>
      <c r="G1031" s="64"/>
      <c r="H1031" s="64">
        <v>0.01</v>
      </c>
      <c r="I1031" s="76">
        <f t="shared" si="67"/>
        <v>5.5129999999999999</v>
      </c>
      <c r="J1031" s="83"/>
      <c r="K1031" s="84"/>
      <c r="L1031" s="85"/>
      <c r="M1031" s="84"/>
      <c r="N1031" s="86"/>
    </row>
    <row r="1032" spans="1:14" x14ac:dyDescent="0.25">
      <c r="A1032" s="73"/>
      <c r="B1032" s="62" t="s">
        <v>3126</v>
      </c>
      <c r="C1032" s="63"/>
      <c r="D1032" s="64"/>
      <c r="E1032" s="64">
        <v>616.5</v>
      </c>
      <c r="F1032" s="64"/>
      <c r="G1032" s="64"/>
      <c r="H1032" s="64">
        <v>0.01</v>
      </c>
      <c r="I1032" s="76">
        <f t="shared" si="67"/>
        <v>6.165</v>
      </c>
      <c r="J1032" s="83"/>
      <c r="K1032" s="84"/>
      <c r="L1032" s="85"/>
      <c r="M1032" s="84"/>
      <c r="N1032" s="86"/>
    </row>
    <row r="1033" spans="1:14" x14ac:dyDescent="0.25">
      <c r="A1033" s="73"/>
      <c r="B1033" s="66" t="s">
        <v>3127</v>
      </c>
      <c r="C1033" s="63"/>
      <c r="D1033" s="64"/>
      <c r="E1033" s="64"/>
      <c r="F1033" s="64"/>
      <c r="G1033" s="64"/>
      <c r="H1033" s="64"/>
      <c r="I1033" s="76"/>
      <c r="J1033" s="83"/>
      <c r="K1033" s="84"/>
      <c r="L1033" s="85"/>
      <c r="M1033" s="84"/>
      <c r="N1033" s="86"/>
    </row>
    <row r="1034" spans="1:14" x14ac:dyDescent="0.25">
      <c r="A1034" s="73"/>
      <c r="B1034" s="62" t="s">
        <v>3128</v>
      </c>
      <c r="C1034" s="63"/>
      <c r="D1034" s="64"/>
      <c r="E1034" s="64">
        <v>219</v>
      </c>
      <c r="F1034" s="64"/>
      <c r="G1034" s="64"/>
      <c r="H1034" s="64">
        <v>0.01</v>
      </c>
      <c r="I1034" s="76">
        <f t="shared" si="67"/>
        <v>2.19</v>
      </c>
      <c r="J1034" s="83"/>
      <c r="K1034" s="84"/>
      <c r="L1034" s="85"/>
      <c r="M1034" s="84"/>
      <c r="N1034" s="86"/>
    </row>
    <row r="1035" spans="1:14" x14ac:dyDescent="0.25">
      <c r="A1035" s="73">
        <v>53</v>
      </c>
      <c r="B1035" s="65" t="s">
        <v>149</v>
      </c>
      <c r="C1035" s="63" t="s">
        <v>150</v>
      </c>
      <c r="D1035" s="64"/>
      <c r="E1035" s="64"/>
      <c r="F1035" s="64"/>
      <c r="G1035" s="64"/>
      <c r="H1035" s="64"/>
      <c r="I1035" s="76">
        <f>SUM(I1036:I1042)</f>
        <v>45.563999999999993</v>
      </c>
      <c r="J1035" s="83" t="e">
        <f>PL03a!#REF!</f>
        <v>#REF!</v>
      </c>
      <c r="K1035" s="84">
        <f t="shared" ref="K1035" si="71">I1035</f>
        <v>45.563999999999993</v>
      </c>
      <c r="L1035" s="85"/>
      <c r="M1035" s="84">
        <f>K1035</f>
        <v>45.563999999999993</v>
      </c>
      <c r="N1035" s="86">
        <f>L1035+M1035</f>
        <v>45.563999999999993</v>
      </c>
    </row>
    <row r="1036" spans="1:14" x14ac:dyDescent="0.25">
      <c r="A1036" s="73"/>
      <c r="B1036" s="66" t="s">
        <v>3122</v>
      </c>
      <c r="C1036" s="63"/>
      <c r="D1036" s="64"/>
      <c r="E1036" s="64"/>
      <c r="F1036" s="64"/>
      <c r="G1036" s="64"/>
      <c r="H1036" s="64"/>
      <c r="I1036" s="76"/>
      <c r="J1036" s="83"/>
      <c r="K1036" s="84"/>
      <c r="L1036" s="85"/>
      <c r="M1036" s="84"/>
      <c r="N1036" s="86"/>
    </row>
    <row r="1037" spans="1:14" ht="38.25" x14ac:dyDescent="0.25">
      <c r="A1037" s="73"/>
      <c r="B1037" s="62" t="s">
        <v>3123</v>
      </c>
      <c r="C1037" s="63"/>
      <c r="D1037" s="64"/>
      <c r="E1037" s="64">
        <v>2017.575</v>
      </c>
      <c r="F1037" s="64"/>
      <c r="G1037" s="64"/>
      <c r="H1037" s="64">
        <v>0.01</v>
      </c>
      <c r="I1037" s="76">
        <f t="shared" si="67"/>
        <v>20.175999999999998</v>
      </c>
      <c r="J1037" s="83"/>
      <c r="K1037" s="84"/>
      <c r="L1037" s="85"/>
      <c r="M1037" s="84"/>
      <c r="N1037" s="86"/>
    </row>
    <row r="1038" spans="1:14" x14ac:dyDescent="0.25">
      <c r="A1038" s="73"/>
      <c r="B1038" s="62" t="s">
        <v>3124</v>
      </c>
      <c r="C1038" s="63"/>
      <c r="D1038" s="64"/>
      <c r="E1038" s="64">
        <v>1152</v>
      </c>
      <c r="F1038" s="64"/>
      <c r="G1038" s="64"/>
      <c r="H1038" s="64">
        <v>0.01</v>
      </c>
      <c r="I1038" s="76">
        <f t="shared" si="67"/>
        <v>11.52</v>
      </c>
      <c r="J1038" s="83"/>
      <c r="K1038" s="84"/>
      <c r="L1038" s="85"/>
      <c r="M1038" s="84"/>
      <c r="N1038" s="86"/>
    </row>
    <row r="1039" spans="1:14" x14ac:dyDescent="0.25">
      <c r="A1039" s="73"/>
      <c r="B1039" s="62" t="s">
        <v>3125</v>
      </c>
      <c r="C1039" s="63"/>
      <c r="D1039" s="64"/>
      <c r="E1039" s="64">
        <v>551.34</v>
      </c>
      <c r="F1039" s="64"/>
      <c r="G1039" s="64"/>
      <c r="H1039" s="64">
        <v>0.01</v>
      </c>
      <c r="I1039" s="76">
        <f t="shared" si="67"/>
        <v>5.5129999999999999</v>
      </c>
      <c r="J1039" s="83"/>
      <c r="K1039" s="84"/>
      <c r="L1039" s="85"/>
      <c r="M1039" s="84"/>
      <c r="N1039" s="86"/>
    </row>
    <row r="1040" spans="1:14" x14ac:dyDescent="0.25">
      <c r="A1040" s="73"/>
      <c r="B1040" s="62" t="s">
        <v>3126</v>
      </c>
      <c r="C1040" s="63"/>
      <c r="D1040" s="64"/>
      <c r="E1040" s="64">
        <v>616.5</v>
      </c>
      <c r="F1040" s="64"/>
      <c r="G1040" s="64"/>
      <c r="H1040" s="64">
        <v>0.01</v>
      </c>
      <c r="I1040" s="76">
        <f t="shared" si="67"/>
        <v>6.165</v>
      </c>
      <c r="J1040" s="83"/>
      <c r="K1040" s="84"/>
      <c r="L1040" s="85"/>
      <c r="M1040" s="84"/>
      <c r="N1040" s="86"/>
    </row>
    <row r="1041" spans="1:14" x14ac:dyDescent="0.25">
      <c r="A1041" s="73"/>
      <c r="B1041" s="66" t="s">
        <v>3127</v>
      </c>
      <c r="C1041" s="63"/>
      <c r="D1041" s="64"/>
      <c r="E1041" s="64"/>
      <c r="F1041" s="64"/>
      <c r="G1041" s="64"/>
      <c r="H1041" s="64"/>
      <c r="I1041" s="76"/>
      <c r="J1041" s="83"/>
      <c r="K1041" s="84"/>
      <c r="L1041" s="85"/>
      <c r="M1041" s="84"/>
      <c r="N1041" s="86"/>
    </row>
    <row r="1042" spans="1:14" x14ac:dyDescent="0.25">
      <c r="A1042" s="73"/>
      <c r="B1042" s="62" t="s">
        <v>3128</v>
      </c>
      <c r="C1042" s="63"/>
      <c r="D1042" s="64"/>
      <c r="E1042" s="64">
        <v>219</v>
      </c>
      <c r="F1042" s="64"/>
      <c r="G1042" s="64"/>
      <c r="H1042" s="64">
        <v>0.01</v>
      </c>
      <c r="I1042" s="76">
        <f t="shared" si="67"/>
        <v>2.19</v>
      </c>
      <c r="J1042" s="83"/>
      <c r="K1042" s="84"/>
      <c r="L1042" s="85"/>
      <c r="M1042" s="84"/>
      <c r="N1042" s="86"/>
    </row>
    <row r="1043" spans="1:14" x14ac:dyDescent="0.25">
      <c r="A1043" s="73"/>
      <c r="B1043" s="89" t="s">
        <v>3129</v>
      </c>
      <c r="C1043" s="89"/>
      <c r="D1043" s="64"/>
      <c r="E1043" s="64"/>
      <c r="F1043" s="64"/>
      <c r="G1043" s="64"/>
      <c r="H1043" s="64"/>
      <c r="I1043" s="76"/>
      <c r="J1043" s="83"/>
      <c r="K1043" s="84"/>
      <c r="L1043" s="85"/>
      <c r="M1043" s="84"/>
      <c r="N1043" s="86"/>
    </row>
    <row r="1044" spans="1:14" x14ac:dyDescent="0.25">
      <c r="A1044" s="73"/>
      <c r="B1044" s="89" t="s">
        <v>3130</v>
      </c>
      <c r="C1044" s="89"/>
      <c r="D1044" s="64"/>
      <c r="E1044" s="64"/>
      <c r="F1044" s="64"/>
      <c r="G1044" s="64"/>
      <c r="H1044" s="64"/>
      <c r="I1044" s="76"/>
      <c r="J1044" s="83"/>
      <c r="K1044" s="84"/>
      <c r="L1044" s="85"/>
      <c r="M1044" s="84"/>
      <c r="N1044" s="86"/>
    </row>
    <row r="1045" spans="1:14" ht="25.5" x14ac:dyDescent="0.25">
      <c r="A1045" s="73">
        <v>54</v>
      </c>
      <c r="B1045" s="65" t="s">
        <v>2805</v>
      </c>
      <c r="C1045" s="63" t="s">
        <v>27</v>
      </c>
      <c r="D1045" s="64"/>
      <c r="E1045" s="64"/>
      <c r="F1045" s="64"/>
      <c r="G1045" s="64"/>
      <c r="H1045" s="64"/>
      <c r="I1045" s="76">
        <f>SUM(I1046:I1049)</f>
        <v>3.3140000000000001</v>
      </c>
      <c r="J1045" s="83" t="e">
        <f>PL03a!#REF!</f>
        <v>#REF!</v>
      </c>
      <c r="K1045" s="84">
        <f t="shared" ref="K1045" si="72">I1045</f>
        <v>3.3140000000000001</v>
      </c>
      <c r="L1045" s="85"/>
      <c r="M1045" s="84">
        <f>K1045</f>
        <v>3.3140000000000001</v>
      </c>
      <c r="N1045" s="86">
        <f>L1045+M1045</f>
        <v>3.3140000000000001</v>
      </c>
    </row>
    <row r="1046" spans="1:14" x14ac:dyDescent="0.25">
      <c r="A1046" s="73"/>
      <c r="B1046" s="62" t="s">
        <v>3131</v>
      </c>
      <c r="C1046" s="63"/>
      <c r="D1046" s="64"/>
      <c r="E1046" s="64">
        <v>8.1999999999999993</v>
      </c>
      <c r="F1046" s="64">
        <v>5.2</v>
      </c>
      <c r="G1046" s="64">
        <v>2</v>
      </c>
      <c r="H1046" s="64">
        <v>0.01</v>
      </c>
      <c r="I1046" s="76">
        <f t="shared" si="67"/>
        <v>0.85299999999999998</v>
      </c>
      <c r="J1046" s="83"/>
      <c r="K1046" s="84"/>
      <c r="L1046" s="85"/>
      <c r="M1046" s="84"/>
      <c r="N1046" s="86"/>
    </row>
    <row r="1047" spans="1:14" x14ac:dyDescent="0.25">
      <c r="A1047" s="73"/>
      <c r="B1047" s="62" t="s">
        <v>3132</v>
      </c>
      <c r="C1047" s="63"/>
      <c r="D1047" s="64"/>
      <c r="E1047" s="64">
        <v>9.1999999999999993</v>
      </c>
      <c r="F1047" s="64">
        <v>7.2</v>
      </c>
      <c r="G1047" s="64">
        <v>3.55</v>
      </c>
      <c r="H1047" s="64">
        <v>0.01</v>
      </c>
      <c r="I1047" s="76">
        <f t="shared" si="67"/>
        <v>2.3519999999999999</v>
      </c>
      <c r="J1047" s="83"/>
      <c r="K1047" s="84"/>
      <c r="L1047" s="85"/>
      <c r="M1047" s="84"/>
      <c r="N1047" s="86"/>
    </row>
    <row r="1048" spans="1:14" x14ac:dyDescent="0.25">
      <c r="A1048" s="73"/>
      <c r="B1048" s="62" t="s">
        <v>3131</v>
      </c>
      <c r="C1048" s="63"/>
      <c r="D1048" s="64"/>
      <c r="E1048" s="64">
        <v>8.1999999999999993</v>
      </c>
      <c r="F1048" s="64">
        <v>5.2</v>
      </c>
      <c r="G1048" s="64">
        <v>0.1</v>
      </c>
      <c r="H1048" s="64">
        <v>0.01</v>
      </c>
      <c r="I1048" s="76">
        <f t="shared" si="67"/>
        <v>4.2999999999999997E-2</v>
      </c>
      <c r="J1048" s="83"/>
      <c r="K1048" s="84"/>
      <c r="L1048" s="85"/>
      <c r="M1048" s="84"/>
      <c r="N1048" s="86"/>
    </row>
    <row r="1049" spans="1:14" x14ac:dyDescent="0.25">
      <c r="A1049" s="73"/>
      <c r="B1049" s="62" t="s">
        <v>3132</v>
      </c>
      <c r="C1049" s="63"/>
      <c r="D1049" s="64"/>
      <c r="E1049" s="64">
        <v>9.1999999999999993</v>
      </c>
      <c r="F1049" s="64">
        <v>7.2</v>
      </c>
      <c r="G1049" s="64">
        <v>0.1</v>
      </c>
      <c r="H1049" s="64">
        <v>0.01</v>
      </c>
      <c r="I1049" s="76">
        <f t="shared" si="67"/>
        <v>6.6000000000000003E-2</v>
      </c>
      <c r="J1049" s="83"/>
      <c r="K1049" s="84"/>
      <c r="L1049" s="85"/>
      <c r="M1049" s="84"/>
      <c r="N1049" s="86"/>
    </row>
    <row r="1050" spans="1:14" ht="25.5" x14ac:dyDescent="0.25">
      <c r="A1050" s="73">
        <v>55</v>
      </c>
      <c r="B1050" s="65" t="s">
        <v>2850</v>
      </c>
      <c r="C1050" s="63" t="s">
        <v>27</v>
      </c>
      <c r="D1050" s="64"/>
      <c r="E1050" s="64"/>
      <c r="F1050" s="64"/>
      <c r="G1050" s="64"/>
      <c r="H1050" s="64"/>
      <c r="I1050" s="76">
        <f>SUM(I1051:I1056)</f>
        <v>0.44500000000000006</v>
      </c>
      <c r="J1050" s="83" t="e">
        <f>PL03a!#REF!</f>
        <v>#REF!</v>
      </c>
      <c r="K1050" s="84">
        <f t="shared" ref="K1050" si="73">I1050</f>
        <v>0.44500000000000006</v>
      </c>
      <c r="L1050" s="85"/>
      <c r="M1050" s="84">
        <f>K1050</f>
        <v>0.44500000000000006</v>
      </c>
      <c r="N1050" s="86">
        <f>L1050+M1050</f>
        <v>0.44500000000000006</v>
      </c>
    </row>
    <row r="1051" spans="1:14" x14ac:dyDescent="0.25">
      <c r="A1051" s="73"/>
      <c r="B1051" s="62" t="s">
        <v>3133</v>
      </c>
      <c r="C1051" s="63"/>
      <c r="D1051" s="64"/>
      <c r="E1051" s="64">
        <v>3.3140000000000001</v>
      </c>
      <c r="F1051" s="64"/>
      <c r="G1051" s="64"/>
      <c r="H1051" s="64"/>
      <c r="I1051" s="76">
        <f t="shared" si="67"/>
        <v>3.3140000000000001</v>
      </c>
      <c r="J1051" s="83"/>
      <c r="K1051" s="84"/>
      <c r="L1051" s="85"/>
      <c r="M1051" s="84"/>
      <c r="N1051" s="86"/>
    </row>
    <row r="1052" spans="1:14" x14ac:dyDescent="0.25">
      <c r="A1052" s="73"/>
      <c r="B1052" s="66" t="s">
        <v>3134</v>
      </c>
      <c r="C1052" s="63"/>
      <c r="D1052" s="64"/>
      <c r="E1052" s="64"/>
      <c r="F1052" s="64"/>
      <c r="G1052" s="64"/>
      <c r="H1052" s="64"/>
      <c r="I1052" s="76"/>
      <c r="J1052" s="83"/>
      <c r="K1052" s="84"/>
      <c r="L1052" s="85"/>
      <c r="M1052" s="84"/>
      <c r="N1052" s="86"/>
    </row>
    <row r="1053" spans="1:14" x14ac:dyDescent="0.25">
      <c r="A1053" s="73"/>
      <c r="B1053" s="62" t="s">
        <v>3135</v>
      </c>
      <c r="C1053" s="63"/>
      <c r="D1053" s="64"/>
      <c r="E1053" s="64">
        <v>-10.888</v>
      </c>
      <c r="F1053" s="64"/>
      <c r="G1053" s="64"/>
      <c r="H1053" s="64">
        <v>0.01</v>
      </c>
      <c r="I1053" s="76">
        <f t="shared" si="67"/>
        <v>-0.109</v>
      </c>
      <c r="J1053" s="83"/>
      <c r="K1053" s="84"/>
      <c r="L1053" s="85"/>
      <c r="M1053" s="84"/>
      <c r="N1053" s="86"/>
    </row>
    <row r="1054" spans="1:14" x14ac:dyDescent="0.25">
      <c r="A1054" s="73"/>
      <c r="B1054" s="62" t="s">
        <v>3136</v>
      </c>
      <c r="C1054" s="63"/>
      <c r="D1054" s="64"/>
      <c r="E1054" s="64">
        <v>-25.75</v>
      </c>
      <c r="F1054" s="64"/>
      <c r="G1054" s="64"/>
      <c r="H1054" s="64">
        <v>0.01</v>
      </c>
      <c r="I1054" s="76">
        <f t="shared" si="67"/>
        <v>-0.25800000000000001</v>
      </c>
      <c r="J1054" s="83"/>
      <c r="K1054" s="84"/>
      <c r="L1054" s="85"/>
      <c r="M1054" s="84"/>
      <c r="N1054" s="86"/>
    </row>
    <row r="1055" spans="1:14" x14ac:dyDescent="0.25">
      <c r="A1055" s="73"/>
      <c r="B1055" s="62" t="s">
        <v>3137</v>
      </c>
      <c r="C1055" s="63"/>
      <c r="D1055" s="64"/>
      <c r="E1055" s="64">
        <v>-7.6</v>
      </c>
      <c r="F1055" s="64">
        <v>4.5999999999999996</v>
      </c>
      <c r="G1055" s="64">
        <v>1.8</v>
      </c>
      <c r="H1055" s="64">
        <v>0.01</v>
      </c>
      <c r="I1055" s="76">
        <f t="shared" si="67"/>
        <v>-0.629</v>
      </c>
      <c r="J1055" s="83"/>
      <c r="K1055" s="84"/>
      <c r="L1055" s="85"/>
      <c r="M1055" s="84"/>
      <c r="N1055" s="86"/>
    </row>
    <row r="1056" spans="1:14" x14ac:dyDescent="0.25">
      <c r="A1056" s="73"/>
      <c r="B1056" s="62" t="s">
        <v>3138</v>
      </c>
      <c r="C1056" s="63"/>
      <c r="D1056" s="64"/>
      <c r="E1056" s="64">
        <v>-8.6</v>
      </c>
      <c r="F1056" s="64">
        <v>6.6</v>
      </c>
      <c r="G1056" s="64">
        <v>3.3</v>
      </c>
      <c r="H1056" s="64">
        <v>0.01</v>
      </c>
      <c r="I1056" s="76">
        <f t="shared" si="67"/>
        <v>-1.873</v>
      </c>
      <c r="J1056" s="83"/>
      <c r="K1056" s="84"/>
      <c r="L1056" s="85"/>
      <c r="M1056" s="84"/>
      <c r="N1056" s="86"/>
    </row>
    <row r="1057" spans="1:14" ht="25.5" x14ac:dyDescent="0.25">
      <c r="A1057" s="73">
        <v>56</v>
      </c>
      <c r="B1057" s="65" t="s">
        <v>3139</v>
      </c>
      <c r="C1057" s="63" t="s">
        <v>27</v>
      </c>
      <c r="D1057" s="64"/>
      <c r="E1057" s="64"/>
      <c r="F1057" s="64"/>
      <c r="G1057" s="64"/>
      <c r="H1057" s="64"/>
      <c r="I1057" s="76">
        <f>SUM(I1058:I1059)</f>
        <v>2.8690000000000002</v>
      </c>
      <c r="J1057" s="83" t="e">
        <f>PL03a!#REF!</f>
        <v>#REF!</v>
      </c>
      <c r="K1057" s="84">
        <f t="shared" ref="K1057" si="74">I1057</f>
        <v>2.8690000000000002</v>
      </c>
      <c r="L1057" s="85"/>
      <c r="M1057" s="84">
        <f>K1057</f>
        <v>2.8690000000000002</v>
      </c>
      <c r="N1057" s="86">
        <f>L1057+M1057</f>
        <v>2.8690000000000002</v>
      </c>
    </row>
    <row r="1058" spans="1:14" x14ac:dyDescent="0.25">
      <c r="A1058" s="73"/>
      <c r="B1058" s="62" t="s">
        <v>3133</v>
      </c>
      <c r="C1058" s="63"/>
      <c r="D1058" s="64"/>
      <c r="E1058" s="64">
        <v>3.3140000000000001</v>
      </c>
      <c r="F1058" s="64"/>
      <c r="G1058" s="64"/>
      <c r="H1058" s="64"/>
      <c r="I1058" s="76">
        <f t="shared" si="67"/>
        <v>3.3140000000000001</v>
      </c>
      <c r="J1058" s="83"/>
      <c r="K1058" s="84"/>
      <c r="L1058" s="85"/>
      <c r="M1058" s="84"/>
      <c r="N1058" s="86"/>
    </row>
    <row r="1059" spans="1:14" x14ac:dyDescent="0.25">
      <c r="A1059" s="73"/>
      <c r="B1059" s="62" t="s">
        <v>3140</v>
      </c>
      <c r="C1059" s="63"/>
      <c r="D1059" s="64"/>
      <c r="E1059" s="64">
        <v>-0.44500000000000001</v>
      </c>
      <c r="F1059" s="64"/>
      <c r="G1059" s="64"/>
      <c r="H1059" s="64"/>
      <c r="I1059" s="76">
        <f t="shared" si="67"/>
        <v>-0.44500000000000001</v>
      </c>
      <c r="J1059" s="83"/>
      <c r="K1059" s="84"/>
      <c r="L1059" s="85"/>
      <c r="M1059" s="84"/>
      <c r="N1059" s="86"/>
    </row>
    <row r="1060" spans="1:14" ht="25.5" x14ac:dyDescent="0.25">
      <c r="A1060" s="73">
        <v>57</v>
      </c>
      <c r="B1060" s="65" t="s">
        <v>2863</v>
      </c>
      <c r="C1060" s="63" t="s">
        <v>27</v>
      </c>
      <c r="D1060" s="64"/>
      <c r="E1060" s="64"/>
      <c r="F1060" s="64"/>
      <c r="G1060" s="64"/>
      <c r="H1060" s="64"/>
      <c r="I1060" s="76">
        <f>I1061</f>
        <v>2.8690000000000002</v>
      </c>
      <c r="J1060" s="83" t="e">
        <f>PL03a!#REF!</f>
        <v>#REF!</v>
      </c>
      <c r="K1060" s="84">
        <f t="shared" ref="K1060" si="75">I1060</f>
        <v>2.8690000000000002</v>
      </c>
      <c r="L1060" s="85"/>
      <c r="M1060" s="84">
        <f>K1060</f>
        <v>2.8690000000000002</v>
      </c>
      <c r="N1060" s="86">
        <f>L1060+M1060</f>
        <v>2.8690000000000002</v>
      </c>
    </row>
    <row r="1061" spans="1:14" x14ac:dyDescent="0.25">
      <c r="A1061" s="73"/>
      <c r="B1061" s="62" t="s">
        <v>2801</v>
      </c>
      <c r="C1061" s="63"/>
      <c r="D1061" s="64"/>
      <c r="E1061" s="64">
        <v>2.8690000000000002</v>
      </c>
      <c r="F1061" s="64"/>
      <c r="G1061" s="64"/>
      <c r="H1061" s="64"/>
      <c r="I1061" s="76">
        <f t="shared" si="67"/>
        <v>2.8690000000000002</v>
      </c>
      <c r="J1061" s="83"/>
      <c r="K1061" s="84"/>
      <c r="L1061" s="85"/>
      <c r="M1061" s="84"/>
      <c r="N1061" s="86"/>
    </row>
    <row r="1062" spans="1:14" ht="25.5" x14ac:dyDescent="0.25">
      <c r="A1062" s="73">
        <v>58</v>
      </c>
      <c r="B1062" s="65" t="s">
        <v>49</v>
      </c>
      <c r="C1062" s="63" t="s">
        <v>37</v>
      </c>
      <c r="D1062" s="64"/>
      <c r="E1062" s="64"/>
      <c r="F1062" s="64"/>
      <c r="G1062" s="64"/>
      <c r="H1062" s="64"/>
      <c r="I1062" s="76">
        <f>SUM(I1063:I1064)</f>
        <v>10.888</v>
      </c>
      <c r="J1062" s="83" t="e">
        <f>PL03a!#REF!</f>
        <v>#REF!</v>
      </c>
      <c r="K1062" s="84">
        <f t="shared" ref="K1062" si="76">I1062</f>
        <v>10.888</v>
      </c>
      <c r="L1062" s="85"/>
      <c r="M1062" s="84">
        <f>K1062</f>
        <v>10.888</v>
      </c>
      <c r="N1062" s="86">
        <f>L1062+M1062</f>
        <v>10.888</v>
      </c>
    </row>
    <row r="1063" spans="1:14" x14ac:dyDescent="0.25">
      <c r="A1063" s="73"/>
      <c r="B1063" s="62" t="s">
        <v>3131</v>
      </c>
      <c r="C1063" s="63"/>
      <c r="D1063" s="64"/>
      <c r="E1063" s="64">
        <v>8.1999999999999993</v>
      </c>
      <c r="F1063" s="64">
        <v>5.2</v>
      </c>
      <c r="G1063" s="64">
        <v>0.1</v>
      </c>
      <c r="H1063" s="64"/>
      <c r="I1063" s="76">
        <f t="shared" si="67"/>
        <v>4.2640000000000002</v>
      </c>
      <c r="J1063" s="83"/>
      <c r="K1063" s="84"/>
      <c r="L1063" s="85"/>
      <c r="M1063" s="84"/>
      <c r="N1063" s="86"/>
    </row>
    <row r="1064" spans="1:14" x14ac:dyDescent="0.25">
      <c r="A1064" s="73"/>
      <c r="B1064" s="62" t="s">
        <v>3132</v>
      </c>
      <c r="C1064" s="63"/>
      <c r="D1064" s="64"/>
      <c r="E1064" s="64">
        <v>9.1999999999999993</v>
      </c>
      <c r="F1064" s="64">
        <v>7.2</v>
      </c>
      <c r="G1064" s="64">
        <v>0.1</v>
      </c>
      <c r="H1064" s="64"/>
      <c r="I1064" s="76">
        <f t="shared" si="67"/>
        <v>6.6239999999999997</v>
      </c>
      <c r="J1064" s="83"/>
      <c r="K1064" s="84"/>
      <c r="L1064" s="85"/>
      <c r="M1064" s="84"/>
      <c r="N1064" s="86"/>
    </row>
    <row r="1065" spans="1:14" ht="38.25" x14ac:dyDescent="0.25">
      <c r="A1065" s="73">
        <v>59</v>
      </c>
      <c r="B1065" s="65" t="s">
        <v>157</v>
      </c>
      <c r="C1065" s="63" t="s">
        <v>37</v>
      </c>
      <c r="D1065" s="64"/>
      <c r="E1065" s="64"/>
      <c r="F1065" s="64"/>
      <c r="G1065" s="64"/>
      <c r="H1065" s="64"/>
      <c r="I1065" s="76">
        <f>SUM(I1066:I1067)</f>
        <v>25.75</v>
      </c>
      <c r="J1065" s="83" t="e">
        <f>PL03a!#REF!</f>
        <v>#REF!</v>
      </c>
      <c r="K1065" s="84">
        <f t="shared" ref="K1065" si="77">I1065</f>
        <v>25.75</v>
      </c>
      <c r="L1065" s="85"/>
      <c r="M1065" s="84">
        <f>K1065</f>
        <v>25.75</v>
      </c>
      <c r="N1065" s="86">
        <f>L1065+M1065</f>
        <v>25.75</v>
      </c>
    </row>
    <row r="1066" spans="1:14" x14ac:dyDescent="0.25">
      <c r="A1066" s="73"/>
      <c r="B1066" s="62" t="s">
        <v>3141</v>
      </c>
      <c r="C1066" s="63"/>
      <c r="D1066" s="64"/>
      <c r="E1066" s="64">
        <v>8</v>
      </c>
      <c r="F1066" s="64">
        <v>5</v>
      </c>
      <c r="G1066" s="64">
        <v>0.25</v>
      </c>
      <c r="H1066" s="64"/>
      <c r="I1066" s="76">
        <f t="shared" si="67"/>
        <v>10</v>
      </c>
      <c r="J1066" s="83"/>
      <c r="K1066" s="84"/>
      <c r="L1066" s="85"/>
      <c r="M1066" s="84"/>
      <c r="N1066" s="86"/>
    </row>
    <row r="1067" spans="1:14" x14ac:dyDescent="0.25">
      <c r="A1067" s="73"/>
      <c r="B1067" s="62" t="s">
        <v>3142</v>
      </c>
      <c r="C1067" s="63"/>
      <c r="D1067" s="64"/>
      <c r="E1067" s="64">
        <v>9</v>
      </c>
      <c r="F1067" s="64">
        <v>7</v>
      </c>
      <c r="G1067" s="64">
        <v>0.25</v>
      </c>
      <c r="H1067" s="64"/>
      <c r="I1067" s="76">
        <f t="shared" si="67"/>
        <v>15.75</v>
      </c>
      <c r="J1067" s="83"/>
      <c r="K1067" s="84"/>
      <c r="L1067" s="85"/>
      <c r="M1067" s="84"/>
      <c r="N1067" s="86"/>
    </row>
    <row r="1068" spans="1:14" x14ac:dyDescent="0.25">
      <c r="A1068" s="73">
        <v>60</v>
      </c>
      <c r="B1068" s="65" t="s">
        <v>159</v>
      </c>
      <c r="C1068" s="63" t="s">
        <v>61</v>
      </c>
      <c r="D1068" s="64"/>
      <c r="E1068" s="64"/>
      <c r="F1068" s="64"/>
      <c r="G1068" s="64"/>
      <c r="H1068" s="64"/>
      <c r="I1068" s="76">
        <f>SUM(I1069:I1070)</f>
        <v>0.14500000000000002</v>
      </c>
      <c r="J1068" s="83" t="e">
        <f>PL03a!#REF!</f>
        <v>#REF!</v>
      </c>
      <c r="K1068" s="84">
        <f t="shared" ref="K1068" si="78">I1068</f>
        <v>0.14500000000000002</v>
      </c>
      <c r="L1068" s="85"/>
      <c r="M1068" s="84">
        <f>K1068</f>
        <v>0.14500000000000002</v>
      </c>
      <c r="N1068" s="86">
        <f>L1068+M1068</f>
        <v>0.14500000000000002</v>
      </c>
    </row>
    <row r="1069" spans="1:14" x14ac:dyDescent="0.25">
      <c r="A1069" s="73"/>
      <c r="B1069" s="62" t="s">
        <v>3143</v>
      </c>
      <c r="C1069" s="63"/>
      <c r="D1069" s="64"/>
      <c r="E1069" s="64">
        <v>26</v>
      </c>
      <c r="F1069" s="64">
        <v>0.25</v>
      </c>
      <c r="G1069" s="64"/>
      <c r="H1069" s="64">
        <v>0.01</v>
      </c>
      <c r="I1069" s="76">
        <f t="shared" si="67"/>
        <v>6.5000000000000002E-2</v>
      </c>
      <c r="J1069" s="83"/>
      <c r="K1069" s="84"/>
      <c r="L1069" s="85"/>
      <c r="M1069" s="84"/>
      <c r="N1069" s="86"/>
    </row>
    <row r="1070" spans="1:14" x14ac:dyDescent="0.25">
      <c r="A1070" s="73"/>
      <c r="B1070" s="62" t="s">
        <v>3144</v>
      </c>
      <c r="C1070" s="63"/>
      <c r="D1070" s="64"/>
      <c r="E1070" s="64">
        <v>32</v>
      </c>
      <c r="F1070" s="64">
        <v>0.25</v>
      </c>
      <c r="G1070" s="64"/>
      <c r="H1070" s="64">
        <v>0.01</v>
      </c>
      <c r="I1070" s="76">
        <f t="shared" si="67"/>
        <v>0.08</v>
      </c>
      <c r="J1070" s="83"/>
      <c r="K1070" s="84"/>
      <c r="L1070" s="85"/>
      <c r="M1070" s="84"/>
      <c r="N1070" s="86"/>
    </row>
    <row r="1071" spans="1:14" ht="38.25" x14ac:dyDescent="0.25">
      <c r="A1071" s="73">
        <v>61</v>
      </c>
      <c r="B1071" s="65" t="s">
        <v>161</v>
      </c>
      <c r="C1071" s="63" t="s">
        <v>37</v>
      </c>
      <c r="D1071" s="64"/>
      <c r="E1071" s="64"/>
      <c r="F1071" s="64"/>
      <c r="G1071" s="64"/>
      <c r="H1071" s="64"/>
      <c r="I1071" s="76">
        <f>SUM(I1072:I1084)</f>
        <v>69.89500000000001</v>
      </c>
      <c r="J1071" s="83" t="e">
        <f>PL03a!#REF!</f>
        <v>#REF!</v>
      </c>
      <c r="K1071" s="84">
        <f t="shared" ref="K1071" si="79">I1071</f>
        <v>69.89500000000001</v>
      </c>
      <c r="L1071" s="85"/>
      <c r="M1071" s="84">
        <f>K1071</f>
        <v>69.89500000000001</v>
      </c>
      <c r="N1071" s="86">
        <f>L1071+M1071</f>
        <v>69.89500000000001</v>
      </c>
    </row>
    <row r="1072" spans="1:14" x14ac:dyDescent="0.25">
      <c r="A1072" s="73"/>
      <c r="B1072" s="66" t="s">
        <v>3145</v>
      </c>
      <c r="C1072" s="63"/>
      <c r="D1072" s="64"/>
      <c r="E1072" s="64"/>
      <c r="F1072" s="64"/>
      <c r="G1072" s="64"/>
      <c r="H1072" s="64"/>
      <c r="I1072" s="76"/>
      <c r="J1072" s="83"/>
      <c r="K1072" s="84"/>
      <c r="L1072" s="85"/>
      <c r="M1072" s="84"/>
      <c r="N1072" s="86"/>
    </row>
    <row r="1073" spans="1:14" x14ac:dyDescent="0.25">
      <c r="A1073" s="73"/>
      <c r="B1073" s="62" t="s">
        <v>3146</v>
      </c>
      <c r="C1073" s="63"/>
      <c r="D1073" s="64"/>
      <c r="E1073" s="64">
        <v>23.2</v>
      </c>
      <c r="F1073" s="64">
        <v>2</v>
      </c>
      <c r="G1073" s="64">
        <v>0.3</v>
      </c>
      <c r="H1073" s="64"/>
      <c r="I1073" s="76">
        <f t="shared" ref="I1073:I1135" si="80">ROUND(PRODUCT(D1073:H1073),3)</f>
        <v>13.92</v>
      </c>
      <c r="J1073" s="83"/>
      <c r="K1073" s="84"/>
      <c r="L1073" s="85"/>
      <c r="M1073" s="84"/>
      <c r="N1073" s="86"/>
    </row>
    <row r="1074" spans="1:14" x14ac:dyDescent="0.25">
      <c r="A1074" s="73"/>
      <c r="B1074" s="62" t="s">
        <v>3147</v>
      </c>
      <c r="C1074" s="63"/>
      <c r="D1074" s="64">
        <v>2</v>
      </c>
      <c r="E1074" s="64">
        <v>4</v>
      </c>
      <c r="F1074" s="64">
        <v>1.8</v>
      </c>
      <c r="G1074" s="64">
        <v>0.22</v>
      </c>
      <c r="H1074" s="64"/>
      <c r="I1074" s="76">
        <f t="shared" si="80"/>
        <v>3.1680000000000001</v>
      </c>
      <c r="J1074" s="83"/>
      <c r="K1074" s="84"/>
      <c r="L1074" s="85"/>
      <c r="M1074" s="84"/>
      <c r="N1074" s="86"/>
    </row>
    <row r="1075" spans="1:14" x14ac:dyDescent="0.25">
      <c r="A1075" s="73"/>
      <c r="B1075" s="62" t="s">
        <v>3148</v>
      </c>
      <c r="C1075" s="63"/>
      <c r="D1075" s="64"/>
      <c r="E1075" s="64">
        <v>-0.8</v>
      </c>
      <c r="F1075" s="64">
        <v>0.8</v>
      </c>
      <c r="G1075" s="64">
        <v>0.22</v>
      </c>
      <c r="H1075" s="64"/>
      <c r="I1075" s="76">
        <f t="shared" si="80"/>
        <v>-0.14099999999999999</v>
      </c>
      <c r="J1075" s="83"/>
      <c r="K1075" s="84"/>
      <c r="L1075" s="85"/>
      <c r="M1075" s="84"/>
      <c r="N1075" s="86"/>
    </row>
    <row r="1076" spans="1:14" x14ac:dyDescent="0.25">
      <c r="A1076" s="73"/>
      <c r="B1076" s="62"/>
      <c r="C1076" s="63"/>
      <c r="D1076" s="64"/>
      <c r="E1076" s="64">
        <v>-0.8</v>
      </c>
      <c r="F1076" s="64">
        <v>0.4</v>
      </c>
      <c r="G1076" s="64">
        <v>0.22</v>
      </c>
      <c r="H1076" s="64"/>
      <c r="I1076" s="76">
        <f t="shared" si="80"/>
        <v>-7.0000000000000007E-2</v>
      </c>
      <c r="J1076" s="83"/>
      <c r="K1076" s="84"/>
      <c r="L1076" s="85"/>
      <c r="M1076" s="84"/>
      <c r="N1076" s="86"/>
    </row>
    <row r="1077" spans="1:14" x14ac:dyDescent="0.25">
      <c r="A1077" s="73"/>
      <c r="B1077" s="62" t="s">
        <v>3149</v>
      </c>
      <c r="C1077" s="63"/>
      <c r="D1077" s="64"/>
      <c r="E1077" s="64">
        <v>4</v>
      </c>
      <c r="F1077" s="64">
        <v>7</v>
      </c>
      <c r="G1077" s="64">
        <v>0.2</v>
      </c>
      <c r="H1077" s="64"/>
      <c r="I1077" s="76">
        <f t="shared" si="80"/>
        <v>5.6</v>
      </c>
      <c r="J1077" s="83"/>
      <c r="K1077" s="84"/>
      <c r="L1077" s="85"/>
      <c r="M1077" s="84"/>
      <c r="N1077" s="86"/>
    </row>
    <row r="1078" spans="1:14" x14ac:dyDescent="0.25">
      <c r="A1078" s="73"/>
      <c r="B1078" s="62" t="s">
        <v>3148</v>
      </c>
      <c r="C1078" s="63"/>
      <c r="D1078" s="64">
        <v>3</v>
      </c>
      <c r="E1078" s="64">
        <v>-0.7</v>
      </c>
      <c r="F1078" s="64">
        <v>0.7</v>
      </c>
      <c r="G1078" s="64">
        <v>0.2</v>
      </c>
      <c r="H1078" s="64"/>
      <c r="I1078" s="76">
        <f t="shared" si="80"/>
        <v>-0.29399999999999998</v>
      </c>
      <c r="J1078" s="83"/>
      <c r="K1078" s="84"/>
      <c r="L1078" s="85"/>
      <c r="M1078" s="84"/>
      <c r="N1078" s="86"/>
    </row>
    <row r="1079" spans="1:14" x14ac:dyDescent="0.25">
      <c r="A1079" s="73"/>
      <c r="B1079" s="66" t="s">
        <v>3150</v>
      </c>
      <c r="C1079" s="63"/>
      <c r="D1079" s="64"/>
      <c r="E1079" s="64"/>
      <c r="F1079" s="64"/>
      <c r="G1079" s="64"/>
      <c r="H1079" s="64"/>
      <c r="I1079" s="76"/>
      <c r="J1079" s="83"/>
      <c r="K1079" s="84"/>
      <c r="L1079" s="85"/>
      <c r="M1079" s="84"/>
      <c r="N1079" s="86"/>
    </row>
    <row r="1080" spans="1:14" x14ac:dyDescent="0.25">
      <c r="A1080" s="73"/>
      <c r="B1080" s="62" t="s">
        <v>3151</v>
      </c>
      <c r="C1080" s="63"/>
      <c r="D1080" s="64"/>
      <c r="E1080" s="64">
        <v>29.2</v>
      </c>
      <c r="F1080" s="64">
        <v>3.3</v>
      </c>
      <c r="G1080" s="64">
        <v>0.3</v>
      </c>
      <c r="H1080" s="64"/>
      <c r="I1080" s="76">
        <f t="shared" si="80"/>
        <v>28.908000000000001</v>
      </c>
      <c r="J1080" s="83"/>
      <c r="K1080" s="84"/>
      <c r="L1080" s="85"/>
      <c r="M1080" s="84"/>
      <c r="N1080" s="86"/>
    </row>
    <row r="1081" spans="1:14" x14ac:dyDescent="0.25">
      <c r="A1081" s="73"/>
      <c r="B1081" s="62" t="s">
        <v>3147</v>
      </c>
      <c r="C1081" s="63"/>
      <c r="D1081" s="64"/>
      <c r="E1081" s="64">
        <v>6</v>
      </c>
      <c r="F1081" s="64">
        <v>3.1</v>
      </c>
      <c r="G1081" s="64">
        <v>0.3</v>
      </c>
      <c r="H1081" s="64"/>
      <c r="I1081" s="76">
        <f t="shared" si="80"/>
        <v>5.58</v>
      </c>
      <c r="J1081" s="83"/>
      <c r="K1081" s="84"/>
      <c r="L1081" s="85"/>
      <c r="M1081" s="84"/>
      <c r="N1081" s="86"/>
    </row>
    <row r="1082" spans="1:14" x14ac:dyDescent="0.25">
      <c r="A1082" s="73"/>
      <c r="B1082" s="62"/>
      <c r="C1082" s="63"/>
      <c r="D1082" s="64"/>
      <c r="E1082" s="64">
        <v>4</v>
      </c>
      <c r="F1082" s="64">
        <v>3.1</v>
      </c>
      <c r="G1082" s="64">
        <v>0.3</v>
      </c>
      <c r="H1082" s="64"/>
      <c r="I1082" s="76">
        <f t="shared" si="80"/>
        <v>3.72</v>
      </c>
      <c r="J1082" s="83"/>
      <c r="K1082" s="84"/>
      <c r="L1082" s="85"/>
      <c r="M1082" s="84"/>
      <c r="N1082" s="86"/>
    </row>
    <row r="1083" spans="1:14" x14ac:dyDescent="0.25">
      <c r="A1083" s="73"/>
      <c r="B1083" s="62" t="s">
        <v>3148</v>
      </c>
      <c r="C1083" s="63"/>
      <c r="D1083" s="64">
        <v>4</v>
      </c>
      <c r="E1083" s="64">
        <v>-0.4</v>
      </c>
      <c r="F1083" s="64">
        <v>0.2</v>
      </c>
      <c r="G1083" s="64">
        <v>0.3</v>
      </c>
      <c r="H1083" s="64"/>
      <c r="I1083" s="76">
        <f t="shared" si="80"/>
        <v>-9.6000000000000002E-2</v>
      </c>
      <c r="J1083" s="83"/>
      <c r="K1083" s="84"/>
      <c r="L1083" s="85"/>
      <c r="M1083" s="84"/>
      <c r="N1083" s="86"/>
    </row>
    <row r="1084" spans="1:14" x14ac:dyDescent="0.25">
      <c r="A1084" s="73"/>
      <c r="B1084" s="62" t="s">
        <v>3149</v>
      </c>
      <c r="C1084" s="63"/>
      <c r="D1084" s="64"/>
      <c r="E1084" s="64">
        <v>8</v>
      </c>
      <c r="F1084" s="64">
        <v>6</v>
      </c>
      <c r="G1084" s="64">
        <v>0.2</v>
      </c>
      <c r="H1084" s="64"/>
      <c r="I1084" s="76">
        <f t="shared" si="80"/>
        <v>9.6</v>
      </c>
      <c r="J1084" s="83"/>
      <c r="K1084" s="84"/>
      <c r="L1084" s="85"/>
      <c r="M1084" s="84"/>
      <c r="N1084" s="86"/>
    </row>
    <row r="1085" spans="1:14" x14ac:dyDescent="0.25">
      <c r="A1085" s="73">
        <v>62</v>
      </c>
      <c r="B1085" s="65" t="s">
        <v>96</v>
      </c>
      <c r="C1085" s="63" t="s">
        <v>61</v>
      </c>
      <c r="D1085" s="64"/>
      <c r="E1085" s="64"/>
      <c r="F1085" s="64"/>
      <c r="G1085" s="64"/>
      <c r="H1085" s="64"/>
      <c r="I1085" s="76">
        <f>SUM(I1086:I1094)</f>
        <v>4.5229999999999997</v>
      </c>
      <c r="J1085" s="83" t="e">
        <f>PL03a!#REF!</f>
        <v>#REF!</v>
      </c>
      <c r="K1085" s="84">
        <f t="shared" ref="K1085" si="81">I1085</f>
        <v>4.5229999999999997</v>
      </c>
      <c r="L1085" s="85"/>
      <c r="M1085" s="84">
        <f>K1085</f>
        <v>4.5229999999999997</v>
      </c>
      <c r="N1085" s="86">
        <f>L1085+M1085</f>
        <v>4.5229999999999997</v>
      </c>
    </row>
    <row r="1086" spans="1:14" x14ac:dyDescent="0.25">
      <c r="A1086" s="73"/>
      <c r="B1086" s="66" t="s">
        <v>3145</v>
      </c>
      <c r="C1086" s="63"/>
      <c r="D1086" s="64"/>
      <c r="E1086" s="64"/>
      <c r="F1086" s="64"/>
      <c r="G1086" s="64"/>
      <c r="H1086" s="64"/>
      <c r="I1086" s="76"/>
      <c r="J1086" s="83"/>
      <c r="K1086" s="84"/>
      <c r="L1086" s="85"/>
      <c r="M1086" s="84"/>
      <c r="N1086" s="86"/>
    </row>
    <row r="1087" spans="1:14" x14ac:dyDescent="0.25">
      <c r="A1087" s="73"/>
      <c r="B1087" s="62" t="s">
        <v>3146</v>
      </c>
      <c r="C1087" s="63"/>
      <c r="D1087" s="64">
        <v>2</v>
      </c>
      <c r="E1087" s="64">
        <v>23.2</v>
      </c>
      <c r="F1087" s="64">
        <v>2</v>
      </c>
      <c r="G1087" s="64"/>
      <c r="H1087" s="64">
        <v>0.01</v>
      </c>
      <c r="I1087" s="76">
        <f t="shared" si="80"/>
        <v>0.92800000000000005</v>
      </c>
      <c r="J1087" s="83"/>
      <c r="K1087" s="84"/>
      <c r="L1087" s="85"/>
      <c r="M1087" s="84"/>
      <c r="N1087" s="86"/>
    </row>
    <row r="1088" spans="1:14" x14ac:dyDescent="0.25">
      <c r="A1088" s="73"/>
      <c r="B1088" s="62" t="s">
        <v>3147</v>
      </c>
      <c r="C1088" s="63"/>
      <c r="D1088" s="64">
        <v>4</v>
      </c>
      <c r="E1088" s="64">
        <v>4</v>
      </c>
      <c r="F1088" s="64">
        <v>1.8</v>
      </c>
      <c r="G1088" s="64"/>
      <c r="H1088" s="64">
        <v>0.01</v>
      </c>
      <c r="I1088" s="76">
        <f t="shared" si="80"/>
        <v>0.28799999999999998</v>
      </c>
      <c r="J1088" s="83"/>
      <c r="K1088" s="84"/>
      <c r="L1088" s="85"/>
      <c r="M1088" s="84"/>
      <c r="N1088" s="86"/>
    </row>
    <row r="1089" spans="1:14" x14ac:dyDescent="0.25">
      <c r="A1089" s="73"/>
      <c r="B1089" s="62" t="s">
        <v>3149</v>
      </c>
      <c r="C1089" s="63"/>
      <c r="D1089" s="64"/>
      <c r="E1089" s="64">
        <v>4</v>
      </c>
      <c r="F1089" s="64">
        <v>7</v>
      </c>
      <c r="G1089" s="64"/>
      <c r="H1089" s="64">
        <v>0.01</v>
      </c>
      <c r="I1089" s="76">
        <f t="shared" si="80"/>
        <v>0.28000000000000003</v>
      </c>
      <c r="J1089" s="83"/>
      <c r="K1089" s="84"/>
      <c r="L1089" s="85"/>
      <c r="M1089" s="84"/>
      <c r="N1089" s="86"/>
    </row>
    <row r="1090" spans="1:14" x14ac:dyDescent="0.25">
      <c r="A1090" s="73"/>
      <c r="B1090" s="66" t="s">
        <v>3150</v>
      </c>
      <c r="C1090" s="63"/>
      <c r="D1090" s="64"/>
      <c r="E1090" s="64"/>
      <c r="F1090" s="64"/>
      <c r="G1090" s="64"/>
      <c r="H1090" s="64"/>
      <c r="I1090" s="76"/>
      <c r="J1090" s="83"/>
      <c r="K1090" s="84"/>
      <c r="L1090" s="85"/>
      <c r="M1090" s="84"/>
      <c r="N1090" s="86"/>
    </row>
    <row r="1091" spans="1:14" x14ac:dyDescent="0.25">
      <c r="A1091" s="73"/>
      <c r="B1091" s="62" t="s">
        <v>3151</v>
      </c>
      <c r="C1091" s="63"/>
      <c r="D1091" s="64">
        <v>2</v>
      </c>
      <c r="E1091" s="64">
        <v>29.2</v>
      </c>
      <c r="F1091" s="64">
        <v>3.3</v>
      </c>
      <c r="G1091" s="64"/>
      <c r="H1091" s="64">
        <v>0.01</v>
      </c>
      <c r="I1091" s="76">
        <f t="shared" si="80"/>
        <v>1.927</v>
      </c>
      <c r="J1091" s="83"/>
      <c r="K1091" s="84"/>
      <c r="L1091" s="85"/>
      <c r="M1091" s="84"/>
      <c r="N1091" s="86"/>
    </row>
    <row r="1092" spans="1:14" x14ac:dyDescent="0.25">
      <c r="A1092" s="73"/>
      <c r="B1092" s="62" t="s">
        <v>3147</v>
      </c>
      <c r="C1092" s="63"/>
      <c r="D1092" s="64">
        <v>2</v>
      </c>
      <c r="E1092" s="64">
        <v>6</v>
      </c>
      <c r="F1092" s="64">
        <v>3.1</v>
      </c>
      <c r="G1092" s="64"/>
      <c r="H1092" s="64">
        <v>0.01</v>
      </c>
      <c r="I1092" s="76">
        <f t="shared" si="80"/>
        <v>0.372</v>
      </c>
      <c r="J1092" s="83"/>
      <c r="K1092" s="84"/>
      <c r="L1092" s="85"/>
      <c r="M1092" s="84"/>
      <c r="N1092" s="86"/>
    </row>
    <row r="1093" spans="1:14" x14ac:dyDescent="0.25">
      <c r="A1093" s="73"/>
      <c r="B1093" s="62"/>
      <c r="C1093" s="63"/>
      <c r="D1093" s="64">
        <v>2</v>
      </c>
      <c r="E1093" s="64">
        <v>4</v>
      </c>
      <c r="F1093" s="64">
        <v>3.1</v>
      </c>
      <c r="G1093" s="64"/>
      <c r="H1093" s="64">
        <v>0.01</v>
      </c>
      <c r="I1093" s="76">
        <f t="shared" si="80"/>
        <v>0.248</v>
      </c>
      <c r="J1093" s="83"/>
      <c r="K1093" s="84"/>
      <c r="L1093" s="85"/>
      <c r="M1093" s="84"/>
      <c r="N1093" s="86"/>
    </row>
    <row r="1094" spans="1:14" x14ac:dyDescent="0.25">
      <c r="A1094" s="73"/>
      <c r="B1094" s="62" t="s">
        <v>3149</v>
      </c>
      <c r="C1094" s="63"/>
      <c r="D1094" s="64"/>
      <c r="E1094" s="64">
        <v>8</v>
      </c>
      <c r="F1094" s="64">
        <v>6</v>
      </c>
      <c r="G1094" s="64"/>
      <c r="H1094" s="64">
        <v>0.01</v>
      </c>
      <c r="I1094" s="76">
        <f t="shared" si="80"/>
        <v>0.48</v>
      </c>
      <c r="J1094" s="83"/>
      <c r="K1094" s="84"/>
      <c r="L1094" s="85"/>
      <c r="M1094" s="84"/>
      <c r="N1094" s="86"/>
    </row>
    <row r="1095" spans="1:14" x14ac:dyDescent="0.25">
      <c r="A1095" s="74">
        <v>63</v>
      </c>
      <c r="B1095" s="59" t="s">
        <v>164</v>
      </c>
      <c r="C1095" s="60" t="s">
        <v>6</v>
      </c>
      <c r="D1095" s="61"/>
      <c r="E1095" s="61"/>
      <c r="F1095" s="61"/>
      <c r="G1095" s="61"/>
      <c r="H1095" s="61"/>
      <c r="I1095" s="76">
        <f>SUM(I1096:I1101)</f>
        <v>70.400000000000006</v>
      </c>
      <c r="J1095" s="83" t="e">
        <f>PL03a!#REF!</f>
        <v>#REF!</v>
      </c>
      <c r="K1095" s="84">
        <f t="shared" ref="K1095" si="82">I1095</f>
        <v>70.400000000000006</v>
      </c>
      <c r="L1095" s="85"/>
      <c r="M1095" s="84">
        <f>K1095</f>
        <v>70.400000000000006</v>
      </c>
      <c r="N1095" s="86">
        <f>L1095+M1095</f>
        <v>70.400000000000006</v>
      </c>
    </row>
    <row r="1096" spans="1:14" x14ac:dyDescent="0.25">
      <c r="A1096" s="73"/>
      <c r="B1096" s="66" t="s">
        <v>3145</v>
      </c>
      <c r="C1096" s="63"/>
      <c r="D1096" s="64"/>
      <c r="E1096" s="64"/>
      <c r="F1096" s="64"/>
      <c r="G1096" s="64"/>
      <c r="H1096" s="64"/>
      <c r="I1096" s="76"/>
      <c r="J1096" s="83"/>
      <c r="K1096" s="84"/>
      <c r="L1096" s="85"/>
      <c r="M1096" s="84"/>
      <c r="N1096" s="86"/>
    </row>
    <row r="1097" spans="1:14" x14ac:dyDescent="0.25">
      <c r="A1097" s="73"/>
      <c r="B1097" s="62" t="s">
        <v>3146</v>
      </c>
      <c r="C1097" s="63"/>
      <c r="D1097" s="64"/>
      <c r="E1097" s="64">
        <v>23.2</v>
      </c>
      <c r="F1097" s="64"/>
      <c r="G1097" s="64"/>
      <c r="H1097" s="64"/>
      <c r="I1097" s="76">
        <f t="shared" si="80"/>
        <v>23.2</v>
      </c>
      <c r="J1097" s="83"/>
      <c r="K1097" s="84"/>
      <c r="L1097" s="85"/>
      <c r="M1097" s="84"/>
      <c r="N1097" s="86"/>
    </row>
    <row r="1098" spans="1:14" x14ac:dyDescent="0.25">
      <c r="A1098" s="73"/>
      <c r="B1098" s="62" t="s">
        <v>3147</v>
      </c>
      <c r="C1098" s="63"/>
      <c r="D1098" s="64">
        <v>2</v>
      </c>
      <c r="E1098" s="64">
        <v>4</v>
      </c>
      <c r="F1098" s="64"/>
      <c r="G1098" s="64"/>
      <c r="H1098" s="64"/>
      <c r="I1098" s="76">
        <f t="shared" si="80"/>
        <v>8</v>
      </c>
      <c r="J1098" s="83"/>
      <c r="K1098" s="84"/>
      <c r="L1098" s="85"/>
      <c r="M1098" s="84"/>
      <c r="N1098" s="86"/>
    </row>
    <row r="1099" spans="1:14" x14ac:dyDescent="0.25">
      <c r="A1099" s="73"/>
      <c r="B1099" s="66" t="s">
        <v>3150</v>
      </c>
      <c r="C1099" s="63"/>
      <c r="D1099" s="64"/>
      <c r="E1099" s="64"/>
      <c r="F1099" s="64"/>
      <c r="G1099" s="64"/>
      <c r="H1099" s="64"/>
      <c r="I1099" s="76"/>
      <c r="J1099" s="83"/>
      <c r="K1099" s="84"/>
      <c r="L1099" s="85"/>
      <c r="M1099" s="84"/>
      <c r="N1099" s="86"/>
    </row>
    <row r="1100" spans="1:14" x14ac:dyDescent="0.25">
      <c r="A1100" s="73"/>
      <c r="B1100" s="62" t="s">
        <v>3151</v>
      </c>
      <c r="C1100" s="63"/>
      <c r="D1100" s="64"/>
      <c r="E1100" s="64">
        <v>29.2</v>
      </c>
      <c r="F1100" s="64"/>
      <c r="G1100" s="64"/>
      <c r="H1100" s="64"/>
      <c r="I1100" s="76">
        <f t="shared" si="80"/>
        <v>29.2</v>
      </c>
      <c r="J1100" s="83"/>
      <c r="K1100" s="84"/>
      <c r="L1100" s="85"/>
      <c r="M1100" s="84"/>
      <c r="N1100" s="86"/>
    </row>
    <row r="1101" spans="1:14" x14ac:dyDescent="0.25">
      <c r="A1101" s="73"/>
      <c r="B1101" s="62" t="s">
        <v>3152</v>
      </c>
      <c r="C1101" s="63"/>
      <c r="D1101" s="64"/>
      <c r="E1101" s="64">
        <v>10</v>
      </c>
      <c r="F1101" s="64"/>
      <c r="G1101" s="64"/>
      <c r="H1101" s="64"/>
      <c r="I1101" s="76">
        <f t="shared" si="80"/>
        <v>10</v>
      </c>
      <c r="J1101" s="83"/>
      <c r="K1101" s="84"/>
      <c r="L1101" s="85"/>
      <c r="M1101" s="84"/>
      <c r="N1101" s="86"/>
    </row>
    <row r="1102" spans="1:14" ht="25.5" x14ac:dyDescent="0.25">
      <c r="A1102" s="73">
        <v>64</v>
      </c>
      <c r="B1102" s="65" t="s">
        <v>166</v>
      </c>
      <c r="C1102" s="63" t="s">
        <v>32</v>
      </c>
      <c r="D1102" s="64"/>
      <c r="E1102" s="64"/>
      <c r="F1102" s="64"/>
      <c r="G1102" s="64"/>
      <c r="H1102" s="64"/>
      <c r="I1102" s="76">
        <f>SUM(I1103:I1105)</f>
        <v>2.2029999999999998</v>
      </c>
      <c r="J1102" s="83" t="e">
        <f>PL03a!#REF!</f>
        <v>#REF!</v>
      </c>
      <c r="K1102" s="84">
        <f t="shared" ref="K1102" si="83">I1102</f>
        <v>2.2029999999999998</v>
      </c>
      <c r="L1102" s="85"/>
      <c r="M1102" s="84">
        <f>K1102</f>
        <v>2.2029999999999998</v>
      </c>
      <c r="N1102" s="86">
        <f>L1102+M1102</f>
        <v>2.2029999999999998</v>
      </c>
    </row>
    <row r="1103" spans="1:14" x14ac:dyDescent="0.25">
      <c r="A1103" s="73"/>
      <c r="B1103" s="66" t="s">
        <v>3153</v>
      </c>
      <c r="C1103" s="63"/>
      <c r="D1103" s="64"/>
      <c r="E1103" s="64"/>
      <c r="F1103" s="64"/>
      <c r="G1103" s="64"/>
      <c r="H1103" s="64"/>
      <c r="I1103" s="76"/>
      <c r="J1103" s="83"/>
      <c r="K1103" s="84"/>
      <c r="L1103" s="85"/>
      <c r="M1103" s="84"/>
      <c r="N1103" s="86"/>
    </row>
    <row r="1104" spans="1:14" x14ac:dyDescent="0.25">
      <c r="A1104" s="73"/>
      <c r="B1104" s="62" t="s">
        <v>3131</v>
      </c>
      <c r="C1104" s="63"/>
      <c r="D1104" s="64"/>
      <c r="E1104" s="64">
        <v>1170.42</v>
      </c>
      <c r="F1104" s="64"/>
      <c r="G1104" s="64"/>
      <c r="H1104" s="64">
        <v>1E-3</v>
      </c>
      <c r="I1104" s="76">
        <f t="shared" si="80"/>
        <v>1.17</v>
      </c>
      <c r="J1104" s="83"/>
      <c r="K1104" s="84"/>
      <c r="L1104" s="85"/>
      <c r="M1104" s="84"/>
      <c r="N1104" s="86"/>
    </row>
    <row r="1105" spans="1:14" x14ac:dyDescent="0.25">
      <c r="A1105" s="73"/>
      <c r="B1105" s="62" t="s">
        <v>3132</v>
      </c>
      <c r="C1105" s="63"/>
      <c r="D1105" s="64"/>
      <c r="E1105" s="64">
        <v>1032.5999999999999</v>
      </c>
      <c r="F1105" s="64"/>
      <c r="G1105" s="64"/>
      <c r="H1105" s="64">
        <v>1E-3</v>
      </c>
      <c r="I1105" s="76">
        <f t="shared" si="80"/>
        <v>1.0329999999999999</v>
      </c>
      <c r="J1105" s="83"/>
      <c r="K1105" s="84"/>
      <c r="L1105" s="85"/>
      <c r="M1105" s="84"/>
      <c r="N1105" s="86"/>
    </row>
    <row r="1106" spans="1:14" ht="25.5" x14ac:dyDescent="0.25">
      <c r="A1106" s="73">
        <v>65</v>
      </c>
      <c r="B1106" s="65" t="s">
        <v>168</v>
      </c>
      <c r="C1106" s="63" t="s">
        <v>32</v>
      </c>
      <c r="D1106" s="64"/>
      <c r="E1106" s="64"/>
      <c r="F1106" s="64"/>
      <c r="G1106" s="64"/>
      <c r="H1106" s="64"/>
      <c r="I1106" s="76">
        <f>SUM(I1107:I1109)</f>
        <v>7.53</v>
      </c>
      <c r="J1106" s="83" t="e">
        <f>PL03a!#REF!</f>
        <v>#REF!</v>
      </c>
      <c r="K1106" s="84">
        <f t="shared" ref="K1106" si="84">I1106</f>
        <v>7.53</v>
      </c>
      <c r="L1106" s="85"/>
      <c r="M1106" s="84">
        <f>K1106</f>
        <v>7.53</v>
      </c>
      <c r="N1106" s="86">
        <f>L1106+M1106</f>
        <v>7.53</v>
      </c>
    </row>
    <row r="1107" spans="1:14" x14ac:dyDescent="0.25">
      <c r="A1107" s="73"/>
      <c r="B1107" s="66" t="s">
        <v>3154</v>
      </c>
      <c r="C1107" s="63"/>
      <c r="D1107" s="64"/>
      <c r="E1107" s="64"/>
      <c r="F1107" s="64"/>
      <c r="G1107" s="64"/>
      <c r="H1107" s="64"/>
      <c r="I1107" s="76"/>
      <c r="J1107" s="83"/>
      <c r="K1107" s="84"/>
      <c r="L1107" s="85"/>
      <c r="M1107" s="84"/>
      <c r="N1107" s="86"/>
    </row>
    <row r="1108" spans="1:14" x14ac:dyDescent="0.25">
      <c r="A1108" s="73"/>
      <c r="B1108" s="62" t="s">
        <v>3131</v>
      </c>
      <c r="C1108" s="63"/>
      <c r="D1108" s="64"/>
      <c r="E1108" s="64">
        <v>2238.98</v>
      </c>
      <c r="F1108" s="64"/>
      <c r="G1108" s="64"/>
      <c r="H1108" s="64">
        <v>1E-3</v>
      </c>
      <c r="I1108" s="76">
        <f t="shared" si="80"/>
        <v>2.2389999999999999</v>
      </c>
      <c r="J1108" s="83"/>
      <c r="K1108" s="84"/>
      <c r="L1108" s="85"/>
      <c r="M1108" s="84"/>
      <c r="N1108" s="86"/>
    </row>
    <row r="1109" spans="1:14" x14ac:dyDescent="0.25">
      <c r="A1109" s="73"/>
      <c r="B1109" s="62" t="s">
        <v>3132</v>
      </c>
      <c r="C1109" s="63"/>
      <c r="D1109" s="64"/>
      <c r="E1109" s="64">
        <v>5291.34</v>
      </c>
      <c r="F1109" s="64"/>
      <c r="G1109" s="64"/>
      <c r="H1109" s="64">
        <v>1E-3</v>
      </c>
      <c r="I1109" s="76">
        <f t="shared" si="80"/>
        <v>5.2910000000000004</v>
      </c>
      <c r="J1109" s="83"/>
      <c r="K1109" s="84"/>
      <c r="L1109" s="85"/>
      <c r="M1109" s="84"/>
      <c r="N1109" s="86"/>
    </row>
    <row r="1110" spans="1:14" x14ac:dyDescent="0.25">
      <c r="A1110" s="73"/>
      <c r="B1110" s="66" t="s">
        <v>3155</v>
      </c>
      <c r="C1110" s="63"/>
      <c r="D1110" s="64"/>
      <c r="E1110" s="64"/>
      <c r="F1110" s="64"/>
      <c r="G1110" s="64"/>
      <c r="H1110" s="64"/>
      <c r="I1110" s="76"/>
      <c r="J1110" s="83"/>
      <c r="K1110" s="84"/>
      <c r="L1110" s="85"/>
      <c r="M1110" s="84"/>
      <c r="N1110" s="86"/>
    </row>
    <row r="1111" spans="1:14" ht="25.5" x14ac:dyDescent="0.25">
      <c r="A1111" s="73">
        <v>66</v>
      </c>
      <c r="B1111" s="65" t="s">
        <v>136</v>
      </c>
      <c r="C1111" s="63" t="s">
        <v>52</v>
      </c>
      <c r="D1111" s="64"/>
      <c r="E1111" s="64"/>
      <c r="F1111" s="64"/>
      <c r="G1111" s="64"/>
      <c r="H1111" s="64"/>
      <c r="I1111" s="76">
        <f>SUM(I1112:I1130)</f>
        <v>281.85599999999999</v>
      </c>
      <c r="J1111" s="83" t="e">
        <f>PL03a!#REF!</f>
        <v>#REF!</v>
      </c>
      <c r="K1111" s="84">
        <f t="shared" ref="K1111" si="85">I1111</f>
        <v>281.85599999999999</v>
      </c>
      <c r="L1111" s="85"/>
      <c r="M1111" s="84">
        <f>K1111</f>
        <v>281.85599999999999</v>
      </c>
      <c r="N1111" s="86">
        <f>L1111+M1111</f>
        <v>281.85599999999999</v>
      </c>
    </row>
    <row r="1112" spans="1:14" x14ac:dyDescent="0.25">
      <c r="A1112" s="73"/>
      <c r="B1112" s="66" t="s">
        <v>3145</v>
      </c>
      <c r="C1112" s="63"/>
      <c r="D1112" s="64"/>
      <c r="E1112" s="64"/>
      <c r="F1112" s="64"/>
      <c r="G1112" s="64"/>
      <c r="H1112" s="64"/>
      <c r="I1112" s="76"/>
      <c r="J1112" s="83"/>
      <c r="K1112" s="84"/>
      <c r="L1112" s="85"/>
      <c r="M1112" s="84"/>
      <c r="N1112" s="86"/>
    </row>
    <row r="1113" spans="1:14" x14ac:dyDescent="0.25">
      <c r="A1113" s="73"/>
      <c r="B1113" s="62" t="s">
        <v>2942</v>
      </c>
      <c r="C1113" s="63"/>
      <c r="D1113" s="64"/>
      <c r="E1113" s="64">
        <v>2.96</v>
      </c>
      <c r="F1113" s="64">
        <v>4</v>
      </c>
      <c r="G1113" s="64"/>
      <c r="H1113" s="64"/>
      <c r="I1113" s="76">
        <f t="shared" si="80"/>
        <v>11.84</v>
      </c>
      <c r="J1113" s="83"/>
      <c r="K1113" s="84"/>
      <c r="L1113" s="85"/>
      <c r="M1113" s="84"/>
      <c r="N1113" s="86"/>
    </row>
    <row r="1114" spans="1:14" x14ac:dyDescent="0.25">
      <c r="A1114" s="73"/>
      <c r="B1114" s="62"/>
      <c r="C1114" s="63"/>
      <c r="D1114" s="64"/>
      <c r="E1114" s="64">
        <v>1.7</v>
      </c>
      <c r="F1114" s="64">
        <v>4</v>
      </c>
      <c r="G1114" s="64"/>
      <c r="H1114" s="64"/>
      <c r="I1114" s="76">
        <f t="shared" si="80"/>
        <v>6.8</v>
      </c>
      <c r="J1114" s="83"/>
      <c r="K1114" s="84"/>
      <c r="L1114" s="85"/>
      <c r="M1114" s="84"/>
      <c r="N1114" s="86"/>
    </row>
    <row r="1115" spans="1:14" x14ac:dyDescent="0.25">
      <c r="A1115" s="73"/>
      <c r="B1115" s="62"/>
      <c r="C1115" s="63"/>
      <c r="D1115" s="64"/>
      <c r="E1115" s="64">
        <v>1.9</v>
      </c>
      <c r="F1115" s="64">
        <v>4</v>
      </c>
      <c r="G1115" s="64"/>
      <c r="H1115" s="64"/>
      <c r="I1115" s="76">
        <f t="shared" si="80"/>
        <v>7.6</v>
      </c>
      <c r="J1115" s="83"/>
      <c r="K1115" s="84"/>
      <c r="L1115" s="85"/>
      <c r="M1115" s="84"/>
      <c r="N1115" s="86"/>
    </row>
    <row r="1116" spans="1:14" x14ac:dyDescent="0.25">
      <c r="A1116" s="73"/>
      <c r="B1116" s="66" t="s">
        <v>3156</v>
      </c>
      <c r="C1116" s="63"/>
      <c r="D1116" s="64"/>
      <c r="E1116" s="64"/>
      <c r="F1116" s="64"/>
      <c r="G1116" s="64"/>
      <c r="H1116" s="64"/>
      <c r="I1116" s="76"/>
      <c r="J1116" s="83"/>
      <c r="K1116" s="84"/>
      <c r="L1116" s="85"/>
      <c r="M1116" s="84"/>
      <c r="N1116" s="86"/>
    </row>
    <row r="1117" spans="1:14" x14ac:dyDescent="0.25">
      <c r="A1117" s="73"/>
      <c r="B1117" s="62" t="s">
        <v>3157</v>
      </c>
      <c r="C1117" s="63"/>
      <c r="D1117" s="64"/>
      <c r="E1117" s="64">
        <v>13.92</v>
      </c>
      <c r="F1117" s="64">
        <v>1.8</v>
      </c>
      <c r="G1117" s="64"/>
      <c r="H1117" s="64"/>
      <c r="I1117" s="76">
        <f t="shared" si="80"/>
        <v>25.056000000000001</v>
      </c>
      <c r="J1117" s="83"/>
      <c r="K1117" s="84"/>
      <c r="L1117" s="85"/>
      <c r="M1117" s="84"/>
      <c r="N1117" s="86"/>
    </row>
    <row r="1118" spans="1:14" x14ac:dyDescent="0.25">
      <c r="A1118" s="73"/>
      <c r="B1118" s="62" t="s">
        <v>3158</v>
      </c>
      <c r="C1118" s="63"/>
      <c r="D1118" s="64"/>
      <c r="E1118" s="64">
        <v>11.4</v>
      </c>
      <c r="F1118" s="64">
        <v>1.8</v>
      </c>
      <c r="G1118" s="64"/>
      <c r="H1118" s="64"/>
      <c r="I1118" s="76">
        <f t="shared" si="80"/>
        <v>20.52</v>
      </c>
      <c r="J1118" s="83"/>
      <c r="K1118" s="84"/>
      <c r="L1118" s="85"/>
      <c r="M1118" s="84"/>
      <c r="N1118" s="86"/>
    </row>
    <row r="1119" spans="1:14" x14ac:dyDescent="0.25">
      <c r="A1119" s="73"/>
      <c r="B1119" s="62" t="s">
        <v>3159</v>
      </c>
      <c r="C1119" s="63"/>
      <c r="D1119" s="64"/>
      <c r="E1119" s="64">
        <v>11.8</v>
      </c>
      <c r="F1119" s="64">
        <v>1.8</v>
      </c>
      <c r="G1119" s="64"/>
      <c r="H1119" s="64"/>
      <c r="I1119" s="76">
        <f t="shared" si="80"/>
        <v>21.24</v>
      </c>
      <c r="J1119" s="83"/>
      <c r="K1119" s="84"/>
      <c r="L1119" s="85"/>
      <c r="M1119" s="84"/>
      <c r="N1119" s="86"/>
    </row>
    <row r="1120" spans="1:14" x14ac:dyDescent="0.25">
      <c r="A1120" s="73"/>
      <c r="B1120" s="62" t="s">
        <v>3148</v>
      </c>
      <c r="C1120" s="63"/>
      <c r="D1120" s="64"/>
      <c r="E1120" s="64">
        <v>-0.8</v>
      </c>
      <c r="F1120" s="64">
        <v>0.8</v>
      </c>
      <c r="G1120" s="64"/>
      <c r="H1120" s="64"/>
      <c r="I1120" s="76">
        <f t="shared" si="80"/>
        <v>-0.64</v>
      </c>
      <c r="J1120" s="83"/>
      <c r="K1120" s="84"/>
      <c r="L1120" s="85"/>
      <c r="M1120" s="84"/>
      <c r="N1120" s="86"/>
    </row>
    <row r="1121" spans="1:14" x14ac:dyDescent="0.25">
      <c r="A1121" s="73"/>
      <c r="B1121" s="62"/>
      <c r="C1121" s="63"/>
      <c r="D1121" s="64"/>
      <c r="E1121" s="64">
        <v>-0.8</v>
      </c>
      <c r="F1121" s="64">
        <v>0.4</v>
      </c>
      <c r="G1121" s="64"/>
      <c r="H1121" s="64"/>
      <c r="I1121" s="76">
        <f t="shared" si="80"/>
        <v>-0.32</v>
      </c>
      <c r="J1121" s="83"/>
      <c r="K1121" s="84"/>
      <c r="L1121" s="85"/>
      <c r="M1121" s="84"/>
      <c r="N1121" s="86"/>
    </row>
    <row r="1122" spans="1:14" x14ac:dyDescent="0.25">
      <c r="A1122" s="73"/>
      <c r="B1122" s="66" t="s">
        <v>3150</v>
      </c>
      <c r="C1122" s="63"/>
      <c r="D1122" s="64"/>
      <c r="E1122" s="64"/>
      <c r="F1122" s="64"/>
      <c r="G1122" s="64"/>
      <c r="H1122" s="64"/>
      <c r="I1122" s="76"/>
      <c r="J1122" s="83"/>
      <c r="K1122" s="84"/>
      <c r="L1122" s="85"/>
      <c r="M1122" s="84"/>
      <c r="N1122" s="86"/>
    </row>
    <row r="1123" spans="1:14" x14ac:dyDescent="0.25">
      <c r="A1123" s="73"/>
      <c r="B1123" s="62" t="s">
        <v>2942</v>
      </c>
      <c r="C1123" s="63"/>
      <c r="D1123" s="64"/>
      <c r="E1123" s="64">
        <v>3.7</v>
      </c>
      <c r="F1123" s="64">
        <v>6</v>
      </c>
      <c r="G1123" s="64"/>
      <c r="H1123" s="64"/>
      <c r="I1123" s="76">
        <f t="shared" si="80"/>
        <v>22.2</v>
      </c>
      <c r="J1123" s="83"/>
      <c r="K1123" s="84"/>
      <c r="L1123" s="85"/>
      <c r="M1123" s="84"/>
      <c r="N1123" s="86"/>
    </row>
    <row r="1124" spans="1:14" x14ac:dyDescent="0.25">
      <c r="A1124" s="73"/>
      <c r="B1124" s="62"/>
      <c r="C1124" s="63"/>
      <c r="D1124" s="64"/>
      <c r="E1124" s="64">
        <v>3</v>
      </c>
      <c r="F1124" s="64">
        <v>4</v>
      </c>
      <c r="G1124" s="64"/>
      <c r="H1124" s="64"/>
      <c r="I1124" s="76">
        <f t="shared" si="80"/>
        <v>12</v>
      </c>
      <c r="J1124" s="83"/>
      <c r="K1124" s="84"/>
      <c r="L1124" s="85"/>
      <c r="M1124" s="84"/>
      <c r="N1124" s="86"/>
    </row>
    <row r="1125" spans="1:14" x14ac:dyDescent="0.25">
      <c r="A1125" s="73"/>
      <c r="B1125" s="62"/>
      <c r="C1125" s="63"/>
      <c r="D1125" s="64"/>
      <c r="E1125" s="64">
        <v>2.7</v>
      </c>
      <c r="F1125" s="64">
        <v>4</v>
      </c>
      <c r="G1125" s="64"/>
      <c r="H1125" s="64"/>
      <c r="I1125" s="76">
        <f t="shared" si="80"/>
        <v>10.8</v>
      </c>
      <c r="J1125" s="83"/>
      <c r="K1125" s="84"/>
      <c r="L1125" s="85"/>
      <c r="M1125" s="84"/>
      <c r="N1125" s="86"/>
    </row>
    <row r="1126" spans="1:14" x14ac:dyDescent="0.25">
      <c r="A1126" s="73"/>
      <c r="B1126" s="66" t="s">
        <v>3156</v>
      </c>
      <c r="C1126" s="63"/>
      <c r="D1126" s="64"/>
      <c r="E1126" s="64"/>
      <c r="F1126" s="64"/>
      <c r="G1126" s="64"/>
      <c r="H1126" s="64"/>
      <c r="I1126" s="76"/>
      <c r="J1126" s="83"/>
      <c r="K1126" s="84"/>
      <c r="L1126" s="85"/>
      <c r="M1126" s="84"/>
      <c r="N1126" s="86"/>
    </row>
    <row r="1127" spans="1:14" x14ac:dyDescent="0.25">
      <c r="A1127" s="73"/>
      <c r="B1127" s="62" t="s">
        <v>3160</v>
      </c>
      <c r="C1127" s="63"/>
      <c r="D1127" s="64"/>
      <c r="E1127" s="64">
        <v>19.399999999999999</v>
      </c>
      <c r="F1127" s="64">
        <v>3.1</v>
      </c>
      <c r="G1127" s="64"/>
      <c r="H1127" s="64"/>
      <c r="I1127" s="76">
        <f t="shared" si="80"/>
        <v>60.14</v>
      </c>
      <c r="J1127" s="83"/>
      <c r="K1127" s="84"/>
      <c r="L1127" s="85"/>
      <c r="M1127" s="84"/>
      <c r="N1127" s="86"/>
    </row>
    <row r="1128" spans="1:14" x14ac:dyDescent="0.25">
      <c r="A1128" s="73"/>
      <c r="B1128" s="62" t="s">
        <v>3161</v>
      </c>
      <c r="C1128" s="63"/>
      <c r="D1128" s="64"/>
      <c r="E1128" s="64">
        <v>14</v>
      </c>
      <c r="F1128" s="64">
        <v>3.1</v>
      </c>
      <c r="G1128" s="64"/>
      <c r="H1128" s="64"/>
      <c r="I1128" s="76">
        <f t="shared" si="80"/>
        <v>43.4</v>
      </c>
      <c r="J1128" s="83"/>
      <c r="K1128" s="84"/>
      <c r="L1128" s="85"/>
      <c r="M1128" s="84"/>
      <c r="N1128" s="86"/>
    </row>
    <row r="1129" spans="1:14" x14ac:dyDescent="0.25">
      <c r="A1129" s="73"/>
      <c r="B1129" s="62" t="s">
        <v>3162</v>
      </c>
      <c r="C1129" s="63"/>
      <c r="D1129" s="64"/>
      <c r="E1129" s="64">
        <v>13.4</v>
      </c>
      <c r="F1129" s="64">
        <v>3.1</v>
      </c>
      <c r="G1129" s="64"/>
      <c r="H1129" s="64"/>
      <c r="I1129" s="76">
        <f t="shared" si="80"/>
        <v>41.54</v>
      </c>
      <c r="J1129" s="83"/>
      <c r="K1129" s="84"/>
      <c r="L1129" s="85"/>
      <c r="M1129" s="84"/>
      <c r="N1129" s="86"/>
    </row>
    <row r="1130" spans="1:14" x14ac:dyDescent="0.25">
      <c r="A1130" s="73"/>
      <c r="B1130" s="62" t="s">
        <v>3148</v>
      </c>
      <c r="C1130" s="63"/>
      <c r="D1130" s="64">
        <v>4</v>
      </c>
      <c r="E1130" s="64">
        <v>-0.4</v>
      </c>
      <c r="F1130" s="64">
        <v>0.2</v>
      </c>
      <c r="G1130" s="64"/>
      <c r="H1130" s="64"/>
      <c r="I1130" s="76">
        <f t="shared" si="80"/>
        <v>-0.32</v>
      </c>
      <c r="J1130" s="83"/>
      <c r="K1130" s="84"/>
      <c r="L1130" s="85"/>
      <c r="M1130" s="84"/>
      <c r="N1130" s="86"/>
    </row>
    <row r="1131" spans="1:14" ht="25.5" x14ac:dyDescent="0.25">
      <c r="A1131" s="73">
        <v>67</v>
      </c>
      <c r="B1131" s="65" t="s">
        <v>171</v>
      </c>
      <c r="C1131" s="63" t="s">
        <v>52</v>
      </c>
      <c r="D1131" s="64"/>
      <c r="E1131" s="64"/>
      <c r="F1131" s="64"/>
      <c r="G1131" s="64"/>
      <c r="H1131" s="64"/>
      <c r="I1131" s="76">
        <f>I1132</f>
        <v>281.85599999999999</v>
      </c>
      <c r="J1131" s="83" t="e">
        <f>PL03a!#REF!</f>
        <v>#REF!</v>
      </c>
      <c r="K1131" s="84">
        <f t="shared" ref="K1131" si="86">I1131</f>
        <v>281.85599999999999</v>
      </c>
      <c r="L1131" s="85"/>
      <c r="M1131" s="84">
        <f>K1131</f>
        <v>281.85599999999999</v>
      </c>
      <c r="N1131" s="86">
        <f>L1131+M1131</f>
        <v>281.85599999999999</v>
      </c>
    </row>
    <row r="1132" spans="1:14" x14ac:dyDescent="0.25">
      <c r="A1132" s="73"/>
      <c r="B1132" s="62" t="s">
        <v>3163</v>
      </c>
      <c r="C1132" s="63"/>
      <c r="D1132" s="64"/>
      <c r="E1132" s="64">
        <v>281.85599999999999</v>
      </c>
      <c r="F1132" s="64"/>
      <c r="G1132" s="64"/>
      <c r="H1132" s="64"/>
      <c r="I1132" s="76">
        <f t="shared" si="80"/>
        <v>281.85599999999999</v>
      </c>
      <c r="J1132" s="83"/>
      <c r="K1132" s="84"/>
      <c r="L1132" s="85"/>
      <c r="M1132" s="84"/>
      <c r="N1132" s="86"/>
    </row>
    <row r="1133" spans="1:14" ht="25.5" x14ac:dyDescent="0.25">
      <c r="A1133" s="74">
        <v>68</v>
      </c>
      <c r="B1133" s="59" t="s">
        <v>173</v>
      </c>
      <c r="C1133" s="60" t="s">
        <v>52</v>
      </c>
      <c r="D1133" s="61"/>
      <c r="E1133" s="61"/>
      <c r="F1133" s="61"/>
      <c r="G1133" s="61"/>
      <c r="H1133" s="61"/>
      <c r="I1133" s="76">
        <f>SUM(I1134:I1141)</f>
        <v>25.175999999999998</v>
      </c>
      <c r="J1133" s="83" t="e">
        <f>PL03a!#REF!</f>
        <v>#REF!</v>
      </c>
      <c r="K1133" s="84">
        <f t="shared" ref="K1133" si="87">I1133</f>
        <v>25.175999999999998</v>
      </c>
      <c r="L1133" s="85"/>
      <c r="M1133" s="84">
        <f>K1133</f>
        <v>25.175999999999998</v>
      </c>
      <c r="N1133" s="86">
        <f>L1133+M1133</f>
        <v>25.175999999999998</v>
      </c>
    </row>
    <row r="1134" spans="1:14" x14ac:dyDescent="0.25">
      <c r="A1134" s="73"/>
      <c r="B1134" s="66" t="s">
        <v>3145</v>
      </c>
      <c r="C1134" s="63"/>
      <c r="D1134" s="64"/>
      <c r="E1134" s="64"/>
      <c r="F1134" s="64"/>
      <c r="G1134" s="64"/>
      <c r="H1134" s="64"/>
      <c r="I1134" s="76"/>
      <c r="J1134" s="83"/>
      <c r="K1134" s="84"/>
      <c r="L1134" s="85"/>
      <c r="M1134" s="84"/>
      <c r="N1134" s="86"/>
    </row>
    <row r="1135" spans="1:14" x14ac:dyDescent="0.25">
      <c r="A1135" s="73"/>
      <c r="B1135" s="62" t="s">
        <v>3157</v>
      </c>
      <c r="C1135" s="63"/>
      <c r="D1135" s="64"/>
      <c r="E1135" s="64">
        <v>13.92</v>
      </c>
      <c r="F1135" s="64">
        <v>0.3</v>
      </c>
      <c r="G1135" s="64"/>
      <c r="H1135" s="64"/>
      <c r="I1135" s="76">
        <f t="shared" si="80"/>
        <v>4.1760000000000002</v>
      </c>
      <c r="J1135" s="83"/>
      <c r="K1135" s="84"/>
      <c r="L1135" s="85"/>
      <c r="M1135" s="84"/>
      <c r="N1135" s="86"/>
    </row>
    <row r="1136" spans="1:14" x14ac:dyDescent="0.25">
      <c r="A1136" s="73"/>
      <c r="B1136" s="62" t="s">
        <v>3158</v>
      </c>
      <c r="C1136" s="63"/>
      <c r="D1136" s="64"/>
      <c r="E1136" s="64">
        <v>11.4</v>
      </c>
      <c r="F1136" s="64">
        <v>0.3</v>
      </c>
      <c r="G1136" s="64"/>
      <c r="H1136" s="64"/>
      <c r="I1136" s="76">
        <f t="shared" ref="I1136:I1179" si="88">ROUND(PRODUCT(D1136:H1136),3)</f>
        <v>3.42</v>
      </c>
      <c r="J1136" s="83"/>
      <c r="K1136" s="84"/>
      <c r="L1136" s="85"/>
      <c r="M1136" s="84"/>
      <c r="N1136" s="86"/>
    </row>
    <row r="1137" spans="1:14" x14ac:dyDescent="0.25">
      <c r="A1137" s="73"/>
      <c r="B1137" s="62" t="s">
        <v>3159</v>
      </c>
      <c r="C1137" s="63"/>
      <c r="D1137" s="64"/>
      <c r="E1137" s="64">
        <v>11.8</v>
      </c>
      <c r="F1137" s="64">
        <v>0.3</v>
      </c>
      <c r="G1137" s="64"/>
      <c r="H1137" s="64"/>
      <c r="I1137" s="76">
        <f t="shared" si="88"/>
        <v>3.54</v>
      </c>
      <c r="J1137" s="83"/>
      <c r="K1137" s="84"/>
      <c r="L1137" s="85"/>
      <c r="M1137" s="84"/>
      <c r="N1137" s="86"/>
    </row>
    <row r="1138" spans="1:14" x14ac:dyDescent="0.25">
      <c r="A1138" s="73"/>
      <c r="B1138" s="66" t="s">
        <v>3150</v>
      </c>
      <c r="C1138" s="63"/>
      <c r="D1138" s="64"/>
      <c r="E1138" s="64"/>
      <c r="F1138" s="64"/>
      <c r="G1138" s="64"/>
      <c r="H1138" s="64"/>
      <c r="I1138" s="76"/>
      <c r="J1138" s="83"/>
      <c r="K1138" s="84"/>
      <c r="L1138" s="85"/>
      <c r="M1138" s="84"/>
      <c r="N1138" s="86"/>
    </row>
    <row r="1139" spans="1:14" x14ac:dyDescent="0.25">
      <c r="A1139" s="73"/>
      <c r="B1139" s="62" t="s">
        <v>3160</v>
      </c>
      <c r="C1139" s="63"/>
      <c r="D1139" s="64"/>
      <c r="E1139" s="64">
        <v>19.399999999999999</v>
      </c>
      <c r="F1139" s="64">
        <v>0.3</v>
      </c>
      <c r="G1139" s="64"/>
      <c r="H1139" s="64"/>
      <c r="I1139" s="76">
        <f t="shared" si="88"/>
        <v>5.82</v>
      </c>
      <c r="J1139" s="83"/>
      <c r="K1139" s="84"/>
      <c r="L1139" s="85"/>
      <c r="M1139" s="84"/>
      <c r="N1139" s="86"/>
    </row>
    <row r="1140" spans="1:14" x14ac:dyDescent="0.25">
      <c r="A1140" s="73"/>
      <c r="B1140" s="62" t="s">
        <v>3161</v>
      </c>
      <c r="C1140" s="63"/>
      <c r="D1140" s="64"/>
      <c r="E1140" s="64">
        <v>14</v>
      </c>
      <c r="F1140" s="64">
        <v>0.3</v>
      </c>
      <c r="G1140" s="64"/>
      <c r="H1140" s="64"/>
      <c r="I1140" s="76">
        <f t="shared" si="88"/>
        <v>4.2</v>
      </c>
      <c r="J1140" s="83"/>
      <c r="K1140" s="84"/>
      <c r="L1140" s="85"/>
      <c r="M1140" s="84"/>
      <c r="N1140" s="86"/>
    </row>
    <row r="1141" spans="1:14" x14ac:dyDescent="0.25">
      <c r="A1141" s="73"/>
      <c r="B1141" s="62" t="s">
        <v>3162</v>
      </c>
      <c r="C1141" s="63"/>
      <c r="D1141" s="64"/>
      <c r="E1141" s="64">
        <v>13.4</v>
      </c>
      <c r="F1141" s="64">
        <v>0.3</v>
      </c>
      <c r="G1141" s="64"/>
      <c r="H1141" s="64"/>
      <c r="I1141" s="76">
        <f t="shared" si="88"/>
        <v>4.0199999999999996</v>
      </c>
      <c r="J1141" s="83"/>
      <c r="K1141" s="84"/>
      <c r="L1141" s="85"/>
      <c r="M1141" s="84"/>
      <c r="N1141" s="86"/>
    </row>
    <row r="1142" spans="1:14" ht="25.5" x14ac:dyDescent="0.25">
      <c r="A1142" s="73">
        <v>69</v>
      </c>
      <c r="B1142" s="65" t="s">
        <v>175</v>
      </c>
      <c r="C1142" s="63" t="s">
        <v>52</v>
      </c>
      <c r="D1142" s="64"/>
      <c r="E1142" s="64"/>
      <c r="F1142" s="64"/>
      <c r="G1142" s="64"/>
      <c r="H1142" s="64"/>
      <c r="I1142" s="76">
        <f>SUM(I1143:I1158)</f>
        <v>283.13600000000002</v>
      </c>
      <c r="J1142" s="83" t="e">
        <f>PL03a!#REF!</f>
        <v>#REF!</v>
      </c>
      <c r="K1142" s="84">
        <f t="shared" ref="K1142" si="89">I1142</f>
        <v>283.13600000000002</v>
      </c>
      <c r="L1142" s="85"/>
      <c r="M1142" s="84">
        <f>K1142</f>
        <v>283.13600000000002</v>
      </c>
      <c r="N1142" s="86">
        <f>L1142+M1142</f>
        <v>283.13600000000002</v>
      </c>
    </row>
    <row r="1143" spans="1:14" x14ac:dyDescent="0.25">
      <c r="A1143" s="73"/>
      <c r="B1143" s="66" t="s">
        <v>3145</v>
      </c>
      <c r="C1143" s="63"/>
      <c r="D1143" s="64"/>
      <c r="E1143" s="64"/>
      <c r="F1143" s="64"/>
      <c r="G1143" s="64"/>
      <c r="H1143" s="64"/>
      <c r="I1143" s="76"/>
      <c r="J1143" s="83"/>
      <c r="K1143" s="84"/>
      <c r="L1143" s="85"/>
      <c r="M1143" s="84"/>
      <c r="N1143" s="86"/>
    </row>
    <row r="1144" spans="1:14" x14ac:dyDescent="0.25">
      <c r="A1144" s="73"/>
      <c r="B1144" s="62" t="s">
        <v>2942</v>
      </c>
      <c r="C1144" s="63"/>
      <c r="D1144" s="64"/>
      <c r="E1144" s="64">
        <v>2.96</v>
      </c>
      <c r="F1144" s="64">
        <v>4</v>
      </c>
      <c r="G1144" s="64"/>
      <c r="H1144" s="64"/>
      <c r="I1144" s="76">
        <f t="shared" si="88"/>
        <v>11.84</v>
      </c>
      <c r="J1144" s="83"/>
      <c r="K1144" s="84"/>
      <c r="L1144" s="85"/>
      <c r="M1144" s="84"/>
      <c r="N1144" s="86"/>
    </row>
    <row r="1145" spans="1:14" x14ac:dyDescent="0.25">
      <c r="A1145" s="73"/>
      <c r="B1145" s="62"/>
      <c r="C1145" s="63"/>
      <c r="D1145" s="64"/>
      <c r="E1145" s="64">
        <v>1.7</v>
      </c>
      <c r="F1145" s="64">
        <v>4</v>
      </c>
      <c r="G1145" s="64"/>
      <c r="H1145" s="64"/>
      <c r="I1145" s="76">
        <f t="shared" si="88"/>
        <v>6.8</v>
      </c>
      <c r="J1145" s="83"/>
      <c r="K1145" s="84"/>
      <c r="L1145" s="85"/>
      <c r="M1145" s="84"/>
      <c r="N1145" s="86"/>
    </row>
    <row r="1146" spans="1:14" x14ac:dyDescent="0.25">
      <c r="A1146" s="73"/>
      <c r="B1146" s="62"/>
      <c r="C1146" s="63"/>
      <c r="D1146" s="64"/>
      <c r="E1146" s="64">
        <v>1.9</v>
      </c>
      <c r="F1146" s="64">
        <v>4</v>
      </c>
      <c r="G1146" s="64"/>
      <c r="H1146" s="64"/>
      <c r="I1146" s="76">
        <f t="shared" si="88"/>
        <v>7.6</v>
      </c>
      <c r="J1146" s="83"/>
      <c r="K1146" s="84"/>
      <c r="L1146" s="85"/>
      <c r="M1146" s="84"/>
      <c r="N1146" s="86"/>
    </row>
    <row r="1147" spans="1:14" x14ac:dyDescent="0.25">
      <c r="A1147" s="73"/>
      <c r="B1147" s="66" t="s">
        <v>3156</v>
      </c>
      <c r="C1147" s="63"/>
      <c r="D1147" s="64"/>
      <c r="E1147" s="64"/>
      <c r="F1147" s="64"/>
      <c r="G1147" s="64"/>
      <c r="H1147" s="64"/>
      <c r="I1147" s="76"/>
      <c r="J1147" s="83"/>
      <c r="K1147" s="84"/>
      <c r="L1147" s="85"/>
      <c r="M1147" s="84"/>
      <c r="N1147" s="86"/>
    </row>
    <row r="1148" spans="1:14" x14ac:dyDescent="0.25">
      <c r="A1148" s="73"/>
      <c r="B1148" s="62" t="s">
        <v>3157</v>
      </c>
      <c r="C1148" s="63"/>
      <c r="D1148" s="64"/>
      <c r="E1148" s="64">
        <v>13.92</v>
      </c>
      <c r="F1148" s="64">
        <v>1.8</v>
      </c>
      <c r="G1148" s="64"/>
      <c r="H1148" s="64"/>
      <c r="I1148" s="76">
        <f t="shared" si="88"/>
        <v>25.056000000000001</v>
      </c>
      <c r="J1148" s="83"/>
      <c r="K1148" s="84"/>
      <c r="L1148" s="85"/>
      <c r="M1148" s="84"/>
      <c r="N1148" s="86"/>
    </row>
    <row r="1149" spans="1:14" x14ac:dyDescent="0.25">
      <c r="A1149" s="73"/>
      <c r="B1149" s="62" t="s">
        <v>3158</v>
      </c>
      <c r="C1149" s="63"/>
      <c r="D1149" s="64"/>
      <c r="E1149" s="64">
        <v>11.4</v>
      </c>
      <c r="F1149" s="64">
        <v>1.8</v>
      </c>
      <c r="G1149" s="64"/>
      <c r="H1149" s="64"/>
      <c r="I1149" s="76">
        <f t="shared" si="88"/>
        <v>20.52</v>
      </c>
      <c r="J1149" s="83"/>
      <c r="K1149" s="84"/>
      <c r="L1149" s="85"/>
      <c r="M1149" s="84"/>
      <c r="N1149" s="86"/>
    </row>
    <row r="1150" spans="1:14" x14ac:dyDescent="0.25">
      <c r="A1150" s="73"/>
      <c r="B1150" s="62" t="s">
        <v>3159</v>
      </c>
      <c r="C1150" s="63"/>
      <c r="D1150" s="64"/>
      <c r="E1150" s="64">
        <v>11.8</v>
      </c>
      <c r="F1150" s="64">
        <v>1.8</v>
      </c>
      <c r="G1150" s="64"/>
      <c r="H1150" s="64"/>
      <c r="I1150" s="76">
        <f t="shared" si="88"/>
        <v>21.24</v>
      </c>
      <c r="J1150" s="83"/>
      <c r="K1150" s="84"/>
      <c r="L1150" s="85"/>
      <c r="M1150" s="84"/>
      <c r="N1150" s="86"/>
    </row>
    <row r="1151" spans="1:14" x14ac:dyDescent="0.25">
      <c r="A1151" s="73"/>
      <c r="B1151" s="66" t="s">
        <v>3150</v>
      </c>
      <c r="C1151" s="63"/>
      <c r="D1151" s="64"/>
      <c r="E1151" s="64"/>
      <c r="F1151" s="64"/>
      <c r="G1151" s="64"/>
      <c r="H1151" s="64"/>
      <c r="I1151" s="76"/>
      <c r="J1151" s="83"/>
      <c r="K1151" s="84"/>
      <c r="L1151" s="85"/>
      <c r="M1151" s="84"/>
      <c r="N1151" s="86"/>
    </row>
    <row r="1152" spans="1:14" x14ac:dyDescent="0.25">
      <c r="A1152" s="73"/>
      <c r="B1152" s="62" t="s">
        <v>2942</v>
      </c>
      <c r="C1152" s="63"/>
      <c r="D1152" s="64"/>
      <c r="E1152" s="64">
        <v>3.7</v>
      </c>
      <c r="F1152" s="64">
        <v>6</v>
      </c>
      <c r="G1152" s="64"/>
      <c r="H1152" s="64"/>
      <c r="I1152" s="76">
        <f t="shared" si="88"/>
        <v>22.2</v>
      </c>
      <c r="J1152" s="83"/>
      <c r="K1152" s="84"/>
      <c r="L1152" s="85"/>
      <c r="M1152" s="84"/>
      <c r="N1152" s="86"/>
    </row>
    <row r="1153" spans="1:14" x14ac:dyDescent="0.25">
      <c r="A1153" s="73"/>
      <c r="B1153" s="62"/>
      <c r="C1153" s="63"/>
      <c r="D1153" s="64"/>
      <c r="E1153" s="64">
        <v>3</v>
      </c>
      <c r="F1153" s="64">
        <v>4</v>
      </c>
      <c r="G1153" s="64"/>
      <c r="H1153" s="64"/>
      <c r="I1153" s="76">
        <f t="shared" si="88"/>
        <v>12</v>
      </c>
      <c r="J1153" s="83"/>
      <c r="K1153" s="84"/>
      <c r="L1153" s="85"/>
      <c r="M1153" s="84"/>
      <c r="N1153" s="86"/>
    </row>
    <row r="1154" spans="1:14" x14ac:dyDescent="0.25">
      <c r="A1154" s="73"/>
      <c r="B1154" s="62"/>
      <c r="C1154" s="63"/>
      <c r="D1154" s="64"/>
      <c r="E1154" s="64">
        <v>2.7</v>
      </c>
      <c r="F1154" s="64">
        <v>4</v>
      </c>
      <c r="G1154" s="64"/>
      <c r="H1154" s="64"/>
      <c r="I1154" s="76">
        <f t="shared" si="88"/>
        <v>10.8</v>
      </c>
      <c r="J1154" s="83"/>
      <c r="K1154" s="84"/>
      <c r="L1154" s="85"/>
      <c r="M1154" s="84"/>
      <c r="N1154" s="86"/>
    </row>
    <row r="1155" spans="1:14" x14ac:dyDescent="0.25">
      <c r="A1155" s="73"/>
      <c r="B1155" s="66" t="s">
        <v>3156</v>
      </c>
      <c r="C1155" s="63"/>
      <c r="D1155" s="64"/>
      <c r="E1155" s="64"/>
      <c r="F1155" s="64"/>
      <c r="G1155" s="64"/>
      <c r="H1155" s="64"/>
      <c r="I1155" s="76"/>
      <c r="J1155" s="83"/>
      <c r="K1155" s="84"/>
      <c r="L1155" s="85"/>
      <c r="M1155" s="84"/>
      <c r="N1155" s="86"/>
    </row>
    <row r="1156" spans="1:14" x14ac:dyDescent="0.25">
      <c r="A1156" s="73"/>
      <c r="B1156" s="62" t="s">
        <v>3160</v>
      </c>
      <c r="C1156" s="63"/>
      <c r="D1156" s="64"/>
      <c r="E1156" s="64">
        <v>19.399999999999999</v>
      </c>
      <c r="F1156" s="64">
        <v>3.1</v>
      </c>
      <c r="G1156" s="64"/>
      <c r="H1156" s="64"/>
      <c r="I1156" s="76">
        <f t="shared" si="88"/>
        <v>60.14</v>
      </c>
      <c r="J1156" s="83"/>
      <c r="K1156" s="84"/>
      <c r="L1156" s="85"/>
      <c r="M1156" s="84"/>
      <c r="N1156" s="86"/>
    </row>
    <row r="1157" spans="1:14" x14ac:dyDescent="0.25">
      <c r="A1157" s="73"/>
      <c r="B1157" s="62" t="s">
        <v>3161</v>
      </c>
      <c r="C1157" s="63"/>
      <c r="D1157" s="64"/>
      <c r="E1157" s="64">
        <v>14</v>
      </c>
      <c r="F1157" s="64">
        <v>3.1</v>
      </c>
      <c r="G1157" s="64"/>
      <c r="H1157" s="64"/>
      <c r="I1157" s="76">
        <f t="shared" si="88"/>
        <v>43.4</v>
      </c>
      <c r="J1157" s="83"/>
      <c r="K1157" s="84"/>
      <c r="L1157" s="85"/>
      <c r="M1157" s="84"/>
      <c r="N1157" s="86"/>
    </row>
    <row r="1158" spans="1:14" x14ac:dyDescent="0.25">
      <c r="A1158" s="73"/>
      <c r="B1158" s="62" t="s">
        <v>3162</v>
      </c>
      <c r="C1158" s="63"/>
      <c r="D1158" s="64"/>
      <c r="E1158" s="64">
        <v>13.4</v>
      </c>
      <c r="F1158" s="64">
        <v>3.1</v>
      </c>
      <c r="G1158" s="64"/>
      <c r="H1158" s="64"/>
      <c r="I1158" s="76">
        <f t="shared" si="88"/>
        <v>41.54</v>
      </c>
      <c r="J1158" s="83"/>
      <c r="K1158" s="84"/>
      <c r="L1158" s="85"/>
      <c r="M1158" s="84"/>
      <c r="N1158" s="86"/>
    </row>
    <row r="1159" spans="1:14" ht="25.5" x14ac:dyDescent="0.25">
      <c r="A1159" s="73">
        <v>70</v>
      </c>
      <c r="B1159" s="65" t="s">
        <v>177</v>
      </c>
      <c r="C1159" s="63" t="s">
        <v>52</v>
      </c>
      <c r="D1159" s="64"/>
      <c r="E1159" s="64"/>
      <c r="F1159" s="64"/>
      <c r="G1159" s="64"/>
      <c r="H1159" s="64"/>
      <c r="I1159" s="76">
        <f>I1160</f>
        <v>283.13600000000002</v>
      </c>
      <c r="J1159" s="83" t="e">
        <f>PL03a!#REF!</f>
        <v>#REF!</v>
      </c>
      <c r="K1159" s="84">
        <f t="shared" ref="K1159" si="90">I1159</f>
        <v>283.13600000000002</v>
      </c>
      <c r="L1159" s="85"/>
      <c r="M1159" s="84">
        <f>K1159</f>
        <v>283.13600000000002</v>
      </c>
      <c r="N1159" s="86">
        <f>L1159+M1159</f>
        <v>283.13600000000002</v>
      </c>
    </row>
    <row r="1160" spans="1:14" x14ac:dyDescent="0.25">
      <c r="A1160" s="73"/>
      <c r="B1160" s="62" t="s">
        <v>3164</v>
      </c>
      <c r="C1160" s="63"/>
      <c r="D1160" s="64"/>
      <c r="E1160" s="64">
        <v>283.13600000000002</v>
      </c>
      <c r="F1160" s="64"/>
      <c r="G1160" s="64"/>
      <c r="H1160" s="64"/>
      <c r="I1160" s="76">
        <f t="shared" si="88"/>
        <v>283.13600000000002</v>
      </c>
      <c r="J1160" s="83"/>
      <c r="K1160" s="84"/>
      <c r="L1160" s="85"/>
      <c r="M1160" s="84"/>
      <c r="N1160" s="86"/>
    </row>
    <row r="1161" spans="1:14" x14ac:dyDescent="0.25">
      <c r="A1161" s="73"/>
      <c r="B1161" s="66" t="s">
        <v>3165</v>
      </c>
      <c r="C1161" s="63"/>
      <c r="D1161" s="64"/>
      <c r="E1161" s="64"/>
      <c r="F1161" s="64"/>
      <c r="G1161" s="64"/>
      <c r="H1161" s="64"/>
      <c r="I1161" s="76"/>
      <c r="J1161" s="83"/>
      <c r="K1161" s="84"/>
      <c r="L1161" s="85"/>
      <c r="M1161" s="84"/>
      <c r="N1161" s="86"/>
    </row>
    <row r="1162" spans="1:14" ht="25.5" x14ac:dyDescent="0.25">
      <c r="A1162" s="73">
        <v>71</v>
      </c>
      <c r="B1162" s="65" t="s">
        <v>136</v>
      </c>
      <c r="C1162" s="63" t="s">
        <v>52</v>
      </c>
      <c r="D1162" s="64"/>
      <c r="E1162" s="64"/>
      <c r="F1162" s="64"/>
      <c r="G1162" s="64"/>
      <c r="H1162" s="64"/>
      <c r="I1162" s="76">
        <f>SUM(I1163:I1166)</f>
        <v>149.12</v>
      </c>
      <c r="J1162" s="83" t="e">
        <f>PL03a!#REF!</f>
        <v>#REF!</v>
      </c>
      <c r="K1162" s="84">
        <f t="shared" ref="K1162" si="91">I1162</f>
        <v>149.12</v>
      </c>
      <c r="L1162" s="85"/>
      <c r="M1162" s="84">
        <f>K1162</f>
        <v>149.12</v>
      </c>
      <c r="N1162" s="86">
        <f>L1162+M1162</f>
        <v>149.12</v>
      </c>
    </row>
    <row r="1163" spans="1:14" x14ac:dyDescent="0.25">
      <c r="A1163" s="73"/>
      <c r="B1163" s="66" t="s">
        <v>3145</v>
      </c>
      <c r="C1163" s="63"/>
      <c r="D1163" s="64"/>
      <c r="E1163" s="64"/>
      <c r="F1163" s="64"/>
      <c r="G1163" s="64"/>
      <c r="H1163" s="64"/>
      <c r="I1163" s="76"/>
      <c r="J1163" s="83"/>
      <c r="K1163" s="84"/>
      <c r="L1163" s="85"/>
      <c r="M1163" s="84"/>
      <c r="N1163" s="86"/>
    </row>
    <row r="1164" spans="1:14" x14ac:dyDescent="0.25">
      <c r="A1164" s="73"/>
      <c r="B1164" s="62" t="s">
        <v>3166</v>
      </c>
      <c r="C1164" s="63"/>
      <c r="D1164" s="64"/>
      <c r="E1164" s="64">
        <v>24.4</v>
      </c>
      <c r="F1164" s="64">
        <v>2</v>
      </c>
      <c r="G1164" s="64"/>
      <c r="H1164" s="64"/>
      <c r="I1164" s="76">
        <f t="shared" si="88"/>
        <v>48.8</v>
      </c>
      <c r="J1164" s="83"/>
      <c r="K1164" s="84"/>
      <c r="L1164" s="85"/>
      <c r="M1164" s="84"/>
      <c r="N1164" s="86"/>
    </row>
    <row r="1165" spans="1:14" x14ac:dyDescent="0.25">
      <c r="A1165" s="73"/>
      <c r="B1165" s="66" t="s">
        <v>3150</v>
      </c>
      <c r="C1165" s="63"/>
      <c r="D1165" s="64"/>
      <c r="E1165" s="64"/>
      <c r="F1165" s="64"/>
      <c r="G1165" s="64"/>
      <c r="H1165" s="64"/>
      <c r="I1165" s="76"/>
      <c r="J1165" s="83"/>
      <c r="K1165" s="84"/>
      <c r="L1165" s="85"/>
      <c r="M1165" s="84"/>
      <c r="N1165" s="86"/>
    </row>
    <row r="1166" spans="1:14" x14ac:dyDescent="0.25">
      <c r="A1166" s="73"/>
      <c r="B1166" s="62" t="s">
        <v>3167</v>
      </c>
      <c r="C1166" s="63"/>
      <c r="D1166" s="64"/>
      <c r="E1166" s="64">
        <v>30.4</v>
      </c>
      <c r="F1166" s="64">
        <v>3.3</v>
      </c>
      <c r="G1166" s="64"/>
      <c r="H1166" s="64"/>
      <c r="I1166" s="76">
        <f t="shared" si="88"/>
        <v>100.32</v>
      </c>
      <c r="J1166" s="83"/>
      <c r="K1166" s="84"/>
      <c r="L1166" s="85"/>
      <c r="M1166" s="84"/>
      <c r="N1166" s="86"/>
    </row>
    <row r="1167" spans="1:14" ht="25.5" x14ac:dyDescent="0.25">
      <c r="A1167" s="73">
        <v>72</v>
      </c>
      <c r="B1167" s="65" t="s">
        <v>180</v>
      </c>
      <c r="C1167" s="63" t="s">
        <v>52</v>
      </c>
      <c r="D1167" s="64"/>
      <c r="E1167" s="64"/>
      <c r="F1167" s="64"/>
      <c r="G1167" s="64"/>
      <c r="H1167" s="64"/>
      <c r="I1167" s="76">
        <f>I1168</f>
        <v>149.12</v>
      </c>
      <c r="J1167" s="83" t="e">
        <f>PL03a!#REF!</f>
        <v>#REF!</v>
      </c>
      <c r="K1167" s="84">
        <f t="shared" ref="K1167" si="92">I1167</f>
        <v>149.12</v>
      </c>
      <c r="L1167" s="85"/>
      <c r="M1167" s="84">
        <f>K1167</f>
        <v>149.12</v>
      </c>
      <c r="N1167" s="86">
        <f>L1167+M1167</f>
        <v>149.12</v>
      </c>
    </row>
    <row r="1168" spans="1:14" x14ac:dyDescent="0.25">
      <c r="A1168" s="73"/>
      <c r="B1168" s="62" t="s">
        <v>3168</v>
      </c>
      <c r="C1168" s="63"/>
      <c r="D1168" s="64">
        <v>1</v>
      </c>
      <c r="E1168" s="64">
        <v>149.12</v>
      </c>
      <c r="F1168" s="64"/>
      <c r="G1168" s="64"/>
      <c r="H1168" s="64"/>
      <c r="I1168" s="76">
        <f t="shared" si="88"/>
        <v>149.12</v>
      </c>
      <c r="J1168" s="83"/>
      <c r="K1168" s="84"/>
      <c r="L1168" s="85"/>
      <c r="M1168" s="84"/>
      <c r="N1168" s="86"/>
    </row>
    <row r="1169" spans="1:14" x14ac:dyDescent="0.25">
      <c r="A1169" s="74">
        <v>73</v>
      </c>
      <c r="B1169" s="59" t="s">
        <v>3169</v>
      </c>
      <c r="C1169" s="60" t="s">
        <v>37</v>
      </c>
      <c r="D1169" s="61"/>
      <c r="E1169" s="61"/>
      <c r="F1169" s="61"/>
      <c r="G1169" s="61"/>
      <c r="H1169" s="61"/>
      <c r="I1169" s="76">
        <f>SUM(I1170:I1179)</f>
        <v>211.89599999999999</v>
      </c>
      <c r="J1169" s="83" t="e">
        <f>PL03a!#REF!</f>
        <v>#REF!</v>
      </c>
      <c r="K1169" s="84">
        <f t="shared" ref="K1169" si="93">I1169</f>
        <v>211.89599999999999</v>
      </c>
      <c r="L1169" s="85"/>
      <c r="M1169" s="84">
        <f>K1169</f>
        <v>211.89599999999999</v>
      </c>
      <c r="N1169" s="86">
        <f>L1169+M1169</f>
        <v>211.89599999999999</v>
      </c>
    </row>
    <row r="1170" spans="1:14" x14ac:dyDescent="0.25">
      <c r="A1170" s="73"/>
      <c r="B1170" s="66" t="s">
        <v>3131</v>
      </c>
      <c r="C1170" s="63"/>
      <c r="D1170" s="64"/>
      <c r="E1170" s="64"/>
      <c r="F1170" s="64"/>
      <c r="G1170" s="64"/>
      <c r="H1170" s="64"/>
      <c r="I1170" s="76"/>
      <c r="J1170" s="83"/>
      <c r="K1170" s="84"/>
      <c r="L1170" s="85"/>
      <c r="M1170" s="84"/>
      <c r="N1170" s="86"/>
    </row>
    <row r="1171" spans="1:14" x14ac:dyDescent="0.25">
      <c r="A1171" s="73"/>
      <c r="B1171" s="66" t="s">
        <v>3156</v>
      </c>
      <c r="C1171" s="63"/>
      <c r="D1171" s="64"/>
      <c r="E1171" s="64"/>
      <c r="F1171" s="64"/>
      <c r="G1171" s="64"/>
      <c r="H1171" s="64"/>
      <c r="I1171" s="76"/>
      <c r="J1171" s="83"/>
      <c r="K1171" s="84"/>
      <c r="L1171" s="85"/>
      <c r="M1171" s="84"/>
      <c r="N1171" s="86"/>
    </row>
    <row r="1172" spans="1:14" x14ac:dyDescent="0.25">
      <c r="A1172" s="73"/>
      <c r="B1172" s="62" t="s">
        <v>3157</v>
      </c>
      <c r="C1172" s="63"/>
      <c r="D1172" s="64"/>
      <c r="E1172" s="64">
        <v>13.92</v>
      </c>
      <c r="F1172" s="64">
        <v>1.8</v>
      </c>
      <c r="G1172" s="64"/>
      <c r="H1172" s="64"/>
      <c r="I1172" s="76">
        <f t="shared" si="88"/>
        <v>25.056000000000001</v>
      </c>
      <c r="J1172" s="83"/>
      <c r="K1172" s="84"/>
      <c r="L1172" s="85"/>
      <c r="M1172" s="84"/>
      <c r="N1172" s="86"/>
    </row>
    <row r="1173" spans="1:14" x14ac:dyDescent="0.25">
      <c r="A1173" s="73"/>
      <c r="B1173" s="62" t="s">
        <v>3158</v>
      </c>
      <c r="C1173" s="63"/>
      <c r="D1173" s="64"/>
      <c r="E1173" s="64">
        <v>11.4</v>
      </c>
      <c r="F1173" s="64">
        <v>1.8</v>
      </c>
      <c r="G1173" s="64"/>
      <c r="H1173" s="64"/>
      <c r="I1173" s="76">
        <f t="shared" si="88"/>
        <v>20.52</v>
      </c>
      <c r="J1173" s="83"/>
      <c r="K1173" s="84"/>
      <c r="L1173" s="85"/>
      <c r="M1173" s="84"/>
      <c r="N1173" s="86"/>
    </row>
    <row r="1174" spans="1:14" x14ac:dyDescent="0.25">
      <c r="A1174" s="73"/>
      <c r="B1174" s="62" t="s">
        <v>3159</v>
      </c>
      <c r="C1174" s="63"/>
      <c r="D1174" s="64"/>
      <c r="E1174" s="64">
        <v>11.8</v>
      </c>
      <c r="F1174" s="64">
        <v>1.8</v>
      </c>
      <c r="G1174" s="64"/>
      <c r="H1174" s="64"/>
      <c r="I1174" s="76">
        <f t="shared" si="88"/>
        <v>21.24</v>
      </c>
      <c r="J1174" s="83"/>
      <c r="K1174" s="84"/>
      <c r="L1174" s="85"/>
      <c r="M1174" s="84"/>
      <c r="N1174" s="86"/>
    </row>
    <row r="1175" spans="1:14" x14ac:dyDescent="0.25">
      <c r="A1175" s="73"/>
      <c r="B1175" s="66" t="s">
        <v>3150</v>
      </c>
      <c r="C1175" s="63"/>
      <c r="D1175" s="64"/>
      <c r="E1175" s="64"/>
      <c r="F1175" s="64"/>
      <c r="G1175" s="64"/>
      <c r="H1175" s="64"/>
      <c r="I1175" s="76"/>
      <c r="J1175" s="83"/>
      <c r="K1175" s="84"/>
      <c r="L1175" s="85"/>
      <c r="M1175" s="84"/>
      <c r="N1175" s="86"/>
    </row>
    <row r="1176" spans="1:14" x14ac:dyDescent="0.25">
      <c r="A1176" s="73"/>
      <c r="B1176" s="66" t="s">
        <v>3156</v>
      </c>
      <c r="C1176" s="63"/>
      <c r="D1176" s="64"/>
      <c r="E1176" s="64"/>
      <c r="F1176" s="64"/>
      <c r="G1176" s="64"/>
      <c r="H1176" s="64"/>
      <c r="I1176" s="76"/>
      <c r="J1176" s="83"/>
      <c r="K1176" s="84"/>
      <c r="L1176" s="85"/>
      <c r="M1176" s="84"/>
      <c r="N1176" s="86"/>
    </row>
    <row r="1177" spans="1:14" x14ac:dyDescent="0.25">
      <c r="A1177" s="73"/>
      <c r="B1177" s="62" t="s">
        <v>3160</v>
      </c>
      <c r="C1177" s="63"/>
      <c r="D1177" s="64"/>
      <c r="E1177" s="64">
        <v>19.399999999999999</v>
      </c>
      <c r="F1177" s="64">
        <v>3.1</v>
      </c>
      <c r="G1177" s="64"/>
      <c r="H1177" s="64"/>
      <c r="I1177" s="76">
        <f t="shared" si="88"/>
        <v>60.14</v>
      </c>
      <c r="J1177" s="83"/>
      <c r="K1177" s="84"/>
      <c r="L1177" s="85"/>
      <c r="M1177" s="84"/>
      <c r="N1177" s="86"/>
    </row>
    <row r="1178" spans="1:14" x14ac:dyDescent="0.25">
      <c r="A1178" s="73"/>
      <c r="B1178" s="62" t="s">
        <v>3161</v>
      </c>
      <c r="C1178" s="63"/>
      <c r="D1178" s="64"/>
      <c r="E1178" s="64">
        <v>14</v>
      </c>
      <c r="F1178" s="64">
        <v>3.1</v>
      </c>
      <c r="G1178" s="64"/>
      <c r="H1178" s="64"/>
      <c r="I1178" s="76">
        <f t="shared" si="88"/>
        <v>43.4</v>
      </c>
      <c r="J1178" s="83"/>
      <c r="K1178" s="84"/>
      <c r="L1178" s="85"/>
      <c r="M1178" s="84"/>
      <c r="N1178" s="86"/>
    </row>
    <row r="1179" spans="1:14" x14ac:dyDescent="0.25">
      <c r="A1179" s="75"/>
      <c r="B1179" s="67" t="s">
        <v>3162</v>
      </c>
      <c r="C1179" s="68"/>
      <c r="D1179" s="69"/>
      <c r="E1179" s="69">
        <v>13.4</v>
      </c>
      <c r="F1179" s="69">
        <v>3.1</v>
      </c>
      <c r="G1179" s="69"/>
      <c r="H1179" s="69"/>
      <c r="I1179" s="77">
        <f t="shared" si="88"/>
        <v>41.54</v>
      </c>
      <c r="J1179" s="88"/>
      <c r="K1179" s="87"/>
      <c r="L1179" s="87"/>
      <c r="M1179" s="87"/>
      <c r="N1179" s="87"/>
    </row>
    <row r="1180" spans="1:14" x14ac:dyDescent="0.25">
      <c r="A1180" s="113"/>
      <c r="B1180" s="114" t="s">
        <v>3170</v>
      </c>
      <c r="C1180" s="114"/>
      <c r="D1180" s="115"/>
      <c r="E1180" s="115"/>
      <c r="F1180" s="115"/>
      <c r="G1180" s="115"/>
      <c r="H1180" s="115"/>
      <c r="I1180" s="115"/>
      <c r="J1180" s="119"/>
      <c r="K1180" s="115"/>
      <c r="L1180" s="116"/>
      <c r="M1180" s="116"/>
      <c r="N1180" s="116"/>
    </row>
    <row r="1181" spans="1:14" ht="25.5" x14ac:dyDescent="0.25">
      <c r="A1181" s="97">
        <v>1</v>
      </c>
      <c r="B1181" s="98" t="s">
        <v>3171</v>
      </c>
      <c r="C1181" s="99" t="s">
        <v>27</v>
      </c>
      <c r="D1181" s="100"/>
      <c r="E1181" s="100"/>
      <c r="F1181" s="100"/>
      <c r="G1181" s="100"/>
      <c r="H1181" s="100"/>
      <c r="I1181" s="100">
        <f>SUM(I1182:I1193)</f>
        <v>15.633999999999999</v>
      </c>
      <c r="J1181" s="120" t="e">
        <f>PL03a!#REF!</f>
        <v>#REF!</v>
      </c>
      <c r="K1181" s="84">
        <f t="shared" ref="K1181" si="94">I1181</f>
        <v>15.633999999999999</v>
      </c>
      <c r="L1181" s="85"/>
      <c r="M1181" s="84">
        <f>K1181</f>
        <v>15.633999999999999</v>
      </c>
      <c r="N1181" s="86">
        <f>L1181+M1181</f>
        <v>15.633999999999999</v>
      </c>
    </row>
    <row r="1182" spans="1:14" x14ac:dyDescent="0.25">
      <c r="A1182" s="97"/>
      <c r="B1182" s="103" t="s">
        <v>3172</v>
      </c>
      <c r="C1182" s="99"/>
      <c r="D1182" s="100"/>
      <c r="E1182" s="100"/>
      <c r="F1182" s="100"/>
      <c r="G1182" s="100"/>
      <c r="H1182" s="100"/>
      <c r="I1182" s="100"/>
      <c r="J1182" s="120"/>
      <c r="K1182" s="101"/>
      <c r="L1182" s="101"/>
      <c r="M1182" s="101"/>
      <c r="N1182" s="101"/>
    </row>
    <row r="1183" spans="1:14" x14ac:dyDescent="0.25">
      <c r="A1183" s="97"/>
      <c r="B1183" s="102" t="s">
        <v>3173</v>
      </c>
      <c r="C1183" s="99"/>
      <c r="D1183" s="100"/>
      <c r="E1183" s="100"/>
      <c r="F1183" s="100"/>
      <c r="G1183" s="100"/>
      <c r="H1183" s="100"/>
      <c r="I1183" s="100">
        <v>5.2969999999999997</v>
      </c>
      <c r="J1183" s="120"/>
      <c r="K1183" s="101"/>
      <c r="L1183" s="101"/>
      <c r="M1183" s="101"/>
      <c r="N1183" s="101"/>
    </row>
    <row r="1184" spans="1:14" x14ac:dyDescent="0.25">
      <c r="A1184" s="97"/>
      <c r="B1184" s="102" t="s">
        <v>3174</v>
      </c>
      <c r="C1184" s="99"/>
      <c r="D1184" s="100"/>
      <c r="E1184" s="100"/>
      <c r="F1184" s="100"/>
      <c r="G1184" s="100"/>
      <c r="H1184" s="100"/>
      <c r="I1184" s="100">
        <v>1.7050000000000001</v>
      </c>
      <c r="J1184" s="120"/>
      <c r="K1184" s="101"/>
      <c r="L1184" s="101"/>
      <c r="M1184" s="101"/>
      <c r="N1184" s="101"/>
    </row>
    <row r="1185" spans="1:14" x14ac:dyDescent="0.25">
      <c r="A1185" s="97"/>
      <c r="B1185" s="103" t="s">
        <v>3175</v>
      </c>
      <c r="C1185" s="99"/>
      <c r="D1185" s="100"/>
      <c r="E1185" s="100"/>
      <c r="F1185" s="100"/>
      <c r="G1185" s="100"/>
      <c r="H1185" s="100"/>
      <c r="I1185" s="100"/>
      <c r="J1185" s="120"/>
      <c r="K1185" s="101"/>
      <c r="L1185" s="101"/>
      <c r="M1185" s="101"/>
      <c r="N1185" s="101"/>
    </row>
    <row r="1186" spans="1:14" x14ac:dyDescent="0.25">
      <c r="A1186" s="97"/>
      <c r="B1186" s="102" t="s">
        <v>3176</v>
      </c>
      <c r="C1186" s="99"/>
      <c r="D1186" s="100"/>
      <c r="E1186" s="100"/>
      <c r="F1186" s="100"/>
      <c r="G1186" s="100"/>
      <c r="H1186" s="100"/>
      <c r="I1186" s="100">
        <v>1.8540000000000001</v>
      </c>
      <c r="J1186" s="120"/>
      <c r="K1186" s="101"/>
      <c r="L1186" s="101"/>
      <c r="M1186" s="101"/>
      <c r="N1186" s="101"/>
    </row>
    <row r="1187" spans="1:14" x14ac:dyDescent="0.25">
      <c r="A1187" s="97"/>
      <c r="B1187" s="102" t="s">
        <v>3177</v>
      </c>
      <c r="C1187" s="99"/>
      <c r="D1187" s="100"/>
      <c r="E1187" s="100"/>
      <c r="F1187" s="100"/>
      <c r="G1187" s="100"/>
      <c r="H1187" s="100"/>
      <c r="I1187" s="100">
        <v>6.37</v>
      </c>
      <c r="J1187" s="120"/>
      <c r="K1187" s="101"/>
      <c r="L1187" s="101"/>
      <c r="M1187" s="101"/>
      <c r="N1187" s="101"/>
    </row>
    <row r="1188" spans="1:14" x14ac:dyDescent="0.25">
      <c r="A1188" s="97"/>
      <c r="B1188" s="103" t="s">
        <v>3172</v>
      </c>
      <c r="C1188" s="99"/>
      <c r="D1188" s="100"/>
      <c r="E1188" s="100"/>
      <c r="F1188" s="100"/>
      <c r="G1188" s="100"/>
      <c r="H1188" s="100"/>
      <c r="I1188" s="100"/>
      <c r="J1188" s="120"/>
      <c r="K1188" s="101"/>
      <c r="L1188" s="101"/>
      <c r="M1188" s="101"/>
      <c r="N1188" s="101"/>
    </row>
    <row r="1189" spans="1:14" x14ac:dyDescent="0.25">
      <c r="A1189" s="97"/>
      <c r="B1189" s="102" t="s">
        <v>3178</v>
      </c>
      <c r="C1189" s="99"/>
      <c r="D1189" s="100"/>
      <c r="E1189" s="100"/>
      <c r="F1189" s="100"/>
      <c r="G1189" s="100"/>
      <c r="H1189" s="100"/>
      <c r="I1189" s="100">
        <v>9.2999999999999999E-2</v>
      </c>
      <c r="J1189" s="120"/>
      <c r="K1189" s="101"/>
      <c r="L1189" s="101"/>
      <c r="M1189" s="101"/>
      <c r="N1189" s="101"/>
    </row>
    <row r="1190" spans="1:14" x14ac:dyDescent="0.25">
      <c r="A1190" s="97"/>
      <c r="B1190" s="102" t="s">
        <v>3179</v>
      </c>
      <c r="C1190" s="99"/>
      <c r="D1190" s="100"/>
      <c r="E1190" s="100"/>
      <c r="F1190" s="100"/>
      <c r="G1190" s="100"/>
      <c r="H1190" s="100"/>
      <c r="I1190" s="100">
        <v>0.17100000000000001</v>
      </c>
      <c r="J1190" s="120"/>
      <c r="K1190" s="101"/>
      <c r="L1190" s="101"/>
      <c r="M1190" s="101"/>
      <c r="N1190" s="101"/>
    </row>
    <row r="1191" spans="1:14" x14ac:dyDescent="0.25">
      <c r="A1191" s="97"/>
      <c r="B1191" s="103" t="s">
        <v>3175</v>
      </c>
      <c r="C1191" s="99"/>
      <c r="D1191" s="100"/>
      <c r="E1191" s="100"/>
      <c r="F1191" s="100"/>
      <c r="G1191" s="100"/>
      <c r="H1191" s="100"/>
      <c r="I1191" s="100"/>
      <c r="J1191" s="120"/>
      <c r="K1191" s="101"/>
      <c r="L1191" s="101"/>
      <c r="M1191" s="101"/>
      <c r="N1191" s="101"/>
    </row>
    <row r="1192" spans="1:14" x14ac:dyDescent="0.25">
      <c r="A1192" s="97"/>
      <c r="B1192" s="102" t="s">
        <v>3180</v>
      </c>
      <c r="C1192" s="99"/>
      <c r="D1192" s="100"/>
      <c r="E1192" s="100"/>
      <c r="F1192" s="100"/>
      <c r="G1192" s="100"/>
      <c r="H1192" s="100"/>
      <c r="I1192" s="100">
        <v>3.3000000000000002E-2</v>
      </c>
      <c r="J1192" s="120"/>
      <c r="K1192" s="101"/>
      <c r="L1192" s="101"/>
      <c r="M1192" s="101"/>
      <c r="N1192" s="101"/>
    </row>
    <row r="1193" spans="1:14" x14ac:dyDescent="0.25">
      <c r="A1193" s="97"/>
      <c r="B1193" s="102" t="s">
        <v>3181</v>
      </c>
      <c r="C1193" s="99"/>
      <c r="D1193" s="100"/>
      <c r="E1193" s="100"/>
      <c r="F1193" s="100"/>
      <c r="G1193" s="100"/>
      <c r="H1193" s="100"/>
      <c r="I1193" s="100">
        <v>0.111</v>
      </c>
      <c r="J1193" s="120"/>
      <c r="K1193" s="101"/>
      <c r="L1193" s="101"/>
      <c r="M1193" s="101"/>
      <c r="N1193" s="101"/>
    </row>
    <row r="1194" spans="1:14" ht="25.5" x14ac:dyDescent="0.25">
      <c r="A1194" s="97">
        <v>2</v>
      </c>
      <c r="B1194" s="98" t="s">
        <v>2850</v>
      </c>
      <c r="C1194" s="99" t="s">
        <v>27</v>
      </c>
      <c r="D1194" s="100"/>
      <c r="E1194" s="100"/>
      <c r="F1194" s="100"/>
      <c r="G1194" s="100"/>
      <c r="H1194" s="100"/>
      <c r="I1194" s="100">
        <f>SUM(I1195:I1204)</f>
        <v>3.8270000000000008</v>
      </c>
      <c r="J1194" s="120" t="e">
        <f>PL03a!#REF!</f>
        <v>#REF!</v>
      </c>
      <c r="K1194" s="84">
        <f t="shared" ref="K1194" si="95">I1194</f>
        <v>3.8270000000000008</v>
      </c>
      <c r="L1194" s="85"/>
      <c r="M1194" s="84">
        <f>K1194</f>
        <v>3.8270000000000008</v>
      </c>
      <c r="N1194" s="86">
        <f>L1194+M1194</f>
        <v>3.8270000000000008</v>
      </c>
    </row>
    <row r="1195" spans="1:14" x14ac:dyDescent="0.25">
      <c r="A1195" s="97"/>
      <c r="B1195" s="102" t="s">
        <v>3182</v>
      </c>
      <c r="C1195" s="99"/>
      <c r="D1195" s="100"/>
      <c r="E1195" s="100"/>
      <c r="F1195" s="100"/>
      <c r="G1195" s="100"/>
      <c r="H1195" s="100"/>
      <c r="I1195" s="100">
        <v>15.461</v>
      </c>
      <c r="J1195" s="120"/>
      <c r="K1195" s="101"/>
      <c r="L1195" s="101"/>
      <c r="M1195" s="101"/>
      <c r="N1195" s="101"/>
    </row>
    <row r="1196" spans="1:14" x14ac:dyDescent="0.25">
      <c r="A1196" s="97"/>
      <c r="B1196" s="103" t="s">
        <v>3183</v>
      </c>
      <c r="C1196" s="99"/>
      <c r="D1196" s="100"/>
      <c r="E1196" s="100"/>
      <c r="F1196" s="100"/>
      <c r="G1196" s="100"/>
      <c r="H1196" s="100"/>
      <c r="I1196" s="100"/>
      <c r="J1196" s="120"/>
      <c r="K1196" s="101"/>
      <c r="L1196" s="101"/>
      <c r="M1196" s="101"/>
      <c r="N1196" s="101"/>
    </row>
    <row r="1197" spans="1:14" x14ac:dyDescent="0.25">
      <c r="A1197" s="97"/>
      <c r="B1197" s="102" t="s">
        <v>3184</v>
      </c>
      <c r="C1197" s="99"/>
      <c r="D1197" s="100"/>
      <c r="E1197" s="100"/>
      <c r="F1197" s="100"/>
      <c r="G1197" s="100"/>
      <c r="H1197" s="100"/>
      <c r="I1197" s="100">
        <v>-0.26600000000000001</v>
      </c>
      <c r="J1197" s="120"/>
      <c r="K1197" s="101"/>
      <c r="L1197" s="101"/>
      <c r="M1197" s="101"/>
      <c r="N1197" s="101"/>
    </row>
    <row r="1198" spans="1:14" x14ac:dyDescent="0.25">
      <c r="A1198" s="97"/>
      <c r="B1198" s="102" t="s">
        <v>3185</v>
      </c>
      <c r="C1198" s="99"/>
      <c r="D1198" s="100"/>
      <c r="E1198" s="100"/>
      <c r="F1198" s="100"/>
      <c r="G1198" s="100"/>
      <c r="H1198" s="100"/>
      <c r="I1198" s="100">
        <v>-0.91600000000000004</v>
      </c>
      <c r="J1198" s="120"/>
      <c r="K1198" s="101"/>
      <c r="L1198" s="101"/>
      <c r="M1198" s="101"/>
      <c r="N1198" s="101"/>
    </row>
    <row r="1199" spans="1:14" x14ac:dyDescent="0.25">
      <c r="A1199" s="97"/>
      <c r="B1199" s="103" t="s">
        <v>3186</v>
      </c>
      <c r="C1199" s="99"/>
      <c r="D1199" s="100"/>
      <c r="E1199" s="100"/>
      <c r="F1199" s="100"/>
      <c r="G1199" s="100"/>
      <c r="H1199" s="100"/>
      <c r="I1199" s="100"/>
      <c r="J1199" s="120"/>
      <c r="K1199" s="101"/>
      <c r="L1199" s="101"/>
      <c r="M1199" s="101"/>
      <c r="N1199" s="101"/>
    </row>
    <row r="1200" spans="1:14" x14ac:dyDescent="0.25">
      <c r="A1200" s="97"/>
      <c r="B1200" s="102" t="s">
        <v>3187</v>
      </c>
      <c r="C1200" s="99"/>
      <c r="D1200" s="100"/>
      <c r="E1200" s="100"/>
      <c r="F1200" s="100"/>
      <c r="G1200" s="100"/>
      <c r="H1200" s="100"/>
      <c r="I1200" s="100">
        <v>-2.7930000000000001</v>
      </c>
      <c r="J1200" s="120"/>
      <c r="K1200" s="101"/>
      <c r="L1200" s="101"/>
      <c r="M1200" s="101"/>
      <c r="N1200" s="101"/>
    </row>
    <row r="1201" spans="1:14" x14ac:dyDescent="0.25">
      <c r="A1201" s="97"/>
      <c r="B1201" s="102" t="s">
        <v>3188</v>
      </c>
      <c r="C1201" s="99"/>
      <c r="D1201" s="100"/>
      <c r="E1201" s="100"/>
      <c r="F1201" s="100"/>
      <c r="G1201" s="100"/>
      <c r="H1201" s="100"/>
      <c r="I1201" s="100">
        <v>-1.603</v>
      </c>
      <c r="J1201" s="120"/>
      <c r="K1201" s="101"/>
      <c r="L1201" s="101"/>
      <c r="M1201" s="101"/>
      <c r="N1201" s="101"/>
    </row>
    <row r="1202" spans="1:14" x14ac:dyDescent="0.25">
      <c r="A1202" s="97"/>
      <c r="B1202" s="103" t="s">
        <v>3189</v>
      </c>
      <c r="C1202" s="99"/>
      <c r="D1202" s="100"/>
      <c r="E1202" s="100"/>
      <c r="F1202" s="100"/>
      <c r="G1202" s="100"/>
      <c r="H1202" s="100"/>
      <c r="I1202" s="100"/>
      <c r="J1202" s="120"/>
      <c r="K1202" s="101"/>
      <c r="L1202" s="101"/>
      <c r="M1202" s="101"/>
      <c r="N1202" s="101"/>
    </row>
    <row r="1203" spans="1:14" x14ac:dyDescent="0.25">
      <c r="A1203" s="97"/>
      <c r="B1203" s="102" t="s">
        <v>3190</v>
      </c>
      <c r="C1203" s="99"/>
      <c r="D1203" s="100"/>
      <c r="E1203" s="100"/>
      <c r="F1203" s="100"/>
      <c r="G1203" s="100"/>
      <c r="H1203" s="100"/>
      <c r="I1203" s="100">
        <v>-1.1599999999999999</v>
      </c>
      <c r="J1203" s="120"/>
      <c r="K1203" s="101"/>
      <c r="L1203" s="101"/>
      <c r="M1203" s="101"/>
      <c r="N1203" s="101"/>
    </row>
    <row r="1204" spans="1:14" x14ac:dyDescent="0.25">
      <c r="A1204" s="97"/>
      <c r="B1204" s="102" t="s">
        <v>3191</v>
      </c>
      <c r="C1204" s="99"/>
      <c r="D1204" s="100"/>
      <c r="E1204" s="100"/>
      <c r="F1204" s="100"/>
      <c r="G1204" s="100"/>
      <c r="H1204" s="100"/>
      <c r="I1204" s="100">
        <v>-4.8959999999999999</v>
      </c>
      <c r="J1204" s="120"/>
      <c r="K1204" s="101"/>
      <c r="L1204" s="101"/>
      <c r="M1204" s="101"/>
      <c r="N1204" s="101"/>
    </row>
    <row r="1205" spans="1:14" ht="25.5" x14ac:dyDescent="0.25">
      <c r="A1205" s="97">
        <v>3</v>
      </c>
      <c r="B1205" s="98" t="s">
        <v>3192</v>
      </c>
      <c r="C1205" s="99" t="s">
        <v>27</v>
      </c>
      <c r="D1205" s="100"/>
      <c r="E1205" s="100"/>
      <c r="F1205" s="100"/>
      <c r="G1205" s="100"/>
      <c r="H1205" s="100"/>
      <c r="I1205" s="100">
        <f>SUM(I1206:I1207)</f>
        <v>11.365</v>
      </c>
      <c r="J1205" s="120" t="e">
        <f>PL03a!#REF!</f>
        <v>#REF!</v>
      </c>
      <c r="K1205" s="84">
        <f t="shared" ref="K1205" si="96">I1205</f>
        <v>11.365</v>
      </c>
      <c r="L1205" s="85"/>
      <c r="M1205" s="84">
        <f>K1205</f>
        <v>11.365</v>
      </c>
      <c r="N1205" s="86">
        <f>L1205+M1205</f>
        <v>11.365</v>
      </c>
    </row>
    <row r="1206" spans="1:14" x14ac:dyDescent="0.25">
      <c r="A1206" s="97"/>
      <c r="B1206" s="102" t="s">
        <v>3182</v>
      </c>
      <c r="C1206" s="99"/>
      <c r="D1206" s="100"/>
      <c r="E1206" s="100"/>
      <c r="F1206" s="100"/>
      <c r="G1206" s="100"/>
      <c r="H1206" s="100"/>
      <c r="I1206" s="100">
        <v>15.461</v>
      </c>
      <c r="J1206" s="120"/>
      <c r="K1206" s="101"/>
      <c r="L1206" s="101"/>
      <c r="M1206" s="101"/>
      <c r="N1206" s="101"/>
    </row>
    <row r="1207" spans="1:14" ht="25.5" x14ac:dyDescent="0.25">
      <c r="A1207" s="97"/>
      <c r="B1207" s="102" t="s">
        <v>3193</v>
      </c>
      <c r="C1207" s="99"/>
      <c r="D1207" s="100"/>
      <c r="E1207" s="100"/>
      <c r="F1207" s="100"/>
      <c r="G1207" s="100"/>
      <c r="H1207" s="100"/>
      <c r="I1207" s="100">
        <v>-4.0960000000000001</v>
      </c>
      <c r="J1207" s="120"/>
      <c r="K1207" s="101"/>
      <c r="L1207" s="101"/>
      <c r="M1207" s="101"/>
      <c r="N1207" s="101"/>
    </row>
    <row r="1208" spans="1:14" ht="38.25" x14ac:dyDescent="0.25">
      <c r="A1208" s="97">
        <v>4</v>
      </c>
      <c r="B1208" s="98" t="s">
        <v>3194</v>
      </c>
      <c r="C1208" s="99" t="s">
        <v>27</v>
      </c>
      <c r="D1208" s="100"/>
      <c r="E1208" s="100"/>
      <c r="F1208" s="100"/>
      <c r="G1208" s="100"/>
      <c r="H1208" s="100"/>
      <c r="I1208" s="100">
        <v>11.365</v>
      </c>
      <c r="J1208" s="120" t="e">
        <f>PL03a!#REF!</f>
        <v>#REF!</v>
      </c>
      <c r="K1208" s="84">
        <f t="shared" ref="K1208:K1209" si="97">I1208</f>
        <v>11.365</v>
      </c>
      <c r="L1208" s="85"/>
      <c r="M1208" s="84">
        <f>K1208</f>
        <v>11.365</v>
      </c>
      <c r="N1208" s="86">
        <f>L1208+M1208</f>
        <v>11.365</v>
      </c>
    </row>
    <row r="1209" spans="1:14" ht="25.5" x14ac:dyDescent="0.25">
      <c r="A1209" s="97">
        <v>5</v>
      </c>
      <c r="B1209" s="98" t="s">
        <v>2050</v>
      </c>
      <c r="C1209" s="99" t="s">
        <v>37</v>
      </c>
      <c r="D1209" s="100"/>
      <c r="E1209" s="100"/>
      <c r="F1209" s="100"/>
      <c r="G1209" s="100"/>
      <c r="H1209" s="100"/>
      <c r="I1209" s="100">
        <f>SUM(I1210:I1215)</f>
        <v>26.637</v>
      </c>
      <c r="J1209" s="120" t="e">
        <f>PL03a!#REF!</f>
        <v>#REF!</v>
      </c>
      <c r="K1209" s="84">
        <f t="shared" si="97"/>
        <v>26.637</v>
      </c>
      <c r="L1209" s="85"/>
      <c r="M1209" s="84">
        <f>K1209</f>
        <v>26.637</v>
      </c>
      <c r="N1209" s="86">
        <f>L1209+M1209</f>
        <v>26.637</v>
      </c>
    </row>
    <row r="1210" spans="1:14" x14ac:dyDescent="0.25">
      <c r="A1210" s="97"/>
      <c r="B1210" s="103" t="s">
        <v>3172</v>
      </c>
      <c r="C1210" s="99"/>
      <c r="D1210" s="100"/>
      <c r="E1210" s="100"/>
      <c r="F1210" s="100"/>
      <c r="G1210" s="100"/>
      <c r="H1210" s="100"/>
      <c r="I1210" s="100"/>
      <c r="J1210" s="120"/>
      <c r="K1210" s="101"/>
      <c r="L1210" s="101"/>
      <c r="M1210" s="101"/>
      <c r="N1210" s="101"/>
    </row>
    <row r="1211" spans="1:14" x14ac:dyDescent="0.25">
      <c r="A1211" s="97"/>
      <c r="B1211" s="102" t="s">
        <v>3195</v>
      </c>
      <c r="C1211" s="99"/>
      <c r="D1211" s="100"/>
      <c r="E1211" s="100"/>
      <c r="F1211" s="100"/>
      <c r="G1211" s="100"/>
      <c r="H1211" s="100"/>
      <c r="I1211" s="100">
        <v>9.34</v>
      </c>
      <c r="J1211" s="120"/>
      <c r="K1211" s="101"/>
      <c r="L1211" s="101"/>
      <c r="M1211" s="101"/>
      <c r="N1211" s="101"/>
    </row>
    <row r="1212" spans="1:14" x14ac:dyDescent="0.25">
      <c r="A1212" s="97"/>
      <c r="B1212" s="102" t="s">
        <v>3196</v>
      </c>
      <c r="C1212" s="99"/>
      <c r="D1212" s="100"/>
      <c r="E1212" s="100"/>
      <c r="F1212" s="100"/>
      <c r="G1212" s="100"/>
      <c r="H1212" s="100"/>
      <c r="I1212" s="100">
        <v>2.915</v>
      </c>
      <c r="J1212" s="120"/>
      <c r="K1212" s="101"/>
      <c r="L1212" s="101"/>
      <c r="M1212" s="101"/>
      <c r="N1212" s="101"/>
    </row>
    <row r="1213" spans="1:14" x14ac:dyDescent="0.25">
      <c r="A1213" s="97"/>
      <c r="B1213" s="103" t="s">
        <v>3175</v>
      </c>
      <c r="C1213" s="99"/>
      <c r="D1213" s="100"/>
      <c r="E1213" s="100"/>
      <c r="F1213" s="100"/>
      <c r="G1213" s="100"/>
      <c r="H1213" s="100"/>
      <c r="I1213" s="100"/>
      <c r="J1213" s="120"/>
      <c r="K1213" s="101"/>
      <c r="L1213" s="101"/>
      <c r="M1213" s="101"/>
      <c r="N1213" s="101"/>
    </row>
    <row r="1214" spans="1:14" x14ac:dyDescent="0.25">
      <c r="A1214" s="97"/>
      <c r="B1214" s="102" t="s">
        <v>3197</v>
      </c>
      <c r="C1214" s="99"/>
      <c r="D1214" s="100"/>
      <c r="E1214" s="100"/>
      <c r="F1214" s="100"/>
      <c r="G1214" s="100"/>
      <c r="H1214" s="100"/>
      <c r="I1214" s="100">
        <v>3.286</v>
      </c>
      <c r="J1214" s="120"/>
      <c r="K1214" s="101"/>
      <c r="L1214" s="101"/>
      <c r="M1214" s="101"/>
      <c r="N1214" s="101"/>
    </row>
    <row r="1215" spans="1:14" x14ac:dyDescent="0.25">
      <c r="A1215" s="97"/>
      <c r="B1215" s="102" t="s">
        <v>3198</v>
      </c>
      <c r="C1215" s="99"/>
      <c r="D1215" s="100"/>
      <c r="E1215" s="100"/>
      <c r="F1215" s="100"/>
      <c r="G1215" s="100"/>
      <c r="H1215" s="100"/>
      <c r="I1215" s="100">
        <v>11.096</v>
      </c>
      <c r="J1215" s="120"/>
      <c r="K1215" s="101"/>
      <c r="L1215" s="101"/>
      <c r="M1215" s="101"/>
      <c r="N1215" s="101"/>
    </row>
    <row r="1216" spans="1:14" ht="38.25" x14ac:dyDescent="0.25">
      <c r="A1216" s="97">
        <v>6</v>
      </c>
      <c r="B1216" s="98" t="s">
        <v>2175</v>
      </c>
      <c r="C1216" s="99" t="s">
        <v>37</v>
      </c>
      <c r="D1216" s="100"/>
      <c r="E1216" s="100"/>
      <c r="F1216" s="100"/>
      <c r="G1216" s="100"/>
      <c r="H1216" s="100"/>
      <c r="I1216" s="100">
        <f>SUM(I1217:I1222)</f>
        <v>91.079000000000008</v>
      </c>
      <c r="J1216" s="120" t="e">
        <f>PL03a!#REF!</f>
        <v>#REF!</v>
      </c>
      <c r="K1216" s="84">
        <f t="shared" ref="K1216" si="98">I1216</f>
        <v>91.079000000000008</v>
      </c>
      <c r="L1216" s="85"/>
      <c r="M1216" s="84">
        <f>K1216</f>
        <v>91.079000000000008</v>
      </c>
      <c r="N1216" s="86">
        <f>L1216+M1216</f>
        <v>91.079000000000008</v>
      </c>
    </row>
    <row r="1217" spans="1:14" x14ac:dyDescent="0.25">
      <c r="A1217" s="97"/>
      <c r="B1217" s="103" t="s">
        <v>3172</v>
      </c>
      <c r="C1217" s="99"/>
      <c r="D1217" s="100"/>
      <c r="E1217" s="100"/>
      <c r="F1217" s="100"/>
      <c r="G1217" s="100"/>
      <c r="H1217" s="100"/>
      <c r="I1217" s="100"/>
      <c r="J1217" s="120"/>
      <c r="K1217" s="101"/>
      <c r="L1217" s="101"/>
      <c r="M1217" s="101"/>
      <c r="N1217" s="101"/>
    </row>
    <row r="1218" spans="1:14" x14ac:dyDescent="0.25">
      <c r="A1218" s="97"/>
      <c r="B1218" s="102" t="s">
        <v>3199</v>
      </c>
      <c r="C1218" s="99"/>
      <c r="D1218" s="100"/>
      <c r="E1218" s="100"/>
      <c r="F1218" s="100"/>
      <c r="G1218" s="100"/>
      <c r="H1218" s="100"/>
      <c r="I1218" s="100">
        <v>31.672000000000001</v>
      </c>
      <c r="J1218" s="120"/>
      <c r="K1218" s="101"/>
      <c r="L1218" s="101"/>
      <c r="M1218" s="101"/>
      <c r="N1218" s="101"/>
    </row>
    <row r="1219" spans="1:14" x14ac:dyDescent="0.25">
      <c r="A1219" s="97"/>
      <c r="B1219" s="102" t="s">
        <v>3200</v>
      </c>
      <c r="C1219" s="99"/>
      <c r="D1219" s="100"/>
      <c r="E1219" s="100"/>
      <c r="F1219" s="100"/>
      <c r="G1219" s="100"/>
      <c r="H1219" s="100"/>
      <c r="I1219" s="100">
        <v>10.202999999999999</v>
      </c>
      <c r="J1219" s="120"/>
      <c r="K1219" s="101"/>
      <c r="L1219" s="101"/>
      <c r="M1219" s="101"/>
      <c r="N1219" s="101"/>
    </row>
    <row r="1220" spans="1:14" x14ac:dyDescent="0.25">
      <c r="A1220" s="97"/>
      <c r="B1220" s="103" t="s">
        <v>3175</v>
      </c>
      <c r="C1220" s="99"/>
      <c r="D1220" s="100"/>
      <c r="E1220" s="100"/>
      <c r="F1220" s="100"/>
      <c r="G1220" s="100"/>
      <c r="H1220" s="100"/>
      <c r="I1220" s="100"/>
      <c r="J1220" s="120"/>
      <c r="K1220" s="101"/>
      <c r="L1220" s="101"/>
      <c r="M1220" s="101"/>
      <c r="N1220" s="101"/>
    </row>
    <row r="1221" spans="1:14" x14ac:dyDescent="0.25">
      <c r="A1221" s="97"/>
      <c r="B1221" s="102" t="s">
        <v>3201</v>
      </c>
      <c r="C1221" s="99"/>
      <c r="D1221" s="100"/>
      <c r="E1221" s="100"/>
      <c r="F1221" s="100"/>
      <c r="G1221" s="100"/>
      <c r="H1221" s="100"/>
      <c r="I1221" s="100">
        <v>11.093999999999999</v>
      </c>
      <c r="J1221" s="120"/>
      <c r="K1221" s="101"/>
      <c r="L1221" s="101"/>
      <c r="M1221" s="101"/>
      <c r="N1221" s="101"/>
    </row>
    <row r="1222" spans="1:14" x14ac:dyDescent="0.25">
      <c r="A1222" s="97"/>
      <c r="B1222" s="102" t="s">
        <v>3202</v>
      </c>
      <c r="C1222" s="99"/>
      <c r="D1222" s="100"/>
      <c r="E1222" s="100"/>
      <c r="F1222" s="100"/>
      <c r="G1222" s="100"/>
      <c r="H1222" s="100"/>
      <c r="I1222" s="100">
        <v>38.11</v>
      </c>
      <c r="J1222" s="120"/>
      <c r="K1222" s="101"/>
      <c r="L1222" s="101"/>
      <c r="M1222" s="101"/>
      <c r="N1222" s="101"/>
    </row>
    <row r="1223" spans="1:14" x14ac:dyDescent="0.25">
      <c r="A1223" s="97">
        <v>7</v>
      </c>
      <c r="B1223" s="98" t="s">
        <v>159</v>
      </c>
      <c r="C1223" s="99" t="s">
        <v>61</v>
      </c>
      <c r="D1223" s="100"/>
      <c r="E1223" s="100"/>
      <c r="F1223" s="100"/>
      <c r="G1223" s="100"/>
      <c r="H1223" s="100"/>
      <c r="I1223" s="100">
        <f>SUM(I1224:I1229)</f>
        <v>0.86499999999999999</v>
      </c>
      <c r="J1223" s="120" t="e">
        <f>PL03a!#REF!</f>
        <v>#REF!</v>
      </c>
      <c r="K1223" s="84">
        <f t="shared" ref="K1223" si="99">I1223</f>
        <v>0.86499999999999999</v>
      </c>
      <c r="L1223" s="85"/>
      <c r="M1223" s="84">
        <f>K1223</f>
        <v>0.86499999999999999</v>
      </c>
      <c r="N1223" s="86">
        <f>L1223+M1223</f>
        <v>0.86499999999999999</v>
      </c>
    </row>
    <row r="1224" spans="1:14" x14ac:dyDescent="0.25">
      <c r="A1224" s="97"/>
      <c r="B1224" s="103" t="s">
        <v>3172</v>
      </c>
      <c r="C1224" s="99"/>
      <c r="D1224" s="100"/>
      <c r="E1224" s="100"/>
      <c r="F1224" s="100"/>
      <c r="G1224" s="100"/>
      <c r="H1224" s="100"/>
      <c r="I1224" s="100"/>
      <c r="J1224" s="120"/>
      <c r="K1224" s="101"/>
      <c r="L1224" s="101"/>
      <c r="M1224" s="101"/>
      <c r="N1224" s="101"/>
    </row>
    <row r="1225" spans="1:14" x14ac:dyDescent="0.25">
      <c r="A1225" s="97"/>
      <c r="B1225" s="102" t="s">
        <v>3203</v>
      </c>
      <c r="C1225" s="99"/>
      <c r="D1225" s="100"/>
      <c r="E1225" s="100"/>
      <c r="F1225" s="100"/>
      <c r="G1225" s="100"/>
      <c r="H1225" s="100"/>
      <c r="I1225" s="100">
        <v>0.317</v>
      </c>
      <c r="J1225" s="120"/>
      <c r="K1225" s="101"/>
      <c r="L1225" s="101"/>
      <c r="M1225" s="101"/>
      <c r="N1225" s="101"/>
    </row>
    <row r="1226" spans="1:14" x14ac:dyDescent="0.25">
      <c r="A1226" s="97"/>
      <c r="B1226" s="102" t="s">
        <v>3204</v>
      </c>
      <c r="C1226" s="99"/>
      <c r="D1226" s="100"/>
      <c r="E1226" s="100"/>
      <c r="F1226" s="100"/>
      <c r="G1226" s="100"/>
      <c r="H1226" s="100"/>
      <c r="I1226" s="100">
        <v>5.6000000000000001E-2</v>
      </c>
      <c r="J1226" s="120"/>
      <c r="K1226" s="101"/>
      <c r="L1226" s="101"/>
      <c r="M1226" s="101"/>
      <c r="N1226" s="101"/>
    </row>
    <row r="1227" spans="1:14" x14ac:dyDescent="0.25">
      <c r="A1227" s="97"/>
      <c r="B1227" s="103" t="s">
        <v>3175</v>
      </c>
      <c r="C1227" s="99"/>
      <c r="D1227" s="100"/>
      <c r="E1227" s="100"/>
      <c r="F1227" s="100"/>
      <c r="G1227" s="100"/>
      <c r="H1227" s="100"/>
      <c r="I1227" s="100"/>
      <c r="J1227" s="120"/>
      <c r="K1227" s="101"/>
      <c r="L1227" s="101"/>
      <c r="M1227" s="101"/>
      <c r="N1227" s="101"/>
    </row>
    <row r="1228" spans="1:14" x14ac:dyDescent="0.25">
      <c r="A1228" s="97"/>
      <c r="B1228" s="102" t="s">
        <v>3205</v>
      </c>
      <c r="C1228" s="99"/>
      <c r="D1228" s="100"/>
      <c r="E1228" s="100"/>
      <c r="F1228" s="100"/>
      <c r="G1228" s="100"/>
      <c r="H1228" s="100"/>
      <c r="I1228" s="100">
        <v>0.111</v>
      </c>
      <c r="J1228" s="120"/>
      <c r="K1228" s="101"/>
      <c r="L1228" s="101"/>
      <c r="M1228" s="101"/>
      <c r="N1228" s="101"/>
    </row>
    <row r="1229" spans="1:14" x14ac:dyDescent="0.25">
      <c r="A1229" s="97"/>
      <c r="B1229" s="102" t="s">
        <v>3206</v>
      </c>
      <c r="C1229" s="99"/>
      <c r="D1229" s="100"/>
      <c r="E1229" s="100"/>
      <c r="F1229" s="100"/>
      <c r="G1229" s="100"/>
      <c r="H1229" s="100"/>
      <c r="I1229" s="100">
        <v>0.38100000000000001</v>
      </c>
      <c r="J1229" s="120"/>
      <c r="K1229" s="101"/>
      <c r="L1229" s="101"/>
      <c r="M1229" s="101"/>
      <c r="N1229" s="101"/>
    </row>
    <row r="1230" spans="1:14" ht="38.25" x14ac:dyDescent="0.25">
      <c r="A1230" s="97">
        <v>8</v>
      </c>
      <c r="B1230" s="98" t="s">
        <v>2178</v>
      </c>
      <c r="C1230" s="99" t="s">
        <v>37</v>
      </c>
      <c r="D1230" s="100"/>
      <c r="E1230" s="100"/>
      <c r="F1230" s="100"/>
      <c r="G1230" s="100"/>
      <c r="H1230" s="100"/>
      <c r="I1230" s="100">
        <f>SUM(I1231:I1268)</f>
        <v>232.08500000000004</v>
      </c>
      <c r="J1230" s="120" t="e">
        <f>PL03a!#REF!</f>
        <v>#REF!</v>
      </c>
      <c r="K1230" s="84">
        <f t="shared" ref="K1230" si="100">I1230</f>
        <v>232.08500000000004</v>
      </c>
      <c r="L1230" s="85"/>
      <c r="M1230" s="84">
        <f>K1230</f>
        <v>232.08500000000004</v>
      </c>
      <c r="N1230" s="86">
        <f>L1230+M1230</f>
        <v>232.08500000000004</v>
      </c>
    </row>
    <row r="1231" spans="1:14" x14ac:dyDescent="0.25">
      <c r="A1231" s="97"/>
      <c r="B1231" s="103" t="s">
        <v>3172</v>
      </c>
      <c r="C1231" s="99"/>
      <c r="D1231" s="100"/>
      <c r="E1231" s="100"/>
      <c r="F1231" s="100"/>
      <c r="G1231" s="100"/>
      <c r="H1231" s="100"/>
      <c r="I1231" s="100"/>
      <c r="J1231" s="120"/>
      <c r="K1231" s="101"/>
      <c r="L1231" s="101"/>
      <c r="M1231" s="101"/>
      <c r="N1231" s="101"/>
    </row>
    <row r="1232" spans="1:14" x14ac:dyDescent="0.25">
      <c r="A1232" s="97"/>
      <c r="B1232" s="103" t="s">
        <v>3207</v>
      </c>
      <c r="C1232" s="99"/>
      <c r="D1232" s="100"/>
      <c r="E1232" s="100"/>
      <c r="F1232" s="100"/>
      <c r="G1232" s="100"/>
      <c r="H1232" s="100"/>
      <c r="I1232" s="100"/>
      <c r="J1232" s="120"/>
      <c r="K1232" s="101"/>
      <c r="L1232" s="101"/>
      <c r="M1232" s="101"/>
      <c r="N1232" s="101"/>
    </row>
    <row r="1233" spans="1:14" x14ac:dyDescent="0.25">
      <c r="A1233" s="97"/>
      <c r="B1233" s="102" t="s">
        <v>3208</v>
      </c>
      <c r="C1233" s="99"/>
      <c r="D1233" s="100"/>
      <c r="E1233" s="100"/>
      <c r="F1233" s="100"/>
      <c r="G1233" s="100"/>
      <c r="H1233" s="100"/>
      <c r="I1233" s="100">
        <v>4.0259999999999998</v>
      </c>
      <c r="J1233" s="120"/>
      <c r="K1233" s="101"/>
      <c r="L1233" s="101"/>
      <c r="M1233" s="101"/>
      <c r="N1233" s="101"/>
    </row>
    <row r="1234" spans="1:14" x14ac:dyDescent="0.25">
      <c r="A1234" s="97"/>
      <c r="B1234" s="102" t="s">
        <v>3209</v>
      </c>
      <c r="C1234" s="99"/>
      <c r="D1234" s="100"/>
      <c r="E1234" s="100"/>
      <c r="F1234" s="100"/>
      <c r="G1234" s="100"/>
      <c r="H1234" s="100"/>
      <c r="I1234" s="100">
        <v>30.971</v>
      </c>
      <c r="J1234" s="120"/>
      <c r="K1234" s="101"/>
      <c r="L1234" s="101"/>
      <c r="M1234" s="101"/>
      <c r="N1234" s="101"/>
    </row>
    <row r="1235" spans="1:14" x14ac:dyDescent="0.25">
      <c r="A1235" s="97"/>
      <c r="B1235" s="102" t="s">
        <v>3210</v>
      </c>
      <c r="C1235" s="99"/>
      <c r="D1235" s="100"/>
      <c r="E1235" s="100"/>
      <c r="F1235" s="100"/>
      <c r="G1235" s="100"/>
      <c r="H1235" s="100"/>
      <c r="I1235" s="100">
        <v>23.216000000000001</v>
      </c>
      <c r="J1235" s="120"/>
      <c r="K1235" s="101"/>
      <c r="L1235" s="101"/>
      <c r="M1235" s="101"/>
      <c r="N1235" s="101"/>
    </row>
    <row r="1236" spans="1:14" x14ac:dyDescent="0.25">
      <c r="A1236" s="97"/>
      <c r="B1236" s="102" t="s">
        <v>3211</v>
      </c>
      <c r="C1236" s="99"/>
      <c r="D1236" s="100"/>
      <c r="E1236" s="100"/>
      <c r="F1236" s="100"/>
      <c r="G1236" s="100"/>
      <c r="H1236" s="100"/>
      <c r="I1236" s="100">
        <v>8.7449999999999992</v>
      </c>
      <c r="J1236" s="120"/>
      <c r="K1236" s="101"/>
      <c r="L1236" s="101"/>
      <c r="M1236" s="101"/>
      <c r="N1236" s="101"/>
    </row>
    <row r="1237" spans="1:14" x14ac:dyDescent="0.25">
      <c r="A1237" s="97"/>
      <c r="B1237" s="102" t="s">
        <v>3212</v>
      </c>
      <c r="C1237" s="99"/>
      <c r="D1237" s="100"/>
      <c r="E1237" s="100"/>
      <c r="F1237" s="100"/>
      <c r="G1237" s="100"/>
      <c r="H1237" s="100"/>
      <c r="I1237" s="100">
        <v>8.0850000000000009</v>
      </c>
      <c r="J1237" s="120"/>
      <c r="K1237" s="101"/>
      <c r="L1237" s="101"/>
      <c r="M1237" s="101"/>
      <c r="N1237" s="101"/>
    </row>
    <row r="1238" spans="1:14" x14ac:dyDescent="0.25">
      <c r="A1238" s="97"/>
      <c r="B1238" s="103" t="s">
        <v>3213</v>
      </c>
      <c r="C1238" s="99"/>
      <c r="D1238" s="100"/>
      <c r="E1238" s="100"/>
      <c r="F1238" s="100"/>
      <c r="G1238" s="100"/>
      <c r="H1238" s="100"/>
      <c r="I1238" s="100"/>
      <c r="J1238" s="120"/>
      <c r="K1238" s="101"/>
      <c r="L1238" s="101"/>
      <c r="M1238" s="101"/>
      <c r="N1238" s="101"/>
    </row>
    <row r="1239" spans="1:14" x14ac:dyDescent="0.25">
      <c r="A1239" s="97"/>
      <c r="B1239" s="102" t="s">
        <v>3214</v>
      </c>
      <c r="C1239" s="99"/>
      <c r="D1239" s="100"/>
      <c r="E1239" s="100"/>
      <c r="F1239" s="100"/>
      <c r="G1239" s="100"/>
      <c r="H1239" s="100"/>
      <c r="I1239" s="100">
        <v>6.93</v>
      </c>
      <c r="J1239" s="120"/>
      <c r="K1239" s="101"/>
      <c r="L1239" s="101"/>
      <c r="M1239" s="101"/>
      <c r="N1239" s="101"/>
    </row>
    <row r="1240" spans="1:14" x14ac:dyDescent="0.25">
      <c r="A1240" s="97"/>
      <c r="B1240" s="102" t="s">
        <v>3215</v>
      </c>
      <c r="C1240" s="99"/>
      <c r="D1240" s="100"/>
      <c r="E1240" s="100"/>
      <c r="F1240" s="100"/>
      <c r="G1240" s="100"/>
      <c r="H1240" s="100"/>
      <c r="I1240" s="100">
        <v>11.336</v>
      </c>
      <c r="J1240" s="120"/>
      <c r="K1240" s="101"/>
      <c r="L1240" s="101"/>
      <c r="M1240" s="101"/>
      <c r="N1240" s="101"/>
    </row>
    <row r="1241" spans="1:14" x14ac:dyDescent="0.25">
      <c r="A1241" s="97"/>
      <c r="B1241" s="102" t="s">
        <v>3216</v>
      </c>
      <c r="C1241" s="99"/>
      <c r="D1241" s="100"/>
      <c r="E1241" s="100"/>
      <c r="F1241" s="100"/>
      <c r="G1241" s="100"/>
      <c r="H1241" s="100"/>
      <c r="I1241" s="100">
        <v>-0.67500000000000004</v>
      </c>
      <c r="J1241" s="120"/>
      <c r="K1241" s="101"/>
      <c r="L1241" s="101"/>
      <c r="M1241" s="101"/>
      <c r="N1241" s="101"/>
    </row>
    <row r="1242" spans="1:14" x14ac:dyDescent="0.25">
      <c r="A1242" s="97"/>
      <c r="B1242" s="103" t="s">
        <v>3217</v>
      </c>
      <c r="C1242" s="99"/>
      <c r="D1242" s="100"/>
      <c r="E1242" s="100"/>
      <c r="F1242" s="100"/>
      <c r="G1242" s="100"/>
      <c r="H1242" s="100"/>
      <c r="I1242" s="100"/>
      <c r="J1242" s="120"/>
      <c r="K1242" s="101"/>
      <c r="L1242" s="101"/>
      <c r="M1242" s="101"/>
      <c r="N1242" s="101"/>
    </row>
    <row r="1243" spans="1:14" x14ac:dyDescent="0.25">
      <c r="A1243" s="97"/>
      <c r="B1243" s="102" t="s">
        <v>3218</v>
      </c>
      <c r="C1243" s="99"/>
      <c r="D1243" s="100"/>
      <c r="E1243" s="100"/>
      <c r="F1243" s="100"/>
      <c r="G1243" s="100"/>
      <c r="H1243" s="100"/>
      <c r="I1243" s="100">
        <v>4.173</v>
      </c>
      <c r="J1243" s="120"/>
      <c r="K1243" s="101"/>
      <c r="L1243" s="101"/>
      <c r="M1243" s="101"/>
      <c r="N1243" s="101"/>
    </row>
    <row r="1244" spans="1:14" x14ac:dyDescent="0.25">
      <c r="A1244" s="97"/>
      <c r="B1244" s="102" t="s">
        <v>3219</v>
      </c>
      <c r="C1244" s="99"/>
      <c r="D1244" s="100"/>
      <c r="E1244" s="100"/>
      <c r="F1244" s="100"/>
      <c r="G1244" s="100"/>
      <c r="H1244" s="100"/>
      <c r="I1244" s="100">
        <v>6.9569999999999999</v>
      </c>
      <c r="J1244" s="120"/>
      <c r="K1244" s="101"/>
      <c r="L1244" s="101"/>
      <c r="M1244" s="101"/>
      <c r="N1244" s="101"/>
    </row>
    <row r="1245" spans="1:14" x14ac:dyDescent="0.25">
      <c r="A1245" s="97"/>
      <c r="B1245" s="102" t="s">
        <v>3220</v>
      </c>
      <c r="C1245" s="99"/>
      <c r="D1245" s="100"/>
      <c r="E1245" s="100"/>
      <c r="F1245" s="100"/>
      <c r="G1245" s="100"/>
      <c r="H1245" s="100"/>
      <c r="I1245" s="100">
        <v>4.9000000000000004</v>
      </c>
      <c r="J1245" s="120"/>
      <c r="K1245" s="101"/>
      <c r="L1245" s="101"/>
      <c r="M1245" s="101"/>
      <c r="N1245" s="101"/>
    </row>
    <row r="1246" spans="1:14" x14ac:dyDescent="0.25">
      <c r="A1246" s="97"/>
      <c r="B1246" s="103" t="s">
        <v>3221</v>
      </c>
      <c r="C1246" s="99"/>
      <c r="D1246" s="100"/>
      <c r="E1246" s="100"/>
      <c r="F1246" s="100"/>
      <c r="G1246" s="100"/>
      <c r="H1246" s="100"/>
      <c r="I1246" s="100"/>
      <c r="J1246" s="120"/>
      <c r="K1246" s="101"/>
      <c r="L1246" s="101"/>
      <c r="M1246" s="101"/>
      <c r="N1246" s="101"/>
    </row>
    <row r="1247" spans="1:14" x14ac:dyDescent="0.25">
      <c r="A1247" s="97"/>
      <c r="B1247" s="102" t="s">
        <v>3222</v>
      </c>
      <c r="C1247" s="99"/>
      <c r="D1247" s="100"/>
      <c r="E1247" s="100"/>
      <c r="F1247" s="100"/>
      <c r="G1247" s="100"/>
      <c r="H1247" s="100"/>
      <c r="I1247" s="100">
        <v>0.79800000000000004</v>
      </c>
      <c r="J1247" s="120"/>
      <c r="K1247" s="101"/>
      <c r="L1247" s="101"/>
      <c r="M1247" s="101"/>
      <c r="N1247" s="101"/>
    </row>
    <row r="1248" spans="1:14" x14ac:dyDescent="0.25">
      <c r="A1248" s="97"/>
      <c r="B1248" s="102" t="s">
        <v>3223</v>
      </c>
      <c r="C1248" s="99"/>
      <c r="D1248" s="100"/>
      <c r="E1248" s="100"/>
      <c r="F1248" s="100"/>
      <c r="G1248" s="100"/>
      <c r="H1248" s="100"/>
      <c r="I1248" s="100">
        <v>0.97499999999999998</v>
      </c>
      <c r="J1248" s="120"/>
      <c r="K1248" s="101"/>
      <c r="L1248" s="101"/>
      <c r="M1248" s="101"/>
      <c r="N1248" s="101"/>
    </row>
    <row r="1249" spans="1:14" x14ac:dyDescent="0.25">
      <c r="A1249" s="97"/>
      <c r="B1249" s="102" t="s">
        <v>3224</v>
      </c>
      <c r="C1249" s="99"/>
      <c r="D1249" s="100"/>
      <c r="E1249" s="100"/>
      <c r="F1249" s="100"/>
      <c r="G1249" s="100"/>
      <c r="H1249" s="100"/>
      <c r="I1249" s="100">
        <v>0.79200000000000004</v>
      </c>
      <c r="J1249" s="120"/>
      <c r="K1249" s="101"/>
      <c r="L1249" s="101"/>
      <c r="M1249" s="101"/>
      <c r="N1249" s="101"/>
    </row>
    <row r="1250" spans="1:14" x14ac:dyDescent="0.25">
      <c r="A1250" s="97"/>
      <c r="B1250" s="103" t="s">
        <v>3175</v>
      </c>
      <c r="C1250" s="99"/>
      <c r="D1250" s="100"/>
      <c r="E1250" s="100"/>
      <c r="F1250" s="100"/>
      <c r="G1250" s="100"/>
      <c r="H1250" s="100"/>
      <c r="I1250" s="100"/>
      <c r="J1250" s="120"/>
      <c r="K1250" s="101"/>
      <c r="L1250" s="101"/>
      <c r="M1250" s="101"/>
      <c r="N1250" s="101"/>
    </row>
    <row r="1251" spans="1:14" x14ac:dyDescent="0.25">
      <c r="A1251" s="97"/>
      <c r="B1251" s="103" t="s">
        <v>3225</v>
      </c>
      <c r="C1251" s="99"/>
      <c r="D1251" s="100"/>
      <c r="E1251" s="100"/>
      <c r="F1251" s="100"/>
      <c r="G1251" s="100"/>
      <c r="H1251" s="100"/>
      <c r="I1251" s="100"/>
      <c r="J1251" s="120"/>
      <c r="K1251" s="101"/>
      <c r="L1251" s="101"/>
      <c r="M1251" s="101"/>
      <c r="N1251" s="101"/>
    </row>
    <row r="1252" spans="1:14" x14ac:dyDescent="0.25">
      <c r="A1252" s="97"/>
      <c r="B1252" s="102" t="s">
        <v>3226</v>
      </c>
      <c r="C1252" s="99"/>
      <c r="D1252" s="100"/>
      <c r="E1252" s="100"/>
      <c r="F1252" s="100"/>
      <c r="G1252" s="100"/>
      <c r="H1252" s="100"/>
      <c r="I1252" s="100">
        <v>4.4390000000000001</v>
      </c>
      <c r="J1252" s="120"/>
      <c r="K1252" s="101"/>
      <c r="L1252" s="101"/>
      <c r="M1252" s="101"/>
      <c r="N1252" s="101"/>
    </row>
    <row r="1253" spans="1:14" x14ac:dyDescent="0.25">
      <c r="A1253" s="97"/>
      <c r="B1253" s="102" t="s">
        <v>3227</v>
      </c>
      <c r="C1253" s="99"/>
      <c r="D1253" s="100"/>
      <c r="E1253" s="100"/>
      <c r="F1253" s="100"/>
      <c r="G1253" s="100"/>
      <c r="H1253" s="100"/>
      <c r="I1253" s="100">
        <v>19.074000000000002</v>
      </c>
      <c r="J1253" s="120"/>
      <c r="K1253" s="101"/>
      <c r="L1253" s="101"/>
      <c r="M1253" s="101"/>
      <c r="N1253" s="101"/>
    </row>
    <row r="1254" spans="1:14" x14ac:dyDescent="0.25">
      <c r="A1254" s="97"/>
      <c r="B1254" s="102" t="s">
        <v>3211</v>
      </c>
      <c r="C1254" s="99"/>
      <c r="D1254" s="100"/>
      <c r="E1254" s="100"/>
      <c r="F1254" s="100"/>
      <c r="G1254" s="100"/>
      <c r="H1254" s="100"/>
      <c r="I1254" s="100">
        <v>8.7449999999999992</v>
      </c>
      <c r="J1254" s="120"/>
      <c r="K1254" s="101"/>
      <c r="L1254" s="101"/>
      <c r="M1254" s="101"/>
      <c r="N1254" s="101"/>
    </row>
    <row r="1255" spans="1:14" x14ac:dyDescent="0.25">
      <c r="A1255" s="97"/>
      <c r="B1255" s="102" t="s">
        <v>3228</v>
      </c>
      <c r="C1255" s="99"/>
      <c r="D1255" s="100"/>
      <c r="E1255" s="100"/>
      <c r="F1255" s="100"/>
      <c r="G1255" s="100"/>
      <c r="H1255" s="100"/>
      <c r="I1255" s="100">
        <v>15.461</v>
      </c>
      <c r="J1255" s="120"/>
      <c r="K1255" s="101"/>
      <c r="L1255" s="101"/>
      <c r="M1255" s="101"/>
      <c r="N1255" s="101"/>
    </row>
    <row r="1256" spans="1:14" x14ac:dyDescent="0.25">
      <c r="A1256" s="97"/>
      <c r="B1256" s="102" t="s">
        <v>3229</v>
      </c>
      <c r="C1256" s="99"/>
      <c r="D1256" s="100"/>
      <c r="E1256" s="100"/>
      <c r="F1256" s="100"/>
      <c r="G1256" s="100"/>
      <c r="H1256" s="100"/>
      <c r="I1256" s="100">
        <v>27.902000000000001</v>
      </c>
      <c r="J1256" s="120"/>
      <c r="K1256" s="101"/>
      <c r="L1256" s="101"/>
      <c r="M1256" s="101"/>
      <c r="N1256" s="101"/>
    </row>
    <row r="1257" spans="1:14" x14ac:dyDescent="0.25">
      <c r="A1257" s="97"/>
      <c r="B1257" s="103" t="s">
        <v>3213</v>
      </c>
      <c r="C1257" s="99"/>
      <c r="D1257" s="100"/>
      <c r="E1257" s="100"/>
      <c r="F1257" s="100"/>
      <c r="G1257" s="100"/>
      <c r="H1257" s="100"/>
      <c r="I1257" s="100"/>
      <c r="J1257" s="120"/>
      <c r="K1257" s="101"/>
      <c r="L1257" s="101"/>
      <c r="M1257" s="101"/>
      <c r="N1257" s="101"/>
    </row>
    <row r="1258" spans="1:14" x14ac:dyDescent="0.25">
      <c r="A1258" s="97"/>
      <c r="B1258" s="102" t="s">
        <v>3230</v>
      </c>
      <c r="C1258" s="99"/>
      <c r="D1258" s="100"/>
      <c r="E1258" s="100"/>
      <c r="F1258" s="100"/>
      <c r="G1258" s="100"/>
      <c r="H1258" s="100"/>
      <c r="I1258" s="100">
        <v>11.286</v>
      </c>
      <c r="J1258" s="120"/>
      <c r="K1258" s="101"/>
      <c r="L1258" s="101"/>
      <c r="M1258" s="101"/>
      <c r="N1258" s="101"/>
    </row>
    <row r="1259" spans="1:14" x14ac:dyDescent="0.25">
      <c r="A1259" s="97"/>
      <c r="B1259" s="102" t="s">
        <v>3231</v>
      </c>
      <c r="C1259" s="99"/>
      <c r="D1259" s="100"/>
      <c r="E1259" s="100"/>
      <c r="F1259" s="100"/>
      <c r="G1259" s="100"/>
      <c r="H1259" s="100"/>
      <c r="I1259" s="100">
        <v>17.061</v>
      </c>
      <c r="J1259" s="120"/>
      <c r="K1259" s="101"/>
      <c r="L1259" s="101"/>
      <c r="M1259" s="101"/>
      <c r="N1259" s="101"/>
    </row>
    <row r="1260" spans="1:14" x14ac:dyDescent="0.25">
      <c r="A1260" s="97"/>
      <c r="B1260" s="102" t="s">
        <v>3232</v>
      </c>
      <c r="C1260" s="99"/>
      <c r="D1260" s="100"/>
      <c r="E1260" s="100"/>
      <c r="F1260" s="100"/>
      <c r="G1260" s="100"/>
      <c r="H1260" s="100"/>
      <c r="I1260" s="100">
        <v>-1.35</v>
      </c>
      <c r="J1260" s="120"/>
      <c r="K1260" s="101"/>
      <c r="L1260" s="101"/>
      <c r="M1260" s="101"/>
      <c r="N1260" s="101"/>
    </row>
    <row r="1261" spans="1:14" x14ac:dyDescent="0.25">
      <c r="A1261" s="97"/>
      <c r="B1261" s="103" t="s">
        <v>3217</v>
      </c>
      <c r="C1261" s="99"/>
      <c r="D1261" s="100"/>
      <c r="E1261" s="100"/>
      <c r="F1261" s="100"/>
      <c r="G1261" s="100"/>
      <c r="H1261" s="100"/>
      <c r="I1261" s="100"/>
      <c r="J1261" s="120"/>
      <c r="K1261" s="101"/>
      <c r="L1261" s="101"/>
      <c r="M1261" s="101"/>
      <c r="N1261" s="101"/>
    </row>
    <row r="1262" spans="1:14" x14ac:dyDescent="0.25">
      <c r="A1262" s="97"/>
      <c r="B1262" s="102" t="s">
        <v>3233</v>
      </c>
      <c r="C1262" s="99"/>
      <c r="D1262" s="100"/>
      <c r="E1262" s="100"/>
      <c r="F1262" s="100"/>
      <c r="G1262" s="100"/>
      <c r="H1262" s="100"/>
      <c r="I1262" s="100">
        <v>3.4089999999999998</v>
      </c>
      <c r="J1262" s="120"/>
      <c r="K1262" s="101"/>
      <c r="L1262" s="101"/>
      <c r="M1262" s="101"/>
      <c r="N1262" s="101"/>
    </row>
    <row r="1263" spans="1:14" x14ac:dyDescent="0.25">
      <c r="A1263" s="97"/>
      <c r="B1263" s="102" t="s">
        <v>3234</v>
      </c>
      <c r="C1263" s="99"/>
      <c r="D1263" s="100"/>
      <c r="E1263" s="100"/>
      <c r="F1263" s="100"/>
      <c r="G1263" s="100"/>
      <c r="H1263" s="100"/>
      <c r="I1263" s="100">
        <v>4.8959999999999999</v>
      </c>
      <c r="J1263" s="120"/>
      <c r="K1263" s="101"/>
      <c r="L1263" s="101"/>
      <c r="M1263" s="101"/>
      <c r="N1263" s="101"/>
    </row>
    <row r="1264" spans="1:14" x14ac:dyDescent="0.25">
      <c r="A1264" s="97"/>
      <c r="B1264" s="102" t="s">
        <v>3235</v>
      </c>
      <c r="C1264" s="99"/>
      <c r="D1264" s="100"/>
      <c r="E1264" s="100"/>
      <c r="F1264" s="100"/>
      <c r="G1264" s="100"/>
      <c r="H1264" s="100"/>
      <c r="I1264" s="100">
        <v>7.2759999999999998</v>
      </c>
      <c r="J1264" s="120"/>
      <c r="K1264" s="101"/>
      <c r="L1264" s="101"/>
      <c r="M1264" s="101"/>
      <c r="N1264" s="101"/>
    </row>
    <row r="1265" spans="1:14" x14ac:dyDescent="0.25">
      <c r="A1265" s="97"/>
      <c r="B1265" s="103" t="s">
        <v>3221</v>
      </c>
      <c r="C1265" s="99"/>
      <c r="D1265" s="100"/>
      <c r="E1265" s="100"/>
      <c r="F1265" s="100"/>
      <c r="G1265" s="100"/>
      <c r="H1265" s="100"/>
      <c r="I1265" s="100"/>
      <c r="J1265" s="120"/>
      <c r="K1265" s="101"/>
      <c r="L1265" s="101"/>
      <c r="M1265" s="101"/>
      <c r="N1265" s="101"/>
    </row>
    <row r="1266" spans="1:14" x14ac:dyDescent="0.25">
      <c r="A1266" s="97"/>
      <c r="B1266" s="102" t="s">
        <v>3236</v>
      </c>
      <c r="C1266" s="99"/>
      <c r="D1266" s="100"/>
      <c r="E1266" s="100"/>
      <c r="F1266" s="100"/>
      <c r="G1266" s="100"/>
      <c r="H1266" s="100"/>
      <c r="I1266" s="100">
        <v>0.752</v>
      </c>
      <c r="J1266" s="120"/>
      <c r="K1266" s="101"/>
      <c r="L1266" s="101"/>
      <c r="M1266" s="101"/>
      <c r="N1266" s="101"/>
    </row>
    <row r="1267" spans="1:14" x14ac:dyDescent="0.25">
      <c r="A1267" s="97"/>
      <c r="B1267" s="102" t="s">
        <v>3237</v>
      </c>
      <c r="C1267" s="99"/>
      <c r="D1267" s="100"/>
      <c r="E1267" s="100"/>
      <c r="F1267" s="100"/>
      <c r="G1267" s="100"/>
      <c r="H1267" s="100"/>
      <c r="I1267" s="100">
        <v>0.82199999999999995</v>
      </c>
      <c r="J1267" s="120"/>
      <c r="K1267" s="101"/>
      <c r="L1267" s="101"/>
      <c r="M1267" s="101"/>
      <c r="N1267" s="101"/>
    </row>
    <row r="1268" spans="1:14" x14ac:dyDescent="0.25">
      <c r="A1268" s="97"/>
      <c r="B1268" s="102" t="s">
        <v>3238</v>
      </c>
      <c r="C1268" s="99"/>
      <c r="D1268" s="100"/>
      <c r="E1268" s="100"/>
      <c r="F1268" s="100"/>
      <c r="G1268" s="100"/>
      <c r="H1268" s="100"/>
      <c r="I1268" s="100">
        <v>1.083</v>
      </c>
      <c r="J1268" s="120"/>
      <c r="K1268" s="101"/>
      <c r="L1268" s="101"/>
      <c r="M1268" s="101"/>
      <c r="N1268" s="101"/>
    </row>
    <row r="1269" spans="1:14" x14ac:dyDescent="0.25">
      <c r="A1269" s="97">
        <v>9</v>
      </c>
      <c r="B1269" s="98" t="s">
        <v>2180</v>
      </c>
      <c r="C1269" s="99" t="s">
        <v>61</v>
      </c>
      <c r="D1269" s="100"/>
      <c r="E1269" s="100"/>
      <c r="F1269" s="100"/>
      <c r="G1269" s="100"/>
      <c r="H1269" s="100"/>
      <c r="I1269" s="100">
        <f>SUM(I1270:I1299)</f>
        <v>14.643000000000001</v>
      </c>
      <c r="J1269" s="120" t="e">
        <f>PL03a!#REF!</f>
        <v>#REF!</v>
      </c>
      <c r="K1269" s="84">
        <f t="shared" ref="K1269" si="101">I1269</f>
        <v>14.643000000000001</v>
      </c>
      <c r="L1269" s="85"/>
      <c r="M1269" s="84">
        <f>K1269</f>
        <v>14.643000000000001</v>
      </c>
      <c r="N1269" s="86">
        <f>L1269+M1269</f>
        <v>14.643000000000001</v>
      </c>
    </row>
    <row r="1270" spans="1:14" x14ac:dyDescent="0.25">
      <c r="A1270" s="97"/>
      <c r="B1270" s="103" t="s">
        <v>3172</v>
      </c>
      <c r="C1270" s="99"/>
      <c r="D1270" s="100"/>
      <c r="E1270" s="100"/>
      <c r="F1270" s="100"/>
      <c r="G1270" s="100"/>
      <c r="H1270" s="100"/>
      <c r="I1270" s="100"/>
      <c r="J1270" s="120"/>
      <c r="K1270" s="101"/>
      <c r="L1270" s="101"/>
      <c r="M1270" s="101"/>
      <c r="N1270" s="101"/>
    </row>
    <row r="1271" spans="1:14" x14ac:dyDescent="0.25">
      <c r="A1271" s="97"/>
      <c r="B1271" s="103" t="s">
        <v>3207</v>
      </c>
      <c r="C1271" s="99"/>
      <c r="D1271" s="100"/>
      <c r="E1271" s="100"/>
      <c r="F1271" s="100"/>
      <c r="G1271" s="100"/>
      <c r="H1271" s="100"/>
      <c r="I1271" s="100"/>
      <c r="J1271" s="120"/>
      <c r="K1271" s="101"/>
      <c r="L1271" s="101"/>
      <c r="M1271" s="101"/>
      <c r="N1271" s="101"/>
    </row>
    <row r="1272" spans="1:14" x14ac:dyDescent="0.25">
      <c r="A1272" s="97"/>
      <c r="B1272" s="102" t="s">
        <v>3239</v>
      </c>
      <c r="C1272" s="99"/>
      <c r="D1272" s="100"/>
      <c r="E1272" s="100"/>
      <c r="F1272" s="100"/>
      <c r="G1272" s="100"/>
      <c r="H1272" s="100"/>
      <c r="I1272" s="100">
        <v>0.26800000000000002</v>
      </c>
      <c r="J1272" s="120"/>
      <c r="K1272" s="101"/>
      <c r="L1272" s="101"/>
      <c r="M1272" s="101"/>
      <c r="N1272" s="101"/>
    </row>
    <row r="1273" spans="1:14" x14ac:dyDescent="0.25">
      <c r="A1273" s="97"/>
      <c r="B1273" s="102" t="s">
        <v>3240</v>
      </c>
      <c r="C1273" s="99"/>
      <c r="D1273" s="100"/>
      <c r="E1273" s="100"/>
      <c r="F1273" s="100"/>
      <c r="G1273" s="100"/>
      <c r="H1273" s="100"/>
      <c r="I1273" s="100">
        <v>2.0649999999999999</v>
      </c>
      <c r="J1273" s="120"/>
      <c r="K1273" s="101"/>
      <c r="L1273" s="101"/>
      <c r="M1273" s="101"/>
      <c r="N1273" s="101"/>
    </row>
    <row r="1274" spans="1:14" x14ac:dyDescent="0.25">
      <c r="A1274" s="97"/>
      <c r="B1274" s="102" t="s">
        <v>3241</v>
      </c>
      <c r="C1274" s="99"/>
      <c r="D1274" s="100"/>
      <c r="E1274" s="100"/>
      <c r="F1274" s="100"/>
      <c r="G1274" s="100"/>
      <c r="H1274" s="100"/>
      <c r="I1274" s="100">
        <v>1.548</v>
      </c>
      <c r="J1274" s="120"/>
      <c r="K1274" s="101"/>
      <c r="L1274" s="101"/>
      <c r="M1274" s="101"/>
      <c r="N1274" s="101"/>
    </row>
    <row r="1275" spans="1:14" x14ac:dyDescent="0.25">
      <c r="A1275" s="97"/>
      <c r="B1275" s="102" t="s">
        <v>3242</v>
      </c>
      <c r="C1275" s="99"/>
      <c r="D1275" s="100"/>
      <c r="E1275" s="100"/>
      <c r="F1275" s="100"/>
      <c r="G1275" s="100"/>
      <c r="H1275" s="100"/>
      <c r="I1275" s="100">
        <v>0.58299999999999996</v>
      </c>
      <c r="J1275" s="120"/>
      <c r="K1275" s="101"/>
      <c r="L1275" s="101"/>
      <c r="M1275" s="101"/>
      <c r="N1275" s="101"/>
    </row>
    <row r="1276" spans="1:14" x14ac:dyDescent="0.25">
      <c r="A1276" s="97"/>
      <c r="B1276" s="102" t="s">
        <v>3243</v>
      </c>
      <c r="C1276" s="99"/>
      <c r="D1276" s="100"/>
      <c r="E1276" s="100"/>
      <c r="F1276" s="100"/>
      <c r="G1276" s="100"/>
      <c r="H1276" s="100"/>
      <c r="I1276" s="100">
        <v>0.53900000000000003</v>
      </c>
      <c r="J1276" s="120"/>
      <c r="K1276" s="101"/>
      <c r="L1276" s="101"/>
      <c r="M1276" s="101"/>
      <c r="N1276" s="101"/>
    </row>
    <row r="1277" spans="1:14" x14ac:dyDescent="0.25">
      <c r="A1277" s="97"/>
      <c r="B1277" s="103" t="s">
        <v>3213</v>
      </c>
      <c r="C1277" s="99"/>
      <c r="D1277" s="100"/>
      <c r="E1277" s="100"/>
      <c r="F1277" s="100"/>
      <c r="G1277" s="100"/>
      <c r="H1277" s="100"/>
      <c r="I1277" s="100"/>
      <c r="J1277" s="120"/>
      <c r="K1277" s="101"/>
      <c r="L1277" s="101"/>
      <c r="M1277" s="101"/>
      <c r="N1277" s="101"/>
    </row>
    <row r="1278" spans="1:14" x14ac:dyDescent="0.25">
      <c r="A1278" s="97"/>
      <c r="B1278" s="102" t="s">
        <v>3244</v>
      </c>
      <c r="C1278" s="99"/>
      <c r="D1278" s="100"/>
      <c r="E1278" s="100"/>
      <c r="F1278" s="100"/>
      <c r="G1278" s="100"/>
      <c r="H1278" s="100"/>
      <c r="I1278" s="100">
        <v>0.46200000000000002</v>
      </c>
      <c r="J1278" s="120"/>
      <c r="K1278" s="101"/>
      <c r="L1278" s="101"/>
      <c r="M1278" s="101"/>
      <c r="N1278" s="101"/>
    </row>
    <row r="1279" spans="1:14" x14ac:dyDescent="0.25">
      <c r="A1279" s="97"/>
      <c r="B1279" s="102" t="s">
        <v>3245</v>
      </c>
      <c r="C1279" s="99"/>
      <c r="D1279" s="100"/>
      <c r="E1279" s="100"/>
      <c r="F1279" s="100"/>
      <c r="G1279" s="100"/>
      <c r="H1279" s="100"/>
      <c r="I1279" s="100">
        <v>0.75600000000000001</v>
      </c>
      <c r="J1279" s="120"/>
      <c r="K1279" s="101"/>
      <c r="L1279" s="101"/>
      <c r="M1279" s="101"/>
      <c r="N1279" s="101"/>
    </row>
    <row r="1280" spans="1:14" x14ac:dyDescent="0.25">
      <c r="A1280" s="97"/>
      <c r="B1280" s="102" t="s">
        <v>3246</v>
      </c>
      <c r="C1280" s="99"/>
      <c r="D1280" s="100"/>
      <c r="E1280" s="100"/>
      <c r="F1280" s="100"/>
      <c r="G1280" s="100"/>
      <c r="H1280" s="100"/>
      <c r="I1280" s="100">
        <v>-4.4999999999999998E-2</v>
      </c>
      <c r="J1280" s="120"/>
      <c r="K1280" s="101"/>
      <c r="L1280" s="101"/>
      <c r="M1280" s="101"/>
      <c r="N1280" s="101"/>
    </row>
    <row r="1281" spans="1:14" x14ac:dyDescent="0.25">
      <c r="A1281" s="97"/>
      <c r="B1281" s="103" t="s">
        <v>3217</v>
      </c>
      <c r="C1281" s="99"/>
      <c r="D1281" s="100"/>
      <c r="E1281" s="100"/>
      <c r="F1281" s="100"/>
      <c r="G1281" s="100"/>
      <c r="H1281" s="100"/>
      <c r="I1281" s="100"/>
      <c r="J1281" s="120"/>
      <c r="K1281" s="101"/>
      <c r="L1281" s="101"/>
      <c r="M1281" s="101"/>
      <c r="N1281" s="101"/>
    </row>
    <row r="1282" spans="1:14" x14ac:dyDescent="0.25">
      <c r="A1282" s="97"/>
      <c r="B1282" s="102" t="s">
        <v>3247</v>
      </c>
      <c r="C1282" s="99"/>
      <c r="D1282" s="100"/>
      <c r="E1282" s="100"/>
      <c r="F1282" s="100"/>
      <c r="G1282" s="100"/>
      <c r="H1282" s="100"/>
      <c r="I1282" s="100">
        <v>0.20899999999999999</v>
      </c>
      <c r="J1282" s="120"/>
      <c r="K1282" s="101"/>
      <c r="L1282" s="101"/>
      <c r="M1282" s="101"/>
      <c r="N1282" s="101"/>
    </row>
    <row r="1283" spans="1:14" x14ac:dyDescent="0.25">
      <c r="A1283" s="97"/>
      <c r="B1283" s="102" t="s">
        <v>3248</v>
      </c>
      <c r="C1283" s="99"/>
      <c r="D1283" s="100"/>
      <c r="E1283" s="100"/>
      <c r="F1283" s="100"/>
      <c r="G1283" s="100"/>
      <c r="H1283" s="100"/>
      <c r="I1283" s="100">
        <v>0.34799999999999998</v>
      </c>
      <c r="J1283" s="120"/>
      <c r="K1283" s="101"/>
      <c r="L1283" s="101"/>
      <c r="M1283" s="101"/>
      <c r="N1283" s="101"/>
    </row>
    <row r="1284" spans="1:14" x14ac:dyDescent="0.25">
      <c r="A1284" s="97"/>
      <c r="B1284" s="102" t="s">
        <v>3249</v>
      </c>
      <c r="C1284" s="99"/>
      <c r="D1284" s="100"/>
      <c r="E1284" s="100"/>
      <c r="F1284" s="100"/>
      <c r="G1284" s="100"/>
      <c r="H1284" s="100"/>
      <c r="I1284" s="100">
        <v>0.245</v>
      </c>
      <c r="J1284" s="120"/>
      <c r="K1284" s="101"/>
      <c r="L1284" s="101"/>
      <c r="M1284" s="101"/>
      <c r="N1284" s="101"/>
    </row>
    <row r="1285" spans="1:14" x14ac:dyDescent="0.25">
      <c r="A1285" s="97"/>
      <c r="B1285" s="103" t="s">
        <v>3175</v>
      </c>
      <c r="C1285" s="99"/>
      <c r="D1285" s="100"/>
      <c r="E1285" s="100"/>
      <c r="F1285" s="100"/>
      <c r="G1285" s="100"/>
      <c r="H1285" s="100"/>
      <c r="I1285" s="100"/>
      <c r="J1285" s="120"/>
      <c r="K1285" s="101"/>
      <c r="L1285" s="101"/>
      <c r="M1285" s="101"/>
      <c r="N1285" s="101"/>
    </row>
    <row r="1286" spans="1:14" x14ac:dyDescent="0.25">
      <c r="A1286" s="97"/>
      <c r="B1286" s="103" t="s">
        <v>3225</v>
      </c>
      <c r="C1286" s="99"/>
      <c r="D1286" s="100"/>
      <c r="E1286" s="100"/>
      <c r="F1286" s="100"/>
      <c r="G1286" s="100"/>
      <c r="H1286" s="100"/>
      <c r="I1286" s="100"/>
      <c r="J1286" s="120"/>
      <c r="K1286" s="101"/>
      <c r="L1286" s="101"/>
      <c r="M1286" s="101"/>
      <c r="N1286" s="101"/>
    </row>
    <row r="1287" spans="1:14" x14ac:dyDescent="0.25">
      <c r="A1287" s="97"/>
      <c r="B1287" s="102" t="s">
        <v>3250</v>
      </c>
      <c r="C1287" s="99"/>
      <c r="D1287" s="100"/>
      <c r="E1287" s="100"/>
      <c r="F1287" s="100"/>
      <c r="G1287" s="100"/>
      <c r="H1287" s="100"/>
      <c r="I1287" s="100">
        <v>0.29599999999999999</v>
      </c>
      <c r="J1287" s="120"/>
      <c r="K1287" s="101"/>
      <c r="L1287" s="101"/>
      <c r="M1287" s="101"/>
      <c r="N1287" s="101"/>
    </row>
    <row r="1288" spans="1:14" x14ac:dyDescent="0.25">
      <c r="A1288" s="97"/>
      <c r="B1288" s="102" t="s">
        <v>3251</v>
      </c>
      <c r="C1288" s="99"/>
      <c r="D1288" s="100"/>
      <c r="E1288" s="100"/>
      <c r="F1288" s="100"/>
      <c r="G1288" s="100"/>
      <c r="H1288" s="100"/>
      <c r="I1288" s="100">
        <v>1.272</v>
      </c>
      <c r="J1288" s="120"/>
      <c r="K1288" s="101"/>
      <c r="L1288" s="101"/>
      <c r="M1288" s="101"/>
      <c r="N1288" s="101"/>
    </row>
    <row r="1289" spans="1:14" x14ac:dyDescent="0.25">
      <c r="A1289" s="97"/>
      <c r="B1289" s="102" t="s">
        <v>3242</v>
      </c>
      <c r="C1289" s="99"/>
      <c r="D1289" s="100"/>
      <c r="E1289" s="100"/>
      <c r="F1289" s="100"/>
      <c r="G1289" s="100"/>
      <c r="H1289" s="100"/>
      <c r="I1289" s="100">
        <v>0.58299999999999996</v>
      </c>
      <c r="J1289" s="120"/>
      <c r="K1289" s="101"/>
      <c r="L1289" s="101"/>
      <c r="M1289" s="101"/>
      <c r="N1289" s="101"/>
    </row>
    <row r="1290" spans="1:14" x14ac:dyDescent="0.25">
      <c r="A1290" s="97"/>
      <c r="B1290" s="102" t="s">
        <v>3252</v>
      </c>
      <c r="C1290" s="99"/>
      <c r="D1290" s="100"/>
      <c r="E1290" s="100"/>
      <c r="F1290" s="100"/>
      <c r="G1290" s="100"/>
      <c r="H1290" s="100"/>
      <c r="I1290" s="100">
        <v>1.0309999999999999</v>
      </c>
      <c r="J1290" s="120"/>
      <c r="K1290" s="101"/>
      <c r="L1290" s="101"/>
      <c r="M1290" s="101"/>
      <c r="N1290" s="101"/>
    </row>
    <row r="1291" spans="1:14" x14ac:dyDescent="0.25">
      <c r="A1291" s="97"/>
      <c r="B1291" s="102" t="s">
        <v>3253</v>
      </c>
      <c r="C1291" s="99"/>
      <c r="D1291" s="100"/>
      <c r="E1291" s="100"/>
      <c r="F1291" s="100"/>
      <c r="G1291" s="100"/>
      <c r="H1291" s="100"/>
      <c r="I1291" s="100">
        <v>1.86</v>
      </c>
      <c r="J1291" s="120"/>
      <c r="K1291" s="101"/>
      <c r="L1291" s="101"/>
      <c r="M1291" s="101"/>
      <c r="N1291" s="101"/>
    </row>
    <row r="1292" spans="1:14" x14ac:dyDescent="0.25">
      <c r="A1292" s="97"/>
      <c r="B1292" s="103" t="s">
        <v>3213</v>
      </c>
      <c r="C1292" s="99"/>
      <c r="D1292" s="100"/>
      <c r="E1292" s="100"/>
      <c r="F1292" s="100"/>
      <c r="G1292" s="100"/>
      <c r="H1292" s="100"/>
      <c r="I1292" s="100"/>
      <c r="J1292" s="120"/>
      <c r="K1292" s="101"/>
      <c r="L1292" s="101"/>
      <c r="M1292" s="101"/>
      <c r="N1292" s="101"/>
    </row>
    <row r="1293" spans="1:14" x14ac:dyDescent="0.25">
      <c r="A1293" s="97"/>
      <c r="B1293" s="102" t="s">
        <v>3254</v>
      </c>
      <c r="C1293" s="99"/>
      <c r="D1293" s="100"/>
      <c r="E1293" s="100"/>
      <c r="F1293" s="100"/>
      <c r="G1293" s="100"/>
      <c r="H1293" s="100"/>
      <c r="I1293" s="100">
        <v>0.752</v>
      </c>
      <c r="J1293" s="120"/>
      <c r="K1293" s="101"/>
      <c r="L1293" s="101"/>
      <c r="M1293" s="101"/>
      <c r="N1293" s="101"/>
    </row>
    <row r="1294" spans="1:14" x14ac:dyDescent="0.25">
      <c r="A1294" s="97"/>
      <c r="B1294" s="102" t="s">
        <v>3255</v>
      </c>
      <c r="C1294" s="99"/>
      <c r="D1294" s="100"/>
      <c r="E1294" s="100"/>
      <c r="F1294" s="100"/>
      <c r="G1294" s="100"/>
      <c r="H1294" s="100"/>
      <c r="I1294" s="100">
        <v>1.137</v>
      </c>
      <c r="J1294" s="120"/>
      <c r="K1294" s="101"/>
      <c r="L1294" s="101"/>
      <c r="M1294" s="101"/>
      <c r="N1294" s="101"/>
    </row>
    <row r="1295" spans="1:14" x14ac:dyDescent="0.25">
      <c r="A1295" s="97"/>
      <c r="B1295" s="102" t="s">
        <v>3246</v>
      </c>
      <c r="C1295" s="99"/>
      <c r="D1295" s="100"/>
      <c r="E1295" s="100"/>
      <c r="F1295" s="100"/>
      <c r="G1295" s="100"/>
      <c r="H1295" s="100"/>
      <c r="I1295" s="100">
        <v>-4.4999999999999998E-2</v>
      </c>
      <c r="J1295" s="120"/>
      <c r="K1295" s="101"/>
      <c r="L1295" s="101"/>
      <c r="M1295" s="101"/>
      <c r="N1295" s="101"/>
    </row>
    <row r="1296" spans="1:14" x14ac:dyDescent="0.25">
      <c r="A1296" s="97"/>
      <c r="B1296" s="103" t="s">
        <v>3217</v>
      </c>
      <c r="C1296" s="99"/>
      <c r="D1296" s="100"/>
      <c r="E1296" s="100"/>
      <c r="F1296" s="100"/>
      <c r="G1296" s="100"/>
      <c r="H1296" s="100"/>
      <c r="I1296" s="100"/>
      <c r="J1296" s="120"/>
      <c r="K1296" s="101"/>
      <c r="L1296" s="101"/>
      <c r="M1296" s="101"/>
      <c r="N1296" s="101"/>
    </row>
    <row r="1297" spans="1:14" x14ac:dyDescent="0.25">
      <c r="A1297" s="97"/>
      <c r="B1297" s="102" t="s">
        <v>3256</v>
      </c>
      <c r="C1297" s="99"/>
      <c r="D1297" s="100"/>
      <c r="E1297" s="100"/>
      <c r="F1297" s="100"/>
      <c r="G1297" s="100"/>
      <c r="H1297" s="100"/>
      <c r="I1297" s="100">
        <v>0.17</v>
      </c>
      <c r="J1297" s="120"/>
      <c r="K1297" s="101"/>
      <c r="L1297" s="101"/>
      <c r="M1297" s="101"/>
      <c r="N1297" s="101"/>
    </row>
    <row r="1298" spans="1:14" x14ac:dyDescent="0.25">
      <c r="A1298" s="97"/>
      <c r="B1298" s="102" t="s">
        <v>3257</v>
      </c>
      <c r="C1298" s="99"/>
      <c r="D1298" s="100"/>
      <c r="E1298" s="100"/>
      <c r="F1298" s="100"/>
      <c r="G1298" s="100"/>
      <c r="H1298" s="100"/>
      <c r="I1298" s="100">
        <v>0.245</v>
      </c>
      <c r="J1298" s="120"/>
      <c r="K1298" s="101"/>
      <c r="L1298" s="101"/>
      <c r="M1298" s="101"/>
      <c r="N1298" s="101"/>
    </row>
    <row r="1299" spans="1:14" x14ac:dyDescent="0.25">
      <c r="A1299" s="97"/>
      <c r="B1299" s="102" t="s">
        <v>3258</v>
      </c>
      <c r="C1299" s="99"/>
      <c r="D1299" s="100"/>
      <c r="E1299" s="100"/>
      <c r="F1299" s="100"/>
      <c r="G1299" s="100"/>
      <c r="H1299" s="100"/>
      <c r="I1299" s="100">
        <v>0.36399999999999999</v>
      </c>
      <c r="J1299" s="120"/>
      <c r="K1299" s="101"/>
      <c r="L1299" s="101"/>
      <c r="M1299" s="101"/>
      <c r="N1299" s="101"/>
    </row>
    <row r="1300" spans="1:14" x14ac:dyDescent="0.25">
      <c r="A1300" s="104">
        <v>10</v>
      </c>
      <c r="B1300" s="105" t="s">
        <v>164</v>
      </c>
      <c r="C1300" s="106" t="s">
        <v>6</v>
      </c>
      <c r="D1300" s="107"/>
      <c r="E1300" s="107"/>
      <c r="F1300" s="107"/>
      <c r="G1300" s="107"/>
      <c r="H1300" s="107"/>
      <c r="I1300" s="107">
        <f>SUM(I1301:I1306)</f>
        <v>239.12</v>
      </c>
      <c r="J1300" s="121" t="e">
        <f>PL03a!#REF!</f>
        <v>#REF!</v>
      </c>
      <c r="K1300" s="84">
        <f t="shared" ref="K1300" si="102">I1300</f>
        <v>239.12</v>
      </c>
      <c r="L1300" s="85"/>
      <c r="M1300" s="84">
        <f>K1300</f>
        <v>239.12</v>
      </c>
      <c r="N1300" s="86">
        <f>L1300+M1300</f>
        <v>239.12</v>
      </c>
    </row>
    <row r="1301" spans="1:14" x14ac:dyDescent="0.25">
      <c r="A1301" s="97"/>
      <c r="B1301" s="103" t="s">
        <v>3259</v>
      </c>
      <c r="C1301" s="99"/>
      <c r="D1301" s="100"/>
      <c r="E1301" s="100"/>
      <c r="F1301" s="100"/>
      <c r="G1301" s="100"/>
      <c r="H1301" s="100"/>
      <c r="I1301" s="100"/>
      <c r="J1301" s="120"/>
      <c r="K1301" s="101"/>
      <c r="L1301" s="101"/>
      <c r="M1301" s="101"/>
      <c r="N1301" s="101"/>
    </row>
    <row r="1302" spans="1:14" x14ac:dyDescent="0.25">
      <c r="A1302" s="97"/>
      <c r="B1302" s="102" t="s">
        <v>3260</v>
      </c>
      <c r="C1302" s="99"/>
      <c r="D1302" s="100"/>
      <c r="E1302" s="100"/>
      <c r="F1302" s="100"/>
      <c r="G1302" s="100"/>
      <c r="H1302" s="100"/>
      <c r="I1302" s="100">
        <v>90.96</v>
      </c>
      <c r="J1302" s="120"/>
      <c r="K1302" s="101"/>
      <c r="L1302" s="101"/>
      <c r="M1302" s="101"/>
      <c r="N1302" s="101"/>
    </row>
    <row r="1303" spans="1:14" x14ac:dyDescent="0.25">
      <c r="A1303" s="97"/>
      <c r="B1303" s="102" t="s">
        <v>3261</v>
      </c>
      <c r="C1303" s="99"/>
      <c r="D1303" s="100"/>
      <c r="E1303" s="100"/>
      <c r="F1303" s="100"/>
      <c r="G1303" s="100"/>
      <c r="H1303" s="100"/>
      <c r="I1303" s="100">
        <v>22.14</v>
      </c>
      <c r="J1303" s="120"/>
      <c r="K1303" s="101"/>
      <c r="L1303" s="101"/>
      <c r="M1303" s="101"/>
      <c r="N1303" s="101"/>
    </row>
    <row r="1304" spans="1:14" x14ac:dyDescent="0.25">
      <c r="A1304" s="97"/>
      <c r="B1304" s="103" t="s">
        <v>3262</v>
      </c>
      <c r="C1304" s="99"/>
      <c r="D1304" s="100"/>
      <c r="E1304" s="100"/>
      <c r="F1304" s="100"/>
      <c r="G1304" s="100"/>
      <c r="H1304" s="100"/>
      <c r="I1304" s="100"/>
      <c r="J1304" s="120"/>
      <c r="K1304" s="101"/>
      <c r="L1304" s="101"/>
      <c r="M1304" s="101"/>
      <c r="N1304" s="101"/>
    </row>
    <row r="1305" spans="1:14" x14ac:dyDescent="0.25">
      <c r="A1305" s="97"/>
      <c r="B1305" s="102" t="s">
        <v>3263</v>
      </c>
      <c r="C1305" s="99"/>
      <c r="D1305" s="100"/>
      <c r="E1305" s="100"/>
      <c r="F1305" s="100"/>
      <c r="G1305" s="100"/>
      <c r="H1305" s="100"/>
      <c r="I1305" s="100">
        <v>91.66</v>
      </c>
      <c r="J1305" s="120"/>
      <c r="K1305" s="101"/>
      <c r="L1305" s="101"/>
      <c r="M1305" s="101"/>
      <c r="N1305" s="101"/>
    </row>
    <row r="1306" spans="1:14" x14ac:dyDescent="0.25">
      <c r="A1306" s="97"/>
      <c r="B1306" s="102" t="s">
        <v>3264</v>
      </c>
      <c r="C1306" s="99"/>
      <c r="D1306" s="100"/>
      <c r="E1306" s="100"/>
      <c r="F1306" s="100"/>
      <c r="G1306" s="100"/>
      <c r="H1306" s="100"/>
      <c r="I1306" s="100">
        <v>34.36</v>
      </c>
      <c r="J1306" s="120"/>
      <c r="K1306" s="101"/>
      <c r="L1306" s="101"/>
      <c r="M1306" s="101"/>
      <c r="N1306" s="101"/>
    </row>
    <row r="1307" spans="1:14" ht="38.25" x14ac:dyDescent="0.25">
      <c r="A1307" s="97">
        <v>11</v>
      </c>
      <c r="B1307" s="98" t="s">
        <v>2183</v>
      </c>
      <c r="C1307" s="99" t="s">
        <v>37</v>
      </c>
      <c r="D1307" s="100"/>
      <c r="E1307" s="100"/>
      <c r="F1307" s="100"/>
      <c r="G1307" s="100"/>
      <c r="H1307" s="100"/>
      <c r="I1307" s="100">
        <f>SUM(I1308:I1309)</f>
        <v>13.28</v>
      </c>
      <c r="J1307" s="120" t="e">
        <f>PL03a!#REF!</f>
        <v>#REF!</v>
      </c>
      <c r="K1307" s="84">
        <f t="shared" ref="K1307" si="103">I1307</f>
        <v>13.28</v>
      </c>
      <c r="L1307" s="85"/>
      <c r="M1307" s="84">
        <f>K1307</f>
        <v>13.28</v>
      </c>
      <c r="N1307" s="86">
        <f>L1307+M1307</f>
        <v>13.28</v>
      </c>
    </row>
    <row r="1308" spans="1:14" x14ac:dyDescent="0.25">
      <c r="A1308" s="97"/>
      <c r="B1308" s="102" t="s">
        <v>3265</v>
      </c>
      <c r="C1308" s="99"/>
      <c r="D1308" s="100"/>
      <c r="E1308" s="100"/>
      <c r="F1308" s="100"/>
      <c r="G1308" s="100"/>
      <c r="H1308" s="100"/>
      <c r="I1308" s="100">
        <v>1.6870000000000001</v>
      </c>
      <c r="J1308" s="120"/>
      <c r="K1308" s="101"/>
      <c r="L1308" s="101"/>
      <c r="M1308" s="101"/>
      <c r="N1308" s="101"/>
    </row>
    <row r="1309" spans="1:14" x14ac:dyDescent="0.25">
      <c r="A1309" s="97"/>
      <c r="B1309" s="102" t="s">
        <v>3266</v>
      </c>
      <c r="C1309" s="99"/>
      <c r="D1309" s="100"/>
      <c r="E1309" s="100"/>
      <c r="F1309" s="100"/>
      <c r="G1309" s="100"/>
      <c r="H1309" s="100"/>
      <c r="I1309" s="100">
        <v>11.593</v>
      </c>
      <c r="J1309" s="120"/>
      <c r="K1309" s="101"/>
      <c r="L1309" s="101"/>
      <c r="M1309" s="101"/>
      <c r="N1309" s="101"/>
    </row>
    <row r="1310" spans="1:14" x14ac:dyDescent="0.25">
      <c r="A1310" s="97">
        <v>12</v>
      </c>
      <c r="B1310" s="98" t="s">
        <v>1944</v>
      </c>
      <c r="C1310" s="99" t="s">
        <v>61</v>
      </c>
      <c r="D1310" s="100"/>
      <c r="E1310" s="100"/>
      <c r="F1310" s="100"/>
      <c r="G1310" s="100"/>
      <c r="H1310" s="100"/>
      <c r="I1310" s="100">
        <f>SUM(I1311:I1312)</f>
        <v>1.204</v>
      </c>
      <c r="J1310" s="120" t="e">
        <f>PL03a!#REF!</f>
        <v>#REF!</v>
      </c>
      <c r="K1310" s="84">
        <f t="shared" ref="K1310" si="104">I1310</f>
        <v>1.204</v>
      </c>
      <c r="L1310" s="85"/>
      <c r="M1310" s="84">
        <f>K1310</f>
        <v>1.204</v>
      </c>
      <c r="N1310" s="86">
        <f>L1310+M1310</f>
        <v>1.204</v>
      </c>
    </row>
    <row r="1311" spans="1:14" x14ac:dyDescent="0.25">
      <c r="A1311" s="97"/>
      <c r="B1311" s="102" t="s">
        <v>3267</v>
      </c>
      <c r="C1311" s="99"/>
      <c r="D1311" s="100"/>
      <c r="E1311" s="100"/>
      <c r="F1311" s="100"/>
      <c r="G1311" s="100"/>
      <c r="H1311" s="100"/>
      <c r="I1311" s="100">
        <v>0.14099999999999999</v>
      </c>
      <c r="J1311" s="120"/>
      <c r="K1311" s="101"/>
      <c r="L1311" s="101"/>
      <c r="M1311" s="101"/>
      <c r="N1311" s="101"/>
    </row>
    <row r="1312" spans="1:14" x14ac:dyDescent="0.25">
      <c r="A1312" s="97"/>
      <c r="B1312" s="102" t="s">
        <v>3268</v>
      </c>
      <c r="C1312" s="99"/>
      <c r="D1312" s="100"/>
      <c r="E1312" s="100"/>
      <c r="F1312" s="100"/>
      <c r="G1312" s="100"/>
      <c r="H1312" s="100"/>
      <c r="I1312" s="100">
        <v>1.0629999999999999</v>
      </c>
      <c r="J1312" s="120"/>
      <c r="K1312" s="101"/>
      <c r="L1312" s="101"/>
      <c r="M1312" s="101"/>
      <c r="N1312" s="101"/>
    </row>
    <row r="1313" spans="1:14" ht="25.5" x14ac:dyDescent="0.25">
      <c r="A1313" s="97">
        <v>13</v>
      </c>
      <c r="B1313" s="98" t="s">
        <v>2186</v>
      </c>
      <c r="C1313" s="99" t="s">
        <v>32</v>
      </c>
      <c r="D1313" s="100"/>
      <c r="E1313" s="100"/>
      <c r="F1313" s="100"/>
      <c r="G1313" s="100"/>
      <c r="H1313" s="100"/>
      <c r="I1313" s="100">
        <f>I1314</f>
        <v>0.65800000000000003</v>
      </c>
      <c r="J1313" s="120" t="e">
        <f>PL03a!#REF!</f>
        <v>#REF!</v>
      </c>
      <c r="K1313" s="84">
        <f t="shared" ref="K1313" si="105">I1313</f>
        <v>0.65800000000000003</v>
      </c>
      <c r="L1313" s="85"/>
      <c r="M1313" s="84">
        <f>K1313</f>
        <v>0.65800000000000003</v>
      </c>
      <c r="N1313" s="86">
        <f>L1313+M1313</f>
        <v>0.65800000000000003</v>
      </c>
    </row>
    <row r="1314" spans="1:14" x14ac:dyDescent="0.25">
      <c r="A1314" s="97"/>
      <c r="B1314" s="102" t="s">
        <v>3269</v>
      </c>
      <c r="C1314" s="99"/>
      <c r="D1314" s="100"/>
      <c r="E1314" s="100"/>
      <c r="F1314" s="100"/>
      <c r="G1314" s="100"/>
      <c r="H1314" s="100"/>
      <c r="I1314" s="100">
        <v>0.65800000000000003</v>
      </c>
      <c r="J1314" s="120"/>
      <c r="K1314" s="101"/>
      <c r="L1314" s="101"/>
      <c r="M1314" s="101"/>
      <c r="N1314" s="101"/>
    </row>
    <row r="1315" spans="1:14" ht="25.5" x14ac:dyDescent="0.25">
      <c r="A1315" s="97">
        <v>14</v>
      </c>
      <c r="B1315" s="98" t="s">
        <v>2188</v>
      </c>
      <c r="C1315" s="99" t="s">
        <v>32</v>
      </c>
      <c r="D1315" s="100"/>
      <c r="E1315" s="100"/>
      <c r="F1315" s="100"/>
      <c r="G1315" s="100"/>
      <c r="H1315" s="100"/>
      <c r="I1315" s="100">
        <f>I1316</f>
        <v>47.804000000000002</v>
      </c>
      <c r="J1315" s="120" t="e">
        <f>PL03a!#REF!</f>
        <v>#REF!</v>
      </c>
      <c r="K1315" s="84">
        <f t="shared" ref="K1315" si="106">I1315</f>
        <v>47.804000000000002</v>
      </c>
      <c r="L1315" s="85"/>
      <c r="M1315" s="84">
        <f>K1315</f>
        <v>47.804000000000002</v>
      </c>
      <c r="N1315" s="86">
        <f>L1315+M1315</f>
        <v>47.804000000000002</v>
      </c>
    </row>
    <row r="1316" spans="1:14" x14ac:dyDescent="0.25">
      <c r="A1316" s="97"/>
      <c r="B1316" s="102" t="s">
        <v>3270</v>
      </c>
      <c r="C1316" s="99"/>
      <c r="D1316" s="100"/>
      <c r="E1316" s="100"/>
      <c r="F1316" s="100"/>
      <c r="G1316" s="100"/>
      <c r="H1316" s="100"/>
      <c r="I1316" s="100">
        <v>47.804000000000002</v>
      </c>
      <c r="J1316" s="120"/>
      <c r="K1316" s="101"/>
      <c r="L1316" s="101"/>
      <c r="M1316" s="101"/>
      <c r="N1316" s="101"/>
    </row>
    <row r="1317" spans="1:14" x14ac:dyDescent="0.25">
      <c r="A1317" s="97">
        <v>15</v>
      </c>
      <c r="B1317" s="117" t="s">
        <v>2190</v>
      </c>
      <c r="C1317" s="117"/>
      <c r="D1317" s="100"/>
      <c r="E1317" s="100"/>
      <c r="F1317" s="100"/>
      <c r="G1317" s="100"/>
      <c r="H1317" s="100"/>
      <c r="I1317" s="100"/>
      <c r="J1317" s="120"/>
      <c r="K1317" s="101"/>
      <c r="L1317" s="101"/>
      <c r="M1317" s="101"/>
      <c r="N1317" s="101"/>
    </row>
    <row r="1318" spans="1:14" ht="25.5" x14ac:dyDescent="0.25">
      <c r="A1318" s="97">
        <v>15</v>
      </c>
      <c r="B1318" s="98" t="s">
        <v>136</v>
      </c>
      <c r="C1318" s="99" t="s">
        <v>52</v>
      </c>
      <c r="D1318" s="100"/>
      <c r="E1318" s="100"/>
      <c r="F1318" s="100"/>
      <c r="G1318" s="100"/>
      <c r="H1318" s="100"/>
      <c r="I1318" s="100">
        <f>SUM(I1319:I1336)</f>
        <v>910.8660000000001</v>
      </c>
      <c r="J1318" s="120" t="e">
        <f>PL03a!#REF!</f>
        <v>#REF!</v>
      </c>
      <c r="K1318" s="84">
        <f t="shared" ref="K1318" si="107">I1318</f>
        <v>910.8660000000001</v>
      </c>
      <c r="L1318" s="85"/>
      <c r="M1318" s="84">
        <f>K1318</f>
        <v>910.8660000000001</v>
      </c>
      <c r="N1318" s="86">
        <f>L1318+M1318</f>
        <v>910.8660000000001</v>
      </c>
    </row>
    <row r="1319" spans="1:14" x14ac:dyDescent="0.25">
      <c r="A1319" s="97"/>
      <c r="B1319" s="103" t="s">
        <v>3271</v>
      </c>
      <c r="C1319" s="99"/>
      <c r="D1319" s="100"/>
      <c r="E1319" s="100"/>
      <c r="F1319" s="100"/>
      <c r="G1319" s="100"/>
      <c r="H1319" s="100"/>
      <c r="I1319" s="100"/>
      <c r="J1319" s="120"/>
      <c r="K1319" s="101"/>
      <c r="L1319" s="101"/>
      <c r="M1319" s="101"/>
      <c r="N1319" s="101"/>
    </row>
    <row r="1320" spans="1:14" x14ac:dyDescent="0.25">
      <c r="A1320" s="97"/>
      <c r="B1320" s="103" t="s">
        <v>3272</v>
      </c>
      <c r="C1320" s="99"/>
      <c r="D1320" s="100"/>
      <c r="E1320" s="100"/>
      <c r="F1320" s="100"/>
      <c r="G1320" s="100"/>
      <c r="H1320" s="100"/>
      <c r="I1320" s="100"/>
      <c r="J1320" s="120"/>
      <c r="K1320" s="101"/>
      <c r="L1320" s="101"/>
      <c r="M1320" s="101"/>
      <c r="N1320" s="101"/>
    </row>
    <row r="1321" spans="1:14" x14ac:dyDescent="0.25">
      <c r="A1321" s="97"/>
      <c r="B1321" s="102" t="s">
        <v>3273</v>
      </c>
      <c r="C1321" s="99"/>
      <c r="D1321" s="100"/>
      <c r="E1321" s="100"/>
      <c r="F1321" s="100"/>
      <c r="G1321" s="100"/>
      <c r="H1321" s="100"/>
      <c r="I1321" s="100">
        <v>20.866</v>
      </c>
      <c r="J1321" s="120"/>
      <c r="K1321" s="101"/>
      <c r="L1321" s="101"/>
      <c r="M1321" s="101"/>
      <c r="N1321" s="101"/>
    </row>
    <row r="1322" spans="1:14" x14ac:dyDescent="0.25">
      <c r="A1322" s="97"/>
      <c r="B1322" s="102" t="s">
        <v>3274</v>
      </c>
      <c r="C1322" s="99"/>
      <c r="D1322" s="100"/>
      <c r="E1322" s="100"/>
      <c r="F1322" s="100"/>
      <c r="G1322" s="100"/>
      <c r="H1322" s="100"/>
      <c r="I1322" s="100">
        <v>34.786999999999999</v>
      </c>
      <c r="J1322" s="120"/>
      <c r="K1322" s="101"/>
      <c r="L1322" s="101"/>
      <c r="M1322" s="101"/>
      <c r="N1322" s="101"/>
    </row>
    <row r="1323" spans="1:14" x14ac:dyDescent="0.25">
      <c r="A1323" s="97"/>
      <c r="B1323" s="102" t="s">
        <v>3275</v>
      </c>
      <c r="C1323" s="99"/>
      <c r="D1323" s="100"/>
      <c r="E1323" s="100"/>
      <c r="F1323" s="100"/>
      <c r="G1323" s="100"/>
      <c r="H1323" s="100"/>
      <c r="I1323" s="100">
        <v>24.5</v>
      </c>
      <c r="J1323" s="120"/>
      <c r="K1323" s="101"/>
      <c r="L1323" s="101"/>
      <c r="M1323" s="101"/>
      <c r="N1323" s="101"/>
    </row>
    <row r="1324" spans="1:14" x14ac:dyDescent="0.25">
      <c r="A1324" s="97"/>
      <c r="B1324" s="103" t="s">
        <v>3276</v>
      </c>
      <c r="C1324" s="99"/>
      <c r="D1324" s="100"/>
      <c r="E1324" s="100"/>
      <c r="F1324" s="100"/>
      <c r="G1324" s="100"/>
      <c r="H1324" s="100"/>
      <c r="I1324" s="100"/>
      <c r="J1324" s="120"/>
      <c r="K1324" s="101"/>
      <c r="L1324" s="101"/>
      <c r="M1324" s="101"/>
      <c r="N1324" s="101"/>
    </row>
    <row r="1325" spans="1:14" x14ac:dyDescent="0.25">
      <c r="A1325" s="97"/>
      <c r="B1325" s="102" t="s">
        <v>3277</v>
      </c>
      <c r="C1325" s="99"/>
      <c r="D1325" s="100"/>
      <c r="E1325" s="100"/>
      <c r="F1325" s="100"/>
      <c r="G1325" s="100"/>
      <c r="H1325" s="100"/>
      <c r="I1325" s="100">
        <v>105.762</v>
      </c>
      <c r="J1325" s="120"/>
      <c r="K1325" s="101"/>
      <c r="L1325" s="101"/>
      <c r="M1325" s="101"/>
      <c r="N1325" s="101"/>
    </row>
    <row r="1326" spans="1:14" x14ac:dyDescent="0.25">
      <c r="A1326" s="97"/>
      <c r="B1326" s="102" t="s">
        <v>3278</v>
      </c>
      <c r="C1326" s="99"/>
      <c r="D1326" s="100"/>
      <c r="E1326" s="100"/>
      <c r="F1326" s="100"/>
      <c r="G1326" s="100"/>
      <c r="H1326" s="100"/>
      <c r="I1326" s="100">
        <v>129.24100000000001</v>
      </c>
      <c r="J1326" s="120"/>
      <c r="K1326" s="101"/>
      <c r="L1326" s="101"/>
      <c r="M1326" s="101"/>
      <c r="N1326" s="101"/>
    </row>
    <row r="1327" spans="1:14" x14ac:dyDescent="0.25">
      <c r="A1327" s="97"/>
      <c r="B1327" s="102" t="s">
        <v>3279</v>
      </c>
      <c r="C1327" s="99"/>
      <c r="D1327" s="100"/>
      <c r="E1327" s="100"/>
      <c r="F1327" s="100"/>
      <c r="G1327" s="100"/>
      <c r="H1327" s="100"/>
      <c r="I1327" s="100">
        <v>104.94</v>
      </c>
      <c r="J1327" s="120"/>
      <c r="K1327" s="101"/>
      <c r="L1327" s="101"/>
      <c r="M1327" s="101"/>
      <c r="N1327" s="101"/>
    </row>
    <row r="1328" spans="1:14" x14ac:dyDescent="0.25">
      <c r="A1328" s="97"/>
      <c r="B1328" s="103" t="s">
        <v>3280</v>
      </c>
      <c r="C1328" s="99"/>
      <c r="D1328" s="100"/>
      <c r="E1328" s="100"/>
      <c r="F1328" s="100"/>
      <c r="G1328" s="100"/>
      <c r="H1328" s="100"/>
      <c r="I1328" s="100"/>
      <c r="J1328" s="120"/>
      <c r="K1328" s="101"/>
      <c r="L1328" s="101"/>
      <c r="M1328" s="101"/>
      <c r="N1328" s="101"/>
    </row>
    <row r="1329" spans="1:14" x14ac:dyDescent="0.25">
      <c r="A1329" s="97"/>
      <c r="B1329" s="103" t="s">
        <v>3272</v>
      </c>
      <c r="C1329" s="99"/>
      <c r="D1329" s="100"/>
      <c r="E1329" s="100"/>
      <c r="F1329" s="100"/>
      <c r="G1329" s="100"/>
      <c r="H1329" s="100"/>
      <c r="I1329" s="100"/>
      <c r="J1329" s="120"/>
      <c r="K1329" s="101"/>
      <c r="L1329" s="101"/>
      <c r="M1329" s="101"/>
      <c r="N1329" s="101"/>
    </row>
    <row r="1330" spans="1:14" x14ac:dyDescent="0.25">
      <c r="A1330" s="97"/>
      <c r="B1330" s="102" t="s">
        <v>3281</v>
      </c>
      <c r="C1330" s="99"/>
      <c r="D1330" s="100"/>
      <c r="E1330" s="100"/>
      <c r="F1330" s="100"/>
      <c r="G1330" s="100"/>
      <c r="H1330" s="100"/>
      <c r="I1330" s="100">
        <v>17.042999999999999</v>
      </c>
      <c r="J1330" s="120"/>
      <c r="K1330" s="101"/>
      <c r="L1330" s="101"/>
      <c r="M1330" s="101"/>
      <c r="N1330" s="101"/>
    </row>
    <row r="1331" spans="1:14" x14ac:dyDescent="0.25">
      <c r="A1331" s="97"/>
      <c r="B1331" s="102" t="s">
        <v>3282</v>
      </c>
      <c r="C1331" s="99"/>
      <c r="D1331" s="100"/>
      <c r="E1331" s="100"/>
      <c r="F1331" s="100"/>
      <c r="G1331" s="100"/>
      <c r="H1331" s="100"/>
      <c r="I1331" s="100">
        <v>24.478000000000002</v>
      </c>
      <c r="J1331" s="120"/>
      <c r="K1331" s="101"/>
      <c r="L1331" s="101"/>
      <c r="M1331" s="101"/>
      <c r="N1331" s="101"/>
    </row>
    <row r="1332" spans="1:14" x14ac:dyDescent="0.25">
      <c r="A1332" s="97"/>
      <c r="B1332" s="102" t="s">
        <v>3283</v>
      </c>
      <c r="C1332" s="99"/>
      <c r="D1332" s="100"/>
      <c r="E1332" s="100"/>
      <c r="F1332" s="100"/>
      <c r="G1332" s="100"/>
      <c r="H1332" s="100"/>
      <c r="I1332" s="100">
        <v>36.378999999999998</v>
      </c>
      <c r="J1332" s="120"/>
      <c r="K1332" s="101"/>
      <c r="L1332" s="101"/>
      <c r="M1332" s="101"/>
      <c r="N1332" s="101"/>
    </row>
    <row r="1333" spans="1:14" x14ac:dyDescent="0.25">
      <c r="A1333" s="97"/>
      <c r="B1333" s="103" t="s">
        <v>3276</v>
      </c>
      <c r="C1333" s="99"/>
      <c r="D1333" s="100"/>
      <c r="E1333" s="100"/>
      <c r="F1333" s="100"/>
      <c r="G1333" s="100"/>
      <c r="H1333" s="100"/>
      <c r="I1333" s="100"/>
      <c r="J1333" s="120"/>
      <c r="K1333" s="101"/>
      <c r="L1333" s="101"/>
      <c r="M1333" s="101"/>
      <c r="N1333" s="101"/>
    </row>
    <row r="1334" spans="1:14" x14ac:dyDescent="0.25">
      <c r="A1334" s="97"/>
      <c r="B1334" s="102" t="s">
        <v>3284</v>
      </c>
      <c r="C1334" s="99"/>
      <c r="D1334" s="100"/>
      <c r="E1334" s="100"/>
      <c r="F1334" s="100"/>
      <c r="G1334" s="100"/>
      <c r="H1334" s="100"/>
      <c r="I1334" s="100">
        <v>90.328000000000003</v>
      </c>
      <c r="J1334" s="120"/>
      <c r="K1334" s="101"/>
      <c r="L1334" s="101"/>
      <c r="M1334" s="101"/>
      <c r="N1334" s="101"/>
    </row>
    <row r="1335" spans="1:14" x14ac:dyDescent="0.25">
      <c r="A1335" s="97"/>
      <c r="B1335" s="102" t="s">
        <v>3285</v>
      </c>
      <c r="C1335" s="99"/>
      <c r="D1335" s="100"/>
      <c r="E1335" s="100"/>
      <c r="F1335" s="100"/>
      <c r="G1335" s="100"/>
      <c r="H1335" s="100"/>
      <c r="I1335" s="100">
        <v>129.73500000000001</v>
      </c>
      <c r="J1335" s="120"/>
      <c r="K1335" s="101"/>
      <c r="L1335" s="101"/>
      <c r="M1335" s="101"/>
      <c r="N1335" s="101"/>
    </row>
    <row r="1336" spans="1:14" x14ac:dyDescent="0.25">
      <c r="A1336" s="97"/>
      <c r="B1336" s="102" t="s">
        <v>3286</v>
      </c>
      <c r="C1336" s="99"/>
      <c r="D1336" s="100"/>
      <c r="E1336" s="100"/>
      <c r="F1336" s="100"/>
      <c r="G1336" s="100"/>
      <c r="H1336" s="100"/>
      <c r="I1336" s="100">
        <v>192.80699999999999</v>
      </c>
      <c r="J1336" s="120"/>
      <c r="K1336" s="101"/>
      <c r="L1336" s="101"/>
      <c r="M1336" s="101"/>
      <c r="N1336" s="101"/>
    </row>
    <row r="1337" spans="1:14" ht="25.5" x14ac:dyDescent="0.25">
      <c r="A1337" s="97">
        <v>16</v>
      </c>
      <c r="B1337" s="98" t="s">
        <v>2193</v>
      </c>
      <c r="C1337" s="99" t="s">
        <v>52</v>
      </c>
      <c r="D1337" s="100"/>
      <c r="E1337" s="100"/>
      <c r="F1337" s="100"/>
      <c r="G1337" s="100"/>
      <c r="H1337" s="100"/>
      <c r="I1337" s="100">
        <f>I1318</f>
        <v>910.8660000000001</v>
      </c>
      <c r="J1337" s="120" t="e">
        <f>PL03a!#REF!</f>
        <v>#REF!</v>
      </c>
      <c r="K1337" s="84">
        <f t="shared" ref="K1337" si="108">I1337</f>
        <v>910.8660000000001</v>
      </c>
      <c r="L1337" s="85"/>
      <c r="M1337" s="84">
        <f>K1337</f>
        <v>910.8660000000001</v>
      </c>
      <c r="N1337" s="86">
        <f>L1337+M1337</f>
        <v>910.8660000000001</v>
      </c>
    </row>
    <row r="1338" spans="1:14" x14ac:dyDescent="0.25">
      <c r="A1338" s="97"/>
      <c r="B1338" s="103" t="s">
        <v>3163</v>
      </c>
      <c r="C1338" s="99"/>
      <c r="D1338" s="100"/>
      <c r="E1338" s="100"/>
      <c r="F1338" s="100"/>
      <c r="G1338" s="100"/>
      <c r="H1338" s="100"/>
      <c r="I1338" s="100"/>
      <c r="J1338" s="120"/>
      <c r="K1338" s="101"/>
      <c r="L1338" s="101"/>
      <c r="M1338" s="101"/>
      <c r="N1338" s="101"/>
    </row>
    <row r="1339" spans="1:14" ht="25.5" x14ac:dyDescent="0.25">
      <c r="A1339" s="104">
        <v>17</v>
      </c>
      <c r="B1339" s="105" t="s">
        <v>173</v>
      </c>
      <c r="C1339" s="106" t="s">
        <v>52</v>
      </c>
      <c r="D1339" s="107"/>
      <c r="E1339" s="107"/>
      <c r="F1339" s="107"/>
      <c r="G1339" s="107"/>
      <c r="H1339" s="107"/>
      <c r="I1339" s="107">
        <f>SUM(I1340:I1347)</f>
        <v>39.176000000000002</v>
      </c>
      <c r="J1339" s="121" t="e">
        <f>PL03a!#REF!</f>
        <v>#REF!</v>
      </c>
      <c r="K1339" s="84">
        <f t="shared" ref="K1339" si="109">I1339</f>
        <v>39.176000000000002</v>
      </c>
      <c r="L1339" s="85"/>
      <c r="M1339" s="84">
        <f>K1339</f>
        <v>39.176000000000002</v>
      </c>
      <c r="N1339" s="86">
        <f>L1339+M1339</f>
        <v>39.176000000000002</v>
      </c>
    </row>
    <row r="1340" spans="1:14" x14ac:dyDescent="0.25">
      <c r="A1340" s="97"/>
      <c r="B1340" s="103" t="s">
        <v>3259</v>
      </c>
      <c r="C1340" s="99"/>
      <c r="D1340" s="100"/>
      <c r="E1340" s="100"/>
      <c r="F1340" s="100"/>
      <c r="G1340" s="100"/>
      <c r="H1340" s="100"/>
      <c r="I1340" s="100"/>
      <c r="J1340" s="120"/>
      <c r="K1340" s="101"/>
      <c r="L1340" s="101"/>
      <c r="M1340" s="101"/>
      <c r="N1340" s="101"/>
    </row>
    <row r="1341" spans="1:14" x14ac:dyDescent="0.25">
      <c r="A1341" s="97"/>
      <c r="B1341" s="102" t="s">
        <v>3287</v>
      </c>
      <c r="C1341" s="99"/>
      <c r="D1341" s="100"/>
      <c r="E1341" s="100"/>
      <c r="F1341" s="100"/>
      <c r="G1341" s="100"/>
      <c r="H1341" s="100"/>
      <c r="I1341" s="100">
        <v>5.9870000000000001</v>
      </c>
      <c r="J1341" s="120"/>
      <c r="K1341" s="101"/>
      <c r="L1341" s="101"/>
      <c r="M1341" s="101"/>
      <c r="N1341" s="101"/>
    </row>
    <row r="1342" spans="1:14" x14ac:dyDescent="0.25">
      <c r="A1342" s="97"/>
      <c r="B1342" s="102" t="s">
        <v>3288</v>
      </c>
      <c r="C1342" s="99"/>
      <c r="D1342" s="100"/>
      <c r="E1342" s="100"/>
      <c r="F1342" s="100"/>
      <c r="G1342" s="100"/>
      <c r="H1342" s="100"/>
      <c r="I1342" s="100">
        <v>7.3159999999999998</v>
      </c>
      <c r="J1342" s="120"/>
      <c r="K1342" s="101"/>
      <c r="L1342" s="101"/>
      <c r="M1342" s="101"/>
      <c r="N1342" s="101"/>
    </row>
    <row r="1343" spans="1:14" x14ac:dyDescent="0.25">
      <c r="A1343" s="97"/>
      <c r="B1343" s="102" t="s">
        <v>3289</v>
      </c>
      <c r="C1343" s="99"/>
      <c r="D1343" s="100"/>
      <c r="E1343" s="100"/>
      <c r="F1343" s="100"/>
      <c r="G1343" s="100"/>
      <c r="H1343" s="100"/>
      <c r="I1343" s="100">
        <v>5.94</v>
      </c>
      <c r="J1343" s="120"/>
      <c r="K1343" s="101"/>
      <c r="L1343" s="101"/>
      <c r="M1343" s="101"/>
      <c r="N1343" s="101"/>
    </row>
    <row r="1344" spans="1:14" x14ac:dyDescent="0.25">
      <c r="A1344" s="97"/>
      <c r="B1344" s="103" t="s">
        <v>3262</v>
      </c>
      <c r="C1344" s="99"/>
      <c r="D1344" s="100"/>
      <c r="E1344" s="100"/>
      <c r="F1344" s="100"/>
      <c r="G1344" s="100"/>
      <c r="H1344" s="100"/>
      <c r="I1344" s="100"/>
      <c r="J1344" s="120"/>
      <c r="K1344" s="101"/>
      <c r="L1344" s="101"/>
      <c r="M1344" s="101"/>
      <c r="N1344" s="101"/>
    </row>
    <row r="1345" spans="1:14" x14ac:dyDescent="0.25">
      <c r="A1345" s="97"/>
      <c r="B1345" s="102" t="s">
        <v>3290</v>
      </c>
      <c r="C1345" s="99"/>
      <c r="D1345" s="100"/>
      <c r="E1345" s="100"/>
      <c r="F1345" s="100"/>
      <c r="G1345" s="100"/>
      <c r="H1345" s="100"/>
      <c r="I1345" s="100">
        <v>5.6429999999999998</v>
      </c>
      <c r="J1345" s="120"/>
      <c r="K1345" s="101"/>
      <c r="L1345" s="101"/>
      <c r="M1345" s="101"/>
      <c r="N1345" s="101"/>
    </row>
    <row r="1346" spans="1:14" x14ac:dyDescent="0.25">
      <c r="A1346" s="97"/>
      <c r="B1346" s="102" t="s">
        <v>3291</v>
      </c>
      <c r="C1346" s="99"/>
      <c r="D1346" s="100"/>
      <c r="E1346" s="100"/>
      <c r="F1346" s="100"/>
      <c r="G1346" s="100"/>
      <c r="H1346" s="100"/>
      <c r="I1346" s="100">
        <v>6.1639999999999997</v>
      </c>
      <c r="J1346" s="120"/>
      <c r="K1346" s="101"/>
      <c r="L1346" s="101"/>
      <c r="M1346" s="101"/>
      <c r="N1346" s="101"/>
    </row>
    <row r="1347" spans="1:14" x14ac:dyDescent="0.25">
      <c r="A1347" s="97"/>
      <c r="B1347" s="102" t="s">
        <v>3292</v>
      </c>
      <c r="C1347" s="99"/>
      <c r="D1347" s="100"/>
      <c r="E1347" s="100"/>
      <c r="F1347" s="100"/>
      <c r="G1347" s="100"/>
      <c r="H1347" s="100"/>
      <c r="I1347" s="100">
        <v>8.1259999999999994</v>
      </c>
      <c r="J1347" s="120"/>
      <c r="K1347" s="101"/>
      <c r="L1347" s="101"/>
      <c r="M1347" s="101"/>
      <c r="N1347" s="101"/>
    </row>
    <row r="1348" spans="1:14" ht="25.5" x14ac:dyDescent="0.25">
      <c r="A1348" s="97">
        <v>18</v>
      </c>
      <c r="B1348" s="98" t="s">
        <v>175</v>
      </c>
      <c r="C1348" s="99" t="s">
        <v>52</v>
      </c>
      <c r="D1348" s="100"/>
      <c r="E1348" s="100"/>
      <c r="F1348" s="100"/>
      <c r="G1348" s="100"/>
      <c r="H1348" s="100"/>
      <c r="I1348" s="100">
        <f>SUM(I1349:I1366)</f>
        <v>593.7940000000001</v>
      </c>
      <c r="J1348" s="120" t="e">
        <f>PL03a!#REF!</f>
        <v>#REF!</v>
      </c>
      <c r="K1348" s="84">
        <f t="shared" ref="K1348" si="110">I1348</f>
        <v>593.7940000000001</v>
      </c>
      <c r="L1348" s="85"/>
      <c r="M1348" s="84">
        <f>K1348</f>
        <v>593.7940000000001</v>
      </c>
      <c r="N1348" s="86">
        <f>L1348+M1348</f>
        <v>593.7940000000001</v>
      </c>
    </row>
    <row r="1349" spans="1:14" x14ac:dyDescent="0.25">
      <c r="A1349" s="97"/>
      <c r="B1349" s="103" t="s">
        <v>3293</v>
      </c>
      <c r="C1349" s="99"/>
      <c r="D1349" s="100"/>
      <c r="E1349" s="100"/>
      <c r="F1349" s="100"/>
      <c r="G1349" s="100"/>
      <c r="H1349" s="100"/>
      <c r="I1349" s="100"/>
      <c r="J1349" s="120"/>
      <c r="K1349" s="101"/>
      <c r="L1349" s="101"/>
      <c r="M1349" s="101"/>
      <c r="N1349" s="101"/>
    </row>
    <row r="1350" spans="1:14" x14ac:dyDescent="0.25">
      <c r="A1350" s="97"/>
      <c r="B1350" s="103" t="s">
        <v>3272</v>
      </c>
      <c r="C1350" s="99"/>
      <c r="D1350" s="100"/>
      <c r="E1350" s="100"/>
      <c r="F1350" s="100"/>
      <c r="G1350" s="100"/>
      <c r="H1350" s="100"/>
      <c r="I1350" s="100"/>
      <c r="J1350" s="120"/>
      <c r="K1350" s="101"/>
      <c r="L1350" s="101"/>
      <c r="M1350" s="101"/>
      <c r="N1350" s="101"/>
    </row>
    <row r="1351" spans="1:14" x14ac:dyDescent="0.25">
      <c r="A1351" s="97"/>
      <c r="B1351" s="102" t="s">
        <v>3294</v>
      </c>
      <c r="C1351" s="99"/>
      <c r="D1351" s="100"/>
      <c r="E1351" s="100"/>
      <c r="F1351" s="100"/>
      <c r="G1351" s="100"/>
      <c r="H1351" s="100"/>
      <c r="I1351" s="100">
        <v>20.866</v>
      </c>
      <c r="J1351" s="120"/>
      <c r="K1351" s="101"/>
      <c r="L1351" s="101"/>
      <c r="M1351" s="101"/>
      <c r="N1351" s="101"/>
    </row>
    <row r="1352" spans="1:14" x14ac:dyDescent="0.25">
      <c r="A1352" s="97"/>
      <c r="B1352" s="102" t="s">
        <v>3295</v>
      </c>
      <c r="C1352" s="99"/>
      <c r="D1352" s="100"/>
      <c r="E1352" s="100"/>
      <c r="F1352" s="100"/>
      <c r="G1352" s="100"/>
      <c r="H1352" s="100"/>
      <c r="I1352" s="100">
        <v>34.786999999999999</v>
      </c>
      <c r="J1352" s="120"/>
      <c r="K1352" s="101"/>
      <c r="L1352" s="101"/>
      <c r="M1352" s="101"/>
      <c r="N1352" s="101"/>
    </row>
    <row r="1353" spans="1:14" x14ac:dyDescent="0.25">
      <c r="A1353" s="97"/>
      <c r="B1353" s="102" t="s">
        <v>3275</v>
      </c>
      <c r="C1353" s="99"/>
      <c r="D1353" s="100"/>
      <c r="E1353" s="100"/>
      <c r="F1353" s="100"/>
      <c r="G1353" s="100"/>
      <c r="H1353" s="100"/>
      <c r="I1353" s="100">
        <v>24.5</v>
      </c>
      <c r="J1353" s="120"/>
      <c r="K1353" s="101"/>
      <c r="L1353" s="101"/>
      <c r="M1353" s="101"/>
      <c r="N1353" s="101"/>
    </row>
    <row r="1354" spans="1:14" x14ac:dyDescent="0.25">
      <c r="A1354" s="97"/>
      <c r="B1354" s="103" t="s">
        <v>3276</v>
      </c>
      <c r="C1354" s="99"/>
      <c r="D1354" s="100"/>
      <c r="E1354" s="100"/>
      <c r="F1354" s="100"/>
      <c r="G1354" s="100"/>
      <c r="H1354" s="100"/>
      <c r="I1354" s="100"/>
      <c r="J1354" s="120"/>
      <c r="K1354" s="101"/>
      <c r="L1354" s="101"/>
      <c r="M1354" s="101"/>
      <c r="N1354" s="101"/>
    </row>
    <row r="1355" spans="1:14" x14ac:dyDescent="0.25">
      <c r="A1355" s="97"/>
      <c r="B1355" s="102" t="s">
        <v>3277</v>
      </c>
      <c r="C1355" s="99"/>
      <c r="D1355" s="100"/>
      <c r="E1355" s="100"/>
      <c r="F1355" s="100"/>
      <c r="G1355" s="100"/>
      <c r="H1355" s="100"/>
      <c r="I1355" s="100">
        <v>105.762</v>
      </c>
      <c r="J1355" s="120"/>
      <c r="K1355" s="101"/>
      <c r="L1355" s="101"/>
      <c r="M1355" s="101"/>
      <c r="N1355" s="101"/>
    </row>
    <row r="1356" spans="1:14" x14ac:dyDescent="0.25">
      <c r="A1356" s="97"/>
      <c r="B1356" s="102" t="s">
        <v>3278</v>
      </c>
      <c r="C1356" s="99"/>
      <c r="D1356" s="100"/>
      <c r="E1356" s="100"/>
      <c r="F1356" s="100"/>
      <c r="G1356" s="100"/>
      <c r="H1356" s="100"/>
      <c r="I1356" s="100">
        <v>129.24100000000001</v>
      </c>
      <c r="J1356" s="120"/>
      <c r="K1356" s="101"/>
      <c r="L1356" s="101"/>
      <c r="M1356" s="101"/>
      <c r="N1356" s="101"/>
    </row>
    <row r="1357" spans="1:14" x14ac:dyDescent="0.25">
      <c r="A1357" s="97"/>
      <c r="B1357" s="102" t="s">
        <v>3296</v>
      </c>
      <c r="C1357" s="99"/>
      <c r="D1357" s="100"/>
      <c r="E1357" s="100"/>
      <c r="F1357" s="100"/>
      <c r="G1357" s="100"/>
      <c r="H1357" s="100"/>
      <c r="I1357" s="100">
        <v>104.94</v>
      </c>
      <c r="J1357" s="120"/>
      <c r="K1357" s="101"/>
      <c r="L1357" s="101"/>
      <c r="M1357" s="101"/>
      <c r="N1357" s="101"/>
    </row>
    <row r="1358" spans="1:14" x14ac:dyDescent="0.25">
      <c r="A1358" s="97"/>
      <c r="B1358" s="103" t="s">
        <v>3297</v>
      </c>
      <c r="C1358" s="99"/>
      <c r="D1358" s="100"/>
      <c r="E1358" s="100"/>
      <c r="F1358" s="100"/>
      <c r="G1358" s="100"/>
      <c r="H1358" s="100"/>
      <c r="I1358" s="100"/>
      <c r="J1358" s="120"/>
      <c r="K1358" s="101"/>
      <c r="L1358" s="101"/>
      <c r="M1358" s="101"/>
      <c r="N1358" s="101"/>
    </row>
    <row r="1359" spans="1:14" x14ac:dyDescent="0.25">
      <c r="A1359" s="97"/>
      <c r="B1359" s="103" t="s">
        <v>3272</v>
      </c>
      <c r="C1359" s="99"/>
      <c r="D1359" s="100"/>
      <c r="E1359" s="100"/>
      <c r="F1359" s="100"/>
      <c r="G1359" s="100"/>
      <c r="H1359" s="100"/>
      <c r="I1359" s="100"/>
      <c r="J1359" s="120"/>
      <c r="K1359" s="101"/>
      <c r="L1359" s="101"/>
      <c r="M1359" s="101"/>
      <c r="N1359" s="101"/>
    </row>
    <row r="1360" spans="1:14" x14ac:dyDescent="0.25">
      <c r="A1360" s="97"/>
      <c r="B1360" s="102" t="s">
        <v>3298</v>
      </c>
      <c r="C1360" s="99"/>
      <c r="D1360" s="100"/>
      <c r="E1360" s="100"/>
      <c r="F1360" s="100"/>
      <c r="G1360" s="100"/>
      <c r="H1360" s="100"/>
      <c r="I1360" s="100">
        <v>17.042999999999999</v>
      </c>
      <c r="J1360" s="120"/>
      <c r="K1360" s="101"/>
      <c r="L1360" s="101"/>
      <c r="M1360" s="101"/>
      <c r="N1360" s="101"/>
    </row>
    <row r="1361" spans="1:14" x14ac:dyDescent="0.25">
      <c r="A1361" s="97"/>
      <c r="B1361" s="102" t="s">
        <v>3299</v>
      </c>
      <c r="C1361" s="99"/>
      <c r="D1361" s="100"/>
      <c r="E1361" s="100"/>
      <c r="F1361" s="100"/>
      <c r="G1361" s="100"/>
      <c r="H1361" s="100"/>
      <c r="I1361" s="100">
        <v>24.478000000000002</v>
      </c>
      <c r="J1361" s="120"/>
      <c r="K1361" s="101"/>
      <c r="L1361" s="101"/>
      <c r="M1361" s="101"/>
      <c r="N1361" s="101"/>
    </row>
    <row r="1362" spans="1:14" x14ac:dyDescent="0.25">
      <c r="A1362" s="97"/>
      <c r="B1362" s="102" t="s">
        <v>3300</v>
      </c>
      <c r="C1362" s="99"/>
      <c r="D1362" s="100"/>
      <c r="E1362" s="100"/>
      <c r="F1362" s="100"/>
      <c r="G1362" s="100"/>
      <c r="H1362" s="100"/>
      <c r="I1362" s="100">
        <v>36.378999999999998</v>
      </c>
      <c r="J1362" s="120"/>
      <c r="K1362" s="101"/>
      <c r="L1362" s="101"/>
      <c r="M1362" s="101"/>
      <c r="N1362" s="101"/>
    </row>
    <row r="1363" spans="1:14" x14ac:dyDescent="0.25">
      <c r="A1363" s="97"/>
      <c r="B1363" s="103" t="s">
        <v>3276</v>
      </c>
      <c r="C1363" s="99"/>
      <c r="D1363" s="100"/>
      <c r="E1363" s="100"/>
      <c r="F1363" s="100"/>
      <c r="G1363" s="100"/>
      <c r="H1363" s="100"/>
      <c r="I1363" s="100"/>
      <c r="J1363" s="120"/>
      <c r="K1363" s="101"/>
      <c r="L1363" s="101"/>
      <c r="M1363" s="101"/>
      <c r="N1363" s="101"/>
    </row>
    <row r="1364" spans="1:14" x14ac:dyDescent="0.25">
      <c r="A1364" s="97"/>
      <c r="B1364" s="102" t="s">
        <v>3301</v>
      </c>
      <c r="C1364" s="99"/>
      <c r="D1364" s="100"/>
      <c r="E1364" s="100"/>
      <c r="F1364" s="100"/>
      <c r="G1364" s="100"/>
      <c r="H1364" s="100"/>
      <c r="I1364" s="100">
        <v>19.637</v>
      </c>
      <c r="J1364" s="120"/>
      <c r="K1364" s="101"/>
      <c r="L1364" s="101"/>
      <c r="M1364" s="101"/>
      <c r="N1364" s="101"/>
    </row>
    <row r="1365" spans="1:14" x14ac:dyDescent="0.25">
      <c r="A1365" s="97"/>
      <c r="B1365" s="102" t="s">
        <v>3302</v>
      </c>
      <c r="C1365" s="99"/>
      <c r="D1365" s="100"/>
      <c r="E1365" s="100"/>
      <c r="F1365" s="100"/>
      <c r="G1365" s="100"/>
      <c r="H1365" s="100"/>
      <c r="I1365" s="100">
        <v>30.634</v>
      </c>
      <c r="J1365" s="120"/>
      <c r="K1365" s="101"/>
      <c r="L1365" s="101"/>
      <c r="M1365" s="101"/>
      <c r="N1365" s="101"/>
    </row>
    <row r="1366" spans="1:14" x14ac:dyDescent="0.25">
      <c r="A1366" s="97"/>
      <c r="B1366" s="102" t="s">
        <v>3303</v>
      </c>
      <c r="C1366" s="99"/>
      <c r="D1366" s="100"/>
      <c r="E1366" s="100"/>
      <c r="F1366" s="100"/>
      <c r="G1366" s="100"/>
      <c r="H1366" s="100"/>
      <c r="I1366" s="100">
        <v>45.527000000000001</v>
      </c>
      <c r="J1366" s="120"/>
      <c r="K1366" s="101"/>
      <c r="L1366" s="101"/>
      <c r="M1366" s="101"/>
      <c r="N1366" s="101"/>
    </row>
    <row r="1367" spans="1:14" ht="25.5" x14ac:dyDescent="0.25">
      <c r="A1367" s="97">
        <v>19</v>
      </c>
      <c r="B1367" s="98" t="s">
        <v>2197</v>
      </c>
      <c r="C1367" s="99" t="s">
        <v>52</v>
      </c>
      <c r="D1367" s="100"/>
      <c r="E1367" s="100"/>
      <c r="F1367" s="100"/>
      <c r="G1367" s="100"/>
      <c r="H1367" s="100"/>
      <c r="I1367" s="100">
        <f>I1348</f>
        <v>593.7940000000001</v>
      </c>
      <c r="J1367" s="120" t="e">
        <f>PL03a!#REF!</f>
        <v>#REF!</v>
      </c>
      <c r="K1367" s="84">
        <f t="shared" ref="K1367" si="111">I1367</f>
        <v>593.7940000000001</v>
      </c>
      <c r="L1367" s="85"/>
      <c r="M1367" s="84">
        <f>K1367</f>
        <v>593.7940000000001</v>
      </c>
      <c r="N1367" s="86">
        <f>L1367+M1367</f>
        <v>593.7940000000001</v>
      </c>
    </row>
    <row r="1368" spans="1:14" x14ac:dyDescent="0.25">
      <c r="A1368" s="97"/>
      <c r="B1368" s="117" t="s">
        <v>3304</v>
      </c>
      <c r="C1368" s="117"/>
      <c r="D1368" s="100"/>
      <c r="E1368" s="100"/>
      <c r="F1368" s="100"/>
      <c r="G1368" s="100"/>
      <c r="H1368" s="100"/>
      <c r="I1368" s="100"/>
      <c r="J1368" s="120"/>
      <c r="K1368" s="101"/>
      <c r="L1368" s="101"/>
      <c r="M1368" s="101"/>
      <c r="N1368" s="101"/>
    </row>
    <row r="1369" spans="1:14" x14ac:dyDescent="0.25">
      <c r="A1369" s="97">
        <v>21</v>
      </c>
      <c r="B1369" s="117" t="s">
        <v>2199</v>
      </c>
      <c r="C1369" s="117"/>
      <c r="D1369" s="100"/>
      <c r="E1369" s="100"/>
      <c r="F1369" s="100"/>
      <c r="G1369" s="100"/>
      <c r="H1369" s="100"/>
      <c r="I1369" s="100"/>
      <c r="J1369" s="120"/>
      <c r="K1369" s="101"/>
      <c r="L1369" s="101"/>
      <c r="M1369" s="101"/>
      <c r="N1369" s="101"/>
    </row>
    <row r="1370" spans="1:14" ht="25.5" x14ac:dyDescent="0.25">
      <c r="A1370" s="97">
        <v>20</v>
      </c>
      <c r="B1370" s="98" t="s">
        <v>136</v>
      </c>
      <c r="C1370" s="99" t="s">
        <v>52</v>
      </c>
      <c r="D1370" s="100"/>
      <c r="E1370" s="100"/>
      <c r="F1370" s="100"/>
      <c r="G1370" s="100"/>
      <c r="H1370" s="100"/>
      <c r="I1370" s="100">
        <f>SUM(I1371:I1372)</f>
        <v>537.68000000000006</v>
      </c>
      <c r="J1370" s="120" t="e">
        <f>PL03a!#REF!</f>
        <v>#REF!</v>
      </c>
      <c r="K1370" s="84">
        <f t="shared" ref="K1370" si="112">I1370</f>
        <v>537.68000000000006</v>
      </c>
      <c r="L1370" s="85"/>
      <c r="M1370" s="84">
        <f>K1370</f>
        <v>537.68000000000006</v>
      </c>
      <c r="N1370" s="86">
        <f>L1370+M1370</f>
        <v>537.68000000000006</v>
      </c>
    </row>
    <row r="1371" spans="1:14" ht="25.5" x14ac:dyDescent="0.25">
      <c r="A1371" s="97"/>
      <c r="B1371" s="102" t="s">
        <v>3305</v>
      </c>
      <c r="C1371" s="99"/>
      <c r="D1371" s="100"/>
      <c r="E1371" s="100"/>
      <c r="F1371" s="100"/>
      <c r="G1371" s="100"/>
      <c r="H1371" s="100"/>
      <c r="I1371" s="100">
        <v>271.315</v>
      </c>
      <c r="J1371" s="120"/>
      <c r="K1371" s="101"/>
      <c r="L1371" s="101"/>
      <c r="M1371" s="101"/>
      <c r="N1371" s="101"/>
    </row>
    <row r="1372" spans="1:14" ht="25.5" x14ac:dyDescent="0.25">
      <c r="A1372" s="97"/>
      <c r="B1372" s="102" t="s">
        <v>3306</v>
      </c>
      <c r="C1372" s="99"/>
      <c r="D1372" s="100"/>
      <c r="E1372" s="100"/>
      <c r="F1372" s="100"/>
      <c r="G1372" s="100"/>
      <c r="H1372" s="100"/>
      <c r="I1372" s="100">
        <v>266.36500000000001</v>
      </c>
      <c r="J1372" s="120"/>
      <c r="K1372" s="101"/>
      <c r="L1372" s="101"/>
      <c r="M1372" s="101"/>
      <c r="N1372" s="101"/>
    </row>
    <row r="1373" spans="1:14" ht="25.5" x14ac:dyDescent="0.25">
      <c r="A1373" s="97">
        <v>21</v>
      </c>
      <c r="B1373" s="98" t="s">
        <v>180</v>
      </c>
      <c r="C1373" s="99" t="s">
        <v>52</v>
      </c>
      <c r="D1373" s="100"/>
      <c r="E1373" s="100"/>
      <c r="F1373" s="100"/>
      <c r="G1373" s="100"/>
      <c r="H1373" s="100"/>
      <c r="I1373" s="100">
        <f>I1370</f>
        <v>537.68000000000006</v>
      </c>
      <c r="J1373" s="120" t="e">
        <f>PL03a!#REF!</f>
        <v>#REF!</v>
      </c>
      <c r="K1373" s="84">
        <f t="shared" ref="K1373" si="113">I1373</f>
        <v>537.68000000000006</v>
      </c>
      <c r="L1373" s="85"/>
      <c r="M1373" s="84">
        <f>K1373</f>
        <v>537.68000000000006</v>
      </c>
      <c r="N1373" s="86">
        <f>L1373+M1373</f>
        <v>537.68000000000006</v>
      </c>
    </row>
    <row r="1374" spans="1:14" x14ac:dyDescent="0.25">
      <c r="A1374" s="97"/>
      <c r="B1374" s="103" t="s">
        <v>3307</v>
      </c>
      <c r="C1374" s="99"/>
      <c r="D1374" s="100"/>
      <c r="E1374" s="100"/>
      <c r="F1374" s="100"/>
      <c r="G1374" s="100"/>
      <c r="H1374" s="100"/>
      <c r="I1374" s="100"/>
      <c r="J1374" s="120"/>
      <c r="K1374" s="101"/>
      <c r="L1374" s="101"/>
      <c r="M1374" s="101"/>
      <c r="N1374" s="101"/>
    </row>
    <row r="1375" spans="1:14" x14ac:dyDescent="0.25">
      <c r="A1375" s="104">
        <v>22</v>
      </c>
      <c r="B1375" s="105" t="s">
        <v>3169</v>
      </c>
      <c r="C1375" s="106" t="s">
        <v>37</v>
      </c>
      <c r="D1375" s="107"/>
      <c r="E1375" s="107"/>
      <c r="F1375" s="107"/>
      <c r="G1375" s="107"/>
      <c r="H1375" s="107"/>
      <c r="I1375" s="107">
        <f>SUM(I1376:I1383)</f>
        <v>752.86500000000001</v>
      </c>
      <c r="J1375" s="121" t="e">
        <f>PL03a!#REF!</f>
        <v>#REF!</v>
      </c>
      <c r="K1375" s="84">
        <f t="shared" ref="K1375" si="114">I1375</f>
        <v>752.86500000000001</v>
      </c>
      <c r="L1375" s="85"/>
      <c r="M1375" s="84">
        <f>K1375</f>
        <v>752.86500000000001</v>
      </c>
      <c r="N1375" s="86">
        <f>L1375+M1375</f>
        <v>752.86500000000001</v>
      </c>
    </row>
    <row r="1376" spans="1:14" x14ac:dyDescent="0.25">
      <c r="A1376" s="97"/>
      <c r="B1376" s="103" t="s">
        <v>3293</v>
      </c>
      <c r="C1376" s="99"/>
      <c r="D1376" s="100"/>
      <c r="E1376" s="100"/>
      <c r="F1376" s="100"/>
      <c r="G1376" s="100"/>
      <c r="H1376" s="100"/>
      <c r="I1376" s="100"/>
      <c r="J1376" s="120"/>
      <c r="K1376" s="101"/>
      <c r="L1376" s="101"/>
      <c r="M1376" s="101"/>
      <c r="N1376" s="101"/>
    </row>
    <row r="1377" spans="1:14" x14ac:dyDescent="0.25">
      <c r="A1377" s="97"/>
      <c r="B1377" s="102" t="s">
        <v>3308</v>
      </c>
      <c r="C1377" s="99"/>
      <c r="D1377" s="100"/>
      <c r="E1377" s="100"/>
      <c r="F1377" s="100"/>
      <c r="G1377" s="100"/>
      <c r="H1377" s="100"/>
      <c r="I1377" s="100">
        <v>105.788</v>
      </c>
      <c r="J1377" s="120"/>
      <c r="K1377" s="101"/>
      <c r="L1377" s="101"/>
      <c r="M1377" s="101"/>
      <c r="N1377" s="101"/>
    </row>
    <row r="1378" spans="1:14" x14ac:dyDescent="0.25">
      <c r="A1378" s="97"/>
      <c r="B1378" s="102" t="s">
        <v>3309</v>
      </c>
      <c r="C1378" s="99"/>
      <c r="D1378" s="100"/>
      <c r="E1378" s="100"/>
      <c r="F1378" s="100"/>
      <c r="G1378" s="100"/>
      <c r="H1378" s="100"/>
      <c r="I1378" s="100">
        <v>129.267</v>
      </c>
      <c r="J1378" s="120"/>
      <c r="K1378" s="101"/>
      <c r="L1378" s="101"/>
      <c r="M1378" s="101"/>
      <c r="N1378" s="101"/>
    </row>
    <row r="1379" spans="1:14" x14ac:dyDescent="0.25">
      <c r="A1379" s="97"/>
      <c r="B1379" s="102" t="s">
        <v>3296</v>
      </c>
      <c r="C1379" s="99"/>
      <c r="D1379" s="100"/>
      <c r="E1379" s="100"/>
      <c r="F1379" s="100"/>
      <c r="G1379" s="100"/>
      <c r="H1379" s="100"/>
      <c r="I1379" s="100">
        <v>104.94</v>
      </c>
      <c r="J1379" s="120"/>
      <c r="K1379" s="101"/>
      <c r="L1379" s="101"/>
      <c r="M1379" s="101"/>
      <c r="N1379" s="101"/>
    </row>
    <row r="1380" spans="1:14" x14ac:dyDescent="0.25">
      <c r="A1380" s="97"/>
      <c r="B1380" s="103" t="s">
        <v>3297</v>
      </c>
      <c r="C1380" s="99"/>
      <c r="D1380" s="100"/>
      <c r="E1380" s="100"/>
      <c r="F1380" s="100"/>
      <c r="G1380" s="100"/>
      <c r="H1380" s="100"/>
      <c r="I1380" s="100"/>
      <c r="J1380" s="120"/>
      <c r="K1380" s="101"/>
      <c r="L1380" s="101"/>
      <c r="M1380" s="101"/>
      <c r="N1380" s="101"/>
    </row>
    <row r="1381" spans="1:14" x14ac:dyDescent="0.25">
      <c r="A1381" s="97"/>
      <c r="B1381" s="102" t="s">
        <v>3310</v>
      </c>
      <c r="C1381" s="99"/>
      <c r="D1381" s="100"/>
      <c r="E1381" s="100"/>
      <c r="F1381" s="100"/>
      <c r="G1381" s="100"/>
      <c r="H1381" s="100"/>
      <c r="I1381" s="100">
        <v>90.328000000000003</v>
      </c>
      <c r="J1381" s="120"/>
      <c r="K1381" s="101"/>
      <c r="L1381" s="101"/>
      <c r="M1381" s="101"/>
      <c r="N1381" s="101"/>
    </row>
    <row r="1382" spans="1:14" x14ac:dyDescent="0.25">
      <c r="A1382" s="97"/>
      <c r="B1382" s="102" t="s">
        <v>3311</v>
      </c>
      <c r="C1382" s="99"/>
      <c r="D1382" s="100"/>
      <c r="E1382" s="100"/>
      <c r="F1382" s="100"/>
      <c r="G1382" s="100"/>
      <c r="H1382" s="100"/>
      <c r="I1382" s="100">
        <v>129.73500000000001</v>
      </c>
      <c r="J1382" s="120"/>
      <c r="K1382" s="101"/>
      <c r="L1382" s="101"/>
      <c r="M1382" s="101"/>
      <c r="N1382" s="101"/>
    </row>
    <row r="1383" spans="1:14" x14ac:dyDescent="0.25">
      <c r="A1383" s="97"/>
      <c r="B1383" s="102" t="s">
        <v>3312</v>
      </c>
      <c r="C1383" s="99"/>
      <c r="D1383" s="100"/>
      <c r="E1383" s="100"/>
      <c r="F1383" s="100"/>
      <c r="G1383" s="100"/>
      <c r="H1383" s="100"/>
      <c r="I1383" s="100">
        <v>192.80699999999999</v>
      </c>
      <c r="J1383" s="120"/>
      <c r="K1383" s="101"/>
      <c r="L1383" s="101"/>
      <c r="M1383" s="101"/>
      <c r="N1383" s="101"/>
    </row>
    <row r="1384" spans="1:14" x14ac:dyDescent="0.25">
      <c r="A1384" s="97"/>
      <c r="B1384" s="117" t="s">
        <v>3313</v>
      </c>
      <c r="C1384" s="117"/>
      <c r="D1384" s="100"/>
      <c r="E1384" s="100"/>
      <c r="F1384" s="100"/>
      <c r="G1384" s="100"/>
      <c r="H1384" s="100"/>
      <c r="I1384" s="100"/>
      <c r="J1384" s="120"/>
      <c r="K1384" s="101"/>
      <c r="L1384" s="101"/>
      <c r="M1384" s="101"/>
      <c r="N1384" s="101"/>
    </row>
    <row r="1385" spans="1:14" x14ac:dyDescent="0.25">
      <c r="A1385" s="108"/>
      <c r="B1385" s="118" t="s">
        <v>3314</v>
      </c>
      <c r="C1385" s="118"/>
      <c r="D1385" s="111"/>
      <c r="E1385" s="111"/>
      <c r="F1385" s="111"/>
      <c r="G1385" s="111"/>
      <c r="H1385" s="111"/>
      <c r="I1385" s="111"/>
      <c r="J1385" s="122"/>
      <c r="K1385" s="112"/>
      <c r="L1385" s="112"/>
      <c r="M1385" s="112"/>
      <c r="N1385" s="112"/>
    </row>
    <row r="1386" spans="1:14" x14ac:dyDescent="0.25">
      <c r="A1386" s="93"/>
      <c r="B1386" s="94" t="s">
        <v>2204</v>
      </c>
      <c r="C1386" s="94"/>
      <c r="D1386" s="95"/>
      <c r="E1386" s="95"/>
      <c r="F1386" s="95"/>
      <c r="G1386" s="95"/>
      <c r="H1386" s="95"/>
      <c r="I1386" s="95"/>
      <c r="J1386" s="123"/>
      <c r="K1386" s="96"/>
      <c r="L1386" s="96"/>
      <c r="M1386" s="96"/>
      <c r="N1386" s="96"/>
    </row>
    <row r="1387" spans="1:14" ht="25.5" x14ac:dyDescent="0.25">
      <c r="A1387" s="97">
        <v>1</v>
      </c>
      <c r="B1387" s="98" t="s">
        <v>3315</v>
      </c>
      <c r="C1387" s="99" t="s">
        <v>27</v>
      </c>
      <c r="D1387" s="100"/>
      <c r="E1387" s="100"/>
      <c r="F1387" s="100"/>
      <c r="G1387" s="100"/>
      <c r="H1387" s="100"/>
      <c r="I1387" s="100">
        <f>SUM(I1388:I1392)</f>
        <v>0.27400000000000002</v>
      </c>
      <c r="J1387" s="120" t="e">
        <f>PL03a!#REF!</f>
        <v>#REF!</v>
      </c>
      <c r="K1387" s="84">
        <f t="shared" ref="K1387" si="115">I1387</f>
        <v>0.27400000000000002</v>
      </c>
      <c r="L1387" s="85"/>
      <c r="M1387" s="84">
        <f>K1387</f>
        <v>0.27400000000000002</v>
      </c>
      <c r="N1387" s="86">
        <f>L1387+M1387</f>
        <v>0.27400000000000002</v>
      </c>
    </row>
    <row r="1388" spans="1:14" x14ac:dyDescent="0.25">
      <c r="A1388" s="97"/>
      <c r="B1388" s="102" t="s">
        <v>3316</v>
      </c>
      <c r="C1388" s="99"/>
      <c r="D1388" s="100"/>
      <c r="E1388" s="100"/>
      <c r="F1388" s="100"/>
      <c r="G1388" s="100"/>
      <c r="H1388" s="100"/>
      <c r="I1388" s="100">
        <v>0.16600000000000001</v>
      </c>
      <c r="J1388" s="120"/>
      <c r="K1388" s="101"/>
      <c r="L1388" s="101"/>
      <c r="M1388" s="101"/>
      <c r="N1388" s="101"/>
    </row>
    <row r="1389" spans="1:14" x14ac:dyDescent="0.25">
      <c r="A1389" s="97"/>
      <c r="B1389" s="103" t="s">
        <v>3317</v>
      </c>
      <c r="C1389" s="99"/>
      <c r="D1389" s="100"/>
      <c r="E1389" s="100"/>
      <c r="F1389" s="100"/>
      <c r="G1389" s="100"/>
      <c r="H1389" s="100"/>
      <c r="I1389" s="100"/>
      <c r="J1389" s="120"/>
      <c r="K1389" s="101"/>
      <c r="L1389" s="101"/>
      <c r="M1389" s="101"/>
      <c r="N1389" s="101"/>
    </row>
    <row r="1390" spans="1:14" ht="25.5" x14ac:dyDescent="0.25">
      <c r="A1390" s="97"/>
      <c r="B1390" s="102" t="s">
        <v>3318</v>
      </c>
      <c r="C1390" s="99"/>
      <c r="D1390" s="100"/>
      <c r="E1390" s="100"/>
      <c r="F1390" s="100"/>
      <c r="G1390" s="100"/>
      <c r="H1390" s="100"/>
      <c r="I1390" s="100">
        <v>5.2999999999999999E-2</v>
      </c>
      <c r="J1390" s="120"/>
      <c r="K1390" s="101"/>
      <c r="L1390" s="101"/>
      <c r="M1390" s="101"/>
      <c r="N1390" s="101"/>
    </row>
    <row r="1391" spans="1:14" x14ac:dyDescent="0.25">
      <c r="A1391" s="97"/>
      <c r="B1391" s="102" t="s">
        <v>3319</v>
      </c>
      <c r="C1391" s="99"/>
      <c r="D1391" s="100"/>
      <c r="E1391" s="100"/>
      <c r="F1391" s="100"/>
      <c r="G1391" s="100"/>
      <c r="H1391" s="100"/>
      <c r="I1391" s="100">
        <v>0.05</v>
      </c>
      <c r="J1391" s="120"/>
      <c r="K1391" s="101"/>
      <c r="L1391" s="101"/>
      <c r="M1391" s="101"/>
      <c r="N1391" s="101"/>
    </row>
    <row r="1392" spans="1:14" x14ac:dyDescent="0.25">
      <c r="A1392" s="97"/>
      <c r="B1392" s="102" t="s">
        <v>3320</v>
      </c>
      <c r="C1392" s="99"/>
      <c r="D1392" s="100"/>
      <c r="E1392" s="100"/>
      <c r="F1392" s="100"/>
      <c r="G1392" s="100"/>
      <c r="H1392" s="100"/>
      <c r="I1392" s="100">
        <v>5.0000000000000001E-3</v>
      </c>
      <c r="J1392" s="120"/>
      <c r="K1392" s="101"/>
      <c r="L1392" s="101"/>
      <c r="M1392" s="101"/>
      <c r="N1392" s="101"/>
    </row>
    <row r="1393" spans="1:14" ht="25.5" x14ac:dyDescent="0.25">
      <c r="A1393" s="97">
        <v>2</v>
      </c>
      <c r="B1393" s="98" t="s">
        <v>2850</v>
      </c>
      <c r="C1393" s="99" t="s">
        <v>27</v>
      </c>
      <c r="D1393" s="100"/>
      <c r="E1393" s="100"/>
      <c r="F1393" s="100"/>
      <c r="G1393" s="100"/>
      <c r="H1393" s="100"/>
      <c r="I1393" s="100">
        <f>SUM(I1394:I1399)</f>
        <v>0.13900000000000001</v>
      </c>
      <c r="J1393" s="120" t="e">
        <f>PL03a!#REF!</f>
        <v>#REF!</v>
      </c>
      <c r="K1393" s="84">
        <f t="shared" ref="K1393" si="116">I1393</f>
        <v>0.13900000000000001</v>
      </c>
      <c r="L1393" s="85"/>
      <c r="M1393" s="84">
        <f>K1393</f>
        <v>0.13900000000000001</v>
      </c>
      <c r="N1393" s="86">
        <f>L1393+M1393</f>
        <v>0.13900000000000001</v>
      </c>
    </row>
    <row r="1394" spans="1:14" x14ac:dyDescent="0.25">
      <c r="A1394" s="97"/>
      <c r="B1394" s="102" t="s">
        <v>3321</v>
      </c>
      <c r="C1394" s="99"/>
      <c r="D1394" s="100"/>
      <c r="E1394" s="100"/>
      <c r="F1394" s="100"/>
      <c r="G1394" s="100"/>
      <c r="H1394" s="100"/>
      <c r="I1394" s="100">
        <v>0.27400000000000002</v>
      </c>
      <c r="J1394" s="120"/>
      <c r="K1394" s="101"/>
      <c r="L1394" s="101"/>
      <c r="M1394" s="101"/>
      <c r="N1394" s="101"/>
    </row>
    <row r="1395" spans="1:14" x14ac:dyDescent="0.25">
      <c r="A1395" s="97"/>
      <c r="B1395" s="102" t="s">
        <v>3322</v>
      </c>
      <c r="C1395" s="99"/>
      <c r="D1395" s="100"/>
      <c r="E1395" s="100"/>
      <c r="F1395" s="100"/>
      <c r="G1395" s="100"/>
      <c r="H1395" s="100"/>
      <c r="I1395" s="100">
        <v>-3.6999999999999998E-2</v>
      </c>
      <c r="J1395" s="120"/>
      <c r="K1395" s="101"/>
      <c r="L1395" s="101"/>
      <c r="M1395" s="101"/>
      <c r="N1395" s="101"/>
    </row>
    <row r="1396" spans="1:14" x14ac:dyDescent="0.25">
      <c r="A1396" s="97"/>
      <c r="B1396" s="102" t="s">
        <v>3323</v>
      </c>
      <c r="C1396" s="99"/>
      <c r="D1396" s="100"/>
      <c r="E1396" s="100"/>
      <c r="F1396" s="100"/>
      <c r="G1396" s="100"/>
      <c r="H1396" s="100"/>
      <c r="I1396" s="100">
        <v>-4.2000000000000003E-2</v>
      </c>
      <c r="J1396" s="120"/>
      <c r="K1396" s="101"/>
      <c r="L1396" s="101"/>
      <c r="M1396" s="101"/>
      <c r="N1396" s="101"/>
    </row>
    <row r="1397" spans="1:14" x14ac:dyDescent="0.25">
      <c r="A1397" s="97"/>
      <c r="B1397" s="103" t="s">
        <v>3324</v>
      </c>
      <c r="C1397" s="99"/>
      <c r="D1397" s="100"/>
      <c r="E1397" s="100"/>
      <c r="F1397" s="100"/>
      <c r="G1397" s="100"/>
      <c r="H1397" s="100"/>
      <c r="I1397" s="100"/>
      <c r="J1397" s="120"/>
      <c r="K1397" s="101"/>
      <c r="L1397" s="101"/>
      <c r="M1397" s="101"/>
      <c r="N1397" s="101"/>
    </row>
    <row r="1398" spans="1:14" ht="25.5" x14ac:dyDescent="0.25">
      <c r="A1398" s="97"/>
      <c r="B1398" s="102" t="s">
        <v>3325</v>
      </c>
      <c r="C1398" s="99"/>
      <c r="D1398" s="100"/>
      <c r="E1398" s="100"/>
      <c r="F1398" s="100"/>
      <c r="G1398" s="100"/>
      <c r="H1398" s="100"/>
      <c r="I1398" s="100">
        <v>-0.03</v>
      </c>
      <c r="J1398" s="120"/>
      <c r="K1398" s="101"/>
      <c r="L1398" s="101"/>
      <c r="M1398" s="101"/>
      <c r="N1398" s="101"/>
    </row>
    <row r="1399" spans="1:14" x14ac:dyDescent="0.25">
      <c r="A1399" s="97"/>
      <c r="B1399" s="102" t="s">
        <v>3326</v>
      </c>
      <c r="C1399" s="99"/>
      <c r="D1399" s="100"/>
      <c r="E1399" s="100"/>
      <c r="F1399" s="100"/>
      <c r="G1399" s="100"/>
      <c r="H1399" s="100"/>
      <c r="I1399" s="100">
        <v>-2.5999999999999999E-2</v>
      </c>
      <c r="J1399" s="120"/>
      <c r="K1399" s="101"/>
      <c r="L1399" s="101"/>
      <c r="M1399" s="101"/>
      <c r="N1399" s="101"/>
    </row>
    <row r="1400" spans="1:14" ht="25.5" x14ac:dyDescent="0.25">
      <c r="A1400" s="97">
        <v>3</v>
      </c>
      <c r="B1400" s="98" t="s">
        <v>3327</v>
      </c>
      <c r="C1400" s="99" t="s">
        <v>27</v>
      </c>
      <c r="D1400" s="100"/>
      <c r="E1400" s="100"/>
      <c r="F1400" s="100"/>
      <c r="G1400" s="100"/>
      <c r="H1400" s="100"/>
      <c r="I1400" s="100">
        <f>SUM(I1401:I1403)</f>
        <v>0.12399999999999997</v>
      </c>
      <c r="J1400" s="120" t="e">
        <f>PL03a!#REF!</f>
        <v>#REF!</v>
      </c>
      <c r="K1400" s="84">
        <f t="shared" ref="K1400" si="117">I1400</f>
        <v>0.12399999999999997</v>
      </c>
      <c r="L1400" s="85"/>
      <c r="M1400" s="84">
        <f>K1400</f>
        <v>0.12399999999999997</v>
      </c>
      <c r="N1400" s="86">
        <f>L1400+M1400</f>
        <v>0.12399999999999997</v>
      </c>
    </row>
    <row r="1401" spans="1:14" x14ac:dyDescent="0.25">
      <c r="A1401" s="97"/>
      <c r="B1401" s="103" t="s">
        <v>3328</v>
      </c>
      <c r="C1401" s="99"/>
      <c r="D1401" s="100"/>
      <c r="E1401" s="100"/>
      <c r="F1401" s="100"/>
      <c r="G1401" s="100"/>
      <c r="H1401" s="100"/>
      <c r="I1401" s="100"/>
      <c r="J1401" s="120"/>
      <c r="K1401" s="101"/>
      <c r="L1401" s="101"/>
      <c r="M1401" s="101"/>
      <c r="N1401" s="101"/>
    </row>
    <row r="1402" spans="1:14" x14ac:dyDescent="0.25">
      <c r="A1402" s="97"/>
      <c r="B1402" s="102" t="s">
        <v>3329</v>
      </c>
      <c r="C1402" s="99"/>
      <c r="D1402" s="100"/>
      <c r="E1402" s="100"/>
      <c r="F1402" s="100"/>
      <c r="G1402" s="100"/>
      <c r="H1402" s="100"/>
      <c r="I1402" s="100">
        <v>0.28399999999999997</v>
      </c>
      <c r="J1402" s="120"/>
      <c r="K1402" s="101"/>
      <c r="L1402" s="101"/>
      <c r="M1402" s="101"/>
      <c r="N1402" s="101"/>
    </row>
    <row r="1403" spans="1:14" x14ac:dyDescent="0.25">
      <c r="A1403" s="97"/>
      <c r="B1403" s="102" t="s">
        <v>3330</v>
      </c>
      <c r="C1403" s="99"/>
      <c r="D1403" s="100"/>
      <c r="E1403" s="100"/>
      <c r="F1403" s="100"/>
      <c r="G1403" s="100"/>
      <c r="H1403" s="100"/>
      <c r="I1403" s="100">
        <v>-0.16</v>
      </c>
      <c r="J1403" s="120"/>
      <c r="K1403" s="101"/>
      <c r="L1403" s="101"/>
      <c r="M1403" s="101"/>
      <c r="N1403" s="101"/>
    </row>
    <row r="1404" spans="1:14" ht="25.5" x14ac:dyDescent="0.25">
      <c r="A1404" s="97">
        <v>4</v>
      </c>
      <c r="B1404" s="98" t="s">
        <v>2050</v>
      </c>
      <c r="C1404" s="99" t="s">
        <v>37</v>
      </c>
      <c r="D1404" s="100"/>
      <c r="E1404" s="100"/>
      <c r="F1404" s="100"/>
      <c r="G1404" s="100"/>
      <c r="H1404" s="100"/>
      <c r="I1404" s="100">
        <f>SUM(I1405:I1408)</f>
        <v>3.67</v>
      </c>
      <c r="J1404" s="120" t="e">
        <f>PL03a!#REF!</f>
        <v>#REF!</v>
      </c>
      <c r="K1404" s="84">
        <f t="shared" ref="K1404" si="118">I1404</f>
        <v>3.67</v>
      </c>
      <c r="L1404" s="85"/>
      <c r="M1404" s="84">
        <f>K1404</f>
        <v>3.67</v>
      </c>
      <c r="N1404" s="86">
        <f>L1404+M1404</f>
        <v>3.67</v>
      </c>
    </row>
    <row r="1405" spans="1:14" x14ac:dyDescent="0.25">
      <c r="A1405" s="97"/>
      <c r="B1405" s="102" t="s">
        <v>3331</v>
      </c>
      <c r="C1405" s="99"/>
      <c r="D1405" s="100"/>
      <c r="E1405" s="100"/>
      <c r="F1405" s="100"/>
      <c r="G1405" s="100"/>
      <c r="H1405" s="100"/>
      <c r="I1405" s="100">
        <v>1.44</v>
      </c>
      <c r="J1405" s="120"/>
      <c r="K1405" s="101"/>
      <c r="L1405" s="101"/>
      <c r="M1405" s="101"/>
      <c r="N1405" s="101"/>
    </row>
    <row r="1406" spans="1:14" x14ac:dyDescent="0.25">
      <c r="A1406" s="97"/>
      <c r="B1406" s="103" t="s">
        <v>3317</v>
      </c>
      <c r="C1406" s="99"/>
      <c r="D1406" s="100"/>
      <c r="E1406" s="100"/>
      <c r="F1406" s="100"/>
      <c r="G1406" s="100"/>
      <c r="H1406" s="100"/>
      <c r="I1406" s="100"/>
      <c r="J1406" s="120"/>
      <c r="K1406" s="101"/>
      <c r="L1406" s="101"/>
      <c r="M1406" s="101"/>
      <c r="N1406" s="101"/>
    </row>
    <row r="1407" spans="1:14" x14ac:dyDescent="0.25">
      <c r="A1407" s="97"/>
      <c r="B1407" s="102" t="s">
        <v>3332</v>
      </c>
      <c r="C1407" s="99"/>
      <c r="D1407" s="100"/>
      <c r="E1407" s="100"/>
      <c r="F1407" s="100"/>
      <c r="G1407" s="100"/>
      <c r="H1407" s="100"/>
      <c r="I1407" s="100">
        <v>1.194</v>
      </c>
      <c r="J1407" s="120"/>
      <c r="K1407" s="101"/>
      <c r="L1407" s="101"/>
      <c r="M1407" s="101"/>
      <c r="N1407" s="101"/>
    </row>
    <row r="1408" spans="1:14" x14ac:dyDescent="0.25">
      <c r="A1408" s="97"/>
      <c r="B1408" s="102" t="s">
        <v>3333</v>
      </c>
      <c r="C1408" s="99"/>
      <c r="D1408" s="100"/>
      <c r="E1408" s="100"/>
      <c r="F1408" s="100"/>
      <c r="G1408" s="100"/>
      <c r="H1408" s="100"/>
      <c r="I1408" s="100">
        <v>1.036</v>
      </c>
      <c r="J1408" s="120"/>
      <c r="K1408" s="101"/>
      <c r="L1408" s="101"/>
      <c r="M1408" s="101"/>
      <c r="N1408" s="101"/>
    </row>
    <row r="1409" spans="1:14" ht="25.5" x14ac:dyDescent="0.25">
      <c r="A1409" s="97">
        <v>5</v>
      </c>
      <c r="B1409" s="98" t="s">
        <v>2124</v>
      </c>
      <c r="C1409" s="99" t="s">
        <v>37</v>
      </c>
      <c r="D1409" s="100"/>
      <c r="E1409" s="100"/>
      <c r="F1409" s="100"/>
      <c r="G1409" s="100"/>
      <c r="H1409" s="100"/>
      <c r="I1409" s="100">
        <f>SUM(I1410:I1413)</f>
        <v>4.2379999999999995</v>
      </c>
      <c r="J1409" s="120" t="e">
        <f>PL03a!#REF!</f>
        <v>#REF!</v>
      </c>
      <c r="K1409" s="84">
        <f t="shared" ref="K1409" si="119">I1409</f>
        <v>4.2379999999999995</v>
      </c>
      <c r="L1409" s="85"/>
      <c r="M1409" s="84">
        <f>K1409</f>
        <v>4.2379999999999995</v>
      </c>
      <c r="N1409" s="86">
        <f>L1409+M1409</f>
        <v>4.2379999999999995</v>
      </c>
    </row>
    <row r="1410" spans="1:14" x14ac:dyDescent="0.25">
      <c r="A1410" s="97"/>
      <c r="B1410" s="103" t="s">
        <v>3334</v>
      </c>
      <c r="C1410" s="99"/>
      <c r="D1410" s="100"/>
      <c r="E1410" s="100"/>
      <c r="F1410" s="100"/>
      <c r="G1410" s="100"/>
      <c r="H1410" s="100"/>
      <c r="I1410" s="100"/>
      <c r="J1410" s="120"/>
      <c r="K1410" s="101"/>
      <c r="L1410" s="101"/>
      <c r="M1410" s="101"/>
      <c r="N1410" s="101"/>
    </row>
    <row r="1411" spans="1:14" x14ac:dyDescent="0.25">
      <c r="A1411" s="97"/>
      <c r="B1411" s="102" t="s">
        <v>3335</v>
      </c>
      <c r="C1411" s="99"/>
      <c r="D1411" s="100"/>
      <c r="E1411" s="100"/>
      <c r="F1411" s="100"/>
      <c r="G1411" s="100"/>
      <c r="H1411" s="100"/>
      <c r="I1411" s="100">
        <v>2.5</v>
      </c>
      <c r="J1411" s="120"/>
      <c r="K1411" s="101"/>
      <c r="L1411" s="101"/>
      <c r="M1411" s="101"/>
      <c r="N1411" s="101"/>
    </row>
    <row r="1412" spans="1:14" ht="38.25" x14ac:dyDescent="0.25">
      <c r="A1412" s="97"/>
      <c r="B1412" s="102" t="s">
        <v>3336</v>
      </c>
      <c r="C1412" s="99"/>
      <c r="D1412" s="100"/>
      <c r="E1412" s="100"/>
      <c r="F1412" s="100"/>
      <c r="G1412" s="100"/>
      <c r="H1412" s="100"/>
      <c r="I1412" s="100">
        <v>1.254</v>
      </c>
      <c r="J1412" s="120"/>
      <c r="K1412" s="101"/>
      <c r="L1412" s="101"/>
      <c r="M1412" s="101"/>
      <c r="N1412" s="101"/>
    </row>
    <row r="1413" spans="1:14" x14ac:dyDescent="0.25">
      <c r="A1413" s="97"/>
      <c r="B1413" s="102" t="s">
        <v>3337</v>
      </c>
      <c r="C1413" s="99"/>
      <c r="D1413" s="100"/>
      <c r="E1413" s="100"/>
      <c r="F1413" s="100"/>
      <c r="G1413" s="100"/>
      <c r="H1413" s="100"/>
      <c r="I1413" s="100">
        <v>0.48399999999999999</v>
      </c>
      <c r="J1413" s="120"/>
      <c r="K1413" s="101"/>
      <c r="L1413" s="101"/>
      <c r="M1413" s="101"/>
      <c r="N1413" s="101"/>
    </row>
    <row r="1414" spans="1:14" x14ac:dyDescent="0.25">
      <c r="A1414" s="97">
        <v>6</v>
      </c>
      <c r="B1414" s="98" t="s">
        <v>2054</v>
      </c>
      <c r="C1414" s="99" t="s">
        <v>61</v>
      </c>
      <c r="D1414" s="100"/>
      <c r="E1414" s="100"/>
      <c r="F1414" s="100"/>
      <c r="G1414" s="100"/>
      <c r="H1414" s="100"/>
      <c r="I1414" s="100">
        <f>I1416</f>
        <v>0.1</v>
      </c>
      <c r="J1414" s="120" t="e">
        <f>PL03a!#REF!</f>
        <v>#REF!</v>
      </c>
      <c r="K1414" s="84">
        <f t="shared" ref="K1414" si="120">I1414</f>
        <v>0.1</v>
      </c>
      <c r="L1414" s="85"/>
      <c r="M1414" s="84">
        <f>K1414</f>
        <v>0.1</v>
      </c>
      <c r="N1414" s="86">
        <f>L1414+M1414</f>
        <v>0.1</v>
      </c>
    </row>
    <row r="1415" spans="1:14" x14ac:dyDescent="0.25">
      <c r="A1415" s="97"/>
      <c r="B1415" s="103" t="s">
        <v>3334</v>
      </c>
      <c r="C1415" s="99"/>
      <c r="D1415" s="100"/>
      <c r="E1415" s="100"/>
      <c r="F1415" s="100"/>
      <c r="G1415" s="100"/>
      <c r="H1415" s="100"/>
      <c r="I1415" s="100"/>
      <c r="J1415" s="120"/>
      <c r="K1415" s="101"/>
      <c r="L1415" s="101"/>
      <c r="M1415" s="101"/>
      <c r="N1415" s="101"/>
    </row>
    <row r="1416" spans="1:14" x14ac:dyDescent="0.25">
      <c r="A1416" s="97"/>
      <c r="B1416" s="102" t="s">
        <v>3338</v>
      </c>
      <c r="C1416" s="99"/>
      <c r="D1416" s="100"/>
      <c r="E1416" s="100"/>
      <c r="F1416" s="100"/>
      <c r="G1416" s="100"/>
      <c r="H1416" s="100"/>
      <c r="I1416" s="100">
        <v>0.1</v>
      </c>
      <c r="J1416" s="120"/>
      <c r="K1416" s="101"/>
      <c r="L1416" s="101"/>
      <c r="M1416" s="101"/>
      <c r="N1416" s="101"/>
    </row>
    <row r="1417" spans="1:14" ht="38.25" x14ac:dyDescent="0.25">
      <c r="A1417" s="97">
        <v>7</v>
      </c>
      <c r="B1417" s="98" t="s">
        <v>2127</v>
      </c>
      <c r="C1417" s="99" t="s">
        <v>61</v>
      </c>
      <c r="D1417" s="100"/>
      <c r="E1417" s="100"/>
      <c r="F1417" s="100"/>
      <c r="G1417" s="100"/>
      <c r="H1417" s="100"/>
      <c r="I1417" s="100">
        <f>SUM(I1418:I1420)</f>
        <v>6.2E-2</v>
      </c>
      <c r="J1417" s="120" t="e">
        <f>PL03a!#REF!</f>
        <v>#REF!</v>
      </c>
      <c r="K1417" s="84">
        <f t="shared" ref="K1417" si="121">I1417</f>
        <v>6.2E-2</v>
      </c>
      <c r="L1417" s="85"/>
      <c r="M1417" s="84">
        <f>K1417</f>
        <v>6.2E-2</v>
      </c>
      <c r="N1417" s="86">
        <f>L1417+M1417</f>
        <v>6.2E-2</v>
      </c>
    </row>
    <row r="1418" spans="1:14" x14ac:dyDescent="0.25">
      <c r="A1418" s="97"/>
      <c r="B1418" s="103" t="s">
        <v>3334</v>
      </c>
      <c r="C1418" s="99"/>
      <c r="D1418" s="100"/>
      <c r="E1418" s="100"/>
      <c r="F1418" s="100"/>
      <c r="G1418" s="100"/>
      <c r="H1418" s="100"/>
      <c r="I1418" s="100"/>
      <c r="J1418" s="120"/>
      <c r="K1418" s="101"/>
      <c r="L1418" s="101"/>
      <c r="M1418" s="101"/>
      <c r="N1418" s="101"/>
    </row>
    <row r="1419" spans="1:14" x14ac:dyDescent="0.25">
      <c r="A1419" s="97"/>
      <c r="B1419" s="102" t="s">
        <v>3339</v>
      </c>
      <c r="C1419" s="99"/>
      <c r="D1419" s="100"/>
      <c r="E1419" s="100"/>
      <c r="F1419" s="100"/>
      <c r="G1419" s="100"/>
      <c r="H1419" s="100"/>
      <c r="I1419" s="100">
        <v>8.7999999999999995E-2</v>
      </c>
      <c r="J1419" s="120"/>
      <c r="K1419" s="101"/>
      <c r="L1419" s="101"/>
      <c r="M1419" s="101"/>
      <c r="N1419" s="101"/>
    </row>
    <row r="1420" spans="1:14" ht="25.5" x14ac:dyDescent="0.25">
      <c r="A1420" s="97"/>
      <c r="B1420" s="102" t="s">
        <v>3340</v>
      </c>
      <c r="C1420" s="99"/>
      <c r="D1420" s="100"/>
      <c r="E1420" s="100"/>
      <c r="F1420" s="100"/>
      <c r="G1420" s="100"/>
      <c r="H1420" s="100"/>
      <c r="I1420" s="100">
        <v>-2.5999999999999999E-2</v>
      </c>
      <c r="J1420" s="120"/>
      <c r="K1420" s="101"/>
      <c r="L1420" s="101"/>
      <c r="M1420" s="101"/>
      <c r="N1420" s="101"/>
    </row>
    <row r="1421" spans="1:14" ht="38.25" x14ac:dyDescent="0.25">
      <c r="A1421" s="97">
        <v>8</v>
      </c>
      <c r="B1421" s="98" t="s">
        <v>2129</v>
      </c>
      <c r="C1421" s="99" t="s">
        <v>37</v>
      </c>
      <c r="D1421" s="100"/>
      <c r="E1421" s="100"/>
      <c r="F1421" s="100"/>
      <c r="G1421" s="100"/>
      <c r="H1421" s="100"/>
      <c r="I1421" s="100">
        <f>I1422</f>
        <v>1.8</v>
      </c>
      <c r="J1421" s="120" t="e">
        <f>PL03a!#REF!</f>
        <v>#REF!</v>
      </c>
      <c r="K1421" s="84">
        <f t="shared" ref="K1421" si="122">I1421</f>
        <v>1.8</v>
      </c>
      <c r="L1421" s="85"/>
      <c r="M1421" s="84">
        <f>K1421</f>
        <v>1.8</v>
      </c>
      <c r="N1421" s="86">
        <f>L1421+M1421</f>
        <v>1.8</v>
      </c>
    </row>
    <row r="1422" spans="1:14" x14ac:dyDescent="0.25">
      <c r="A1422" s="97"/>
      <c r="B1422" s="102" t="s">
        <v>3341</v>
      </c>
      <c r="C1422" s="99"/>
      <c r="D1422" s="100"/>
      <c r="E1422" s="100"/>
      <c r="F1422" s="100"/>
      <c r="G1422" s="100"/>
      <c r="H1422" s="100"/>
      <c r="I1422" s="100">
        <v>1.8</v>
      </c>
      <c r="J1422" s="120"/>
      <c r="K1422" s="101"/>
      <c r="L1422" s="101"/>
      <c r="M1422" s="101"/>
      <c r="N1422" s="101"/>
    </row>
    <row r="1423" spans="1:14" ht="38.25" x14ac:dyDescent="0.25">
      <c r="A1423" s="97">
        <v>9</v>
      </c>
      <c r="B1423" s="98" t="s">
        <v>2127</v>
      </c>
      <c r="C1423" s="99" t="s">
        <v>61</v>
      </c>
      <c r="D1423" s="100"/>
      <c r="E1423" s="100"/>
      <c r="F1423" s="100"/>
      <c r="G1423" s="100"/>
      <c r="H1423" s="100"/>
      <c r="I1423" s="100">
        <f>SUM(I1424:I1425)</f>
        <v>0.35499999999999998</v>
      </c>
      <c r="J1423" s="120" t="e">
        <f>PL03a!#REF!</f>
        <v>#REF!</v>
      </c>
      <c r="K1423" s="84">
        <f t="shared" ref="K1423" si="123">I1423</f>
        <v>0.35499999999999998</v>
      </c>
      <c r="L1423" s="85"/>
      <c r="M1423" s="84">
        <f>K1423</f>
        <v>0.35499999999999998</v>
      </c>
      <c r="N1423" s="86">
        <f>L1423+M1423</f>
        <v>0.35499999999999998</v>
      </c>
    </row>
    <row r="1424" spans="1:14" x14ac:dyDescent="0.25">
      <c r="A1424" s="97"/>
      <c r="B1424" s="102" t="s">
        <v>3342</v>
      </c>
      <c r="C1424" s="99"/>
      <c r="D1424" s="100"/>
      <c r="E1424" s="100"/>
      <c r="F1424" s="100"/>
      <c r="G1424" s="100"/>
      <c r="H1424" s="100"/>
      <c r="I1424" s="100">
        <v>0.36</v>
      </c>
      <c r="J1424" s="120"/>
      <c r="K1424" s="101"/>
      <c r="L1424" s="101"/>
      <c r="M1424" s="101"/>
      <c r="N1424" s="101"/>
    </row>
    <row r="1425" spans="1:14" ht="25.5" x14ac:dyDescent="0.25">
      <c r="A1425" s="97"/>
      <c r="B1425" s="102" t="s">
        <v>3343</v>
      </c>
      <c r="C1425" s="99"/>
      <c r="D1425" s="100"/>
      <c r="E1425" s="100"/>
      <c r="F1425" s="100"/>
      <c r="G1425" s="100"/>
      <c r="H1425" s="100"/>
      <c r="I1425" s="100">
        <v>-5.0000000000000001E-3</v>
      </c>
      <c r="J1425" s="120"/>
      <c r="K1425" s="101"/>
      <c r="L1425" s="101"/>
      <c r="M1425" s="101"/>
      <c r="N1425" s="101"/>
    </row>
    <row r="1426" spans="1:14" ht="25.5" x14ac:dyDescent="0.25">
      <c r="A1426" s="97">
        <v>10</v>
      </c>
      <c r="B1426" s="98" t="s">
        <v>1950</v>
      </c>
      <c r="C1426" s="99" t="s">
        <v>37</v>
      </c>
      <c r="D1426" s="100"/>
      <c r="E1426" s="100"/>
      <c r="F1426" s="100"/>
      <c r="G1426" s="100"/>
      <c r="H1426" s="100"/>
      <c r="I1426" s="100">
        <f>SUM(I1427:I1429)</f>
        <v>5.5739999999999998</v>
      </c>
      <c r="J1426" s="120" t="e">
        <f>PL03a!#REF!</f>
        <v>#REF!</v>
      </c>
      <c r="K1426" s="84">
        <f t="shared" ref="K1426" si="124">I1426</f>
        <v>5.5739999999999998</v>
      </c>
      <c r="L1426" s="85"/>
      <c r="M1426" s="84">
        <f>K1426</f>
        <v>5.5739999999999998</v>
      </c>
      <c r="N1426" s="86">
        <f>L1426+M1426</f>
        <v>5.5739999999999998</v>
      </c>
    </row>
    <row r="1427" spans="1:14" x14ac:dyDescent="0.25">
      <c r="A1427" s="97"/>
      <c r="B1427" s="103" t="s">
        <v>3324</v>
      </c>
      <c r="C1427" s="99"/>
      <c r="D1427" s="100"/>
      <c r="E1427" s="100"/>
      <c r="F1427" s="100"/>
      <c r="G1427" s="100"/>
      <c r="H1427" s="100"/>
      <c r="I1427" s="100"/>
      <c r="J1427" s="120"/>
      <c r="K1427" s="101"/>
      <c r="L1427" s="101"/>
      <c r="M1427" s="101"/>
      <c r="N1427" s="101"/>
    </row>
    <row r="1428" spans="1:14" x14ac:dyDescent="0.25">
      <c r="A1428" s="97"/>
      <c r="B1428" s="102" t="s">
        <v>3344</v>
      </c>
      <c r="C1428" s="99"/>
      <c r="D1428" s="100"/>
      <c r="E1428" s="100"/>
      <c r="F1428" s="100"/>
      <c r="G1428" s="100"/>
      <c r="H1428" s="100"/>
      <c r="I1428" s="100">
        <v>2.984</v>
      </c>
      <c r="J1428" s="120"/>
      <c r="K1428" s="101"/>
      <c r="L1428" s="101"/>
      <c r="M1428" s="101"/>
      <c r="N1428" s="101"/>
    </row>
    <row r="1429" spans="1:14" x14ac:dyDescent="0.25">
      <c r="A1429" s="97"/>
      <c r="B1429" s="102" t="s">
        <v>3345</v>
      </c>
      <c r="C1429" s="99"/>
      <c r="D1429" s="100"/>
      <c r="E1429" s="100"/>
      <c r="F1429" s="100"/>
      <c r="G1429" s="100"/>
      <c r="H1429" s="100"/>
      <c r="I1429" s="100">
        <v>2.59</v>
      </c>
      <c r="J1429" s="120"/>
      <c r="K1429" s="101"/>
      <c r="L1429" s="101"/>
      <c r="M1429" s="101"/>
      <c r="N1429" s="101"/>
    </row>
    <row r="1430" spans="1:14" x14ac:dyDescent="0.25">
      <c r="A1430" s="97">
        <v>11</v>
      </c>
      <c r="B1430" s="98" t="s">
        <v>1944</v>
      </c>
      <c r="C1430" s="99" t="s">
        <v>61</v>
      </c>
      <c r="D1430" s="100"/>
      <c r="E1430" s="100"/>
      <c r="F1430" s="100"/>
      <c r="G1430" s="100"/>
      <c r="H1430" s="100"/>
      <c r="I1430" s="100">
        <f>SUM(I1431:I1433)</f>
        <v>0.55699999999999994</v>
      </c>
      <c r="J1430" s="120" t="e">
        <f>PL03a!#REF!</f>
        <v>#REF!</v>
      </c>
      <c r="K1430" s="84">
        <f t="shared" ref="K1430" si="125">I1430</f>
        <v>0.55699999999999994</v>
      </c>
      <c r="L1430" s="85"/>
      <c r="M1430" s="84">
        <f>K1430</f>
        <v>0.55699999999999994</v>
      </c>
      <c r="N1430" s="86">
        <f>L1430+M1430</f>
        <v>0.55699999999999994</v>
      </c>
    </row>
    <row r="1431" spans="1:14" x14ac:dyDescent="0.25">
      <c r="A1431" s="97"/>
      <c r="B1431" s="103" t="s">
        <v>3324</v>
      </c>
      <c r="C1431" s="99"/>
      <c r="D1431" s="100"/>
      <c r="E1431" s="100"/>
      <c r="F1431" s="100"/>
      <c r="G1431" s="100"/>
      <c r="H1431" s="100"/>
      <c r="I1431" s="100"/>
      <c r="J1431" s="120"/>
      <c r="K1431" s="101"/>
      <c r="L1431" s="101"/>
      <c r="M1431" s="101"/>
      <c r="N1431" s="101"/>
    </row>
    <row r="1432" spans="1:14" x14ac:dyDescent="0.25">
      <c r="A1432" s="97"/>
      <c r="B1432" s="102" t="s">
        <v>3346</v>
      </c>
      <c r="C1432" s="99"/>
      <c r="D1432" s="100"/>
      <c r="E1432" s="100"/>
      <c r="F1432" s="100"/>
      <c r="G1432" s="100"/>
      <c r="H1432" s="100"/>
      <c r="I1432" s="100">
        <v>0.29799999999999999</v>
      </c>
      <c r="J1432" s="120"/>
      <c r="K1432" s="101"/>
      <c r="L1432" s="101"/>
      <c r="M1432" s="101"/>
      <c r="N1432" s="101"/>
    </row>
    <row r="1433" spans="1:14" x14ac:dyDescent="0.25">
      <c r="A1433" s="97"/>
      <c r="B1433" s="102" t="s">
        <v>3347</v>
      </c>
      <c r="C1433" s="99"/>
      <c r="D1433" s="100"/>
      <c r="E1433" s="100"/>
      <c r="F1433" s="100"/>
      <c r="G1433" s="100"/>
      <c r="H1433" s="100"/>
      <c r="I1433" s="100">
        <v>0.25900000000000001</v>
      </c>
      <c r="J1433" s="120"/>
      <c r="K1433" s="101"/>
      <c r="L1433" s="101"/>
      <c r="M1433" s="101"/>
      <c r="N1433" s="101"/>
    </row>
    <row r="1434" spans="1:14" ht="25.5" x14ac:dyDescent="0.25">
      <c r="A1434" s="97">
        <v>12</v>
      </c>
      <c r="B1434" s="98" t="s">
        <v>1950</v>
      </c>
      <c r="C1434" s="99" t="s">
        <v>37</v>
      </c>
      <c r="D1434" s="100"/>
      <c r="E1434" s="100"/>
      <c r="F1434" s="100"/>
      <c r="G1434" s="100"/>
      <c r="H1434" s="100"/>
      <c r="I1434" s="100">
        <f>SUM(I1435:I1440)</f>
        <v>5.2839999999999998</v>
      </c>
      <c r="J1434" s="120" t="e">
        <f>PL03a!#REF!</f>
        <v>#REF!</v>
      </c>
      <c r="K1434" s="84">
        <f t="shared" ref="K1434" si="126">I1434</f>
        <v>5.2839999999999998</v>
      </c>
      <c r="L1434" s="85"/>
      <c r="M1434" s="84">
        <f>K1434</f>
        <v>5.2839999999999998</v>
      </c>
      <c r="N1434" s="86">
        <f>L1434+M1434</f>
        <v>5.2839999999999998</v>
      </c>
    </row>
    <row r="1435" spans="1:14" x14ac:dyDescent="0.25">
      <c r="A1435" s="97"/>
      <c r="B1435" s="103" t="s">
        <v>3348</v>
      </c>
      <c r="C1435" s="99"/>
      <c r="D1435" s="100"/>
      <c r="E1435" s="100"/>
      <c r="F1435" s="100"/>
      <c r="G1435" s="100"/>
      <c r="H1435" s="100"/>
      <c r="I1435" s="100"/>
      <c r="J1435" s="120"/>
      <c r="K1435" s="101"/>
      <c r="L1435" s="101"/>
      <c r="M1435" s="101"/>
      <c r="N1435" s="101"/>
    </row>
    <row r="1436" spans="1:14" x14ac:dyDescent="0.25">
      <c r="A1436" s="97"/>
      <c r="B1436" s="102" t="s">
        <v>3349</v>
      </c>
      <c r="C1436" s="99"/>
      <c r="D1436" s="100"/>
      <c r="E1436" s="100"/>
      <c r="F1436" s="100"/>
      <c r="G1436" s="100"/>
      <c r="H1436" s="100"/>
      <c r="I1436" s="100">
        <v>0.59699999999999998</v>
      </c>
      <c r="J1436" s="120"/>
      <c r="K1436" s="101"/>
      <c r="L1436" s="101"/>
      <c r="M1436" s="101"/>
      <c r="N1436" s="101"/>
    </row>
    <row r="1437" spans="1:14" x14ac:dyDescent="0.25">
      <c r="A1437" s="97"/>
      <c r="B1437" s="102" t="s">
        <v>3350</v>
      </c>
      <c r="C1437" s="99"/>
      <c r="D1437" s="100"/>
      <c r="E1437" s="100"/>
      <c r="F1437" s="100"/>
      <c r="G1437" s="100"/>
      <c r="H1437" s="100"/>
      <c r="I1437" s="100">
        <v>0.20699999999999999</v>
      </c>
      <c r="J1437" s="120"/>
      <c r="K1437" s="101"/>
      <c r="L1437" s="101"/>
      <c r="M1437" s="101"/>
      <c r="N1437" s="101"/>
    </row>
    <row r="1438" spans="1:14" x14ac:dyDescent="0.25">
      <c r="A1438" s="97"/>
      <c r="B1438" s="103" t="s">
        <v>3351</v>
      </c>
      <c r="C1438" s="99"/>
      <c r="D1438" s="100"/>
      <c r="E1438" s="100"/>
      <c r="F1438" s="100"/>
      <c r="G1438" s="100"/>
      <c r="H1438" s="100"/>
      <c r="I1438" s="100"/>
      <c r="J1438" s="120"/>
      <c r="K1438" s="101"/>
      <c r="L1438" s="101"/>
      <c r="M1438" s="101"/>
      <c r="N1438" s="101"/>
    </row>
    <row r="1439" spans="1:14" x14ac:dyDescent="0.25">
      <c r="A1439" s="97"/>
      <c r="B1439" s="102" t="s">
        <v>3352</v>
      </c>
      <c r="C1439" s="99"/>
      <c r="D1439" s="100"/>
      <c r="E1439" s="100"/>
      <c r="F1439" s="100"/>
      <c r="G1439" s="100"/>
      <c r="H1439" s="100"/>
      <c r="I1439" s="100">
        <v>2.4</v>
      </c>
      <c r="J1439" s="120"/>
      <c r="K1439" s="101"/>
      <c r="L1439" s="101"/>
      <c r="M1439" s="101"/>
      <c r="N1439" s="101"/>
    </row>
    <row r="1440" spans="1:14" x14ac:dyDescent="0.25">
      <c r="A1440" s="97"/>
      <c r="B1440" s="102" t="s">
        <v>3353</v>
      </c>
      <c r="C1440" s="99"/>
      <c r="D1440" s="100"/>
      <c r="E1440" s="100"/>
      <c r="F1440" s="100"/>
      <c r="G1440" s="100"/>
      <c r="H1440" s="100"/>
      <c r="I1440" s="100">
        <v>2.08</v>
      </c>
      <c r="J1440" s="120"/>
      <c r="K1440" s="101"/>
      <c r="L1440" s="101"/>
      <c r="M1440" s="101"/>
      <c r="N1440" s="101"/>
    </row>
    <row r="1441" spans="1:14" ht="38.25" x14ac:dyDescent="0.25">
      <c r="A1441" s="97">
        <v>13</v>
      </c>
      <c r="B1441" s="98" t="s">
        <v>2135</v>
      </c>
      <c r="C1441" s="99" t="s">
        <v>61</v>
      </c>
      <c r="D1441" s="100"/>
      <c r="E1441" s="100"/>
      <c r="F1441" s="100"/>
      <c r="G1441" s="100"/>
      <c r="H1441" s="100"/>
      <c r="I1441" s="100">
        <f>SUM(I1442:I1451)</f>
        <v>0.42399999999999999</v>
      </c>
      <c r="J1441" s="120" t="e">
        <f>PL03a!#REF!</f>
        <v>#REF!</v>
      </c>
      <c r="K1441" s="84">
        <f t="shared" ref="K1441" si="127">I1441</f>
        <v>0.42399999999999999</v>
      </c>
      <c r="L1441" s="85"/>
      <c r="M1441" s="84">
        <f>K1441</f>
        <v>0.42399999999999999</v>
      </c>
      <c r="N1441" s="86">
        <f>L1441+M1441</f>
        <v>0.42399999999999999</v>
      </c>
    </row>
    <row r="1442" spans="1:14" x14ac:dyDescent="0.25">
      <c r="A1442" s="97"/>
      <c r="B1442" s="103" t="s">
        <v>3348</v>
      </c>
      <c r="C1442" s="99"/>
      <c r="D1442" s="100"/>
      <c r="E1442" s="100"/>
      <c r="F1442" s="100"/>
      <c r="G1442" s="100"/>
      <c r="H1442" s="100"/>
      <c r="I1442" s="100"/>
      <c r="J1442" s="120"/>
      <c r="K1442" s="101"/>
      <c r="L1442" s="101"/>
      <c r="M1442" s="101"/>
      <c r="N1442" s="101"/>
    </row>
    <row r="1443" spans="1:14" x14ac:dyDescent="0.25">
      <c r="A1443" s="97"/>
      <c r="B1443" s="102" t="s">
        <v>3354</v>
      </c>
      <c r="C1443" s="99"/>
      <c r="D1443" s="100"/>
      <c r="E1443" s="100"/>
      <c r="F1443" s="100"/>
      <c r="G1443" s="100"/>
      <c r="H1443" s="100"/>
      <c r="I1443" s="100">
        <v>0.06</v>
      </c>
      <c r="J1443" s="120"/>
      <c r="K1443" s="101"/>
      <c r="L1443" s="101"/>
      <c r="M1443" s="101"/>
      <c r="N1443" s="101"/>
    </row>
    <row r="1444" spans="1:14" x14ac:dyDescent="0.25">
      <c r="A1444" s="97"/>
      <c r="B1444" s="102" t="s">
        <v>3355</v>
      </c>
      <c r="C1444" s="99"/>
      <c r="D1444" s="100"/>
      <c r="E1444" s="100"/>
      <c r="F1444" s="100"/>
      <c r="G1444" s="100"/>
      <c r="H1444" s="100"/>
      <c r="I1444" s="100">
        <v>5.1999999999999998E-2</v>
      </c>
      <c r="J1444" s="120"/>
      <c r="K1444" s="101"/>
      <c r="L1444" s="101"/>
      <c r="M1444" s="101"/>
      <c r="N1444" s="101"/>
    </row>
    <row r="1445" spans="1:14" x14ac:dyDescent="0.25">
      <c r="A1445" s="97"/>
      <c r="B1445" s="103" t="s">
        <v>3351</v>
      </c>
      <c r="C1445" s="99"/>
      <c r="D1445" s="100"/>
      <c r="E1445" s="100"/>
      <c r="F1445" s="100"/>
      <c r="G1445" s="100"/>
      <c r="H1445" s="100"/>
      <c r="I1445" s="100"/>
      <c r="J1445" s="120"/>
      <c r="K1445" s="101"/>
      <c r="L1445" s="101"/>
      <c r="M1445" s="101"/>
      <c r="N1445" s="101"/>
    </row>
    <row r="1446" spans="1:14" x14ac:dyDescent="0.25">
      <c r="A1446" s="97"/>
      <c r="B1446" s="102" t="s">
        <v>3356</v>
      </c>
      <c r="C1446" s="99"/>
      <c r="D1446" s="100"/>
      <c r="E1446" s="100"/>
      <c r="F1446" s="100"/>
      <c r="G1446" s="100"/>
      <c r="H1446" s="100"/>
      <c r="I1446" s="100">
        <v>0.23899999999999999</v>
      </c>
      <c r="J1446" s="120"/>
      <c r="K1446" s="101"/>
      <c r="L1446" s="101"/>
      <c r="M1446" s="101"/>
      <c r="N1446" s="101"/>
    </row>
    <row r="1447" spans="1:14" x14ac:dyDescent="0.25">
      <c r="A1447" s="97"/>
      <c r="B1447" s="102" t="s">
        <v>3357</v>
      </c>
      <c r="C1447" s="99"/>
      <c r="D1447" s="100"/>
      <c r="E1447" s="100"/>
      <c r="F1447" s="100"/>
      <c r="G1447" s="100"/>
      <c r="H1447" s="100"/>
      <c r="I1447" s="100">
        <v>0.20699999999999999</v>
      </c>
      <c r="J1447" s="120"/>
      <c r="K1447" s="101"/>
      <c r="L1447" s="101"/>
      <c r="M1447" s="101"/>
      <c r="N1447" s="101"/>
    </row>
    <row r="1448" spans="1:14" x14ac:dyDescent="0.25">
      <c r="A1448" s="97"/>
      <c r="B1448" s="103" t="s">
        <v>3358</v>
      </c>
      <c r="C1448" s="99"/>
      <c r="D1448" s="100"/>
      <c r="E1448" s="100"/>
      <c r="F1448" s="100"/>
      <c r="G1448" s="100"/>
      <c r="H1448" s="100"/>
      <c r="I1448" s="100"/>
      <c r="J1448" s="120"/>
      <c r="K1448" s="101"/>
      <c r="L1448" s="101"/>
      <c r="M1448" s="101"/>
      <c r="N1448" s="101"/>
    </row>
    <row r="1449" spans="1:14" x14ac:dyDescent="0.25">
      <c r="A1449" s="97"/>
      <c r="B1449" s="102" t="s">
        <v>3359</v>
      </c>
      <c r="C1449" s="99"/>
      <c r="D1449" s="100"/>
      <c r="E1449" s="100"/>
      <c r="F1449" s="100"/>
      <c r="G1449" s="100"/>
      <c r="H1449" s="100"/>
      <c r="I1449" s="100">
        <v>-8.5999999999999993E-2</v>
      </c>
      <c r="J1449" s="120"/>
      <c r="K1449" s="101"/>
      <c r="L1449" s="101"/>
      <c r="M1449" s="101"/>
      <c r="N1449" s="101"/>
    </row>
    <row r="1450" spans="1:14" x14ac:dyDescent="0.25">
      <c r="A1450" s="97"/>
      <c r="B1450" s="103" t="s">
        <v>3360</v>
      </c>
      <c r="C1450" s="99"/>
      <c r="D1450" s="100"/>
      <c r="E1450" s="100"/>
      <c r="F1450" s="100"/>
      <c r="G1450" s="100"/>
      <c r="H1450" s="100"/>
      <c r="I1450" s="100"/>
      <c r="J1450" s="120"/>
      <c r="K1450" s="101"/>
      <c r="L1450" s="101"/>
      <c r="M1450" s="101"/>
      <c r="N1450" s="101"/>
    </row>
    <row r="1451" spans="1:14" x14ac:dyDescent="0.25">
      <c r="A1451" s="97"/>
      <c r="B1451" s="102" t="s">
        <v>3361</v>
      </c>
      <c r="C1451" s="99"/>
      <c r="D1451" s="100"/>
      <c r="E1451" s="100"/>
      <c r="F1451" s="100"/>
      <c r="G1451" s="100"/>
      <c r="H1451" s="100"/>
      <c r="I1451" s="100">
        <v>-4.8000000000000001E-2</v>
      </c>
      <c r="J1451" s="120"/>
      <c r="K1451" s="101"/>
      <c r="L1451" s="101"/>
      <c r="M1451" s="101"/>
      <c r="N1451" s="101"/>
    </row>
    <row r="1452" spans="1:14" ht="25.5" x14ac:dyDescent="0.25">
      <c r="A1452" s="97">
        <v>14</v>
      </c>
      <c r="B1452" s="98" t="s">
        <v>2220</v>
      </c>
      <c r="C1452" s="99" t="s">
        <v>37</v>
      </c>
      <c r="D1452" s="100"/>
      <c r="E1452" s="100"/>
      <c r="F1452" s="100"/>
      <c r="G1452" s="100"/>
      <c r="H1452" s="100"/>
      <c r="I1452" s="100">
        <f>SUM(I1453:I1459)</f>
        <v>12.878</v>
      </c>
      <c r="J1452" s="120" t="e">
        <f>PL03a!#REF!</f>
        <v>#REF!</v>
      </c>
      <c r="K1452" s="84">
        <f t="shared" ref="K1452" si="128">I1452</f>
        <v>12.878</v>
      </c>
      <c r="L1452" s="85"/>
      <c r="M1452" s="84">
        <f>K1452</f>
        <v>12.878</v>
      </c>
      <c r="N1452" s="86">
        <f>L1452+M1452</f>
        <v>12.878</v>
      </c>
    </row>
    <row r="1453" spans="1:14" x14ac:dyDescent="0.25">
      <c r="A1453" s="97"/>
      <c r="B1453" s="103" t="s">
        <v>3362</v>
      </c>
      <c r="C1453" s="99"/>
      <c r="D1453" s="100"/>
      <c r="E1453" s="100"/>
      <c r="F1453" s="100"/>
      <c r="G1453" s="100"/>
      <c r="H1453" s="100"/>
      <c r="I1453" s="100"/>
      <c r="J1453" s="120"/>
      <c r="K1453" s="101"/>
      <c r="L1453" s="101"/>
      <c r="M1453" s="101"/>
      <c r="N1453" s="101"/>
    </row>
    <row r="1454" spans="1:14" x14ac:dyDescent="0.25">
      <c r="A1454" s="97"/>
      <c r="B1454" s="102" t="s">
        <v>3363</v>
      </c>
      <c r="C1454" s="99"/>
      <c r="D1454" s="100"/>
      <c r="E1454" s="100"/>
      <c r="F1454" s="100"/>
      <c r="G1454" s="100"/>
      <c r="H1454" s="100"/>
      <c r="I1454" s="100">
        <v>9.36</v>
      </c>
      <c r="J1454" s="120"/>
      <c r="K1454" s="101"/>
      <c r="L1454" s="101"/>
      <c r="M1454" s="101"/>
      <c r="N1454" s="101"/>
    </row>
    <row r="1455" spans="1:14" x14ac:dyDescent="0.25">
      <c r="A1455" s="97"/>
      <c r="B1455" s="103" t="s">
        <v>3364</v>
      </c>
      <c r="C1455" s="99"/>
      <c r="D1455" s="100"/>
      <c r="E1455" s="100"/>
      <c r="F1455" s="100"/>
      <c r="G1455" s="100"/>
      <c r="H1455" s="100"/>
      <c r="I1455" s="100"/>
      <c r="J1455" s="120"/>
      <c r="K1455" s="101"/>
      <c r="L1455" s="101"/>
      <c r="M1455" s="101"/>
      <c r="N1455" s="101"/>
    </row>
    <row r="1456" spans="1:14" x14ac:dyDescent="0.25">
      <c r="A1456" s="97"/>
      <c r="B1456" s="103" t="s">
        <v>3365</v>
      </c>
      <c r="C1456" s="99"/>
      <c r="D1456" s="100"/>
      <c r="E1456" s="100"/>
      <c r="F1456" s="100"/>
      <c r="G1456" s="100"/>
      <c r="H1456" s="100"/>
      <c r="I1456" s="100"/>
      <c r="J1456" s="120"/>
      <c r="K1456" s="101"/>
      <c r="L1456" s="101"/>
      <c r="M1456" s="101"/>
      <c r="N1456" s="101"/>
    </row>
    <row r="1457" spans="1:14" x14ac:dyDescent="0.25">
      <c r="A1457" s="97"/>
      <c r="B1457" s="102" t="s">
        <v>3366</v>
      </c>
      <c r="C1457" s="99"/>
      <c r="D1457" s="100"/>
      <c r="E1457" s="100"/>
      <c r="F1457" s="100"/>
      <c r="G1457" s="100"/>
      <c r="H1457" s="100"/>
      <c r="I1457" s="100">
        <v>3.298</v>
      </c>
      <c r="J1457" s="120"/>
      <c r="K1457" s="101"/>
      <c r="L1457" s="101"/>
      <c r="M1457" s="101"/>
      <c r="N1457" s="101"/>
    </row>
    <row r="1458" spans="1:14" x14ac:dyDescent="0.25">
      <c r="A1458" s="97"/>
      <c r="B1458" s="103" t="s">
        <v>3367</v>
      </c>
      <c r="C1458" s="99"/>
      <c r="D1458" s="100"/>
      <c r="E1458" s="100"/>
      <c r="F1458" s="100"/>
      <c r="G1458" s="100"/>
      <c r="H1458" s="100"/>
      <c r="I1458" s="100"/>
      <c r="J1458" s="120"/>
      <c r="K1458" s="101"/>
      <c r="L1458" s="101"/>
      <c r="M1458" s="101"/>
      <c r="N1458" s="101"/>
    </row>
    <row r="1459" spans="1:14" ht="25.5" x14ac:dyDescent="0.25">
      <c r="A1459" s="97"/>
      <c r="B1459" s="102" t="s">
        <v>3368</v>
      </c>
      <c r="C1459" s="99"/>
      <c r="D1459" s="100"/>
      <c r="E1459" s="100"/>
      <c r="F1459" s="100"/>
      <c r="G1459" s="100"/>
      <c r="H1459" s="100"/>
      <c r="I1459" s="100">
        <v>0.22</v>
      </c>
      <c r="J1459" s="120"/>
      <c r="K1459" s="101"/>
      <c r="L1459" s="101"/>
      <c r="M1459" s="101"/>
      <c r="N1459" s="101"/>
    </row>
    <row r="1460" spans="1:14" ht="38.25" x14ac:dyDescent="0.25">
      <c r="A1460" s="97">
        <v>15</v>
      </c>
      <c r="B1460" s="98" t="s">
        <v>1952</v>
      </c>
      <c r="C1460" s="99" t="s">
        <v>61</v>
      </c>
      <c r="D1460" s="100"/>
      <c r="E1460" s="100"/>
      <c r="F1460" s="100"/>
      <c r="G1460" s="100"/>
      <c r="H1460" s="100"/>
      <c r="I1460" s="100">
        <f>I1462</f>
        <v>0.78</v>
      </c>
      <c r="J1460" s="120" t="e">
        <f>PL03a!#REF!</f>
        <v>#REF!</v>
      </c>
      <c r="K1460" s="84">
        <f t="shared" ref="K1460" si="129">I1460</f>
        <v>0.78</v>
      </c>
      <c r="L1460" s="85"/>
      <c r="M1460" s="84">
        <f>K1460</f>
        <v>0.78</v>
      </c>
      <c r="N1460" s="86">
        <f>L1460+M1460</f>
        <v>0.78</v>
      </c>
    </row>
    <row r="1461" spans="1:14" x14ac:dyDescent="0.25">
      <c r="A1461" s="97"/>
      <c r="B1461" s="103" t="s">
        <v>3362</v>
      </c>
      <c r="C1461" s="99"/>
      <c r="D1461" s="100"/>
      <c r="E1461" s="100"/>
      <c r="F1461" s="100"/>
      <c r="G1461" s="100"/>
      <c r="H1461" s="100"/>
      <c r="I1461" s="100"/>
      <c r="J1461" s="120"/>
      <c r="K1461" s="101"/>
      <c r="L1461" s="101"/>
      <c r="M1461" s="101"/>
      <c r="N1461" s="101"/>
    </row>
    <row r="1462" spans="1:14" x14ac:dyDescent="0.25">
      <c r="A1462" s="97"/>
      <c r="B1462" s="102" t="s">
        <v>3369</v>
      </c>
      <c r="C1462" s="99"/>
      <c r="D1462" s="100"/>
      <c r="E1462" s="100"/>
      <c r="F1462" s="100"/>
      <c r="G1462" s="100"/>
      <c r="H1462" s="100"/>
      <c r="I1462" s="100">
        <v>0.78</v>
      </c>
      <c r="J1462" s="120"/>
      <c r="K1462" s="101"/>
      <c r="L1462" s="101"/>
      <c r="M1462" s="101"/>
      <c r="N1462" s="101"/>
    </row>
    <row r="1463" spans="1:14" ht="25.5" x14ac:dyDescent="0.25">
      <c r="A1463" s="97">
        <v>16</v>
      </c>
      <c r="B1463" s="98" t="s">
        <v>130</v>
      </c>
      <c r="C1463" s="99" t="s">
        <v>61</v>
      </c>
      <c r="D1463" s="100"/>
      <c r="E1463" s="100"/>
      <c r="F1463" s="100"/>
      <c r="G1463" s="100"/>
      <c r="H1463" s="100"/>
      <c r="I1463" s="100">
        <f>SUM(I1464:I1470)</f>
        <v>0.48000000000000004</v>
      </c>
      <c r="J1463" s="120" t="e">
        <f>PL03a!#REF!</f>
        <v>#REF!</v>
      </c>
      <c r="K1463" s="84">
        <f t="shared" ref="K1463" si="130">I1463</f>
        <v>0.48000000000000004</v>
      </c>
      <c r="L1463" s="85"/>
      <c r="M1463" s="84">
        <f>K1463</f>
        <v>0.48000000000000004</v>
      </c>
      <c r="N1463" s="86">
        <f>L1463+M1463</f>
        <v>0.48000000000000004</v>
      </c>
    </row>
    <row r="1464" spans="1:14" x14ac:dyDescent="0.25">
      <c r="A1464" s="97"/>
      <c r="B1464" s="103" t="s">
        <v>3364</v>
      </c>
      <c r="C1464" s="99"/>
      <c r="D1464" s="100"/>
      <c r="E1464" s="100"/>
      <c r="F1464" s="100"/>
      <c r="G1464" s="100"/>
      <c r="H1464" s="100"/>
      <c r="I1464" s="100"/>
      <c r="J1464" s="120"/>
      <c r="K1464" s="101"/>
      <c r="L1464" s="101"/>
      <c r="M1464" s="101"/>
      <c r="N1464" s="101"/>
    </row>
    <row r="1465" spans="1:14" x14ac:dyDescent="0.25">
      <c r="A1465" s="97"/>
      <c r="B1465" s="103" t="s">
        <v>3365</v>
      </c>
      <c r="C1465" s="99"/>
      <c r="D1465" s="100"/>
      <c r="E1465" s="100"/>
      <c r="F1465" s="100"/>
      <c r="G1465" s="100"/>
      <c r="H1465" s="100"/>
      <c r="I1465" s="100"/>
      <c r="J1465" s="120"/>
      <c r="K1465" s="101"/>
      <c r="L1465" s="101"/>
      <c r="M1465" s="101"/>
      <c r="N1465" s="101"/>
    </row>
    <row r="1466" spans="1:14" x14ac:dyDescent="0.25">
      <c r="A1466" s="97"/>
      <c r="B1466" s="102" t="s">
        <v>3370</v>
      </c>
      <c r="C1466" s="99"/>
      <c r="D1466" s="100"/>
      <c r="E1466" s="100"/>
      <c r="F1466" s="100"/>
      <c r="G1466" s="100"/>
      <c r="H1466" s="100"/>
      <c r="I1466" s="100">
        <v>0.27500000000000002</v>
      </c>
      <c r="J1466" s="120"/>
      <c r="K1466" s="101"/>
      <c r="L1466" s="101"/>
      <c r="M1466" s="101"/>
      <c r="N1466" s="101"/>
    </row>
    <row r="1467" spans="1:14" x14ac:dyDescent="0.25">
      <c r="A1467" s="97"/>
      <c r="B1467" s="103" t="s">
        <v>3371</v>
      </c>
      <c r="C1467" s="99"/>
      <c r="D1467" s="100"/>
      <c r="E1467" s="100"/>
      <c r="F1467" s="100"/>
      <c r="G1467" s="100"/>
      <c r="H1467" s="100"/>
      <c r="I1467" s="100"/>
      <c r="J1467" s="120"/>
      <c r="K1467" s="101"/>
      <c r="L1467" s="101"/>
      <c r="M1467" s="101"/>
      <c r="N1467" s="101"/>
    </row>
    <row r="1468" spans="1:14" ht="25.5" x14ac:dyDescent="0.25">
      <c r="A1468" s="97"/>
      <c r="B1468" s="102" t="s">
        <v>3372</v>
      </c>
      <c r="C1468" s="99"/>
      <c r="D1468" s="100"/>
      <c r="E1468" s="100"/>
      <c r="F1468" s="100"/>
      <c r="G1468" s="100"/>
      <c r="H1468" s="100"/>
      <c r="I1468" s="100">
        <v>2.1999999999999999E-2</v>
      </c>
      <c r="J1468" s="120"/>
      <c r="K1468" s="101"/>
      <c r="L1468" s="101"/>
      <c r="M1468" s="101"/>
      <c r="N1468" s="101"/>
    </row>
    <row r="1469" spans="1:14" x14ac:dyDescent="0.25">
      <c r="A1469" s="97"/>
      <c r="B1469" s="103" t="s">
        <v>3373</v>
      </c>
      <c r="C1469" s="99"/>
      <c r="D1469" s="100"/>
      <c r="E1469" s="100"/>
      <c r="F1469" s="100"/>
      <c r="G1469" s="100"/>
      <c r="H1469" s="100"/>
      <c r="I1469" s="100"/>
      <c r="J1469" s="120"/>
      <c r="K1469" s="101"/>
      <c r="L1469" s="101"/>
      <c r="M1469" s="101"/>
      <c r="N1469" s="101"/>
    </row>
    <row r="1470" spans="1:14" x14ac:dyDescent="0.25">
      <c r="A1470" s="97"/>
      <c r="B1470" s="102" t="s">
        <v>3374</v>
      </c>
      <c r="C1470" s="99"/>
      <c r="D1470" s="100"/>
      <c r="E1470" s="100"/>
      <c r="F1470" s="100"/>
      <c r="G1470" s="100"/>
      <c r="H1470" s="100"/>
      <c r="I1470" s="100">
        <v>0.183</v>
      </c>
      <c r="J1470" s="120"/>
      <c r="K1470" s="101"/>
      <c r="L1470" s="101"/>
      <c r="M1470" s="101"/>
      <c r="N1470" s="101"/>
    </row>
    <row r="1471" spans="1:14" ht="25.5" x14ac:dyDescent="0.25">
      <c r="A1471" s="97">
        <v>17</v>
      </c>
      <c r="B1471" s="98" t="s">
        <v>2224</v>
      </c>
      <c r="C1471" s="99" t="s">
        <v>37</v>
      </c>
      <c r="D1471" s="100"/>
      <c r="E1471" s="100"/>
      <c r="F1471" s="100"/>
      <c r="G1471" s="100"/>
      <c r="H1471" s="100"/>
      <c r="I1471" s="100">
        <f>I1472</f>
        <v>2.3239999999999998</v>
      </c>
      <c r="J1471" s="120" t="e">
        <f>PL03a!#REF!</f>
        <v>#REF!</v>
      </c>
      <c r="K1471" s="84">
        <f t="shared" ref="K1471" si="131">I1471</f>
        <v>2.3239999999999998</v>
      </c>
      <c r="L1471" s="85"/>
      <c r="M1471" s="84">
        <f>K1471</f>
        <v>2.3239999999999998</v>
      </c>
      <c r="N1471" s="86">
        <f>L1471+M1471</f>
        <v>2.3239999999999998</v>
      </c>
    </row>
    <row r="1472" spans="1:14" x14ac:dyDescent="0.25">
      <c r="A1472" s="97"/>
      <c r="B1472" s="102" t="s">
        <v>3375</v>
      </c>
      <c r="C1472" s="99"/>
      <c r="D1472" s="100"/>
      <c r="E1472" s="100"/>
      <c r="F1472" s="100"/>
      <c r="G1472" s="100"/>
      <c r="H1472" s="100"/>
      <c r="I1472" s="100">
        <v>2.3239999999999998</v>
      </c>
      <c r="J1472" s="120"/>
      <c r="K1472" s="101"/>
      <c r="L1472" s="101"/>
      <c r="M1472" s="101"/>
      <c r="N1472" s="101"/>
    </row>
    <row r="1473" spans="1:14" x14ac:dyDescent="0.25">
      <c r="A1473" s="97">
        <v>18</v>
      </c>
      <c r="B1473" s="98" t="s">
        <v>1944</v>
      </c>
      <c r="C1473" s="99" t="s">
        <v>61</v>
      </c>
      <c r="D1473" s="100"/>
      <c r="E1473" s="100"/>
      <c r="F1473" s="100"/>
      <c r="G1473" s="100"/>
      <c r="H1473" s="100"/>
      <c r="I1473" s="100">
        <f>I1474</f>
        <v>0.04</v>
      </c>
      <c r="J1473" s="120" t="e">
        <f>PL03a!#REF!</f>
        <v>#REF!</v>
      </c>
      <c r="K1473" s="84">
        <f t="shared" ref="K1473" si="132">I1473</f>
        <v>0.04</v>
      </c>
      <c r="L1473" s="85"/>
      <c r="M1473" s="84">
        <f>K1473</f>
        <v>0.04</v>
      </c>
      <c r="N1473" s="86">
        <f>L1473+M1473</f>
        <v>0.04</v>
      </c>
    </row>
    <row r="1474" spans="1:14" ht="25.5" x14ac:dyDescent="0.25">
      <c r="A1474" s="97"/>
      <c r="B1474" s="102" t="s">
        <v>3376</v>
      </c>
      <c r="C1474" s="99"/>
      <c r="D1474" s="100"/>
      <c r="E1474" s="100"/>
      <c r="F1474" s="100"/>
      <c r="G1474" s="100"/>
      <c r="H1474" s="100"/>
      <c r="I1474" s="100">
        <v>0.04</v>
      </c>
      <c r="J1474" s="120"/>
      <c r="K1474" s="101"/>
      <c r="L1474" s="101"/>
      <c r="M1474" s="101"/>
      <c r="N1474" s="101"/>
    </row>
    <row r="1475" spans="1:14" ht="25.5" x14ac:dyDescent="0.25">
      <c r="A1475" s="97">
        <v>19</v>
      </c>
      <c r="B1475" s="98" t="s">
        <v>1954</v>
      </c>
      <c r="C1475" s="99" t="s">
        <v>32</v>
      </c>
      <c r="D1475" s="100"/>
      <c r="E1475" s="100"/>
      <c r="F1475" s="100"/>
      <c r="G1475" s="100"/>
      <c r="H1475" s="100"/>
      <c r="I1475" s="100">
        <f>SUM(I1476:I1479)</f>
        <v>0.22499999999999998</v>
      </c>
      <c r="J1475" s="120" t="e">
        <f>PL03a!#REF!</f>
        <v>#REF!</v>
      </c>
      <c r="K1475" s="84">
        <f t="shared" ref="K1475" si="133">I1475</f>
        <v>0.22499999999999998</v>
      </c>
      <c r="L1475" s="85"/>
      <c r="M1475" s="84">
        <f>K1475</f>
        <v>0.22499999999999998</v>
      </c>
      <c r="N1475" s="86">
        <f>L1475+M1475</f>
        <v>0.22499999999999998</v>
      </c>
    </row>
    <row r="1476" spans="1:14" x14ac:dyDescent="0.25">
      <c r="A1476" s="97"/>
      <c r="B1476" s="103" t="s">
        <v>3377</v>
      </c>
      <c r="C1476" s="99"/>
      <c r="D1476" s="100"/>
      <c r="E1476" s="100"/>
      <c r="F1476" s="100"/>
      <c r="G1476" s="100"/>
      <c r="H1476" s="100"/>
      <c r="I1476" s="100"/>
      <c r="J1476" s="120"/>
      <c r="K1476" s="101"/>
      <c r="L1476" s="101"/>
      <c r="M1476" s="101"/>
      <c r="N1476" s="101"/>
    </row>
    <row r="1477" spans="1:14" x14ac:dyDescent="0.25">
      <c r="A1477" s="97"/>
      <c r="B1477" s="102" t="s">
        <v>3378</v>
      </c>
      <c r="C1477" s="99"/>
      <c r="D1477" s="100"/>
      <c r="E1477" s="100"/>
      <c r="F1477" s="100"/>
      <c r="G1477" s="100"/>
      <c r="H1477" s="100"/>
      <c r="I1477" s="100">
        <v>0.14199999999999999</v>
      </c>
      <c r="J1477" s="120"/>
      <c r="K1477" s="101"/>
      <c r="L1477" s="101"/>
      <c r="M1477" s="101"/>
      <c r="N1477" s="101"/>
    </row>
    <row r="1478" spans="1:14" x14ac:dyDescent="0.25">
      <c r="A1478" s="97"/>
      <c r="B1478" s="103" t="s">
        <v>3379</v>
      </c>
      <c r="C1478" s="99"/>
      <c r="D1478" s="100"/>
      <c r="E1478" s="100"/>
      <c r="F1478" s="100"/>
      <c r="G1478" s="100"/>
      <c r="H1478" s="100"/>
      <c r="I1478" s="100"/>
      <c r="J1478" s="120"/>
      <c r="K1478" s="101"/>
      <c r="L1478" s="101"/>
      <c r="M1478" s="101"/>
      <c r="N1478" s="101"/>
    </row>
    <row r="1479" spans="1:14" x14ac:dyDescent="0.25">
      <c r="A1479" s="97"/>
      <c r="B1479" s="102" t="s">
        <v>3380</v>
      </c>
      <c r="C1479" s="99"/>
      <c r="D1479" s="100"/>
      <c r="E1479" s="100"/>
      <c r="F1479" s="100"/>
      <c r="G1479" s="100"/>
      <c r="H1479" s="100"/>
      <c r="I1479" s="100">
        <v>8.3000000000000004E-2</v>
      </c>
      <c r="J1479" s="120"/>
      <c r="K1479" s="101"/>
      <c r="L1479" s="101"/>
      <c r="M1479" s="101"/>
      <c r="N1479" s="101"/>
    </row>
    <row r="1480" spans="1:14" ht="38.25" x14ac:dyDescent="0.25">
      <c r="A1480" s="97">
        <v>20</v>
      </c>
      <c r="B1480" s="98" t="s">
        <v>2137</v>
      </c>
      <c r="C1480" s="99" t="s">
        <v>32</v>
      </c>
      <c r="D1480" s="100"/>
      <c r="E1480" s="100"/>
      <c r="F1480" s="100"/>
      <c r="G1480" s="100"/>
      <c r="H1480" s="100"/>
      <c r="I1480" s="100">
        <f>I1481</f>
        <v>0.33300000000000002</v>
      </c>
      <c r="J1480" s="120" t="e">
        <f>PL03a!#REF!</f>
        <v>#REF!</v>
      </c>
      <c r="K1480" s="84">
        <f t="shared" ref="K1480" si="134">I1480</f>
        <v>0.33300000000000002</v>
      </c>
      <c r="L1480" s="85"/>
      <c r="M1480" s="84">
        <f>K1480</f>
        <v>0.33300000000000002</v>
      </c>
      <c r="N1480" s="86">
        <f>L1480+M1480</f>
        <v>0.33300000000000002</v>
      </c>
    </row>
    <row r="1481" spans="1:14" ht="38.25" x14ac:dyDescent="0.25">
      <c r="A1481" s="97"/>
      <c r="B1481" s="102" t="s">
        <v>3381</v>
      </c>
      <c r="C1481" s="99"/>
      <c r="D1481" s="100"/>
      <c r="E1481" s="100"/>
      <c r="F1481" s="100"/>
      <c r="G1481" s="100"/>
      <c r="H1481" s="100"/>
      <c r="I1481" s="100">
        <v>0.33300000000000002</v>
      </c>
      <c r="J1481" s="120"/>
      <c r="K1481" s="101"/>
      <c r="L1481" s="101"/>
      <c r="M1481" s="101"/>
      <c r="N1481" s="101"/>
    </row>
    <row r="1482" spans="1:14" ht="38.25" x14ac:dyDescent="0.25">
      <c r="A1482" s="97">
        <v>21</v>
      </c>
      <c r="B1482" s="98" t="s">
        <v>2139</v>
      </c>
      <c r="C1482" s="99" t="s">
        <v>32</v>
      </c>
      <c r="D1482" s="100"/>
      <c r="E1482" s="100"/>
      <c r="F1482" s="100"/>
      <c r="G1482" s="100"/>
      <c r="H1482" s="100"/>
      <c r="I1482" s="100">
        <f>SUM(I1483:I1484)</f>
        <v>1.089</v>
      </c>
      <c r="J1482" s="120" t="e">
        <f>PL03a!#REF!</f>
        <v>#REF!</v>
      </c>
      <c r="K1482" s="84">
        <f t="shared" ref="K1482" si="135">I1482</f>
        <v>1.089</v>
      </c>
      <c r="L1482" s="85"/>
      <c r="M1482" s="84">
        <f>K1482</f>
        <v>1.089</v>
      </c>
      <c r="N1482" s="86">
        <f>L1482+M1482</f>
        <v>1.089</v>
      </c>
    </row>
    <row r="1483" spans="1:14" ht="38.25" x14ac:dyDescent="0.25">
      <c r="A1483" s="97"/>
      <c r="B1483" s="102" t="s">
        <v>3382</v>
      </c>
      <c r="C1483" s="99"/>
      <c r="D1483" s="100"/>
      <c r="E1483" s="100"/>
      <c r="F1483" s="100"/>
      <c r="G1483" s="100"/>
      <c r="H1483" s="100"/>
      <c r="I1483" s="100">
        <v>0.91200000000000003</v>
      </c>
      <c r="J1483" s="120"/>
      <c r="K1483" s="101"/>
      <c r="L1483" s="101"/>
      <c r="M1483" s="101"/>
      <c r="N1483" s="101"/>
    </row>
    <row r="1484" spans="1:14" x14ac:dyDescent="0.25">
      <c r="A1484" s="97"/>
      <c r="B1484" s="102" t="s">
        <v>3383</v>
      </c>
      <c r="C1484" s="99"/>
      <c r="D1484" s="100"/>
      <c r="E1484" s="100"/>
      <c r="F1484" s="100"/>
      <c r="G1484" s="100"/>
      <c r="H1484" s="100"/>
      <c r="I1484" s="100">
        <v>0.17699999999999999</v>
      </c>
      <c r="J1484" s="120"/>
      <c r="K1484" s="101"/>
      <c r="L1484" s="101"/>
      <c r="M1484" s="101"/>
      <c r="N1484" s="101"/>
    </row>
    <row r="1485" spans="1:14" ht="38.25" x14ac:dyDescent="0.25">
      <c r="A1485" s="97">
        <v>22</v>
      </c>
      <c r="B1485" s="98" t="s">
        <v>2142</v>
      </c>
      <c r="C1485" s="99" t="s">
        <v>32</v>
      </c>
      <c r="D1485" s="100"/>
      <c r="E1485" s="100"/>
      <c r="F1485" s="100"/>
      <c r="G1485" s="100"/>
      <c r="H1485" s="100"/>
      <c r="I1485" s="100">
        <f>I1486</f>
        <v>5.6000000000000001E-2</v>
      </c>
      <c r="J1485" s="120" t="e">
        <f>PL03a!#REF!</f>
        <v>#REF!</v>
      </c>
      <c r="K1485" s="84">
        <f t="shared" ref="K1485" si="136">I1485</f>
        <v>5.6000000000000001E-2</v>
      </c>
      <c r="L1485" s="85"/>
      <c r="M1485" s="84">
        <f>K1485</f>
        <v>5.6000000000000001E-2</v>
      </c>
      <c r="N1485" s="86">
        <f>L1485+M1485</f>
        <v>5.6000000000000001E-2</v>
      </c>
    </row>
    <row r="1486" spans="1:14" x14ac:dyDescent="0.25">
      <c r="A1486" s="97"/>
      <c r="B1486" s="102" t="s">
        <v>3384</v>
      </c>
      <c r="C1486" s="99"/>
      <c r="D1486" s="100"/>
      <c r="E1486" s="100"/>
      <c r="F1486" s="100"/>
      <c r="G1486" s="100"/>
      <c r="H1486" s="100"/>
      <c r="I1486" s="100">
        <v>5.6000000000000001E-2</v>
      </c>
      <c r="J1486" s="120"/>
      <c r="K1486" s="101"/>
      <c r="L1486" s="101"/>
      <c r="M1486" s="101"/>
      <c r="N1486" s="101"/>
    </row>
    <row r="1487" spans="1:14" ht="38.25" x14ac:dyDescent="0.25">
      <c r="A1487" s="97">
        <v>23</v>
      </c>
      <c r="B1487" s="98" t="s">
        <v>2231</v>
      </c>
      <c r="C1487" s="99" t="s">
        <v>32</v>
      </c>
      <c r="D1487" s="100"/>
      <c r="E1487" s="100"/>
      <c r="F1487" s="100"/>
      <c r="G1487" s="100"/>
      <c r="H1487" s="100"/>
      <c r="I1487" s="100">
        <f>I1488</f>
        <v>0.45300000000000001</v>
      </c>
      <c r="J1487" s="120" t="e">
        <f>PL03a!#REF!</f>
        <v>#REF!</v>
      </c>
      <c r="K1487" s="84">
        <f t="shared" ref="K1487" si="137">I1487</f>
        <v>0.45300000000000001</v>
      </c>
      <c r="L1487" s="85"/>
      <c r="M1487" s="84">
        <f>K1487</f>
        <v>0.45300000000000001</v>
      </c>
      <c r="N1487" s="86">
        <f>L1487+M1487</f>
        <v>0.45300000000000001</v>
      </c>
    </row>
    <row r="1488" spans="1:14" x14ac:dyDescent="0.25">
      <c r="A1488" s="97"/>
      <c r="B1488" s="102" t="s">
        <v>3385</v>
      </c>
      <c r="C1488" s="99"/>
      <c r="D1488" s="100"/>
      <c r="E1488" s="100"/>
      <c r="F1488" s="100"/>
      <c r="G1488" s="100"/>
      <c r="H1488" s="100"/>
      <c r="I1488" s="100">
        <v>0.45300000000000001</v>
      </c>
      <c r="J1488" s="120"/>
      <c r="K1488" s="101"/>
      <c r="L1488" s="101"/>
      <c r="M1488" s="101"/>
      <c r="N1488" s="101"/>
    </row>
    <row r="1489" spans="1:14" ht="38.25" x14ac:dyDescent="0.25">
      <c r="A1489" s="97">
        <v>24</v>
      </c>
      <c r="B1489" s="98" t="s">
        <v>2233</v>
      </c>
      <c r="C1489" s="99" t="s">
        <v>32</v>
      </c>
      <c r="D1489" s="100"/>
      <c r="E1489" s="100"/>
      <c r="F1489" s="100"/>
      <c r="G1489" s="100"/>
      <c r="H1489" s="100"/>
      <c r="I1489" s="100">
        <f>I1490</f>
        <v>1.153</v>
      </c>
      <c r="J1489" s="120" t="e">
        <f>PL03a!#REF!</f>
        <v>#REF!</v>
      </c>
      <c r="K1489" s="84">
        <f t="shared" ref="K1489" si="138">I1489</f>
        <v>1.153</v>
      </c>
      <c r="L1489" s="85"/>
      <c r="M1489" s="84">
        <f>K1489</f>
        <v>1.153</v>
      </c>
      <c r="N1489" s="86">
        <f>L1489+M1489</f>
        <v>1.153</v>
      </c>
    </row>
    <row r="1490" spans="1:14" x14ac:dyDescent="0.25">
      <c r="A1490" s="97"/>
      <c r="B1490" s="102" t="s">
        <v>3386</v>
      </c>
      <c r="C1490" s="99"/>
      <c r="D1490" s="100"/>
      <c r="E1490" s="100"/>
      <c r="F1490" s="100"/>
      <c r="G1490" s="100"/>
      <c r="H1490" s="100"/>
      <c r="I1490" s="100">
        <v>1.153</v>
      </c>
      <c r="J1490" s="120"/>
      <c r="K1490" s="101"/>
      <c r="L1490" s="101"/>
      <c r="M1490" s="101"/>
      <c r="N1490" s="101"/>
    </row>
    <row r="1491" spans="1:14" ht="38.25" x14ac:dyDescent="0.25">
      <c r="A1491" s="97">
        <v>25</v>
      </c>
      <c r="B1491" s="98" t="s">
        <v>2235</v>
      </c>
      <c r="C1491" s="99" t="s">
        <v>32</v>
      </c>
      <c r="D1491" s="100"/>
      <c r="E1491" s="100"/>
      <c r="F1491" s="100"/>
      <c r="G1491" s="100"/>
      <c r="H1491" s="100"/>
      <c r="I1491" s="100">
        <f>I1492</f>
        <v>5.8999999999999997E-2</v>
      </c>
      <c r="J1491" s="120" t="e">
        <f>PL03a!#REF!</f>
        <v>#REF!</v>
      </c>
      <c r="K1491" s="84">
        <f t="shared" ref="K1491" si="139">I1491</f>
        <v>5.8999999999999997E-2</v>
      </c>
      <c r="L1491" s="85"/>
      <c r="M1491" s="84">
        <f>K1491</f>
        <v>5.8999999999999997E-2</v>
      </c>
      <c r="N1491" s="86">
        <f>L1491+M1491</f>
        <v>5.8999999999999997E-2</v>
      </c>
    </row>
    <row r="1492" spans="1:14" x14ac:dyDescent="0.25">
      <c r="A1492" s="97"/>
      <c r="B1492" s="102" t="s">
        <v>3387</v>
      </c>
      <c r="C1492" s="99"/>
      <c r="D1492" s="100"/>
      <c r="E1492" s="100"/>
      <c r="F1492" s="100"/>
      <c r="G1492" s="100"/>
      <c r="H1492" s="100"/>
      <c r="I1492" s="100">
        <v>5.8999999999999997E-2</v>
      </c>
      <c r="J1492" s="120"/>
      <c r="K1492" s="101"/>
      <c r="L1492" s="101"/>
      <c r="M1492" s="101"/>
      <c r="N1492" s="101"/>
    </row>
    <row r="1493" spans="1:14" ht="38.25" x14ac:dyDescent="0.25">
      <c r="A1493" s="97">
        <v>26</v>
      </c>
      <c r="B1493" s="98" t="s">
        <v>2237</v>
      </c>
      <c r="C1493" s="99" t="s">
        <v>32</v>
      </c>
      <c r="D1493" s="100"/>
      <c r="E1493" s="100"/>
      <c r="F1493" s="100"/>
      <c r="G1493" s="100"/>
      <c r="H1493" s="100"/>
      <c r="I1493" s="100">
        <f>I1494</f>
        <v>2.5000000000000001E-2</v>
      </c>
      <c r="J1493" s="120" t="e">
        <f>PL03a!#REF!</f>
        <v>#REF!</v>
      </c>
      <c r="K1493" s="84">
        <f t="shared" ref="K1493" si="140">I1493</f>
        <v>2.5000000000000001E-2</v>
      </c>
      <c r="L1493" s="85"/>
      <c r="M1493" s="84">
        <f>K1493</f>
        <v>2.5000000000000001E-2</v>
      </c>
      <c r="N1493" s="86">
        <f>L1493+M1493</f>
        <v>2.5000000000000001E-2</v>
      </c>
    </row>
    <row r="1494" spans="1:14" x14ac:dyDescent="0.25">
      <c r="A1494" s="97"/>
      <c r="B1494" s="102" t="s">
        <v>3388</v>
      </c>
      <c r="C1494" s="99"/>
      <c r="D1494" s="100"/>
      <c r="E1494" s="100"/>
      <c r="F1494" s="100"/>
      <c r="G1494" s="100"/>
      <c r="H1494" s="100"/>
      <c r="I1494" s="100">
        <v>2.5000000000000001E-2</v>
      </c>
      <c r="J1494" s="120"/>
      <c r="K1494" s="101"/>
      <c r="L1494" s="101"/>
      <c r="M1494" s="101"/>
      <c r="N1494" s="101"/>
    </row>
    <row r="1495" spans="1:14" ht="25.5" x14ac:dyDescent="0.25">
      <c r="A1495" s="97">
        <v>27</v>
      </c>
      <c r="B1495" s="98" t="s">
        <v>1940</v>
      </c>
      <c r="C1495" s="99" t="s">
        <v>37</v>
      </c>
      <c r="D1495" s="100"/>
      <c r="E1495" s="100"/>
      <c r="F1495" s="100"/>
      <c r="G1495" s="100"/>
      <c r="H1495" s="100"/>
      <c r="I1495" s="100">
        <f>I1497</f>
        <v>7.8</v>
      </c>
      <c r="J1495" s="120" t="e">
        <f>PL03a!#REF!</f>
        <v>#REF!</v>
      </c>
      <c r="K1495" s="84">
        <f t="shared" ref="K1495" si="141">I1495</f>
        <v>7.8</v>
      </c>
      <c r="L1495" s="85"/>
      <c r="M1495" s="84">
        <f>K1495</f>
        <v>7.8</v>
      </c>
      <c r="N1495" s="86">
        <f>L1495+M1495</f>
        <v>7.8</v>
      </c>
    </row>
    <row r="1496" spans="1:14" x14ac:dyDescent="0.25">
      <c r="A1496" s="97"/>
      <c r="B1496" s="103" t="s">
        <v>3389</v>
      </c>
      <c r="C1496" s="99"/>
      <c r="D1496" s="100"/>
      <c r="E1496" s="100"/>
      <c r="F1496" s="100"/>
      <c r="G1496" s="100"/>
      <c r="H1496" s="100"/>
      <c r="I1496" s="100"/>
      <c r="J1496" s="120"/>
      <c r="K1496" s="101"/>
      <c r="L1496" s="101"/>
      <c r="M1496" s="101"/>
      <c r="N1496" s="101"/>
    </row>
    <row r="1497" spans="1:14" x14ac:dyDescent="0.25">
      <c r="A1497" s="97"/>
      <c r="B1497" s="102" t="s">
        <v>3390</v>
      </c>
      <c r="C1497" s="99"/>
      <c r="D1497" s="100"/>
      <c r="E1497" s="100"/>
      <c r="F1497" s="100"/>
      <c r="G1497" s="100"/>
      <c r="H1497" s="100"/>
      <c r="I1497" s="100">
        <v>7.8</v>
      </c>
      <c r="J1497" s="120"/>
      <c r="K1497" s="101"/>
      <c r="L1497" s="101"/>
      <c r="M1497" s="101"/>
      <c r="N1497" s="101"/>
    </row>
    <row r="1498" spans="1:14" ht="38.25" x14ac:dyDescent="0.25">
      <c r="A1498" s="97">
        <v>28</v>
      </c>
      <c r="B1498" s="98" t="s">
        <v>2240</v>
      </c>
      <c r="C1498" s="99" t="s">
        <v>37</v>
      </c>
      <c r="D1498" s="100"/>
      <c r="E1498" s="100"/>
      <c r="F1498" s="100"/>
      <c r="G1498" s="100"/>
      <c r="H1498" s="100"/>
      <c r="I1498" s="100">
        <f>SUM(I1499:I1502)</f>
        <v>0.94200000000000006</v>
      </c>
      <c r="J1498" s="120" t="e">
        <f>PL03a!#REF!</f>
        <v>#REF!</v>
      </c>
      <c r="K1498" s="84">
        <f t="shared" ref="K1498" si="142">I1498</f>
        <v>0.94200000000000006</v>
      </c>
      <c r="L1498" s="85"/>
      <c r="M1498" s="84">
        <f>K1498</f>
        <v>0.94200000000000006</v>
      </c>
      <c r="N1498" s="86">
        <f>L1498+M1498</f>
        <v>0.94200000000000006</v>
      </c>
    </row>
    <row r="1499" spans="1:14" x14ac:dyDescent="0.25">
      <c r="A1499" s="97"/>
      <c r="B1499" s="103" t="s">
        <v>3391</v>
      </c>
      <c r="C1499" s="99"/>
      <c r="D1499" s="100"/>
      <c r="E1499" s="100"/>
      <c r="F1499" s="100"/>
      <c r="G1499" s="100"/>
      <c r="H1499" s="100"/>
      <c r="I1499" s="100"/>
      <c r="J1499" s="120"/>
      <c r="K1499" s="101"/>
      <c r="L1499" s="101"/>
      <c r="M1499" s="101"/>
      <c r="N1499" s="101"/>
    </row>
    <row r="1500" spans="1:14" x14ac:dyDescent="0.25">
      <c r="A1500" s="97"/>
      <c r="B1500" s="102" t="s">
        <v>3392</v>
      </c>
      <c r="C1500" s="99"/>
      <c r="D1500" s="100"/>
      <c r="E1500" s="100"/>
      <c r="F1500" s="100"/>
      <c r="G1500" s="100"/>
      <c r="H1500" s="100"/>
      <c r="I1500" s="100">
        <v>0.61799999999999999</v>
      </c>
      <c r="J1500" s="120"/>
      <c r="K1500" s="101"/>
      <c r="L1500" s="101"/>
      <c r="M1500" s="101"/>
      <c r="N1500" s="101"/>
    </row>
    <row r="1501" spans="1:14" x14ac:dyDescent="0.25">
      <c r="A1501" s="97"/>
      <c r="B1501" s="102" t="s">
        <v>3393</v>
      </c>
      <c r="C1501" s="99"/>
      <c r="D1501" s="100"/>
      <c r="E1501" s="100"/>
      <c r="F1501" s="100"/>
      <c r="G1501" s="100"/>
      <c r="H1501" s="100"/>
      <c r="I1501" s="100">
        <v>0.19800000000000001</v>
      </c>
      <c r="J1501" s="120"/>
      <c r="K1501" s="101"/>
      <c r="L1501" s="101"/>
      <c r="M1501" s="101"/>
      <c r="N1501" s="101"/>
    </row>
    <row r="1502" spans="1:14" x14ac:dyDescent="0.25">
      <c r="A1502" s="97"/>
      <c r="B1502" s="102" t="s">
        <v>3394</v>
      </c>
      <c r="C1502" s="99"/>
      <c r="D1502" s="100"/>
      <c r="E1502" s="100"/>
      <c r="F1502" s="100"/>
      <c r="G1502" s="100"/>
      <c r="H1502" s="100"/>
      <c r="I1502" s="100">
        <v>0.126</v>
      </c>
      <c r="J1502" s="120"/>
      <c r="K1502" s="101"/>
      <c r="L1502" s="101"/>
      <c r="M1502" s="101"/>
      <c r="N1502" s="101"/>
    </row>
    <row r="1503" spans="1:14" ht="38.25" x14ac:dyDescent="0.25">
      <c r="A1503" s="97">
        <v>29</v>
      </c>
      <c r="B1503" s="98" t="s">
        <v>2242</v>
      </c>
      <c r="C1503" s="99" t="s">
        <v>37</v>
      </c>
      <c r="D1503" s="100"/>
      <c r="E1503" s="100"/>
      <c r="F1503" s="100"/>
      <c r="G1503" s="100"/>
      <c r="H1503" s="100"/>
      <c r="I1503" s="100">
        <f>I1505</f>
        <v>2.5920000000000001</v>
      </c>
      <c r="J1503" s="120" t="e">
        <f>PL03a!#REF!</f>
        <v>#REF!</v>
      </c>
      <c r="K1503" s="84">
        <f t="shared" ref="K1503" si="143">I1503</f>
        <v>2.5920000000000001</v>
      </c>
      <c r="L1503" s="85"/>
      <c r="M1503" s="84">
        <f>K1503</f>
        <v>2.5920000000000001</v>
      </c>
      <c r="N1503" s="86">
        <f>L1503+M1503</f>
        <v>2.5920000000000001</v>
      </c>
    </row>
    <row r="1504" spans="1:14" x14ac:dyDescent="0.25">
      <c r="A1504" s="97"/>
      <c r="B1504" s="103" t="s">
        <v>3395</v>
      </c>
      <c r="C1504" s="99"/>
      <c r="D1504" s="100"/>
      <c r="E1504" s="100"/>
      <c r="F1504" s="100"/>
      <c r="G1504" s="100"/>
      <c r="H1504" s="100"/>
      <c r="I1504" s="100"/>
      <c r="J1504" s="120"/>
      <c r="K1504" s="101"/>
      <c r="L1504" s="101"/>
      <c r="M1504" s="101"/>
      <c r="N1504" s="101"/>
    </row>
    <row r="1505" spans="1:14" x14ac:dyDescent="0.25">
      <c r="A1505" s="97"/>
      <c r="B1505" s="102" t="s">
        <v>3396</v>
      </c>
      <c r="C1505" s="99"/>
      <c r="D1505" s="100"/>
      <c r="E1505" s="100"/>
      <c r="F1505" s="100"/>
      <c r="G1505" s="100"/>
      <c r="H1505" s="100"/>
      <c r="I1505" s="100">
        <v>2.5920000000000001</v>
      </c>
      <c r="J1505" s="120"/>
      <c r="K1505" s="101"/>
      <c r="L1505" s="101"/>
      <c r="M1505" s="101"/>
      <c r="N1505" s="101"/>
    </row>
    <row r="1506" spans="1:14" ht="38.25" x14ac:dyDescent="0.25">
      <c r="A1506" s="97">
        <v>30</v>
      </c>
      <c r="B1506" s="98" t="s">
        <v>2244</v>
      </c>
      <c r="C1506" s="99" t="s">
        <v>37</v>
      </c>
      <c r="D1506" s="100"/>
      <c r="E1506" s="100"/>
      <c r="F1506" s="100"/>
      <c r="G1506" s="100"/>
      <c r="H1506" s="100"/>
      <c r="I1506" s="100">
        <f>SUM(I1507:I1512)</f>
        <v>25.977</v>
      </c>
      <c r="J1506" s="120" t="e">
        <f>PL03a!#REF!</f>
        <v>#REF!</v>
      </c>
      <c r="K1506" s="84">
        <f t="shared" ref="K1506" si="144">I1506</f>
        <v>25.977</v>
      </c>
      <c r="L1506" s="85"/>
      <c r="M1506" s="84">
        <f>K1506</f>
        <v>25.977</v>
      </c>
      <c r="N1506" s="86">
        <f>L1506+M1506</f>
        <v>25.977</v>
      </c>
    </row>
    <row r="1507" spans="1:14" ht="25.5" x14ac:dyDescent="0.25">
      <c r="A1507" s="97"/>
      <c r="B1507" s="102" t="s">
        <v>3397</v>
      </c>
      <c r="C1507" s="99"/>
      <c r="D1507" s="100"/>
      <c r="E1507" s="100"/>
      <c r="F1507" s="100"/>
      <c r="G1507" s="100"/>
      <c r="H1507" s="100"/>
      <c r="I1507" s="100">
        <v>22.8</v>
      </c>
      <c r="J1507" s="120"/>
      <c r="K1507" s="101"/>
      <c r="L1507" s="101"/>
      <c r="M1507" s="101"/>
      <c r="N1507" s="101"/>
    </row>
    <row r="1508" spans="1:14" ht="25.5" x14ac:dyDescent="0.25">
      <c r="A1508" s="97"/>
      <c r="B1508" s="102" t="s">
        <v>3398</v>
      </c>
      <c r="C1508" s="99"/>
      <c r="D1508" s="100"/>
      <c r="E1508" s="100"/>
      <c r="F1508" s="100"/>
      <c r="G1508" s="100"/>
      <c r="H1508" s="100"/>
      <c r="I1508" s="100">
        <v>7.8739999999999997</v>
      </c>
      <c r="J1508" s="120"/>
      <c r="K1508" s="101"/>
      <c r="L1508" s="101"/>
      <c r="M1508" s="101"/>
      <c r="N1508" s="101"/>
    </row>
    <row r="1509" spans="1:14" x14ac:dyDescent="0.25">
      <c r="A1509" s="97"/>
      <c r="B1509" s="103" t="s">
        <v>3399</v>
      </c>
      <c r="C1509" s="99"/>
      <c r="D1509" s="100"/>
      <c r="E1509" s="100"/>
      <c r="F1509" s="100"/>
      <c r="G1509" s="100"/>
      <c r="H1509" s="100"/>
      <c r="I1509" s="100"/>
      <c r="J1509" s="120"/>
      <c r="K1509" s="101"/>
      <c r="L1509" s="101"/>
      <c r="M1509" s="101"/>
      <c r="N1509" s="101"/>
    </row>
    <row r="1510" spans="1:14" x14ac:dyDescent="0.25">
      <c r="A1510" s="97"/>
      <c r="B1510" s="102" t="s">
        <v>3400</v>
      </c>
      <c r="C1510" s="99"/>
      <c r="D1510" s="100"/>
      <c r="E1510" s="100"/>
      <c r="F1510" s="100"/>
      <c r="G1510" s="100"/>
      <c r="H1510" s="100"/>
      <c r="I1510" s="100">
        <v>-1.6719999999999999</v>
      </c>
      <c r="J1510" s="120"/>
      <c r="K1510" s="101"/>
      <c r="L1510" s="101"/>
      <c r="M1510" s="101"/>
      <c r="N1510" s="101"/>
    </row>
    <row r="1511" spans="1:14" x14ac:dyDescent="0.25">
      <c r="A1511" s="97"/>
      <c r="B1511" s="102" t="s">
        <v>3401</v>
      </c>
      <c r="C1511" s="99"/>
      <c r="D1511" s="100"/>
      <c r="E1511" s="100"/>
      <c r="F1511" s="100"/>
      <c r="G1511" s="100"/>
      <c r="H1511" s="100"/>
      <c r="I1511" s="100">
        <v>-1.087</v>
      </c>
      <c r="J1511" s="120"/>
      <c r="K1511" s="101"/>
      <c r="L1511" s="101"/>
      <c r="M1511" s="101"/>
      <c r="N1511" s="101"/>
    </row>
    <row r="1512" spans="1:14" x14ac:dyDescent="0.25">
      <c r="A1512" s="97"/>
      <c r="B1512" s="102" t="s">
        <v>3402</v>
      </c>
      <c r="C1512" s="99"/>
      <c r="D1512" s="100"/>
      <c r="E1512" s="100"/>
      <c r="F1512" s="100"/>
      <c r="G1512" s="100"/>
      <c r="H1512" s="100"/>
      <c r="I1512" s="100">
        <v>-1.9379999999999999</v>
      </c>
      <c r="J1512" s="120"/>
      <c r="K1512" s="101"/>
      <c r="L1512" s="101"/>
      <c r="M1512" s="101"/>
      <c r="N1512" s="101"/>
    </row>
    <row r="1513" spans="1:14" ht="38.25" x14ac:dyDescent="0.25">
      <c r="A1513" s="97">
        <v>31</v>
      </c>
      <c r="B1513" s="98" t="s">
        <v>319</v>
      </c>
      <c r="C1513" s="99" t="s">
        <v>52</v>
      </c>
      <c r="D1513" s="100"/>
      <c r="E1513" s="100"/>
      <c r="F1513" s="100"/>
      <c r="G1513" s="100"/>
      <c r="H1513" s="100"/>
      <c r="I1513" s="100">
        <f>SUM(I1514:I1523)</f>
        <v>215.59</v>
      </c>
      <c r="J1513" s="120" t="e">
        <f>PL03a!#REF!</f>
        <v>#REF!</v>
      </c>
      <c r="K1513" s="84">
        <f t="shared" ref="K1513" si="145">I1513</f>
        <v>215.59</v>
      </c>
      <c r="L1513" s="85"/>
      <c r="M1513" s="84">
        <f>K1513</f>
        <v>215.59</v>
      </c>
      <c r="N1513" s="86">
        <f>L1513+M1513</f>
        <v>215.59</v>
      </c>
    </row>
    <row r="1514" spans="1:14" x14ac:dyDescent="0.25">
      <c r="A1514" s="97"/>
      <c r="B1514" s="102" t="s">
        <v>3403</v>
      </c>
      <c r="C1514" s="99"/>
      <c r="D1514" s="100"/>
      <c r="E1514" s="100"/>
      <c r="F1514" s="100"/>
      <c r="G1514" s="100"/>
      <c r="H1514" s="100"/>
      <c r="I1514" s="100">
        <v>16.47</v>
      </c>
      <c r="J1514" s="120"/>
      <c r="K1514" s="101"/>
      <c r="L1514" s="101"/>
      <c r="M1514" s="101"/>
      <c r="N1514" s="101"/>
    </row>
    <row r="1515" spans="1:14" x14ac:dyDescent="0.25">
      <c r="A1515" s="97"/>
      <c r="B1515" s="102" t="s">
        <v>3404</v>
      </c>
      <c r="C1515" s="99"/>
      <c r="D1515" s="100"/>
      <c r="E1515" s="100"/>
      <c r="F1515" s="100"/>
      <c r="G1515" s="100"/>
      <c r="H1515" s="100"/>
      <c r="I1515" s="100">
        <v>120</v>
      </c>
      <c r="J1515" s="120"/>
      <c r="K1515" s="101"/>
      <c r="L1515" s="101"/>
      <c r="M1515" s="101"/>
      <c r="N1515" s="101"/>
    </row>
    <row r="1516" spans="1:14" x14ac:dyDescent="0.25">
      <c r="A1516" s="97"/>
      <c r="B1516" s="102" t="s">
        <v>3405</v>
      </c>
      <c r="C1516" s="99"/>
      <c r="D1516" s="100"/>
      <c r="E1516" s="100"/>
      <c r="F1516" s="100"/>
      <c r="G1516" s="100"/>
      <c r="H1516" s="100"/>
      <c r="I1516" s="100">
        <v>41.44</v>
      </c>
      <c r="J1516" s="120"/>
      <c r="K1516" s="101"/>
      <c r="L1516" s="101"/>
      <c r="M1516" s="101"/>
      <c r="N1516" s="101"/>
    </row>
    <row r="1517" spans="1:14" x14ac:dyDescent="0.25">
      <c r="A1517" s="97"/>
      <c r="B1517" s="103" t="s">
        <v>3395</v>
      </c>
      <c r="C1517" s="99"/>
      <c r="D1517" s="100"/>
      <c r="E1517" s="100"/>
      <c r="F1517" s="100"/>
      <c r="G1517" s="100"/>
      <c r="H1517" s="100"/>
      <c r="I1517" s="100"/>
      <c r="J1517" s="120"/>
      <c r="K1517" s="101"/>
      <c r="L1517" s="101"/>
      <c r="M1517" s="101"/>
      <c r="N1517" s="101"/>
    </row>
    <row r="1518" spans="1:14" x14ac:dyDescent="0.25">
      <c r="A1518" s="97"/>
      <c r="B1518" s="102" t="s">
        <v>3406</v>
      </c>
      <c r="C1518" s="99"/>
      <c r="D1518" s="100"/>
      <c r="E1518" s="100"/>
      <c r="F1518" s="100"/>
      <c r="G1518" s="100"/>
      <c r="H1518" s="100"/>
      <c r="I1518" s="100">
        <v>57.6</v>
      </c>
      <c r="J1518" s="120"/>
      <c r="K1518" s="101"/>
      <c r="L1518" s="101"/>
      <c r="M1518" s="101"/>
      <c r="N1518" s="101"/>
    </row>
    <row r="1519" spans="1:14" x14ac:dyDescent="0.25">
      <c r="A1519" s="97"/>
      <c r="B1519" s="102" t="s">
        <v>3407</v>
      </c>
      <c r="C1519" s="99"/>
      <c r="D1519" s="100"/>
      <c r="E1519" s="100"/>
      <c r="F1519" s="100"/>
      <c r="G1519" s="100"/>
      <c r="H1519" s="100"/>
      <c r="I1519" s="100">
        <v>4.8</v>
      </c>
      <c r="J1519" s="120"/>
      <c r="K1519" s="101"/>
      <c r="L1519" s="101"/>
      <c r="M1519" s="101"/>
      <c r="N1519" s="101"/>
    </row>
    <row r="1520" spans="1:14" x14ac:dyDescent="0.25">
      <c r="A1520" s="97"/>
      <c r="B1520" s="103" t="s">
        <v>3399</v>
      </c>
      <c r="C1520" s="99"/>
      <c r="D1520" s="100"/>
      <c r="E1520" s="100"/>
      <c r="F1520" s="100"/>
      <c r="G1520" s="100"/>
      <c r="H1520" s="100"/>
      <c r="I1520" s="100"/>
      <c r="J1520" s="120"/>
      <c r="K1520" s="101"/>
      <c r="L1520" s="101"/>
      <c r="M1520" s="101"/>
      <c r="N1520" s="101"/>
    </row>
    <row r="1521" spans="1:14" x14ac:dyDescent="0.25">
      <c r="A1521" s="97"/>
      <c r="B1521" s="102" t="s">
        <v>3408</v>
      </c>
      <c r="C1521" s="99"/>
      <c r="D1521" s="100"/>
      <c r="E1521" s="100"/>
      <c r="F1521" s="100"/>
      <c r="G1521" s="100"/>
      <c r="H1521" s="100"/>
      <c r="I1521" s="100">
        <v>-8.8000000000000007</v>
      </c>
      <c r="J1521" s="120"/>
      <c r="K1521" s="101"/>
      <c r="L1521" s="101"/>
      <c r="M1521" s="101"/>
      <c r="N1521" s="101"/>
    </row>
    <row r="1522" spans="1:14" x14ac:dyDescent="0.25">
      <c r="A1522" s="97"/>
      <c r="B1522" s="102" t="s">
        <v>3409</v>
      </c>
      <c r="C1522" s="99"/>
      <c r="D1522" s="100"/>
      <c r="E1522" s="100"/>
      <c r="F1522" s="100"/>
      <c r="G1522" s="100"/>
      <c r="H1522" s="100"/>
      <c r="I1522" s="100">
        <v>-5.72</v>
      </c>
      <c r="J1522" s="120"/>
      <c r="K1522" s="101"/>
      <c r="L1522" s="101"/>
      <c r="M1522" s="101"/>
      <c r="N1522" s="101"/>
    </row>
    <row r="1523" spans="1:14" x14ac:dyDescent="0.25">
      <c r="A1523" s="97"/>
      <c r="B1523" s="102" t="s">
        <v>3410</v>
      </c>
      <c r="C1523" s="99"/>
      <c r="D1523" s="100"/>
      <c r="E1523" s="100"/>
      <c r="F1523" s="100"/>
      <c r="G1523" s="100"/>
      <c r="H1523" s="100"/>
      <c r="I1523" s="100">
        <v>-10.199999999999999</v>
      </c>
      <c r="J1523" s="120"/>
      <c r="K1523" s="101"/>
      <c r="L1523" s="101"/>
      <c r="M1523" s="101"/>
      <c r="N1523" s="101"/>
    </row>
    <row r="1524" spans="1:14" ht="38.25" x14ac:dyDescent="0.25">
      <c r="A1524" s="97">
        <v>32</v>
      </c>
      <c r="B1524" s="98" t="s">
        <v>342</v>
      </c>
      <c r="C1524" s="99" t="s">
        <v>52</v>
      </c>
      <c r="D1524" s="100"/>
      <c r="E1524" s="100"/>
      <c r="F1524" s="100"/>
      <c r="G1524" s="100"/>
      <c r="H1524" s="100"/>
      <c r="I1524" s="100">
        <f>SUM(I1525:I1530)</f>
        <v>136.72</v>
      </c>
      <c r="J1524" s="120" t="e">
        <f>PL03a!#REF!</f>
        <v>#REF!</v>
      </c>
      <c r="K1524" s="84">
        <f t="shared" ref="K1524" si="146">I1524</f>
        <v>136.72</v>
      </c>
      <c r="L1524" s="85"/>
      <c r="M1524" s="84">
        <f>K1524</f>
        <v>136.72</v>
      </c>
      <c r="N1524" s="86">
        <f>L1524+M1524</f>
        <v>136.72</v>
      </c>
    </row>
    <row r="1525" spans="1:14" x14ac:dyDescent="0.25">
      <c r="A1525" s="97"/>
      <c r="B1525" s="102" t="s">
        <v>3404</v>
      </c>
      <c r="C1525" s="99"/>
      <c r="D1525" s="100"/>
      <c r="E1525" s="100"/>
      <c r="F1525" s="100"/>
      <c r="G1525" s="100"/>
      <c r="H1525" s="100"/>
      <c r="I1525" s="100">
        <v>120</v>
      </c>
      <c r="J1525" s="120"/>
      <c r="K1525" s="101"/>
      <c r="L1525" s="101"/>
      <c r="M1525" s="101"/>
      <c r="N1525" s="101"/>
    </row>
    <row r="1526" spans="1:14" x14ac:dyDescent="0.25">
      <c r="A1526" s="97"/>
      <c r="B1526" s="102" t="s">
        <v>3405</v>
      </c>
      <c r="C1526" s="99"/>
      <c r="D1526" s="100"/>
      <c r="E1526" s="100"/>
      <c r="F1526" s="100"/>
      <c r="G1526" s="100"/>
      <c r="H1526" s="100"/>
      <c r="I1526" s="100">
        <v>41.44</v>
      </c>
      <c r="J1526" s="120"/>
      <c r="K1526" s="101"/>
      <c r="L1526" s="101"/>
      <c r="M1526" s="101"/>
      <c r="N1526" s="101"/>
    </row>
    <row r="1527" spans="1:14" x14ac:dyDescent="0.25">
      <c r="A1527" s="97"/>
      <c r="B1527" s="103" t="s">
        <v>3399</v>
      </c>
      <c r="C1527" s="99"/>
      <c r="D1527" s="100"/>
      <c r="E1527" s="100"/>
      <c r="F1527" s="100"/>
      <c r="G1527" s="100"/>
      <c r="H1527" s="100"/>
      <c r="I1527" s="100"/>
      <c r="J1527" s="120"/>
      <c r="K1527" s="101"/>
      <c r="L1527" s="101"/>
      <c r="M1527" s="101"/>
      <c r="N1527" s="101"/>
    </row>
    <row r="1528" spans="1:14" x14ac:dyDescent="0.25">
      <c r="A1528" s="97"/>
      <c r="B1528" s="102" t="s">
        <v>3408</v>
      </c>
      <c r="C1528" s="99"/>
      <c r="D1528" s="100"/>
      <c r="E1528" s="100"/>
      <c r="F1528" s="100"/>
      <c r="G1528" s="100"/>
      <c r="H1528" s="100"/>
      <c r="I1528" s="100">
        <v>-8.8000000000000007</v>
      </c>
      <c r="J1528" s="120"/>
      <c r="K1528" s="101"/>
      <c r="L1528" s="101"/>
      <c r="M1528" s="101"/>
      <c r="N1528" s="101"/>
    </row>
    <row r="1529" spans="1:14" x14ac:dyDescent="0.25">
      <c r="A1529" s="97"/>
      <c r="B1529" s="102" t="s">
        <v>3409</v>
      </c>
      <c r="C1529" s="99"/>
      <c r="D1529" s="100"/>
      <c r="E1529" s="100"/>
      <c r="F1529" s="100"/>
      <c r="G1529" s="100"/>
      <c r="H1529" s="100"/>
      <c r="I1529" s="100">
        <v>-5.72</v>
      </c>
      <c r="J1529" s="120"/>
      <c r="K1529" s="101"/>
      <c r="L1529" s="101"/>
      <c r="M1529" s="101"/>
      <c r="N1529" s="101"/>
    </row>
    <row r="1530" spans="1:14" x14ac:dyDescent="0.25">
      <c r="A1530" s="97"/>
      <c r="B1530" s="102" t="s">
        <v>3410</v>
      </c>
      <c r="C1530" s="99"/>
      <c r="D1530" s="100"/>
      <c r="E1530" s="100"/>
      <c r="F1530" s="100"/>
      <c r="G1530" s="100"/>
      <c r="H1530" s="100"/>
      <c r="I1530" s="100">
        <v>-10.199999999999999</v>
      </c>
      <c r="J1530" s="120"/>
      <c r="K1530" s="101"/>
      <c r="L1530" s="101"/>
      <c r="M1530" s="101"/>
      <c r="N1530" s="101"/>
    </row>
    <row r="1531" spans="1:14" ht="25.5" x14ac:dyDescent="0.25">
      <c r="A1531" s="97">
        <v>33</v>
      </c>
      <c r="B1531" s="98" t="s">
        <v>2154</v>
      </c>
      <c r="C1531" s="99" t="s">
        <v>52</v>
      </c>
      <c r="D1531" s="100"/>
      <c r="E1531" s="100"/>
      <c r="F1531" s="100"/>
      <c r="G1531" s="100"/>
      <c r="H1531" s="100"/>
      <c r="I1531" s="100">
        <f>SUM(I1532:I1533)</f>
        <v>19.5</v>
      </c>
      <c r="J1531" s="120" t="e">
        <f>PL03a!#REF!</f>
        <v>#REF!</v>
      </c>
      <c r="K1531" s="84">
        <f t="shared" ref="K1531" si="147">I1531</f>
        <v>19.5</v>
      </c>
      <c r="L1531" s="85"/>
      <c r="M1531" s="84">
        <f>K1531</f>
        <v>19.5</v>
      </c>
      <c r="N1531" s="86">
        <f>L1531+M1531</f>
        <v>19.5</v>
      </c>
    </row>
    <row r="1532" spans="1:14" x14ac:dyDescent="0.25">
      <c r="A1532" s="97"/>
      <c r="B1532" s="102" t="s">
        <v>3411</v>
      </c>
      <c r="C1532" s="99"/>
      <c r="D1532" s="100"/>
      <c r="E1532" s="100"/>
      <c r="F1532" s="100"/>
      <c r="G1532" s="100"/>
      <c r="H1532" s="100"/>
      <c r="I1532" s="100">
        <v>35.5</v>
      </c>
      <c r="J1532" s="120"/>
      <c r="K1532" s="101"/>
      <c r="L1532" s="101"/>
      <c r="M1532" s="101"/>
      <c r="N1532" s="101"/>
    </row>
    <row r="1533" spans="1:14" ht="25.5" x14ac:dyDescent="0.25">
      <c r="A1533" s="97"/>
      <c r="B1533" s="102" t="s">
        <v>3412</v>
      </c>
      <c r="C1533" s="99"/>
      <c r="D1533" s="100"/>
      <c r="E1533" s="100"/>
      <c r="F1533" s="100"/>
      <c r="G1533" s="100"/>
      <c r="H1533" s="100"/>
      <c r="I1533" s="100">
        <v>-16</v>
      </c>
      <c r="J1533" s="120"/>
      <c r="K1533" s="101"/>
      <c r="L1533" s="101"/>
      <c r="M1533" s="101"/>
      <c r="N1533" s="101"/>
    </row>
    <row r="1534" spans="1:14" x14ac:dyDescent="0.25">
      <c r="A1534" s="97">
        <v>34</v>
      </c>
      <c r="B1534" s="98" t="s">
        <v>2249</v>
      </c>
      <c r="C1534" s="99" t="s">
        <v>52</v>
      </c>
      <c r="D1534" s="100"/>
      <c r="E1534" s="100"/>
      <c r="F1534" s="100"/>
      <c r="G1534" s="100"/>
      <c r="H1534" s="100"/>
      <c r="I1534" s="100">
        <f>I1536</f>
        <v>78</v>
      </c>
      <c r="J1534" s="120" t="e">
        <f>PL03a!#REF!</f>
        <v>#REF!</v>
      </c>
      <c r="K1534" s="84">
        <f t="shared" ref="K1534" si="148">I1534</f>
        <v>78</v>
      </c>
      <c r="L1534" s="85"/>
      <c r="M1534" s="84">
        <f>K1534</f>
        <v>78</v>
      </c>
      <c r="N1534" s="86">
        <f>L1534+M1534</f>
        <v>78</v>
      </c>
    </row>
    <row r="1535" spans="1:14" x14ac:dyDescent="0.25">
      <c r="A1535" s="97"/>
      <c r="B1535" s="103" t="s">
        <v>3413</v>
      </c>
      <c r="C1535" s="99"/>
      <c r="D1535" s="100"/>
      <c r="E1535" s="100"/>
      <c r="F1535" s="100"/>
      <c r="G1535" s="100"/>
      <c r="H1535" s="100"/>
      <c r="I1535" s="100"/>
      <c r="J1535" s="120"/>
      <c r="K1535" s="101"/>
      <c r="L1535" s="101"/>
      <c r="M1535" s="101"/>
      <c r="N1535" s="101"/>
    </row>
    <row r="1536" spans="1:14" x14ac:dyDescent="0.25">
      <c r="A1536" s="97"/>
      <c r="B1536" s="102" t="s">
        <v>3414</v>
      </c>
      <c r="C1536" s="99"/>
      <c r="D1536" s="100"/>
      <c r="E1536" s="100"/>
      <c r="F1536" s="100"/>
      <c r="G1536" s="100"/>
      <c r="H1536" s="100"/>
      <c r="I1536" s="100">
        <v>78</v>
      </c>
      <c r="J1536" s="120"/>
      <c r="K1536" s="101"/>
      <c r="L1536" s="101"/>
      <c r="M1536" s="101"/>
      <c r="N1536" s="101"/>
    </row>
    <row r="1537" spans="1:14" ht="25.5" x14ac:dyDescent="0.25">
      <c r="A1537" s="97">
        <v>35</v>
      </c>
      <c r="B1537" s="98" t="s">
        <v>2251</v>
      </c>
      <c r="C1537" s="99" t="s">
        <v>52</v>
      </c>
      <c r="D1537" s="100"/>
      <c r="E1537" s="100"/>
      <c r="F1537" s="100"/>
      <c r="G1537" s="100"/>
      <c r="H1537" s="100"/>
      <c r="I1537" s="100">
        <f>SUM(I1538:I1542)</f>
        <v>45.8</v>
      </c>
      <c r="J1537" s="120" t="e">
        <f>PL03a!#REF!</f>
        <v>#REF!</v>
      </c>
      <c r="K1537" s="84">
        <f t="shared" ref="K1537" si="149">I1537</f>
        <v>45.8</v>
      </c>
      <c r="L1537" s="85"/>
      <c r="M1537" s="84">
        <f>K1537</f>
        <v>45.8</v>
      </c>
      <c r="N1537" s="86">
        <f>L1537+M1537</f>
        <v>45.8</v>
      </c>
    </row>
    <row r="1538" spans="1:14" x14ac:dyDescent="0.25">
      <c r="A1538" s="97"/>
      <c r="B1538" s="103" t="s">
        <v>3364</v>
      </c>
      <c r="C1538" s="99"/>
      <c r="D1538" s="100"/>
      <c r="E1538" s="100"/>
      <c r="F1538" s="100"/>
      <c r="G1538" s="100"/>
      <c r="H1538" s="100"/>
      <c r="I1538" s="100"/>
      <c r="J1538" s="120"/>
      <c r="K1538" s="101"/>
      <c r="L1538" s="101"/>
      <c r="M1538" s="101"/>
      <c r="N1538" s="101"/>
    </row>
    <row r="1539" spans="1:14" x14ac:dyDescent="0.25">
      <c r="A1539" s="97"/>
      <c r="B1539" s="103" t="s">
        <v>3365</v>
      </c>
      <c r="C1539" s="99"/>
      <c r="D1539" s="100"/>
      <c r="E1539" s="100"/>
      <c r="F1539" s="100"/>
      <c r="G1539" s="100"/>
      <c r="H1539" s="100"/>
      <c r="I1539" s="100"/>
      <c r="J1539" s="120"/>
      <c r="K1539" s="101"/>
      <c r="L1539" s="101"/>
      <c r="M1539" s="101"/>
      <c r="N1539" s="101"/>
    </row>
    <row r="1540" spans="1:14" x14ac:dyDescent="0.25">
      <c r="A1540" s="97"/>
      <c r="B1540" s="102" t="s">
        <v>3415</v>
      </c>
      <c r="C1540" s="99"/>
      <c r="D1540" s="100"/>
      <c r="E1540" s="100"/>
      <c r="F1540" s="100"/>
      <c r="G1540" s="100"/>
      <c r="H1540" s="100"/>
      <c r="I1540" s="100">
        <v>27.48</v>
      </c>
      <c r="J1540" s="120"/>
      <c r="K1540" s="101"/>
      <c r="L1540" s="101"/>
      <c r="M1540" s="101"/>
      <c r="N1540" s="101"/>
    </row>
    <row r="1541" spans="1:14" x14ac:dyDescent="0.25">
      <c r="A1541" s="97"/>
      <c r="B1541" s="103" t="s">
        <v>3373</v>
      </c>
      <c r="C1541" s="99"/>
      <c r="D1541" s="100"/>
      <c r="E1541" s="100"/>
      <c r="F1541" s="100"/>
      <c r="G1541" s="100"/>
      <c r="H1541" s="100"/>
      <c r="I1541" s="100"/>
      <c r="J1541" s="120"/>
      <c r="K1541" s="101"/>
      <c r="L1541" s="101"/>
      <c r="M1541" s="101"/>
      <c r="N1541" s="101"/>
    </row>
    <row r="1542" spans="1:14" x14ac:dyDescent="0.25">
      <c r="A1542" s="97"/>
      <c r="B1542" s="102" t="s">
        <v>3416</v>
      </c>
      <c r="C1542" s="99"/>
      <c r="D1542" s="100"/>
      <c r="E1542" s="100"/>
      <c r="F1542" s="100"/>
      <c r="G1542" s="100"/>
      <c r="H1542" s="100"/>
      <c r="I1542" s="100">
        <v>18.32</v>
      </c>
      <c r="J1542" s="120"/>
      <c r="K1542" s="101"/>
      <c r="L1542" s="101"/>
      <c r="M1542" s="101"/>
      <c r="N1542" s="101"/>
    </row>
    <row r="1543" spans="1:14" x14ac:dyDescent="0.25">
      <c r="A1543" s="97">
        <v>36</v>
      </c>
      <c r="B1543" s="98" t="s">
        <v>2253</v>
      </c>
      <c r="C1543" s="99" t="s">
        <v>52</v>
      </c>
      <c r="D1543" s="100"/>
      <c r="E1543" s="100"/>
      <c r="F1543" s="100"/>
      <c r="G1543" s="100"/>
      <c r="H1543" s="100"/>
      <c r="I1543" s="100">
        <f>I1544</f>
        <v>89.6</v>
      </c>
      <c r="J1543" s="120" t="e">
        <f>PL03a!#REF!</f>
        <v>#REF!</v>
      </c>
      <c r="K1543" s="84">
        <f t="shared" ref="K1543" si="150">I1543</f>
        <v>89.6</v>
      </c>
      <c r="L1543" s="85"/>
      <c r="M1543" s="84">
        <f>K1543</f>
        <v>89.6</v>
      </c>
      <c r="N1543" s="86">
        <f>L1543+M1543</f>
        <v>89.6</v>
      </c>
    </row>
    <row r="1544" spans="1:14" x14ac:dyDescent="0.25">
      <c r="A1544" s="97"/>
      <c r="B1544" s="102" t="s">
        <v>3417</v>
      </c>
      <c r="C1544" s="99"/>
      <c r="D1544" s="100"/>
      <c r="E1544" s="100"/>
      <c r="F1544" s="100"/>
      <c r="G1544" s="100"/>
      <c r="H1544" s="100"/>
      <c r="I1544" s="100">
        <v>89.6</v>
      </c>
      <c r="J1544" s="120"/>
      <c r="K1544" s="101"/>
      <c r="L1544" s="101"/>
      <c r="M1544" s="101"/>
      <c r="N1544" s="101"/>
    </row>
    <row r="1545" spans="1:14" x14ac:dyDescent="0.25">
      <c r="A1545" s="97">
        <v>37</v>
      </c>
      <c r="B1545" s="98" t="s">
        <v>2255</v>
      </c>
      <c r="C1545" s="99" t="s">
        <v>52</v>
      </c>
      <c r="D1545" s="100"/>
      <c r="E1545" s="100"/>
      <c r="F1545" s="100"/>
      <c r="G1545" s="100"/>
      <c r="H1545" s="100"/>
      <c r="I1545" s="100">
        <f>SUM(I1546:I1547)</f>
        <v>81.92</v>
      </c>
      <c r="J1545" s="120" t="e">
        <f>PL03a!#REF!</f>
        <v>#REF!</v>
      </c>
      <c r="K1545" s="84">
        <f t="shared" ref="K1545" si="151">I1545</f>
        <v>81.92</v>
      </c>
      <c r="L1545" s="85"/>
      <c r="M1545" s="84">
        <f>K1545</f>
        <v>81.92</v>
      </c>
      <c r="N1545" s="86">
        <f>L1545+M1545</f>
        <v>81.92</v>
      </c>
    </row>
    <row r="1546" spans="1:14" x14ac:dyDescent="0.25">
      <c r="A1546" s="97"/>
      <c r="B1546" s="102" t="s">
        <v>3418</v>
      </c>
      <c r="C1546" s="99"/>
      <c r="D1546" s="100"/>
      <c r="E1546" s="100"/>
      <c r="F1546" s="100"/>
      <c r="G1546" s="100"/>
      <c r="H1546" s="100"/>
      <c r="I1546" s="100">
        <v>81.12</v>
      </c>
      <c r="J1546" s="120"/>
      <c r="K1546" s="101"/>
      <c r="L1546" s="101"/>
      <c r="M1546" s="101"/>
      <c r="N1546" s="101"/>
    </row>
    <row r="1547" spans="1:14" x14ac:dyDescent="0.25">
      <c r="A1547" s="97"/>
      <c r="B1547" s="102" t="s">
        <v>3419</v>
      </c>
      <c r="C1547" s="99"/>
      <c r="D1547" s="100"/>
      <c r="E1547" s="100"/>
      <c r="F1547" s="100"/>
      <c r="G1547" s="100"/>
      <c r="H1547" s="100"/>
      <c r="I1547" s="100">
        <v>0.8</v>
      </c>
      <c r="J1547" s="120"/>
      <c r="K1547" s="101"/>
      <c r="L1547" s="101"/>
      <c r="M1547" s="101"/>
      <c r="N1547" s="101"/>
    </row>
    <row r="1548" spans="1:14" ht="25.5" x14ac:dyDescent="0.25">
      <c r="A1548" s="97">
        <v>38</v>
      </c>
      <c r="B1548" s="98" t="s">
        <v>2257</v>
      </c>
      <c r="C1548" s="99" t="s">
        <v>52</v>
      </c>
      <c r="D1548" s="100"/>
      <c r="E1548" s="100"/>
      <c r="F1548" s="100"/>
      <c r="G1548" s="100"/>
      <c r="H1548" s="100"/>
      <c r="I1548" s="100">
        <f>SUM(I1549:I1553)</f>
        <v>34.259999999999991</v>
      </c>
      <c r="J1548" s="120" t="e">
        <f>PL03a!#REF!</f>
        <v>#REF!</v>
      </c>
      <c r="K1548" s="84">
        <f t="shared" ref="K1548" si="152">I1548</f>
        <v>34.259999999999991</v>
      </c>
      <c r="L1548" s="85"/>
      <c r="M1548" s="84">
        <f>K1548</f>
        <v>34.259999999999991</v>
      </c>
      <c r="N1548" s="86">
        <f>L1548+M1548</f>
        <v>34.259999999999991</v>
      </c>
    </row>
    <row r="1549" spans="1:14" x14ac:dyDescent="0.25">
      <c r="A1549" s="97"/>
      <c r="B1549" s="103" t="s">
        <v>3420</v>
      </c>
      <c r="C1549" s="99"/>
      <c r="D1549" s="100"/>
      <c r="E1549" s="100"/>
      <c r="F1549" s="100"/>
      <c r="G1549" s="100"/>
      <c r="H1549" s="100"/>
      <c r="I1549" s="100"/>
      <c r="J1549" s="120"/>
      <c r="K1549" s="101"/>
      <c r="L1549" s="101"/>
      <c r="M1549" s="101"/>
      <c r="N1549" s="101"/>
    </row>
    <row r="1550" spans="1:14" x14ac:dyDescent="0.25">
      <c r="A1550" s="97"/>
      <c r="B1550" s="102" t="s">
        <v>3421</v>
      </c>
      <c r="C1550" s="99"/>
      <c r="D1550" s="100"/>
      <c r="E1550" s="100"/>
      <c r="F1550" s="100"/>
      <c r="G1550" s="100"/>
      <c r="H1550" s="100"/>
      <c r="I1550" s="100">
        <v>42.3</v>
      </c>
      <c r="J1550" s="120"/>
      <c r="K1550" s="101"/>
      <c r="L1550" s="101"/>
      <c r="M1550" s="101"/>
      <c r="N1550" s="101"/>
    </row>
    <row r="1551" spans="1:14" x14ac:dyDescent="0.25">
      <c r="A1551" s="97"/>
      <c r="B1551" s="103" t="s">
        <v>3422</v>
      </c>
      <c r="C1551" s="99"/>
      <c r="D1551" s="100"/>
      <c r="E1551" s="100"/>
      <c r="F1551" s="100"/>
      <c r="G1551" s="100"/>
      <c r="H1551" s="100"/>
      <c r="I1551" s="100"/>
      <c r="J1551" s="120"/>
      <c r="K1551" s="101"/>
      <c r="L1551" s="101"/>
      <c r="M1551" s="101"/>
      <c r="N1551" s="101"/>
    </row>
    <row r="1552" spans="1:14" x14ac:dyDescent="0.25">
      <c r="A1552" s="97"/>
      <c r="B1552" s="102" t="s">
        <v>3423</v>
      </c>
      <c r="C1552" s="99"/>
      <c r="D1552" s="100"/>
      <c r="E1552" s="100"/>
      <c r="F1552" s="100"/>
      <c r="G1552" s="100"/>
      <c r="H1552" s="100"/>
      <c r="I1552" s="100">
        <v>-5.968</v>
      </c>
      <c r="J1552" s="120"/>
      <c r="K1552" s="101"/>
      <c r="L1552" s="101"/>
      <c r="M1552" s="101"/>
      <c r="N1552" s="101"/>
    </row>
    <row r="1553" spans="1:14" x14ac:dyDescent="0.25">
      <c r="A1553" s="97"/>
      <c r="B1553" s="102" t="s">
        <v>3424</v>
      </c>
      <c r="C1553" s="99"/>
      <c r="D1553" s="100"/>
      <c r="E1553" s="100"/>
      <c r="F1553" s="100"/>
      <c r="G1553" s="100"/>
      <c r="H1553" s="100"/>
      <c r="I1553" s="100">
        <v>-2.0720000000000001</v>
      </c>
      <c r="J1553" s="120"/>
      <c r="K1553" s="101"/>
      <c r="L1553" s="101"/>
      <c r="M1553" s="101"/>
      <c r="N1553" s="101"/>
    </row>
    <row r="1554" spans="1:14" ht="25.5" x14ac:dyDescent="0.25">
      <c r="A1554" s="97">
        <v>39</v>
      </c>
      <c r="B1554" s="98" t="s">
        <v>3425</v>
      </c>
      <c r="C1554" s="99" t="s">
        <v>52</v>
      </c>
      <c r="D1554" s="100"/>
      <c r="E1554" s="100"/>
      <c r="F1554" s="100"/>
      <c r="G1554" s="100"/>
      <c r="H1554" s="100"/>
      <c r="I1554" s="100">
        <f>SUM(I1555:I1560)</f>
        <v>135.4</v>
      </c>
      <c r="J1554" s="120" t="e">
        <f>PL03a!#REF!</f>
        <v>#REF!</v>
      </c>
      <c r="K1554" s="84">
        <f t="shared" ref="K1554" si="153">I1554</f>
        <v>135.4</v>
      </c>
      <c r="L1554" s="85"/>
      <c r="M1554" s="84">
        <f>K1554</f>
        <v>135.4</v>
      </c>
      <c r="N1554" s="86">
        <f>L1554+M1554</f>
        <v>135.4</v>
      </c>
    </row>
    <row r="1555" spans="1:14" x14ac:dyDescent="0.25">
      <c r="A1555" s="97"/>
      <c r="B1555" s="102" t="s">
        <v>3417</v>
      </c>
      <c r="C1555" s="99"/>
      <c r="D1555" s="100"/>
      <c r="E1555" s="100"/>
      <c r="F1555" s="100"/>
      <c r="G1555" s="100"/>
      <c r="H1555" s="100"/>
      <c r="I1555" s="100">
        <v>89.6</v>
      </c>
      <c r="J1555" s="120"/>
      <c r="K1555" s="101"/>
      <c r="L1555" s="101"/>
      <c r="M1555" s="101"/>
      <c r="N1555" s="101"/>
    </row>
    <row r="1556" spans="1:14" x14ac:dyDescent="0.25">
      <c r="A1556" s="97"/>
      <c r="B1556" s="103" t="s">
        <v>3364</v>
      </c>
      <c r="C1556" s="99"/>
      <c r="D1556" s="100"/>
      <c r="E1556" s="100"/>
      <c r="F1556" s="100"/>
      <c r="G1556" s="100"/>
      <c r="H1556" s="100"/>
      <c r="I1556" s="100"/>
      <c r="J1556" s="120"/>
      <c r="K1556" s="101"/>
      <c r="L1556" s="101"/>
      <c r="M1556" s="101"/>
      <c r="N1556" s="101"/>
    </row>
    <row r="1557" spans="1:14" x14ac:dyDescent="0.25">
      <c r="A1557" s="97"/>
      <c r="B1557" s="103" t="s">
        <v>3365</v>
      </c>
      <c r="C1557" s="99"/>
      <c r="D1557" s="100"/>
      <c r="E1557" s="100"/>
      <c r="F1557" s="100"/>
      <c r="G1557" s="100"/>
      <c r="H1557" s="100"/>
      <c r="I1557" s="100"/>
      <c r="J1557" s="120"/>
      <c r="K1557" s="101"/>
      <c r="L1557" s="101"/>
      <c r="M1557" s="101"/>
      <c r="N1557" s="101"/>
    </row>
    <row r="1558" spans="1:14" x14ac:dyDescent="0.25">
      <c r="A1558" s="97"/>
      <c r="B1558" s="102" t="s">
        <v>3415</v>
      </c>
      <c r="C1558" s="99"/>
      <c r="D1558" s="100"/>
      <c r="E1558" s="100"/>
      <c r="F1558" s="100"/>
      <c r="G1558" s="100"/>
      <c r="H1558" s="100"/>
      <c r="I1558" s="100">
        <v>27.48</v>
      </c>
      <c r="J1558" s="120"/>
      <c r="K1558" s="101"/>
      <c r="L1558" s="101"/>
      <c r="M1558" s="101"/>
      <c r="N1558" s="101"/>
    </row>
    <row r="1559" spans="1:14" x14ac:dyDescent="0.25">
      <c r="A1559" s="97"/>
      <c r="B1559" s="103" t="s">
        <v>3373</v>
      </c>
      <c r="C1559" s="99"/>
      <c r="D1559" s="100"/>
      <c r="E1559" s="100"/>
      <c r="F1559" s="100"/>
      <c r="G1559" s="100"/>
      <c r="H1559" s="100"/>
      <c r="I1559" s="100"/>
      <c r="J1559" s="120"/>
      <c r="K1559" s="101"/>
      <c r="L1559" s="101"/>
      <c r="M1559" s="101"/>
      <c r="N1559" s="101"/>
    </row>
    <row r="1560" spans="1:14" x14ac:dyDescent="0.25">
      <c r="A1560" s="97"/>
      <c r="B1560" s="102" t="s">
        <v>3416</v>
      </c>
      <c r="C1560" s="99"/>
      <c r="D1560" s="100"/>
      <c r="E1560" s="100"/>
      <c r="F1560" s="100"/>
      <c r="G1560" s="100"/>
      <c r="H1560" s="100"/>
      <c r="I1560" s="100">
        <v>18.32</v>
      </c>
      <c r="J1560" s="120"/>
      <c r="K1560" s="101"/>
      <c r="L1560" s="101"/>
      <c r="M1560" s="101"/>
      <c r="N1560" s="101"/>
    </row>
    <row r="1561" spans="1:14" ht="25.5" x14ac:dyDescent="0.25">
      <c r="A1561" s="97">
        <v>40</v>
      </c>
      <c r="B1561" s="98" t="s">
        <v>418</v>
      </c>
      <c r="C1561" s="99" t="s">
        <v>52</v>
      </c>
      <c r="D1561" s="100"/>
      <c r="E1561" s="100"/>
      <c r="F1561" s="100"/>
      <c r="G1561" s="100"/>
      <c r="H1561" s="100"/>
      <c r="I1561" s="100">
        <f>I1562</f>
        <v>135.4</v>
      </c>
      <c r="J1561" s="120" t="e">
        <f>PL03a!#REF!</f>
        <v>#REF!</v>
      </c>
      <c r="K1561" s="84">
        <f t="shared" ref="K1561" si="154">I1561</f>
        <v>135.4</v>
      </c>
      <c r="L1561" s="85"/>
      <c r="M1561" s="84">
        <f>K1561</f>
        <v>135.4</v>
      </c>
      <c r="N1561" s="86">
        <f>L1561+M1561</f>
        <v>135.4</v>
      </c>
    </row>
    <row r="1562" spans="1:14" x14ac:dyDescent="0.25">
      <c r="A1562" s="97"/>
      <c r="B1562" s="102" t="s">
        <v>3426</v>
      </c>
      <c r="C1562" s="99"/>
      <c r="D1562" s="100"/>
      <c r="E1562" s="100"/>
      <c r="F1562" s="100"/>
      <c r="G1562" s="100"/>
      <c r="H1562" s="100"/>
      <c r="I1562" s="100">
        <v>135.4</v>
      </c>
      <c r="J1562" s="120"/>
      <c r="K1562" s="101"/>
      <c r="L1562" s="101"/>
      <c r="M1562" s="101"/>
      <c r="N1562" s="101"/>
    </row>
    <row r="1563" spans="1:14" ht="25.5" x14ac:dyDescent="0.25">
      <c r="A1563" s="104">
        <v>41</v>
      </c>
      <c r="B1563" s="105" t="s">
        <v>2262</v>
      </c>
      <c r="C1563" s="106" t="s">
        <v>52</v>
      </c>
      <c r="D1563" s="107"/>
      <c r="E1563" s="107"/>
      <c r="F1563" s="107"/>
      <c r="G1563" s="107"/>
      <c r="H1563" s="107"/>
      <c r="I1563" s="107">
        <f>SUM(I1564:I1565)</f>
        <v>14.52</v>
      </c>
      <c r="J1563" s="121" t="e">
        <f>PL03a!#REF!</f>
        <v>#REF!</v>
      </c>
      <c r="K1563" s="84">
        <f t="shared" ref="K1563" si="155">I1563</f>
        <v>14.52</v>
      </c>
      <c r="L1563" s="85"/>
      <c r="M1563" s="84">
        <f>K1563</f>
        <v>14.52</v>
      </c>
      <c r="N1563" s="86">
        <f>L1563+M1563</f>
        <v>14.52</v>
      </c>
    </row>
    <row r="1564" spans="1:14" x14ac:dyDescent="0.25">
      <c r="A1564" s="97"/>
      <c r="B1564" s="102" t="s">
        <v>3427</v>
      </c>
      <c r="C1564" s="99"/>
      <c r="D1564" s="100"/>
      <c r="E1564" s="100"/>
      <c r="F1564" s="100"/>
      <c r="G1564" s="100"/>
      <c r="H1564" s="100"/>
      <c r="I1564" s="100">
        <v>8.8000000000000007</v>
      </c>
      <c r="J1564" s="120"/>
      <c r="K1564" s="101"/>
      <c r="L1564" s="101"/>
      <c r="M1564" s="101"/>
      <c r="N1564" s="101"/>
    </row>
    <row r="1565" spans="1:14" x14ac:dyDescent="0.25">
      <c r="A1565" s="97"/>
      <c r="B1565" s="102" t="s">
        <v>3428</v>
      </c>
      <c r="C1565" s="99"/>
      <c r="D1565" s="100"/>
      <c r="E1565" s="100"/>
      <c r="F1565" s="100"/>
      <c r="G1565" s="100"/>
      <c r="H1565" s="100"/>
      <c r="I1565" s="100">
        <v>5.72</v>
      </c>
      <c r="J1565" s="120"/>
      <c r="K1565" s="101"/>
      <c r="L1565" s="101"/>
      <c r="M1565" s="101"/>
      <c r="N1565" s="101"/>
    </row>
    <row r="1566" spans="1:14" ht="25.5" x14ac:dyDescent="0.25">
      <c r="A1566" s="104">
        <v>42</v>
      </c>
      <c r="B1566" s="105" t="s">
        <v>2264</v>
      </c>
      <c r="C1566" s="106" t="s">
        <v>52</v>
      </c>
      <c r="D1566" s="107"/>
      <c r="E1566" s="107"/>
      <c r="F1566" s="107"/>
      <c r="G1566" s="107"/>
      <c r="H1566" s="107"/>
      <c r="I1566" s="107">
        <f>I1567</f>
        <v>10.199999999999999</v>
      </c>
      <c r="J1566" s="121" t="e">
        <f>PL03a!#REF!</f>
        <v>#REF!</v>
      </c>
      <c r="K1566" s="84">
        <f t="shared" ref="K1566" si="156">I1566</f>
        <v>10.199999999999999</v>
      </c>
      <c r="L1566" s="85"/>
      <c r="M1566" s="84">
        <f>K1566</f>
        <v>10.199999999999999</v>
      </c>
      <c r="N1566" s="86">
        <f>L1566+M1566</f>
        <v>10.199999999999999</v>
      </c>
    </row>
    <row r="1567" spans="1:14" x14ac:dyDescent="0.25">
      <c r="A1567" s="97"/>
      <c r="B1567" s="102" t="s">
        <v>3429</v>
      </c>
      <c r="C1567" s="99"/>
      <c r="D1567" s="100"/>
      <c r="E1567" s="100"/>
      <c r="F1567" s="100"/>
      <c r="G1567" s="100"/>
      <c r="H1567" s="100"/>
      <c r="I1567" s="100">
        <v>10.199999999999999</v>
      </c>
      <c r="J1567" s="120"/>
      <c r="K1567" s="101"/>
      <c r="L1567" s="101"/>
      <c r="M1567" s="101"/>
      <c r="N1567" s="101"/>
    </row>
    <row r="1568" spans="1:14" x14ac:dyDescent="0.25">
      <c r="A1568" s="97">
        <v>43</v>
      </c>
      <c r="B1568" s="98" t="s">
        <v>2266</v>
      </c>
      <c r="C1568" s="99" t="s">
        <v>52</v>
      </c>
      <c r="D1568" s="100"/>
      <c r="E1568" s="100"/>
      <c r="F1568" s="100"/>
      <c r="G1568" s="100"/>
      <c r="H1568" s="100"/>
      <c r="I1568" s="100">
        <f>I1569</f>
        <v>24.72</v>
      </c>
      <c r="J1568" s="120" t="e">
        <f>PL03a!#REF!</f>
        <v>#REF!</v>
      </c>
      <c r="K1568" s="84">
        <f t="shared" ref="K1568" si="157">I1568</f>
        <v>24.72</v>
      </c>
      <c r="L1568" s="85"/>
      <c r="M1568" s="84">
        <f>K1568</f>
        <v>24.72</v>
      </c>
      <c r="N1568" s="86">
        <f>L1568+M1568</f>
        <v>24.72</v>
      </c>
    </row>
    <row r="1569" spans="1:16" x14ac:dyDescent="0.25">
      <c r="A1569" s="97"/>
      <c r="B1569" s="102" t="s">
        <v>3430</v>
      </c>
      <c r="C1569" s="99"/>
      <c r="D1569" s="100"/>
      <c r="E1569" s="100"/>
      <c r="F1569" s="100"/>
      <c r="G1569" s="100"/>
      <c r="H1569" s="100"/>
      <c r="I1569" s="100">
        <v>24.72</v>
      </c>
      <c r="J1569" s="120"/>
      <c r="K1569" s="101"/>
      <c r="L1569" s="101"/>
      <c r="M1569" s="101"/>
      <c r="N1569" s="101"/>
    </row>
    <row r="1570" spans="1:16" x14ac:dyDescent="0.25">
      <c r="A1570" s="97">
        <v>44</v>
      </c>
      <c r="B1570" s="98" t="s">
        <v>2268</v>
      </c>
      <c r="C1570" s="99" t="s">
        <v>52</v>
      </c>
      <c r="D1570" s="100"/>
      <c r="E1570" s="100"/>
      <c r="F1570" s="100"/>
      <c r="G1570" s="100"/>
      <c r="H1570" s="100"/>
      <c r="I1570" s="100">
        <f>SUM(I1571:I1572)</f>
        <v>352.31</v>
      </c>
      <c r="J1570" s="120" t="e">
        <f>PL03a!#REF!</f>
        <v>#REF!</v>
      </c>
      <c r="K1570" s="84">
        <f t="shared" ref="K1570" si="158">I1570</f>
        <v>352.31</v>
      </c>
      <c r="L1570" s="85"/>
      <c r="M1570" s="84">
        <f>K1570</f>
        <v>352.31</v>
      </c>
      <c r="N1570" s="86">
        <f>L1570+M1570</f>
        <v>352.31</v>
      </c>
    </row>
    <row r="1571" spans="1:16" x14ac:dyDescent="0.25">
      <c r="A1571" s="97"/>
      <c r="B1571" s="102" t="s">
        <v>3431</v>
      </c>
      <c r="C1571" s="99"/>
      <c r="D1571" s="100"/>
      <c r="E1571" s="100"/>
      <c r="F1571" s="100"/>
      <c r="G1571" s="100"/>
      <c r="H1571" s="100"/>
      <c r="I1571" s="100">
        <v>215.59</v>
      </c>
      <c r="J1571" s="120"/>
      <c r="K1571" s="101"/>
      <c r="L1571" s="101"/>
      <c r="M1571" s="101"/>
      <c r="N1571" s="101"/>
    </row>
    <row r="1572" spans="1:16" x14ac:dyDescent="0.25">
      <c r="A1572" s="97"/>
      <c r="B1572" s="102" t="s">
        <v>3432</v>
      </c>
      <c r="C1572" s="99"/>
      <c r="D1572" s="100"/>
      <c r="E1572" s="100"/>
      <c r="F1572" s="100"/>
      <c r="G1572" s="100"/>
      <c r="H1572" s="100"/>
      <c r="I1572" s="100">
        <v>136.72</v>
      </c>
      <c r="J1572" s="120"/>
      <c r="K1572" s="101"/>
      <c r="L1572" s="101"/>
      <c r="M1572" s="101"/>
      <c r="N1572" s="101"/>
    </row>
    <row r="1573" spans="1:16" x14ac:dyDescent="0.25">
      <c r="A1573" s="97">
        <v>45</v>
      </c>
      <c r="B1573" s="98" t="s">
        <v>2270</v>
      </c>
      <c r="C1573" s="99" t="s">
        <v>52</v>
      </c>
      <c r="D1573" s="100"/>
      <c r="E1573" s="100"/>
      <c r="F1573" s="100"/>
      <c r="G1573" s="100"/>
      <c r="H1573" s="100"/>
      <c r="I1573" s="100">
        <f>SUM(I1574:I1577)</f>
        <v>177.56</v>
      </c>
      <c r="J1573" s="120" t="e">
        <f>PL03a!#REF!</f>
        <v>#REF!</v>
      </c>
      <c r="K1573" s="84">
        <f t="shared" ref="K1573" si="159">I1573</f>
        <v>177.56</v>
      </c>
      <c r="L1573" s="85"/>
      <c r="M1573" s="84">
        <f>K1573</f>
        <v>177.56</v>
      </c>
      <c r="N1573" s="86">
        <f>L1573+M1573</f>
        <v>177.56</v>
      </c>
    </row>
    <row r="1574" spans="1:16" x14ac:dyDescent="0.25">
      <c r="A1574" s="97"/>
      <c r="B1574" s="102" t="s">
        <v>3433</v>
      </c>
      <c r="C1574" s="99"/>
      <c r="D1574" s="100"/>
      <c r="E1574" s="100"/>
      <c r="F1574" s="100"/>
      <c r="G1574" s="100"/>
      <c r="H1574" s="100"/>
      <c r="I1574" s="100">
        <v>19.5</v>
      </c>
      <c r="J1574" s="120"/>
      <c r="K1574" s="101"/>
      <c r="L1574" s="101"/>
      <c r="M1574" s="101"/>
      <c r="N1574" s="101"/>
    </row>
    <row r="1575" spans="1:16" x14ac:dyDescent="0.25">
      <c r="A1575" s="97"/>
      <c r="B1575" s="102" t="s">
        <v>3434</v>
      </c>
      <c r="C1575" s="99"/>
      <c r="D1575" s="100"/>
      <c r="E1575" s="100"/>
      <c r="F1575" s="100"/>
      <c r="G1575" s="100"/>
      <c r="H1575" s="100"/>
      <c r="I1575" s="100">
        <v>34.26</v>
      </c>
      <c r="J1575" s="120"/>
      <c r="K1575" s="101"/>
      <c r="L1575" s="101"/>
      <c r="M1575" s="101"/>
      <c r="N1575" s="101"/>
    </row>
    <row r="1576" spans="1:16" x14ac:dyDescent="0.25">
      <c r="A1576" s="97"/>
      <c r="B1576" s="102" t="s">
        <v>3435</v>
      </c>
      <c r="C1576" s="99"/>
      <c r="D1576" s="100"/>
      <c r="E1576" s="100"/>
      <c r="F1576" s="100"/>
      <c r="G1576" s="100"/>
      <c r="H1576" s="100"/>
      <c r="I1576" s="100">
        <v>45.8</v>
      </c>
      <c r="J1576" s="120"/>
      <c r="K1576" s="101"/>
      <c r="L1576" s="101"/>
      <c r="M1576" s="101"/>
      <c r="N1576" s="101"/>
    </row>
    <row r="1577" spans="1:16" x14ac:dyDescent="0.25">
      <c r="A1577" s="97"/>
      <c r="B1577" s="102" t="s">
        <v>3436</v>
      </c>
      <c r="C1577" s="99"/>
      <c r="D1577" s="100"/>
      <c r="E1577" s="100"/>
      <c r="F1577" s="100"/>
      <c r="G1577" s="100"/>
      <c r="H1577" s="100"/>
      <c r="I1577" s="100">
        <v>78</v>
      </c>
      <c r="J1577" s="120"/>
      <c r="K1577" s="101"/>
      <c r="L1577" s="101"/>
      <c r="M1577" s="101"/>
      <c r="N1577" s="101"/>
    </row>
    <row r="1578" spans="1:16" ht="25.5" x14ac:dyDescent="0.25">
      <c r="A1578" s="97">
        <v>46</v>
      </c>
      <c r="B1578" s="98" t="s">
        <v>2272</v>
      </c>
      <c r="C1578" s="99" t="s">
        <v>52</v>
      </c>
      <c r="D1578" s="100"/>
      <c r="E1578" s="100"/>
      <c r="F1578" s="100"/>
      <c r="G1578" s="100"/>
      <c r="H1578" s="100"/>
      <c r="I1578" s="100">
        <f>SUM(I1579:I1580)</f>
        <v>315.14999999999998</v>
      </c>
      <c r="J1578" s="120" t="e">
        <f>PL03a!#REF!</f>
        <v>#REF!</v>
      </c>
      <c r="K1578" s="84">
        <f t="shared" ref="K1578" si="160">I1578</f>
        <v>315.14999999999998</v>
      </c>
      <c r="L1578" s="85"/>
      <c r="M1578" s="84">
        <f>K1578</f>
        <v>315.14999999999998</v>
      </c>
      <c r="N1578" s="86">
        <f>L1578+M1578</f>
        <v>315.14999999999998</v>
      </c>
      <c r="P1578" s="79">
        <f>1288*1.44</f>
        <v>1854.72</v>
      </c>
    </row>
    <row r="1579" spans="1:16" x14ac:dyDescent="0.25">
      <c r="A1579" s="97"/>
      <c r="B1579" s="102" t="s">
        <v>3437</v>
      </c>
      <c r="C1579" s="99"/>
      <c r="D1579" s="100"/>
      <c r="E1579" s="100"/>
      <c r="F1579" s="100"/>
      <c r="G1579" s="100"/>
      <c r="H1579" s="100"/>
      <c r="I1579" s="100">
        <v>215.59</v>
      </c>
      <c r="J1579" s="120"/>
      <c r="K1579" s="101"/>
      <c r="L1579" s="101"/>
      <c r="M1579" s="101"/>
      <c r="N1579" s="101"/>
    </row>
    <row r="1580" spans="1:16" x14ac:dyDescent="0.25">
      <c r="A1580" s="97"/>
      <c r="B1580" s="102" t="s">
        <v>3438</v>
      </c>
      <c r="C1580" s="99"/>
      <c r="D1580" s="100"/>
      <c r="E1580" s="100"/>
      <c r="F1580" s="100"/>
      <c r="G1580" s="100"/>
      <c r="H1580" s="100"/>
      <c r="I1580" s="100">
        <v>99.56</v>
      </c>
      <c r="J1580" s="120"/>
      <c r="K1580" s="101"/>
      <c r="L1580" s="101"/>
      <c r="M1580" s="101"/>
      <c r="N1580" s="101"/>
    </row>
    <row r="1581" spans="1:16" ht="25.5" x14ac:dyDescent="0.25">
      <c r="A1581" s="97">
        <v>47</v>
      </c>
      <c r="B1581" s="98" t="s">
        <v>429</v>
      </c>
      <c r="C1581" s="99" t="s">
        <v>52</v>
      </c>
      <c r="D1581" s="100"/>
      <c r="E1581" s="100"/>
      <c r="F1581" s="100"/>
      <c r="G1581" s="100"/>
      <c r="H1581" s="100"/>
      <c r="I1581" s="100">
        <f>SUM(I1582:I1583)</f>
        <v>214.72</v>
      </c>
      <c r="J1581" s="120" t="e">
        <f>PL03a!#REF!</f>
        <v>#REF!</v>
      </c>
      <c r="K1581" s="84">
        <f t="shared" ref="K1581" si="161">I1581</f>
        <v>214.72</v>
      </c>
      <c r="L1581" s="85"/>
      <c r="M1581" s="84">
        <f>K1581</f>
        <v>214.72</v>
      </c>
      <c r="N1581" s="86">
        <f>L1581+M1581</f>
        <v>214.72</v>
      </c>
    </row>
    <row r="1582" spans="1:16" x14ac:dyDescent="0.25">
      <c r="A1582" s="97"/>
      <c r="B1582" s="102" t="s">
        <v>3439</v>
      </c>
      <c r="C1582" s="99"/>
      <c r="D1582" s="100"/>
      <c r="E1582" s="100"/>
      <c r="F1582" s="100"/>
      <c r="G1582" s="100"/>
      <c r="H1582" s="100"/>
      <c r="I1582" s="100">
        <v>136.72</v>
      </c>
      <c r="J1582" s="120"/>
      <c r="K1582" s="101"/>
      <c r="L1582" s="101"/>
      <c r="M1582" s="101"/>
      <c r="N1582" s="101"/>
    </row>
    <row r="1583" spans="1:16" x14ac:dyDescent="0.25">
      <c r="A1583" s="97"/>
      <c r="B1583" s="102" t="s">
        <v>3440</v>
      </c>
      <c r="C1583" s="99"/>
      <c r="D1583" s="100"/>
      <c r="E1583" s="100"/>
      <c r="F1583" s="100"/>
      <c r="G1583" s="100"/>
      <c r="H1583" s="100"/>
      <c r="I1583" s="100">
        <v>78</v>
      </c>
      <c r="J1583" s="120"/>
      <c r="K1583" s="101"/>
      <c r="L1583" s="101"/>
      <c r="M1583" s="101"/>
      <c r="N1583" s="101"/>
    </row>
    <row r="1584" spans="1:16" x14ac:dyDescent="0.25">
      <c r="A1584" s="97"/>
      <c r="B1584" s="103" t="s">
        <v>3441</v>
      </c>
      <c r="C1584" s="99"/>
      <c r="D1584" s="100"/>
      <c r="E1584" s="100"/>
      <c r="F1584" s="100"/>
      <c r="G1584" s="100"/>
      <c r="H1584" s="100"/>
      <c r="I1584" s="100"/>
      <c r="J1584" s="120"/>
      <c r="K1584" s="101"/>
      <c r="L1584" s="101"/>
      <c r="M1584" s="101"/>
      <c r="N1584" s="101"/>
    </row>
    <row r="1585" spans="1:14" x14ac:dyDescent="0.25">
      <c r="A1585" s="97">
        <v>48</v>
      </c>
      <c r="B1585" s="98" t="s">
        <v>1129</v>
      </c>
      <c r="C1585" s="99" t="s">
        <v>9</v>
      </c>
      <c r="D1585" s="100"/>
      <c r="E1585" s="100"/>
      <c r="F1585" s="100"/>
      <c r="G1585" s="100"/>
      <c r="H1585" s="100"/>
      <c r="I1585" s="100">
        <f>I1586</f>
        <v>3</v>
      </c>
      <c r="J1585" s="120" t="e">
        <f>PL03a!#REF!</f>
        <v>#REF!</v>
      </c>
      <c r="K1585" s="84">
        <f t="shared" ref="K1585" si="162">I1585</f>
        <v>3</v>
      </c>
      <c r="L1585" s="85"/>
      <c r="M1585" s="84">
        <f>K1585</f>
        <v>3</v>
      </c>
      <c r="N1585" s="86">
        <f>L1585+M1585</f>
        <v>3</v>
      </c>
    </row>
    <row r="1586" spans="1:14" x14ac:dyDescent="0.25">
      <c r="A1586" s="97"/>
      <c r="B1586" s="102" t="s">
        <v>3442</v>
      </c>
      <c r="C1586" s="99"/>
      <c r="D1586" s="100"/>
      <c r="E1586" s="100"/>
      <c r="F1586" s="100"/>
      <c r="G1586" s="100"/>
      <c r="H1586" s="100"/>
      <c r="I1586" s="100">
        <v>3</v>
      </c>
      <c r="J1586" s="120"/>
      <c r="K1586" s="101"/>
      <c r="L1586" s="101"/>
      <c r="M1586" s="101"/>
      <c r="N1586" s="101"/>
    </row>
    <row r="1587" spans="1:14" x14ac:dyDescent="0.25">
      <c r="A1587" s="97">
        <v>49</v>
      </c>
      <c r="B1587" s="98" t="s">
        <v>1117</v>
      </c>
      <c r="C1587" s="99" t="s">
        <v>9</v>
      </c>
      <c r="D1587" s="100"/>
      <c r="E1587" s="100"/>
      <c r="F1587" s="100"/>
      <c r="G1587" s="100"/>
      <c r="H1587" s="100"/>
      <c r="I1587" s="100">
        <f>I1588</f>
        <v>2</v>
      </c>
      <c r="J1587" s="120" t="e">
        <f>PL03a!#REF!</f>
        <v>#REF!</v>
      </c>
      <c r="K1587" s="84">
        <f t="shared" ref="K1587" si="163">I1587</f>
        <v>2</v>
      </c>
      <c r="L1587" s="85"/>
      <c r="M1587" s="84">
        <f>K1587</f>
        <v>2</v>
      </c>
      <c r="N1587" s="86">
        <f>L1587+M1587</f>
        <v>2</v>
      </c>
    </row>
    <row r="1588" spans="1:14" x14ac:dyDescent="0.25">
      <c r="A1588" s="97"/>
      <c r="B1588" s="102" t="s">
        <v>3443</v>
      </c>
      <c r="C1588" s="99"/>
      <c r="D1588" s="100"/>
      <c r="E1588" s="100"/>
      <c r="F1588" s="100"/>
      <c r="G1588" s="100"/>
      <c r="H1588" s="100"/>
      <c r="I1588" s="100">
        <v>2</v>
      </c>
      <c r="J1588" s="120"/>
      <c r="K1588" s="101"/>
      <c r="L1588" s="101"/>
      <c r="M1588" s="101"/>
      <c r="N1588" s="101"/>
    </row>
    <row r="1589" spans="1:14" ht="25.5" x14ac:dyDescent="0.25">
      <c r="A1589" s="97">
        <v>50</v>
      </c>
      <c r="B1589" s="98" t="s">
        <v>1073</v>
      </c>
      <c r="C1589" s="99" t="s">
        <v>248</v>
      </c>
      <c r="D1589" s="100"/>
      <c r="E1589" s="100"/>
      <c r="F1589" s="100"/>
      <c r="G1589" s="100"/>
      <c r="H1589" s="100"/>
      <c r="I1589" s="100">
        <f>I1590</f>
        <v>9</v>
      </c>
      <c r="J1589" s="120" t="e">
        <f>PL03a!#REF!</f>
        <v>#REF!</v>
      </c>
      <c r="K1589" s="84">
        <f t="shared" ref="K1589" si="164">I1589</f>
        <v>9</v>
      </c>
      <c r="L1589" s="85"/>
      <c r="M1589" s="84">
        <f>K1589</f>
        <v>9</v>
      </c>
      <c r="N1589" s="86">
        <f>L1589+M1589</f>
        <v>9</v>
      </c>
    </row>
    <row r="1590" spans="1:14" x14ac:dyDescent="0.25">
      <c r="A1590" s="97"/>
      <c r="B1590" s="102" t="s">
        <v>3444</v>
      </c>
      <c r="C1590" s="99"/>
      <c r="D1590" s="100"/>
      <c r="E1590" s="100"/>
      <c r="F1590" s="100"/>
      <c r="G1590" s="100"/>
      <c r="H1590" s="100"/>
      <c r="I1590" s="100">
        <v>9</v>
      </c>
      <c r="J1590" s="120"/>
      <c r="K1590" s="101"/>
      <c r="L1590" s="101"/>
      <c r="M1590" s="101"/>
      <c r="N1590" s="101"/>
    </row>
    <row r="1591" spans="1:14" x14ac:dyDescent="0.25">
      <c r="A1591" s="97">
        <v>51</v>
      </c>
      <c r="B1591" s="98" t="s">
        <v>2278</v>
      </c>
      <c r="C1591" s="99" t="s">
        <v>6</v>
      </c>
      <c r="D1591" s="100"/>
      <c r="E1591" s="100"/>
      <c r="F1591" s="100"/>
      <c r="G1591" s="100"/>
      <c r="H1591" s="100"/>
      <c r="I1591" s="100">
        <f>I1592</f>
        <v>20</v>
      </c>
      <c r="J1591" s="120" t="e">
        <f>PL03a!#REF!</f>
        <v>#REF!</v>
      </c>
      <c r="K1591" s="84">
        <f t="shared" ref="K1591" si="165">I1591</f>
        <v>20</v>
      </c>
      <c r="L1591" s="85"/>
      <c r="M1591" s="84">
        <f>K1591</f>
        <v>20</v>
      </c>
      <c r="N1591" s="86">
        <f>L1591+M1591</f>
        <v>20</v>
      </c>
    </row>
    <row r="1592" spans="1:14" x14ac:dyDescent="0.25">
      <c r="A1592" s="97"/>
      <c r="B1592" s="102" t="s">
        <v>3445</v>
      </c>
      <c r="C1592" s="99"/>
      <c r="D1592" s="100"/>
      <c r="E1592" s="100"/>
      <c r="F1592" s="100"/>
      <c r="G1592" s="100"/>
      <c r="H1592" s="100"/>
      <c r="I1592" s="100">
        <v>20</v>
      </c>
      <c r="J1592" s="120"/>
      <c r="K1592" s="101"/>
      <c r="L1592" s="101"/>
      <c r="M1592" s="101"/>
      <c r="N1592" s="101"/>
    </row>
    <row r="1593" spans="1:14" x14ac:dyDescent="0.25">
      <c r="A1593" s="97">
        <v>52</v>
      </c>
      <c r="B1593" s="98" t="s">
        <v>2280</v>
      </c>
      <c r="C1593" s="99" t="s">
        <v>6</v>
      </c>
      <c r="D1593" s="100"/>
      <c r="E1593" s="100"/>
      <c r="F1593" s="100"/>
      <c r="G1593" s="100"/>
      <c r="H1593" s="100"/>
      <c r="I1593" s="100">
        <f>I1594</f>
        <v>65</v>
      </c>
      <c r="J1593" s="120" t="e">
        <f>PL03a!#REF!</f>
        <v>#REF!</v>
      </c>
      <c r="K1593" s="84">
        <f t="shared" ref="K1593" si="166">I1593</f>
        <v>65</v>
      </c>
      <c r="L1593" s="85"/>
      <c r="M1593" s="84">
        <f>K1593</f>
        <v>65</v>
      </c>
      <c r="N1593" s="86">
        <f>L1593+M1593</f>
        <v>65</v>
      </c>
    </row>
    <row r="1594" spans="1:14" x14ac:dyDescent="0.25">
      <c r="A1594" s="97"/>
      <c r="B1594" s="102" t="s">
        <v>3446</v>
      </c>
      <c r="C1594" s="99"/>
      <c r="D1594" s="100"/>
      <c r="E1594" s="100"/>
      <c r="F1594" s="100"/>
      <c r="G1594" s="100"/>
      <c r="H1594" s="100"/>
      <c r="I1594" s="100">
        <v>65</v>
      </c>
      <c r="J1594" s="120"/>
      <c r="K1594" s="101"/>
      <c r="L1594" s="101"/>
      <c r="M1594" s="101"/>
      <c r="N1594" s="101"/>
    </row>
    <row r="1595" spans="1:14" x14ac:dyDescent="0.25">
      <c r="A1595" s="97">
        <v>53</v>
      </c>
      <c r="B1595" s="98" t="s">
        <v>2282</v>
      </c>
      <c r="C1595" s="99" t="s">
        <v>6</v>
      </c>
      <c r="D1595" s="100"/>
      <c r="E1595" s="100"/>
      <c r="F1595" s="100"/>
      <c r="G1595" s="100"/>
      <c r="H1595" s="100"/>
      <c r="I1595" s="100">
        <f>I1596</f>
        <v>100</v>
      </c>
      <c r="J1595" s="120" t="e">
        <f>PL03a!#REF!</f>
        <v>#REF!</v>
      </c>
      <c r="K1595" s="84">
        <f t="shared" ref="K1595" si="167">I1595</f>
        <v>100</v>
      </c>
      <c r="L1595" s="85"/>
      <c r="M1595" s="84">
        <f>K1595</f>
        <v>100</v>
      </c>
      <c r="N1595" s="86">
        <f>L1595+M1595</f>
        <v>100</v>
      </c>
    </row>
    <row r="1596" spans="1:14" x14ac:dyDescent="0.25">
      <c r="A1596" s="97"/>
      <c r="B1596" s="102" t="s">
        <v>3447</v>
      </c>
      <c r="C1596" s="99"/>
      <c r="D1596" s="100"/>
      <c r="E1596" s="100"/>
      <c r="F1596" s="100"/>
      <c r="G1596" s="100"/>
      <c r="H1596" s="100"/>
      <c r="I1596" s="100">
        <v>100</v>
      </c>
      <c r="J1596" s="120"/>
      <c r="K1596" s="101"/>
      <c r="L1596" s="101"/>
      <c r="M1596" s="101"/>
      <c r="N1596" s="101"/>
    </row>
    <row r="1597" spans="1:14" x14ac:dyDescent="0.25">
      <c r="A1597" s="97">
        <v>54</v>
      </c>
      <c r="B1597" s="98" t="s">
        <v>2284</v>
      </c>
      <c r="C1597" s="99" t="s">
        <v>6</v>
      </c>
      <c r="D1597" s="100"/>
      <c r="E1597" s="100"/>
      <c r="F1597" s="100"/>
      <c r="G1597" s="100"/>
      <c r="H1597" s="100"/>
      <c r="I1597" s="100">
        <f>I1598</f>
        <v>20</v>
      </c>
      <c r="J1597" s="120" t="e">
        <f>PL03a!#REF!</f>
        <v>#REF!</v>
      </c>
      <c r="K1597" s="84">
        <f t="shared" ref="K1597" si="168">I1597</f>
        <v>20</v>
      </c>
      <c r="L1597" s="85"/>
      <c r="M1597" s="84">
        <f>K1597</f>
        <v>20</v>
      </c>
      <c r="N1597" s="86">
        <f>L1597+M1597</f>
        <v>20</v>
      </c>
    </row>
    <row r="1598" spans="1:14" x14ac:dyDescent="0.25">
      <c r="A1598" s="97"/>
      <c r="B1598" s="102" t="s">
        <v>3445</v>
      </c>
      <c r="C1598" s="99"/>
      <c r="D1598" s="100"/>
      <c r="E1598" s="100"/>
      <c r="F1598" s="100"/>
      <c r="G1598" s="100"/>
      <c r="H1598" s="100"/>
      <c r="I1598" s="100">
        <v>20</v>
      </c>
      <c r="J1598" s="120"/>
      <c r="K1598" s="101"/>
      <c r="L1598" s="101"/>
      <c r="M1598" s="101"/>
      <c r="N1598" s="101"/>
    </row>
    <row r="1599" spans="1:14" x14ac:dyDescent="0.25">
      <c r="A1599" s="97">
        <v>55</v>
      </c>
      <c r="B1599" s="98" t="s">
        <v>2286</v>
      </c>
      <c r="C1599" s="99" t="s">
        <v>6</v>
      </c>
      <c r="D1599" s="100"/>
      <c r="E1599" s="100"/>
      <c r="F1599" s="100"/>
      <c r="G1599" s="100"/>
      <c r="H1599" s="100"/>
      <c r="I1599" s="100">
        <f>I1600</f>
        <v>32.5</v>
      </c>
      <c r="J1599" s="120" t="e">
        <f>PL03a!#REF!</f>
        <v>#REF!</v>
      </c>
      <c r="K1599" s="84">
        <f t="shared" ref="K1599" si="169">I1599</f>
        <v>32.5</v>
      </c>
      <c r="L1599" s="85"/>
      <c r="M1599" s="84">
        <f>K1599</f>
        <v>32.5</v>
      </c>
      <c r="N1599" s="86">
        <f>L1599+M1599</f>
        <v>32.5</v>
      </c>
    </row>
    <row r="1600" spans="1:14" x14ac:dyDescent="0.25">
      <c r="A1600" s="97"/>
      <c r="B1600" s="102" t="s">
        <v>3448</v>
      </c>
      <c r="C1600" s="99"/>
      <c r="D1600" s="100"/>
      <c r="E1600" s="100"/>
      <c r="F1600" s="100"/>
      <c r="G1600" s="100"/>
      <c r="H1600" s="100"/>
      <c r="I1600" s="100">
        <v>32.5</v>
      </c>
      <c r="J1600" s="120"/>
      <c r="K1600" s="101"/>
      <c r="L1600" s="101"/>
      <c r="M1600" s="101"/>
      <c r="N1600" s="101"/>
    </row>
    <row r="1601" spans="1:14" x14ac:dyDescent="0.25">
      <c r="A1601" s="97">
        <v>56</v>
      </c>
      <c r="B1601" s="98" t="s">
        <v>2288</v>
      </c>
      <c r="C1601" s="99" t="s">
        <v>6</v>
      </c>
      <c r="D1601" s="100"/>
      <c r="E1601" s="100"/>
      <c r="F1601" s="100"/>
      <c r="G1601" s="100"/>
      <c r="H1601" s="100"/>
      <c r="I1601" s="100">
        <f>I1602</f>
        <v>50</v>
      </c>
      <c r="J1601" s="120" t="e">
        <f>PL03a!#REF!</f>
        <v>#REF!</v>
      </c>
      <c r="K1601" s="84">
        <f t="shared" ref="K1601" si="170">I1601</f>
        <v>50</v>
      </c>
      <c r="L1601" s="85"/>
      <c r="M1601" s="84">
        <f>K1601</f>
        <v>50</v>
      </c>
      <c r="N1601" s="86">
        <f>L1601+M1601</f>
        <v>50</v>
      </c>
    </row>
    <row r="1602" spans="1:14" x14ac:dyDescent="0.25">
      <c r="A1602" s="97"/>
      <c r="B1602" s="102" t="s">
        <v>3449</v>
      </c>
      <c r="C1602" s="99"/>
      <c r="D1602" s="100"/>
      <c r="E1602" s="100"/>
      <c r="F1602" s="100"/>
      <c r="G1602" s="100"/>
      <c r="H1602" s="100"/>
      <c r="I1602" s="100">
        <v>50</v>
      </c>
      <c r="J1602" s="120"/>
      <c r="K1602" s="101"/>
      <c r="L1602" s="101"/>
      <c r="M1602" s="101"/>
      <c r="N1602" s="101"/>
    </row>
    <row r="1603" spans="1:14" x14ac:dyDescent="0.25">
      <c r="A1603" s="97">
        <v>57</v>
      </c>
      <c r="B1603" s="98" t="s">
        <v>2290</v>
      </c>
      <c r="C1603" s="99" t="s">
        <v>9</v>
      </c>
      <c r="D1603" s="100"/>
      <c r="E1603" s="100"/>
      <c r="F1603" s="100"/>
      <c r="G1603" s="100"/>
      <c r="H1603" s="100"/>
      <c r="I1603" s="100">
        <f>I1604</f>
        <v>1</v>
      </c>
      <c r="J1603" s="120" t="e">
        <f>PL03a!#REF!</f>
        <v>#REF!</v>
      </c>
      <c r="K1603" s="84">
        <f t="shared" ref="K1603" si="171">I1603</f>
        <v>1</v>
      </c>
      <c r="L1603" s="85"/>
      <c r="M1603" s="84">
        <f>K1603</f>
        <v>1</v>
      </c>
      <c r="N1603" s="86">
        <f>L1603+M1603</f>
        <v>1</v>
      </c>
    </row>
    <row r="1604" spans="1:14" x14ac:dyDescent="0.25">
      <c r="A1604" s="97"/>
      <c r="B1604" s="102" t="s">
        <v>3450</v>
      </c>
      <c r="C1604" s="99"/>
      <c r="D1604" s="100"/>
      <c r="E1604" s="100"/>
      <c r="F1604" s="100"/>
      <c r="G1604" s="100"/>
      <c r="H1604" s="100"/>
      <c r="I1604" s="100">
        <v>1</v>
      </c>
      <c r="J1604" s="120"/>
      <c r="K1604" s="101"/>
      <c r="L1604" s="101"/>
      <c r="M1604" s="101"/>
      <c r="N1604" s="101"/>
    </row>
    <row r="1605" spans="1:14" x14ac:dyDescent="0.25">
      <c r="A1605" s="97">
        <v>58</v>
      </c>
      <c r="B1605" s="98" t="s">
        <v>2292</v>
      </c>
      <c r="C1605" s="99" t="s">
        <v>9</v>
      </c>
      <c r="D1605" s="100"/>
      <c r="E1605" s="100"/>
      <c r="F1605" s="100"/>
      <c r="G1605" s="100"/>
      <c r="H1605" s="100"/>
      <c r="I1605" s="100">
        <f>I1606</f>
        <v>3</v>
      </c>
      <c r="J1605" s="120" t="e">
        <f>PL03a!#REF!</f>
        <v>#REF!</v>
      </c>
      <c r="K1605" s="84">
        <f t="shared" ref="K1605" si="172">I1605</f>
        <v>3</v>
      </c>
      <c r="L1605" s="85"/>
      <c r="M1605" s="84">
        <f>K1605</f>
        <v>3</v>
      </c>
      <c r="N1605" s="86">
        <f>L1605+M1605</f>
        <v>3</v>
      </c>
    </row>
    <row r="1606" spans="1:14" x14ac:dyDescent="0.25">
      <c r="A1606" s="97"/>
      <c r="B1606" s="102" t="s">
        <v>3442</v>
      </c>
      <c r="C1606" s="99"/>
      <c r="D1606" s="100"/>
      <c r="E1606" s="100"/>
      <c r="F1606" s="100"/>
      <c r="G1606" s="100"/>
      <c r="H1606" s="100"/>
      <c r="I1606" s="100">
        <v>3</v>
      </c>
      <c r="J1606" s="120"/>
      <c r="K1606" s="101"/>
      <c r="L1606" s="101"/>
      <c r="M1606" s="101"/>
      <c r="N1606" s="101"/>
    </row>
    <row r="1607" spans="1:14" x14ac:dyDescent="0.25">
      <c r="A1607" s="97">
        <v>59</v>
      </c>
      <c r="B1607" s="98" t="s">
        <v>2294</v>
      </c>
      <c r="C1607" s="99" t="s">
        <v>9</v>
      </c>
      <c r="D1607" s="100"/>
      <c r="E1607" s="100"/>
      <c r="F1607" s="100"/>
      <c r="G1607" s="100"/>
      <c r="H1607" s="100"/>
      <c r="I1607" s="100">
        <f>I1608</f>
        <v>1</v>
      </c>
      <c r="J1607" s="120" t="e">
        <f>PL03a!#REF!</f>
        <v>#REF!</v>
      </c>
      <c r="K1607" s="84">
        <f t="shared" ref="K1607" si="173">I1607</f>
        <v>1</v>
      </c>
      <c r="L1607" s="85"/>
      <c r="M1607" s="84">
        <f>K1607</f>
        <v>1</v>
      </c>
      <c r="N1607" s="86">
        <f>L1607+M1607</f>
        <v>1</v>
      </c>
    </row>
    <row r="1608" spans="1:14" x14ac:dyDescent="0.25">
      <c r="A1608" s="97"/>
      <c r="B1608" s="102" t="s">
        <v>3450</v>
      </c>
      <c r="C1608" s="99"/>
      <c r="D1608" s="100"/>
      <c r="E1608" s="100"/>
      <c r="F1608" s="100"/>
      <c r="G1608" s="100"/>
      <c r="H1608" s="100"/>
      <c r="I1608" s="100">
        <v>1</v>
      </c>
      <c r="J1608" s="120"/>
      <c r="K1608" s="101"/>
      <c r="L1608" s="101"/>
      <c r="M1608" s="101"/>
      <c r="N1608" s="101"/>
    </row>
    <row r="1609" spans="1:14" x14ac:dyDescent="0.25">
      <c r="A1609" s="104">
        <v>60</v>
      </c>
      <c r="B1609" s="105" t="s">
        <v>495</v>
      </c>
      <c r="C1609" s="106" t="s">
        <v>248</v>
      </c>
      <c r="D1609" s="107"/>
      <c r="E1609" s="107"/>
      <c r="F1609" s="107"/>
      <c r="G1609" s="107"/>
      <c r="H1609" s="107"/>
      <c r="I1609" s="107">
        <f>I1610</f>
        <v>1</v>
      </c>
      <c r="J1609" s="121" t="e">
        <f>PL03a!#REF!</f>
        <v>#REF!</v>
      </c>
      <c r="K1609" s="84">
        <f t="shared" ref="K1609" si="174">I1609</f>
        <v>1</v>
      </c>
      <c r="L1609" s="85"/>
      <c r="M1609" s="84">
        <f>K1609</f>
        <v>1</v>
      </c>
      <c r="N1609" s="86">
        <f>L1609+M1609</f>
        <v>1</v>
      </c>
    </row>
    <row r="1610" spans="1:14" x14ac:dyDescent="0.25">
      <c r="A1610" s="97"/>
      <c r="B1610" s="102" t="s">
        <v>3450</v>
      </c>
      <c r="C1610" s="99"/>
      <c r="D1610" s="100"/>
      <c r="E1610" s="100"/>
      <c r="F1610" s="100"/>
      <c r="G1610" s="100"/>
      <c r="H1610" s="100"/>
      <c r="I1610" s="100">
        <v>1</v>
      </c>
      <c r="J1610" s="120"/>
      <c r="K1610" s="101"/>
      <c r="L1610" s="101"/>
      <c r="M1610" s="101"/>
      <c r="N1610" s="101"/>
    </row>
    <row r="1611" spans="1:14" ht="25.5" x14ac:dyDescent="0.25">
      <c r="A1611" s="104">
        <v>61</v>
      </c>
      <c r="B1611" s="105" t="s">
        <v>2297</v>
      </c>
      <c r="C1611" s="106" t="s">
        <v>248</v>
      </c>
      <c r="D1611" s="107"/>
      <c r="E1611" s="107"/>
      <c r="F1611" s="107"/>
      <c r="G1611" s="107"/>
      <c r="H1611" s="107"/>
      <c r="I1611" s="107">
        <f>I1612</f>
        <v>1</v>
      </c>
      <c r="J1611" s="121" t="e">
        <f>PL03a!#REF!</f>
        <v>#REF!</v>
      </c>
      <c r="K1611" s="84">
        <f t="shared" ref="K1611" si="175">I1611</f>
        <v>1</v>
      </c>
      <c r="L1611" s="85"/>
      <c r="M1611" s="84">
        <f>K1611</f>
        <v>1</v>
      </c>
      <c r="N1611" s="86">
        <f>L1611+M1611</f>
        <v>1</v>
      </c>
    </row>
    <row r="1612" spans="1:14" x14ac:dyDescent="0.25">
      <c r="A1612" s="108"/>
      <c r="B1612" s="109" t="s">
        <v>3450</v>
      </c>
      <c r="C1612" s="110"/>
      <c r="D1612" s="111"/>
      <c r="E1612" s="111"/>
      <c r="F1612" s="111"/>
      <c r="G1612" s="111"/>
      <c r="H1612" s="111"/>
      <c r="I1612" s="111">
        <v>1</v>
      </c>
      <c r="J1612" s="122"/>
      <c r="K1612" s="112"/>
      <c r="L1612" s="112"/>
      <c r="M1612" s="112"/>
      <c r="N1612" s="112"/>
    </row>
  </sheetData>
  <mergeCells count="7">
    <mergeCell ref="I5:N5"/>
    <mergeCell ref="A5:A6"/>
    <mergeCell ref="B5:B6"/>
    <mergeCell ref="C5:C6"/>
    <mergeCell ref="D5:D6"/>
    <mergeCell ref="E5:G5"/>
    <mergeCell ref="H5:H6"/>
  </mergeCells>
  <conditionalFormatting sqref="D5:D7">
    <cfRule type="cellIs" dxfId="1" priority="1" stopIfTrue="1" operator="lessThan">
      <formula>0</formula>
    </cfRule>
  </conditionalFormatting>
  <conditionalFormatting sqref="D7">
    <cfRule type="cellIs" dxfId="0" priority="2" operator="lessThan">
      <formula>0</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9"/>
  <sheetViews>
    <sheetView topLeftCell="A10" workbookViewId="0">
      <selection activeCell="G35" sqref="G35"/>
    </sheetView>
  </sheetViews>
  <sheetFormatPr defaultRowHeight="15" x14ac:dyDescent="0.25"/>
  <cols>
    <col min="7" max="7" width="15.85546875" customWidth="1"/>
  </cols>
  <sheetData>
    <row r="1" spans="1:14" ht="16.5" thickBot="1" x14ac:dyDescent="0.3">
      <c r="A1" s="18"/>
      <c r="B1" s="18"/>
      <c r="C1" s="18"/>
      <c r="D1" s="18"/>
      <c r="E1" s="18"/>
      <c r="F1" s="18"/>
      <c r="G1" s="18"/>
      <c r="H1" s="18"/>
      <c r="I1" s="18"/>
      <c r="J1" s="18"/>
      <c r="K1" s="18"/>
      <c r="L1" s="18"/>
      <c r="M1" s="18"/>
      <c r="N1" s="18"/>
    </row>
    <row r="2" spans="1:14" ht="16.5" thickBot="1" x14ac:dyDescent="0.3">
      <c r="A2" s="18"/>
      <c r="B2" s="19"/>
      <c r="C2" s="19"/>
      <c r="D2" s="20" t="s">
        <v>2681</v>
      </c>
      <c r="E2" s="20"/>
      <c r="F2" s="21"/>
      <c r="G2" s="22" t="e">
        <f>PL03a!#REF!</f>
        <v>#REF!</v>
      </c>
      <c r="H2" s="18"/>
      <c r="I2" s="18"/>
      <c r="J2" s="18"/>
      <c r="K2" s="18"/>
      <c r="L2" s="18"/>
      <c r="M2" s="18"/>
      <c r="N2" s="18"/>
    </row>
    <row r="3" spans="1:14" ht="15.75" x14ac:dyDescent="0.25">
      <c r="A3" s="18"/>
      <c r="B3" s="19"/>
      <c r="C3" s="19"/>
      <c r="D3" s="19"/>
      <c r="E3" s="19"/>
      <c r="F3" s="19"/>
      <c r="G3" s="18"/>
      <c r="H3" s="18"/>
      <c r="I3" s="18"/>
      <c r="J3" s="18"/>
      <c r="K3" s="18"/>
      <c r="L3" s="18"/>
      <c r="M3" s="18"/>
      <c r="N3" s="18"/>
    </row>
    <row r="4" spans="1:14" ht="16.5" thickBot="1" x14ac:dyDescent="0.3">
      <c r="A4" s="18"/>
      <c r="B4" s="23" t="s">
        <v>2682</v>
      </c>
      <c r="C4" s="24" t="s">
        <v>2683</v>
      </c>
      <c r="D4" s="19"/>
      <c r="E4" s="19"/>
      <c r="F4" s="19"/>
      <c r="G4" s="18"/>
      <c r="H4" s="18"/>
      <c r="I4" s="18"/>
      <c r="J4" s="18"/>
      <c r="K4" s="18"/>
      <c r="L4" s="18"/>
      <c r="M4" s="18"/>
      <c r="N4" s="18"/>
    </row>
    <row r="5" spans="1:14" ht="15.75" x14ac:dyDescent="0.25">
      <c r="A5" s="19" t="s">
        <v>2684</v>
      </c>
      <c r="B5" s="25" t="e">
        <f t="shared" ref="B5:B18" si="0">G5-10*G6</f>
        <v>#REF!</v>
      </c>
      <c r="C5" s="26" t="e">
        <f>IF(G5=0,"",IF(B5=0,"",IF(AND(B5=1,B6=1)," một",IF(AND(B5=1,B6&gt;1)," mốt",IF(AND(B5=5,B6&gt;0)," lăm",IF(G6=0,LOOKUP(B5,D5:D14,E5:E14),LOOKUP(B5,D5:D14,F5:F14)))))))</f>
        <v>#REF!</v>
      </c>
      <c r="D5" s="27">
        <v>0</v>
      </c>
      <c r="E5" s="28" t="e">
        <f>IF(B5=0,""," Không")</f>
        <v>#REF!</v>
      </c>
      <c r="F5" s="28" t="s">
        <v>2685</v>
      </c>
      <c r="G5" s="29" t="e">
        <f>ROUND(G2,0)</f>
        <v>#REF!</v>
      </c>
      <c r="H5" s="18"/>
      <c r="I5" s="18"/>
      <c r="J5" s="18"/>
      <c r="K5" s="18"/>
      <c r="L5" s="18"/>
      <c r="M5" s="18"/>
      <c r="N5" s="18"/>
    </row>
    <row r="6" spans="1:14" ht="15.75" x14ac:dyDescent="0.25">
      <c r="A6" s="19" t="s">
        <v>2686</v>
      </c>
      <c r="B6" s="25" t="e">
        <f t="shared" si="0"/>
        <v>#REF!</v>
      </c>
      <c r="C6" s="26" t="e">
        <f>IF(G6=0,"",IF(AND(B6=0,B5=0),"",IF(AND(B6=0,B5&gt;0)," lẻ",IF(AND(B6=1,G7&lt;&gt;0)," mười",IF(AND(B6=1,G7=0)," Mười",IF(B6&gt;1,IF(G7=0,LOOKUP(B6,D5:D14,E5:E14),LOOKUP(B6,D5:D14,F5:F14)))))))&amp;IF(B6&gt;1," mươi",""))</f>
        <v>#REF!</v>
      </c>
      <c r="D6" s="30">
        <v>1</v>
      </c>
      <c r="E6" s="31" t="s">
        <v>2687</v>
      </c>
      <c r="F6" s="31" t="s">
        <v>2688</v>
      </c>
      <c r="G6" s="32" t="e">
        <f>ROUNDDOWN(G5/10,0)</f>
        <v>#REF!</v>
      </c>
      <c r="H6" s="18"/>
      <c r="I6" s="18"/>
      <c r="J6" s="18"/>
      <c r="K6" s="18"/>
      <c r="L6" s="18"/>
      <c r="M6" s="18"/>
      <c r="N6" s="18"/>
    </row>
    <row r="7" spans="1:14" ht="15.75" x14ac:dyDescent="0.25">
      <c r="A7" s="19" t="s">
        <v>2689</v>
      </c>
      <c r="B7" s="25" t="e">
        <f t="shared" si="0"/>
        <v>#REF!</v>
      </c>
      <c r="C7" s="26" t="e">
        <f>IF(G7=0,"",IF(AND(B5=0,B6=0,B7=0),"",IF(AND(B7=0,B6&gt;0)," không",IF(AND(B7=0,B5&gt;0)," không",IF(G8=0,LOOKUP(B7,D5:D14,E5:E14),LOOKUP(B7,D5:D14,F5:F14)))))&amp;IF(SUM(B5:B7)&gt;0," trăm",""))</f>
        <v>#REF!</v>
      </c>
      <c r="D7" s="30">
        <v>2</v>
      </c>
      <c r="E7" s="31" t="s">
        <v>2690</v>
      </c>
      <c r="F7" s="31" t="s">
        <v>2691</v>
      </c>
      <c r="G7" s="32" t="e">
        <f t="shared" ref="G7:G19" si="1">ROUNDDOWN(G6/10,0)</f>
        <v>#REF!</v>
      </c>
      <c r="H7" s="18"/>
      <c r="I7" s="18"/>
      <c r="J7" s="18"/>
      <c r="K7" s="18"/>
      <c r="L7" s="18"/>
      <c r="M7" s="18"/>
      <c r="N7" s="18"/>
    </row>
    <row r="8" spans="1:14" ht="15.75" x14ac:dyDescent="0.25">
      <c r="A8" s="19" t="s">
        <v>2692</v>
      </c>
      <c r="B8" s="25" t="e">
        <f t="shared" si="0"/>
        <v>#REF!</v>
      </c>
      <c r="C8" s="26" t="e">
        <f>IF(G8=0,"",IF(B8=0,"",IF(AND(B8=1,B9=1)," một",IF(AND(B8=1,B9&gt;1)," mốt",IF(AND(B8=5,B9&gt;0)," lăm",IF(G9=0,LOOKUP(B8,D5:D14,E5:E14),LOOKUP(B8,D5:D14,F5:F14))))))&amp;IF(SUM(B8:B10)&gt;0," nghìn",""))</f>
        <v>#REF!</v>
      </c>
      <c r="D8" s="30">
        <v>3</v>
      </c>
      <c r="E8" s="31" t="s">
        <v>2693</v>
      </c>
      <c r="F8" s="31" t="s">
        <v>2694</v>
      </c>
      <c r="G8" s="32" t="e">
        <f t="shared" si="1"/>
        <v>#REF!</v>
      </c>
      <c r="H8" s="18"/>
      <c r="I8" s="18"/>
      <c r="J8" s="18"/>
      <c r="K8" s="18"/>
      <c r="L8" s="18"/>
      <c r="M8" s="18"/>
      <c r="N8" s="18"/>
    </row>
    <row r="9" spans="1:14" ht="15.75" x14ac:dyDescent="0.25">
      <c r="A9" s="19" t="s">
        <v>2695</v>
      </c>
      <c r="B9" s="25" t="e">
        <f t="shared" si="0"/>
        <v>#REF!</v>
      </c>
      <c r="C9" s="26" t="e">
        <f>IF(G9=0,"",IF(AND(B9=0,B8=0),"",IF(AND(B9=0,B8&gt;0)," lẻ",IF(AND(B9=1,G10&lt;&gt;0)," mười",IF(AND(B9=1,G10=0)," Mười",IF(B9&gt;1,IF(G10=0,LOOKUP(B9,D5:D14,E5:E14),LOOKUP(B9,D5:D14,F5:F14)))))))&amp;IF(B9&gt;1," mươi",""))</f>
        <v>#REF!</v>
      </c>
      <c r="D9" s="30">
        <v>4</v>
      </c>
      <c r="E9" s="31" t="s">
        <v>2696</v>
      </c>
      <c r="F9" s="31" t="s">
        <v>2697</v>
      </c>
      <c r="G9" s="32" t="e">
        <f t="shared" si="1"/>
        <v>#REF!</v>
      </c>
      <c r="H9" s="18"/>
      <c r="I9" s="18"/>
      <c r="J9" s="18"/>
      <c r="K9" s="18"/>
      <c r="L9" s="18"/>
      <c r="M9" s="18"/>
      <c r="N9" s="18"/>
    </row>
    <row r="10" spans="1:14" ht="15.75" x14ac:dyDescent="0.25">
      <c r="A10" s="19" t="s">
        <v>2698</v>
      </c>
      <c r="B10" s="25" t="e">
        <f t="shared" si="0"/>
        <v>#REF!</v>
      </c>
      <c r="C10" s="26" t="e">
        <f>IF(G10=0,"",IF(AND(B8=0,B9=0,B10=0),"",IF(AND(B10=0,B9&gt;0)," không",IF(AND(B10=0,B8&gt;0)," không",IF(G11=0,LOOKUP(B10,D5:D14,E5:E14),LOOKUP(B10,D5:D14,F5:F14)))))&amp;IF(SUM(B8:B10)&gt;0," trăm",""))</f>
        <v>#REF!</v>
      </c>
      <c r="D10" s="30">
        <v>5</v>
      </c>
      <c r="E10" s="31" t="s">
        <v>2699</v>
      </c>
      <c r="F10" s="31" t="s">
        <v>2700</v>
      </c>
      <c r="G10" s="32" t="e">
        <f t="shared" si="1"/>
        <v>#REF!</v>
      </c>
      <c r="H10" s="18"/>
      <c r="I10" s="18"/>
      <c r="J10" s="18"/>
      <c r="K10" s="18"/>
      <c r="L10" s="18"/>
      <c r="M10" s="18"/>
      <c r="N10" s="18"/>
    </row>
    <row r="11" spans="1:14" ht="15.75" x14ac:dyDescent="0.25">
      <c r="A11" s="19" t="s">
        <v>2701</v>
      </c>
      <c r="B11" s="25" t="e">
        <f t="shared" si="0"/>
        <v>#REF!</v>
      </c>
      <c r="C11" s="26" t="e">
        <f>IF(G11=0,"",IF(B11=0,"",IF(AND(B11=1,B12=1)," một",IF(AND(B11=1,B12&gt;1)," mốt",IF(AND(B11=5,B12&gt;0)," lăm",IF(G12=0,LOOKUP(B11,D5:D14,E5:E14),LOOKUP(B11,D5:D14,F5:F14))))))&amp;IF(SUM(B11:B13)&gt;0," triệu,",""))</f>
        <v>#REF!</v>
      </c>
      <c r="D11" s="30">
        <v>6</v>
      </c>
      <c r="E11" s="31" t="s">
        <v>2702</v>
      </c>
      <c r="F11" s="31" t="s">
        <v>2703</v>
      </c>
      <c r="G11" s="32" t="e">
        <f t="shared" si="1"/>
        <v>#REF!</v>
      </c>
      <c r="H11" s="18"/>
      <c r="I11" s="18"/>
      <c r="J11" s="18"/>
      <c r="K11" s="18"/>
      <c r="L11" s="18"/>
      <c r="M11" s="18"/>
      <c r="N11" s="18"/>
    </row>
    <row r="12" spans="1:14" ht="15.75" x14ac:dyDescent="0.25">
      <c r="A12" s="19" t="s">
        <v>2704</v>
      </c>
      <c r="B12" s="25" t="e">
        <f t="shared" si="0"/>
        <v>#REF!</v>
      </c>
      <c r="C12" s="26" t="e">
        <f>IF(G12=0,"",IF(AND(B12=0,B11=0),"",IF(AND(B12=0,B11&gt;0)," lẻ",IF(AND(B12=1,G13&lt;&gt;0)," mười",IF(AND(B12=1,G13=0)," Mười",IF(B12&gt;1,IF(G13=0,LOOKUP(B12,D5:D14,E5:E14),LOOKUP(B12,D5:D14,F5:F14)))))))&amp;IF(B12&gt;1," mươi",""))</f>
        <v>#REF!</v>
      </c>
      <c r="D12" s="30">
        <v>7</v>
      </c>
      <c r="E12" s="31" t="s">
        <v>2705</v>
      </c>
      <c r="F12" s="31" t="s">
        <v>2706</v>
      </c>
      <c r="G12" s="32" t="e">
        <f t="shared" si="1"/>
        <v>#REF!</v>
      </c>
      <c r="H12" s="18"/>
      <c r="I12" s="18"/>
      <c r="J12" s="18"/>
      <c r="K12" s="18"/>
      <c r="L12" s="18"/>
      <c r="M12" s="18"/>
      <c r="N12" s="18"/>
    </row>
    <row r="13" spans="1:14" ht="15.75" x14ac:dyDescent="0.25">
      <c r="A13" s="19" t="s">
        <v>2707</v>
      </c>
      <c r="B13" s="25" t="e">
        <f t="shared" si="0"/>
        <v>#REF!</v>
      </c>
      <c r="C13" s="26" t="e">
        <f>IF(G13=0,"",IF(AND(B11=0,B12=0,B13=0),"",IF(AND(B13=0,B12&gt;0)," không",IF(AND(B13=0,B11&gt;0)," không",IF(G14=0,LOOKUP(B13,D5:D14,E5:E14),LOOKUP(B13,D5:D14,F5:F14)))))&amp;IF(SUM(B11:B13)&gt;0," trăm",""))</f>
        <v>#REF!</v>
      </c>
      <c r="D13" s="30">
        <v>8</v>
      </c>
      <c r="E13" s="31" t="s">
        <v>2708</v>
      </c>
      <c r="F13" s="31" t="s">
        <v>2709</v>
      </c>
      <c r="G13" s="32" t="e">
        <f t="shared" si="1"/>
        <v>#REF!</v>
      </c>
      <c r="H13" s="18"/>
      <c r="I13" s="18"/>
      <c r="J13" s="18"/>
      <c r="K13" s="18"/>
      <c r="L13" s="18"/>
      <c r="M13" s="18"/>
      <c r="N13" s="18"/>
    </row>
    <row r="14" spans="1:14" ht="15.75" x14ac:dyDescent="0.25">
      <c r="A14" s="19" t="s">
        <v>2710</v>
      </c>
      <c r="B14" s="25" t="e">
        <f t="shared" si="0"/>
        <v>#REF!</v>
      </c>
      <c r="C14" s="26" t="e">
        <f>IF(G14=0,"",IF(B14=0,"",IF(AND(B14=1,B15=1)," một",IF(AND(B14=1,B15&gt;1)," mốt",IF(AND(B14=5,B15&gt;0)," lăm",IF(G15=0,LOOKUP(B14,D5:D14,E5:E14),LOOKUP(B14,D5:D14,F5:F14))))))&amp;IF(SUM(B14:B20)&gt;0," tỷ,",""))</f>
        <v>#REF!</v>
      </c>
      <c r="D14" s="30">
        <v>9</v>
      </c>
      <c r="E14" s="31" t="s">
        <v>2711</v>
      </c>
      <c r="F14" s="31" t="s">
        <v>2712</v>
      </c>
      <c r="G14" s="32" t="e">
        <f t="shared" si="1"/>
        <v>#REF!</v>
      </c>
      <c r="H14" s="18"/>
      <c r="I14" s="18"/>
      <c r="J14" s="18"/>
      <c r="K14" s="18"/>
      <c r="L14" s="18"/>
      <c r="M14" s="18"/>
      <c r="N14" s="18"/>
    </row>
    <row r="15" spans="1:14" ht="15.75" x14ac:dyDescent="0.25">
      <c r="A15" s="19" t="s">
        <v>2713</v>
      </c>
      <c r="B15" s="25" t="e">
        <f t="shared" si="0"/>
        <v>#REF!</v>
      </c>
      <c r="C15" s="26" t="e">
        <f>IF(G15=0,"",IF(AND(B15=0,B14=0),"",IF(AND(B15=0,B14&gt;0)," lẻ",IF(AND(B15=1,G16&lt;&gt;0)," mười",IF(AND(B15=1,G16=0)," Mười",IF(B15&gt;1,IF(G16=0,LOOKUP(B15,D5:D14,E5:E14),LOOKUP(B15,D5:D14,F5:F14)))))))&amp;IF(B15&gt;1," mươi",""))</f>
        <v>#REF!</v>
      </c>
      <c r="D15" s="30"/>
      <c r="E15" s="31"/>
      <c r="F15" s="33" t="s">
        <v>2714</v>
      </c>
      <c r="G15" s="32" t="e">
        <f t="shared" si="1"/>
        <v>#REF!</v>
      </c>
      <c r="H15" s="18"/>
      <c r="I15" s="18"/>
      <c r="J15" s="18"/>
      <c r="K15" s="18"/>
      <c r="L15" s="18"/>
      <c r="M15" s="18"/>
      <c r="N15" s="18"/>
    </row>
    <row r="16" spans="1:14" ht="15.75" x14ac:dyDescent="0.25">
      <c r="A16" s="19" t="s">
        <v>2715</v>
      </c>
      <c r="B16" s="25" t="e">
        <f t="shared" si="0"/>
        <v>#REF!</v>
      </c>
      <c r="C16" s="26" t="e">
        <f>IF(G16=0,"",IF(AND(B14=0,B15=0,B16=0),"",IF(AND(B16=0,B15&gt;0)," không",IF(AND(B16=0,B14&gt;0)," không",IF(G17=0,LOOKUP(B16,D5:D14,E5:E14),LOOKUP(B16,D5:D14,F5:F14)))))&amp;IF(SUM(B14:B16)&gt;0," trăm",""))</f>
        <v>#REF!</v>
      </c>
      <c r="D16" s="30"/>
      <c r="E16" s="31"/>
      <c r="F16" s="31"/>
      <c r="G16" s="32" t="e">
        <f t="shared" si="1"/>
        <v>#REF!</v>
      </c>
      <c r="H16" s="18"/>
      <c r="I16" s="18"/>
      <c r="J16" s="18"/>
      <c r="K16" s="18"/>
      <c r="L16" s="18"/>
      <c r="M16" s="18"/>
      <c r="N16" s="18"/>
    </row>
    <row r="17" spans="1:14" ht="15.75" x14ac:dyDescent="0.25">
      <c r="A17" s="19" t="s">
        <v>2716</v>
      </c>
      <c r="B17" s="25" t="e">
        <f t="shared" si="0"/>
        <v>#REF!</v>
      </c>
      <c r="C17" s="26" t="e">
        <f>IF(G17=0,"",IF(B17=0,"",IF(AND(B17=1,B18=1)," một",IF(AND(B17=1,B18&gt;1)," mốt",IF(AND(B17=5,B18&gt;0)," lăm",IF(G18=0,LOOKUP(B17,D5:D14,E5:E14),LOOKUP(B17,D5:D14,F5:F14))))))&amp;IF(SUM(B17:B19)&gt;0," nghìn",""))</f>
        <v>#REF!</v>
      </c>
      <c r="D17" s="30"/>
      <c r="E17" s="31"/>
      <c r="F17" s="31"/>
      <c r="G17" s="32" t="e">
        <f t="shared" si="1"/>
        <v>#REF!</v>
      </c>
      <c r="H17" s="18"/>
      <c r="I17" s="18"/>
      <c r="J17" s="18"/>
      <c r="K17" s="18"/>
      <c r="L17" s="18"/>
      <c r="M17" s="18"/>
      <c r="N17" s="18"/>
    </row>
    <row r="18" spans="1:14" ht="15.75" x14ac:dyDescent="0.25">
      <c r="A18" s="19" t="s">
        <v>2717</v>
      </c>
      <c r="B18" s="25" t="e">
        <f t="shared" si="0"/>
        <v>#REF!</v>
      </c>
      <c r="C18" s="26" t="e">
        <f>IF(G18=0,"",IF(AND(B18=0,B17=0),"",IF(AND(B18=0,B17&gt;0)," lẻ",IF(AND(B18=1,G19&lt;&gt;0)," mười",IF(AND(B18=1,G19=0)," Mười",IF(B18&gt;1,IF(G19=0,LOOKUP(B18,D5:D14,E5:E14),LOOKUP(B18,D5:D14,F5:F14)))))))&amp;IF(B18&gt;1," mươi",""))</f>
        <v>#REF!</v>
      </c>
      <c r="D18" s="30"/>
      <c r="E18" s="31"/>
      <c r="F18" s="31"/>
      <c r="G18" s="32" t="e">
        <f t="shared" si="1"/>
        <v>#REF!</v>
      </c>
      <c r="H18" s="18"/>
      <c r="I18" s="18"/>
      <c r="J18" s="18"/>
      <c r="K18" s="18"/>
      <c r="L18" s="18"/>
      <c r="M18" s="18"/>
      <c r="N18" s="18"/>
    </row>
    <row r="19" spans="1:14" ht="16.5" thickBot="1" x14ac:dyDescent="0.3">
      <c r="A19" s="19" t="s">
        <v>2718</v>
      </c>
      <c r="B19" s="25" t="e">
        <f>G19-10*B20</f>
        <v>#REF!</v>
      </c>
      <c r="C19" s="26" t="e">
        <f>IF(G19=0,"",IF(AND(B17=0,B18=0,B19=0),"",IF(AND(B19=0,B18&gt;0)," không",IF(AND(B19=0,B17&gt;0)," không",IF(G20=0,LOOKUP(B19,D5:D14,E5:E14),LOOKUP(B19,D5:D14,F5:F14)))))&amp;IF(SUM(B17:B19)&gt;0," trăm",""))</f>
        <v>#REF!</v>
      </c>
      <c r="D19" s="34"/>
      <c r="E19" s="35"/>
      <c r="F19" s="35"/>
      <c r="G19" s="32" t="e">
        <f t="shared" si="1"/>
        <v>#REF!</v>
      </c>
      <c r="H19" s="18"/>
      <c r="I19" s="18"/>
      <c r="J19" s="18"/>
      <c r="K19" s="18"/>
      <c r="L19" s="18"/>
      <c r="M19" s="18"/>
      <c r="N19" s="18"/>
    </row>
    <row r="20" spans="1:14" ht="15.75" x14ac:dyDescent="0.25">
      <c r="A20" s="18"/>
      <c r="B20" s="26"/>
      <c r="C20" s="26" t="str">
        <f>IF(G20=0,"",IF(B20=0,"",IF(AND(B20=1,#REF!=1)," một",IF(AND(B20=1,#REF!&gt;1)," mốt",IF(AND(B20=5,#REF!&gt;0)," lăm",IF(#REF!=0,LOOKUP(B20,D5:D14,E5:E14),LOOKUP(B20,D5:D14,F5:F14))))))&amp;IF(SUM(B20:B20)&gt;0," triệu",""))</f>
        <v/>
      </c>
      <c r="D20" s="36"/>
      <c r="E20" s="36"/>
      <c r="F20" s="36"/>
      <c r="G20" s="36"/>
      <c r="H20" s="18"/>
      <c r="I20" s="18"/>
      <c r="J20" s="18"/>
      <c r="K20" s="18"/>
      <c r="L20" s="18"/>
      <c r="M20" s="18"/>
      <c r="N20" s="18"/>
    </row>
    <row r="21" spans="1:14" ht="15.75" x14ac:dyDescent="0.25">
      <c r="A21" s="37" t="s">
        <v>2719</v>
      </c>
      <c r="B21" s="38"/>
      <c r="C21" s="26"/>
      <c r="D21" s="26"/>
      <c r="E21" s="26"/>
      <c r="F21" s="26"/>
      <c r="G21" s="26"/>
      <c r="H21" s="18"/>
      <c r="I21" s="18"/>
      <c r="J21" s="18"/>
      <c r="K21" s="18"/>
      <c r="L21" s="18"/>
      <c r="M21" s="18"/>
      <c r="N21" s="18"/>
    </row>
    <row r="22" spans="1:14" ht="15.75" x14ac:dyDescent="0.25">
      <c r="A22" s="18"/>
      <c r="B22" s="18"/>
      <c r="C22" s="39"/>
      <c r="D22" s="39"/>
      <c r="E22" s="39"/>
      <c r="F22" s="39"/>
      <c r="G22" s="40" t="e">
        <f>""&amp; IF(G5=0,"Không ",CONCATENATE(C19,C18,C17,C16,C15,C14,C13,C12,C11,C10,C9,C8,C7,C6,C5)) &amp; " đồng"</f>
        <v>#REF!</v>
      </c>
      <c r="H22" s="41"/>
      <c r="I22" s="18"/>
      <c r="J22" s="18"/>
      <c r="K22" s="18"/>
      <c r="L22" s="18"/>
      <c r="M22" s="18"/>
      <c r="N22" s="18"/>
    </row>
    <row r="23" spans="1:14" ht="15.75" x14ac:dyDescent="0.25">
      <c r="A23" s="18"/>
      <c r="B23" s="18"/>
      <c r="C23" s="18"/>
      <c r="D23" s="18"/>
      <c r="E23" s="18"/>
      <c r="F23" s="18"/>
      <c r="G23" s="18"/>
      <c r="H23" s="18"/>
      <c r="I23" s="18"/>
      <c r="J23" s="18"/>
      <c r="K23" s="18"/>
      <c r="L23" s="18"/>
      <c r="M23" s="18"/>
      <c r="N23" s="18"/>
    </row>
    <row r="24" spans="1:14" ht="15.75" x14ac:dyDescent="0.25">
      <c r="A24" s="37" t="s">
        <v>2720</v>
      </c>
      <c r="B24" s="18"/>
      <c r="C24" s="18"/>
      <c r="D24" s="18"/>
      <c r="E24" s="18"/>
      <c r="F24" s="18"/>
      <c r="G24" s="18"/>
      <c r="H24" s="18"/>
      <c r="I24" s="18"/>
      <c r="J24" s="18"/>
      <c r="K24" s="18"/>
      <c r="L24" s="18"/>
      <c r="M24" s="18"/>
      <c r="N24" s="18"/>
    </row>
    <row r="25" spans="1:14" ht="15.75" x14ac:dyDescent="0.25">
      <c r="A25" s="18"/>
      <c r="B25" s="42" t="s">
        <v>2721</v>
      </c>
      <c r="C25" s="18"/>
      <c r="D25" s="18"/>
      <c r="E25" s="18"/>
      <c r="F25" s="18"/>
      <c r="G25" s="18"/>
      <c r="H25" s="18"/>
      <c r="I25" s="18"/>
      <c r="J25" s="18"/>
      <c r="K25" s="18"/>
      <c r="L25" s="18"/>
      <c r="M25" s="18"/>
      <c r="N25" s="18"/>
    </row>
    <row r="26" spans="1:14" ht="15.75" x14ac:dyDescent="0.25">
      <c r="A26" s="18"/>
      <c r="B26" s="18" t="s">
        <v>2722</v>
      </c>
      <c r="C26" s="18"/>
      <c r="D26" s="18"/>
      <c r="E26" s="18"/>
      <c r="F26" s="18"/>
      <c r="G26" s="18"/>
      <c r="H26" s="18"/>
      <c r="I26" s="18"/>
      <c r="J26" s="18"/>
      <c r="K26" s="18"/>
      <c r="L26" s="18"/>
      <c r="M26" s="18"/>
      <c r="N26" s="18"/>
    </row>
    <row r="27" spans="1:14" ht="15.75" x14ac:dyDescent="0.25">
      <c r="A27" s="18"/>
      <c r="B27" s="18" t="s">
        <v>2723</v>
      </c>
      <c r="C27" s="18"/>
      <c r="D27" s="18"/>
      <c r="E27" s="18"/>
      <c r="F27" s="18"/>
      <c r="G27" s="18"/>
      <c r="H27" s="18"/>
      <c r="I27" s="18"/>
      <c r="J27" s="18"/>
      <c r="K27" s="18"/>
      <c r="L27" s="18"/>
      <c r="M27" s="18"/>
      <c r="N27" s="18"/>
    </row>
    <row r="28" spans="1:14" ht="15.75" x14ac:dyDescent="0.25">
      <c r="A28" s="18"/>
      <c r="B28" s="18"/>
      <c r="C28" s="18"/>
      <c r="D28" s="18"/>
      <c r="E28" s="18"/>
      <c r="F28" s="18"/>
      <c r="G28" s="18"/>
      <c r="H28" s="18"/>
      <c r="I28" s="18"/>
      <c r="J28" s="18"/>
      <c r="K28" s="18"/>
      <c r="L28" s="18"/>
      <c r="M28" s="18"/>
      <c r="N28" s="18"/>
    </row>
    <row r="33" spans="1:13" ht="16.5" thickBot="1" x14ac:dyDescent="0.3">
      <c r="A33" s="18"/>
      <c r="B33" s="18"/>
      <c r="C33" s="18"/>
      <c r="D33" s="18"/>
      <c r="E33" s="18"/>
      <c r="F33" s="18"/>
      <c r="G33" s="18"/>
      <c r="H33" s="18"/>
      <c r="I33" s="18"/>
      <c r="J33" s="18"/>
      <c r="K33" s="18"/>
      <c r="L33" s="18"/>
      <c r="M33" s="18"/>
    </row>
    <row r="34" spans="1:13" ht="16.5" thickBot="1" x14ac:dyDescent="0.3">
      <c r="A34" s="18"/>
      <c r="B34" s="19"/>
      <c r="C34" s="19"/>
      <c r="D34" s="20" t="s">
        <v>2681</v>
      </c>
      <c r="E34" s="20"/>
      <c r="F34" s="21"/>
      <c r="G34" s="22" t="e">
        <f>PL03a!#REF!</f>
        <v>#REF!</v>
      </c>
      <c r="H34" s="18"/>
      <c r="I34" s="18"/>
      <c r="J34" s="18"/>
      <c r="K34" s="18"/>
      <c r="L34" s="18"/>
      <c r="M34" s="18"/>
    </row>
    <row r="35" spans="1:13" ht="15.75" x14ac:dyDescent="0.25">
      <c r="A35" s="18"/>
      <c r="B35" s="19"/>
      <c r="C35" s="19"/>
      <c r="D35" s="19"/>
      <c r="E35" s="19"/>
      <c r="F35" s="19"/>
      <c r="G35" s="18"/>
      <c r="H35" s="18"/>
      <c r="I35" s="18"/>
      <c r="J35" s="18"/>
      <c r="K35" s="18"/>
      <c r="L35" s="18"/>
      <c r="M35" s="18"/>
    </row>
    <row r="36" spans="1:13" ht="16.5" thickBot="1" x14ac:dyDescent="0.3">
      <c r="A36" s="18"/>
      <c r="B36" s="23" t="s">
        <v>2682</v>
      </c>
      <c r="C36" s="24" t="s">
        <v>2683</v>
      </c>
      <c r="D36" s="19"/>
      <c r="E36" s="19"/>
      <c r="F36" s="19"/>
      <c r="G36" s="18"/>
      <c r="H36" s="18"/>
      <c r="I36" s="18"/>
      <c r="J36" s="18"/>
      <c r="K36" s="18"/>
      <c r="L36" s="18"/>
      <c r="M36" s="18"/>
    </row>
    <row r="37" spans="1:13" ht="15.75" x14ac:dyDescent="0.25">
      <c r="A37" s="19" t="s">
        <v>2684</v>
      </c>
      <c r="B37" s="25" t="e">
        <f t="shared" ref="B37:B50" si="2">G37-10*G38</f>
        <v>#REF!</v>
      </c>
      <c r="C37" s="26" t="e">
        <f>IF(G37=0,"",IF(B37=0,"",IF(AND(B37=1,B38=1)," một",IF(AND(B37=1,B38&gt;1)," mốt",IF(AND(B37=5,B38&gt;0)," lăm",IF(G38=0,LOOKUP(B37,D37:D46,E37:E46),LOOKUP(B37,D37:D46,F37:F46)))))))</f>
        <v>#REF!</v>
      </c>
      <c r="D37" s="27">
        <v>0</v>
      </c>
      <c r="E37" s="28" t="e">
        <f>IF(B37=0,""," Không")</f>
        <v>#REF!</v>
      </c>
      <c r="F37" s="28" t="s">
        <v>2685</v>
      </c>
      <c r="G37" s="29" t="e">
        <f>ROUND(G34,0)</f>
        <v>#REF!</v>
      </c>
      <c r="H37" s="18"/>
      <c r="I37" s="18"/>
      <c r="J37" s="18"/>
      <c r="K37" s="18"/>
      <c r="L37" s="18"/>
      <c r="M37" s="18"/>
    </row>
    <row r="38" spans="1:13" ht="15.75" x14ac:dyDescent="0.25">
      <c r="A38" s="19" t="s">
        <v>2686</v>
      </c>
      <c r="B38" s="25" t="e">
        <f t="shared" si="2"/>
        <v>#REF!</v>
      </c>
      <c r="C38" s="26" t="e">
        <f>IF(G38=0,"",IF(AND(B38=0,B37=0),"",IF(AND(B38=0,B37&gt;0)," lẻ",IF(AND(B38=1,G39&lt;&gt;0)," mười",IF(AND(B38=1,G39=0)," Mười",IF(B38&gt;1,IF(G39=0,LOOKUP(B38,D37:D46,E37:E46),LOOKUP(B38,D37:D46,F37:F46)))))))&amp;IF(B38&gt;1," mươi",""))</f>
        <v>#REF!</v>
      </c>
      <c r="D38" s="30">
        <v>1</v>
      </c>
      <c r="E38" s="31" t="s">
        <v>2687</v>
      </c>
      <c r="F38" s="31" t="s">
        <v>2688</v>
      </c>
      <c r="G38" s="32" t="e">
        <f>ROUNDDOWN(G37/10,0)</f>
        <v>#REF!</v>
      </c>
      <c r="H38" s="18"/>
      <c r="I38" s="18"/>
      <c r="J38" s="18"/>
      <c r="K38" s="18"/>
      <c r="L38" s="18"/>
      <c r="M38" s="18"/>
    </row>
    <row r="39" spans="1:13" ht="15.75" x14ac:dyDescent="0.25">
      <c r="A39" s="19" t="s">
        <v>2689</v>
      </c>
      <c r="B39" s="25" t="e">
        <f t="shared" si="2"/>
        <v>#REF!</v>
      </c>
      <c r="C39" s="26" t="e">
        <f>IF(G39=0,"",IF(AND(B37=0,B38=0,B39=0),"",IF(AND(B39=0,B38&gt;0)," không",IF(AND(B39=0,B37&gt;0)," không",IF(G40=0,LOOKUP(B39,D37:D46,E37:E46),LOOKUP(B39,D37:D46,F37:F46)))))&amp;IF(SUM(B37:B39)&gt;0," trăm",""))</f>
        <v>#REF!</v>
      </c>
      <c r="D39" s="30">
        <v>2</v>
      </c>
      <c r="E39" s="31" t="s">
        <v>2690</v>
      </c>
      <c r="F39" s="31" t="s">
        <v>2691</v>
      </c>
      <c r="G39" s="32" t="e">
        <f t="shared" ref="G39:G51" si="3">ROUNDDOWN(G38/10,0)</f>
        <v>#REF!</v>
      </c>
      <c r="H39" s="18"/>
      <c r="I39" s="18"/>
      <c r="J39" s="18"/>
      <c r="K39" s="18"/>
      <c r="L39" s="18"/>
      <c r="M39" s="18"/>
    </row>
    <row r="40" spans="1:13" ht="15.75" x14ac:dyDescent="0.25">
      <c r="A40" s="19" t="s">
        <v>2692</v>
      </c>
      <c r="B40" s="25" t="e">
        <f t="shared" si="2"/>
        <v>#REF!</v>
      </c>
      <c r="C40" s="26" t="e">
        <f>IF(G40=0,"",IF(B40=0,"",IF(AND(B40=1,B41=1)," một",IF(AND(B40=1,B41&gt;1)," mốt",IF(AND(B40=5,B41&gt;0)," lăm",IF(G41=0,LOOKUP(B40,D37:D46,E37:E46),LOOKUP(B40,D37:D46,F37:F46))))))&amp;IF(SUM(B40:B42)&gt;0," nghìn",""))</f>
        <v>#REF!</v>
      </c>
      <c r="D40" s="30">
        <v>3</v>
      </c>
      <c r="E40" s="31" t="s">
        <v>2693</v>
      </c>
      <c r="F40" s="31" t="s">
        <v>2694</v>
      </c>
      <c r="G40" s="32" t="e">
        <f t="shared" si="3"/>
        <v>#REF!</v>
      </c>
      <c r="H40" s="18"/>
      <c r="I40" s="18"/>
      <c r="J40" s="18"/>
      <c r="K40" s="18"/>
      <c r="L40" s="18"/>
      <c r="M40" s="18"/>
    </row>
    <row r="41" spans="1:13" ht="15.75" x14ac:dyDescent="0.25">
      <c r="A41" s="19" t="s">
        <v>2695</v>
      </c>
      <c r="B41" s="25" t="e">
        <f t="shared" si="2"/>
        <v>#REF!</v>
      </c>
      <c r="C41" s="26" t="e">
        <f>IF(G41=0,"",IF(AND(B41=0,B40=0),"",IF(AND(B41=0,B40&gt;0)," lẻ",IF(AND(B41=1,G42&lt;&gt;0)," mười",IF(AND(B41=1,G42=0)," Mười",IF(B41&gt;1,IF(G42=0,LOOKUP(B41,D37:D46,E37:E46),LOOKUP(B41,D37:D46,F37:F46)))))))&amp;IF(B41&gt;1," mươi",""))</f>
        <v>#REF!</v>
      </c>
      <c r="D41" s="30">
        <v>4</v>
      </c>
      <c r="E41" s="31" t="s">
        <v>2696</v>
      </c>
      <c r="F41" s="31" t="s">
        <v>2697</v>
      </c>
      <c r="G41" s="32" t="e">
        <f t="shared" si="3"/>
        <v>#REF!</v>
      </c>
      <c r="H41" s="18"/>
      <c r="I41" s="18"/>
      <c r="J41" s="18"/>
      <c r="K41" s="18"/>
      <c r="L41" s="18"/>
      <c r="M41" s="18"/>
    </row>
    <row r="42" spans="1:13" ht="15.75" x14ac:dyDescent="0.25">
      <c r="A42" s="19" t="s">
        <v>2698</v>
      </c>
      <c r="B42" s="25" t="e">
        <f t="shared" si="2"/>
        <v>#REF!</v>
      </c>
      <c r="C42" s="26" t="e">
        <f>IF(G42=0,"",IF(AND(B40=0,B41=0,B42=0),"",IF(AND(B42=0,B41&gt;0)," không",IF(AND(B42=0,B40&gt;0)," không",IF(G43=0,LOOKUP(B42,D37:D46,E37:E46),LOOKUP(B42,D37:D46,F37:F46)))))&amp;IF(SUM(B40:B42)&gt;0," trăm",""))</f>
        <v>#REF!</v>
      </c>
      <c r="D42" s="30">
        <v>5</v>
      </c>
      <c r="E42" s="31" t="s">
        <v>2699</v>
      </c>
      <c r="F42" s="31" t="s">
        <v>2700</v>
      </c>
      <c r="G42" s="32" t="e">
        <f t="shared" si="3"/>
        <v>#REF!</v>
      </c>
      <c r="H42" s="18"/>
      <c r="I42" s="18"/>
      <c r="J42" s="18"/>
      <c r="K42" s="18"/>
      <c r="L42" s="18"/>
      <c r="M42" s="18"/>
    </row>
    <row r="43" spans="1:13" ht="15.75" x14ac:dyDescent="0.25">
      <c r="A43" s="19" t="s">
        <v>2701</v>
      </c>
      <c r="B43" s="25" t="e">
        <f t="shared" si="2"/>
        <v>#REF!</v>
      </c>
      <c r="C43" s="26" t="e">
        <f>IF(G43=0,"",IF(B43=0,"",IF(AND(B43=1,B44=1)," một",IF(AND(B43=1,B44&gt;1)," mốt",IF(AND(B43=5,B44&gt;0)," lăm",IF(G44=0,LOOKUP(B43,D37:D46,E37:E46),LOOKUP(B43,D37:D46,F37:F46))))))&amp;IF(SUM(B43:B45)&gt;0," triệu,",""))</f>
        <v>#REF!</v>
      </c>
      <c r="D43" s="30">
        <v>6</v>
      </c>
      <c r="E43" s="31" t="s">
        <v>2702</v>
      </c>
      <c r="F43" s="31" t="s">
        <v>2703</v>
      </c>
      <c r="G43" s="32" t="e">
        <f t="shared" si="3"/>
        <v>#REF!</v>
      </c>
      <c r="H43" s="18"/>
      <c r="I43" s="18"/>
      <c r="J43" s="18"/>
      <c r="K43" s="18"/>
      <c r="L43" s="18"/>
      <c r="M43" s="18"/>
    </row>
    <row r="44" spans="1:13" ht="15.75" x14ac:dyDescent="0.25">
      <c r="A44" s="19" t="s">
        <v>2704</v>
      </c>
      <c r="B44" s="25" t="e">
        <f t="shared" si="2"/>
        <v>#REF!</v>
      </c>
      <c r="C44" s="26" t="e">
        <f>IF(G44=0,"",IF(AND(B44=0,B43=0),"",IF(AND(B44=0,B43&gt;0)," lẻ",IF(AND(B44=1,G45&lt;&gt;0)," mười",IF(AND(B44=1,G45=0)," Mười",IF(B44&gt;1,IF(G45=0,LOOKUP(B44,D37:D46,E37:E46),LOOKUP(B44,D37:D46,F37:F46)))))))&amp;IF(B44&gt;1," mươi",""))</f>
        <v>#REF!</v>
      </c>
      <c r="D44" s="30">
        <v>7</v>
      </c>
      <c r="E44" s="31" t="s">
        <v>2705</v>
      </c>
      <c r="F44" s="31" t="s">
        <v>2706</v>
      </c>
      <c r="G44" s="32" t="e">
        <f t="shared" si="3"/>
        <v>#REF!</v>
      </c>
      <c r="H44" s="18"/>
      <c r="I44" s="18"/>
      <c r="J44" s="18"/>
      <c r="K44" s="18"/>
      <c r="L44" s="18"/>
      <c r="M44" s="18"/>
    </row>
    <row r="45" spans="1:13" ht="15.75" x14ac:dyDescent="0.25">
      <c r="A45" s="19" t="s">
        <v>2707</v>
      </c>
      <c r="B45" s="25" t="e">
        <f t="shared" si="2"/>
        <v>#REF!</v>
      </c>
      <c r="C45" s="26" t="e">
        <f>IF(G45=0,"",IF(AND(B43=0,B44=0,B45=0),"",IF(AND(B45=0,B44&gt;0)," không",IF(AND(B45=0,B43&gt;0)," không",IF(G46=0,LOOKUP(B45,D37:D46,E37:E46),LOOKUP(B45,D37:D46,F37:F46)))))&amp;IF(SUM(B43:B45)&gt;0," trăm",""))</f>
        <v>#REF!</v>
      </c>
      <c r="D45" s="30">
        <v>8</v>
      </c>
      <c r="E45" s="31" t="s">
        <v>2708</v>
      </c>
      <c r="F45" s="31" t="s">
        <v>2709</v>
      </c>
      <c r="G45" s="32" t="e">
        <f t="shared" si="3"/>
        <v>#REF!</v>
      </c>
      <c r="H45" s="18"/>
      <c r="I45" s="18"/>
      <c r="J45" s="18"/>
      <c r="K45" s="18"/>
      <c r="L45" s="18"/>
      <c r="M45" s="18"/>
    </row>
    <row r="46" spans="1:13" ht="15.75" x14ac:dyDescent="0.25">
      <c r="A46" s="19" t="s">
        <v>2710</v>
      </c>
      <c r="B46" s="25" t="e">
        <f t="shared" si="2"/>
        <v>#REF!</v>
      </c>
      <c r="C46" s="26" t="e">
        <f>IF(G46=0,"",IF(B46=0,"",IF(AND(B46=1,B47=1)," một",IF(AND(B46=1,B47&gt;1)," mốt",IF(AND(B46=5,B47&gt;0)," lăm",IF(G47=0,LOOKUP(B46,D37:D46,E37:E46),LOOKUP(B46,D37:D46,F37:F46))))))&amp;IF(SUM(B46:B52)&gt;0," tỷ,",""))</f>
        <v>#REF!</v>
      </c>
      <c r="D46" s="30">
        <v>9</v>
      </c>
      <c r="E46" s="31" t="s">
        <v>2711</v>
      </c>
      <c r="F46" s="31" t="s">
        <v>2712</v>
      </c>
      <c r="G46" s="32" t="e">
        <f t="shared" si="3"/>
        <v>#REF!</v>
      </c>
      <c r="H46" s="18"/>
      <c r="I46" s="18"/>
      <c r="J46" s="18"/>
      <c r="K46" s="18"/>
      <c r="L46" s="18"/>
      <c r="M46" s="18"/>
    </row>
    <row r="47" spans="1:13" ht="15.75" x14ac:dyDescent="0.25">
      <c r="A47" s="19" t="s">
        <v>2713</v>
      </c>
      <c r="B47" s="25" t="e">
        <f t="shared" si="2"/>
        <v>#REF!</v>
      </c>
      <c r="C47" s="26" t="e">
        <f>IF(G47=0,"",IF(AND(B47=0,B46=0),"",IF(AND(B47=0,B46&gt;0)," lẻ",IF(AND(B47=1,G48&lt;&gt;0)," mười",IF(AND(B47=1,G48=0)," Mười",IF(B47&gt;1,IF(G48=0,LOOKUP(B47,D37:D46,E37:E46),LOOKUP(B47,D37:D46,F37:F46)))))))&amp;IF(B47&gt;1," mươi",""))</f>
        <v>#REF!</v>
      </c>
      <c r="D47" s="30"/>
      <c r="E47" s="31"/>
      <c r="F47" s="33" t="s">
        <v>2714</v>
      </c>
      <c r="G47" s="32" t="e">
        <f t="shared" si="3"/>
        <v>#REF!</v>
      </c>
      <c r="H47" s="18"/>
      <c r="I47" s="18"/>
      <c r="J47" s="18"/>
      <c r="K47" s="18"/>
      <c r="L47" s="18"/>
      <c r="M47" s="18"/>
    </row>
    <row r="48" spans="1:13" ht="15.75" x14ac:dyDescent="0.25">
      <c r="A48" s="19" t="s">
        <v>2715</v>
      </c>
      <c r="B48" s="25" t="e">
        <f t="shared" si="2"/>
        <v>#REF!</v>
      </c>
      <c r="C48" s="26" t="e">
        <f>IF(G48=0,"",IF(AND(B46=0,B47=0,B48=0),"",IF(AND(B48=0,B47&gt;0)," không",IF(AND(B48=0,B46&gt;0)," không",IF(G49=0,LOOKUP(B48,D37:D46,E37:E46),LOOKUP(B48,D37:D46,F37:F46)))))&amp;IF(SUM(B46:B48)&gt;0," trăm",""))</f>
        <v>#REF!</v>
      </c>
      <c r="D48" s="30"/>
      <c r="E48" s="31"/>
      <c r="F48" s="31"/>
      <c r="G48" s="32" t="e">
        <f t="shared" si="3"/>
        <v>#REF!</v>
      </c>
      <c r="H48" s="18"/>
      <c r="I48" s="18"/>
      <c r="J48" s="18"/>
      <c r="K48" s="18"/>
      <c r="L48" s="18"/>
      <c r="M48" s="18"/>
    </row>
    <row r="49" spans="1:13" ht="15.75" x14ac:dyDescent="0.25">
      <c r="A49" s="19" t="s">
        <v>2716</v>
      </c>
      <c r="B49" s="25" t="e">
        <f t="shared" si="2"/>
        <v>#REF!</v>
      </c>
      <c r="C49" s="26" t="e">
        <f>IF(G49=0,"",IF(B49=0,"",IF(AND(B49=1,B50=1)," một",IF(AND(B49=1,B50&gt;1)," mốt",IF(AND(B49=5,B50&gt;0)," lăm",IF(G50=0,LOOKUP(B49,D37:D46,E37:E46),LOOKUP(B49,D37:D46,F37:F46))))))&amp;IF(SUM(B49:B51)&gt;0," nghìn",""))</f>
        <v>#REF!</v>
      </c>
      <c r="D49" s="30"/>
      <c r="E49" s="31"/>
      <c r="F49" s="31"/>
      <c r="G49" s="32" t="e">
        <f t="shared" si="3"/>
        <v>#REF!</v>
      </c>
      <c r="H49" s="18"/>
      <c r="I49" s="18"/>
      <c r="J49" s="18"/>
      <c r="K49" s="18"/>
      <c r="L49" s="18"/>
      <c r="M49" s="18"/>
    </row>
    <row r="50" spans="1:13" ht="15.75" x14ac:dyDescent="0.25">
      <c r="A50" s="19" t="s">
        <v>2717</v>
      </c>
      <c r="B50" s="25" t="e">
        <f t="shared" si="2"/>
        <v>#REF!</v>
      </c>
      <c r="C50" s="26" t="e">
        <f>IF(G50=0,"",IF(AND(B50=0,B49=0),"",IF(AND(B50=0,B49&gt;0)," lẻ",IF(AND(B50=1,G51&lt;&gt;0)," mười",IF(AND(B50=1,G51=0)," Mười",IF(B50&gt;1,IF(G51=0,LOOKUP(B50,D37:D46,E37:E46),LOOKUP(B50,D37:D46,F37:F46)))))))&amp;IF(B50&gt;1," mươi",""))</f>
        <v>#REF!</v>
      </c>
      <c r="D50" s="30"/>
      <c r="E50" s="31"/>
      <c r="F50" s="31"/>
      <c r="G50" s="32" t="e">
        <f t="shared" si="3"/>
        <v>#REF!</v>
      </c>
      <c r="H50" s="18"/>
      <c r="I50" s="18"/>
      <c r="J50" s="18"/>
      <c r="K50" s="18"/>
      <c r="L50" s="18"/>
      <c r="M50" s="18"/>
    </row>
    <row r="51" spans="1:13" ht="16.5" thickBot="1" x14ac:dyDescent="0.3">
      <c r="A51" s="19" t="s">
        <v>2718</v>
      </c>
      <c r="B51" s="25" t="e">
        <f>G51-10*B52</f>
        <v>#REF!</v>
      </c>
      <c r="C51" s="26" t="e">
        <f>IF(G51=0,"",IF(AND(B49=0,B50=0,B51=0),"",IF(AND(B51=0,B50&gt;0)," không",IF(AND(B51=0,B49&gt;0)," không",IF(G52=0,LOOKUP(B51,D37:D46,E37:E46),LOOKUP(B51,D37:D46,F37:F46)))))&amp;IF(SUM(B49:B51)&gt;0," trăm",""))</f>
        <v>#REF!</v>
      </c>
      <c r="D51" s="34"/>
      <c r="E51" s="35"/>
      <c r="F51" s="35"/>
      <c r="G51" s="32" t="e">
        <f t="shared" si="3"/>
        <v>#REF!</v>
      </c>
      <c r="H51" s="18"/>
      <c r="I51" s="18"/>
      <c r="J51" s="18"/>
      <c r="K51" s="18"/>
      <c r="L51" s="18"/>
      <c r="M51" s="18"/>
    </row>
    <row r="52" spans="1:13" ht="15.75" x14ac:dyDescent="0.25">
      <c r="A52" s="18"/>
      <c r="B52" s="26"/>
      <c r="C52" s="26" t="str">
        <f>IF(G52=0,"",IF(B52=0,"",IF(AND(B52=1,#REF!=1)," một",IF(AND(B52=1,#REF!&gt;1)," mốt",IF(AND(B52=5,#REF!&gt;0)," lăm",IF(#REF!=0,LOOKUP(B52,D37:D46,E37:E46),LOOKUP(B52,D37:D46,F37:F46))))))&amp;IF(SUM(B52:B52)&gt;0," triệu",""))</f>
        <v/>
      </c>
      <c r="D52" s="36"/>
      <c r="E52" s="36"/>
      <c r="F52" s="36"/>
      <c r="G52" s="36"/>
      <c r="H52" s="18"/>
      <c r="I52" s="18"/>
      <c r="J52" s="18"/>
      <c r="K52" s="18"/>
      <c r="L52" s="18"/>
      <c r="M52" s="18"/>
    </row>
    <row r="53" spans="1:13" ht="15.75" x14ac:dyDescent="0.25">
      <c r="A53" s="37" t="s">
        <v>2719</v>
      </c>
      <c r="B53" s="38"/>
      <c r="C53" s="26"/>
      <c r="D53" s="26"/>
      <c r="E53" s="26"/>
      <c r="F53" s="26"/>
      <c r="G53" s="26"/>
      <c r="H53" s="18"/>
      <c r="I53" s="18"/>
      <c r="J53" s="18"/>
      <c r="K53" s="18"/>
      <c r="L53" s="18"/>
      <c r="M53" s="18"/>
    </row>
    <row r="54" spans="1:13" ht="15.75" x14ac:dyDescent="0.25">
      <c r="A54" s="18"/>
      <c r="B54" s="18"/>
      <c r="C54" s="39"/>
      <c r="D54" s="39"/>
      <c r="E54" s="39"/>
      <c r="F54" s="39"/>
      <c r="G54" s="40" t="e">
        <f>""&amp; IF(G37=0,"Không ",CONCATENATE(C51,C50,C49,C48,C47,C46,C45,C44,C43,C42,C41,C40,C39,C38,C37)) &amp; " đồng"</f>
        <v>#REF!</v>
      </c>
      <c r="H54" s="41"/>
      <c r="I54" s="18"/>
      <c r="J54" s="18"/>
      <c r="K54" s="18"/>
      <c r="L54" s="18"/>
      <c r="M54" s="18"/>
    </row>
    <row r="55" spans="1:13" ht="15.75" x14ac:dyDescent="0.25">
      <c r="A55" s="18"/>
      <c r="B55" s="18"/>
      <c r="C55" s="18"/>
      <c r="D55" s="18"/>
      <c r="E55" s="18"/>
      <c r="F55" s="18"/>
      <c r="G55" s="18"/>
      <c r="H55" s="18"/>
      <c r="I55" s="18"/>
      <c r="J55" s="18"/>
      <c r="K55" s="18"/>
      <c r="L55" s="18"/>
      <c r="M55" s="18"/>
    </row>
    <row r="56" spans="1:13" ht="15.75" x14ac:dyDescent="0.25">
      <c r="A56" s="37" t="s">
        <v>2720</v>
      </c>
      <c r="B56" s="18"/>
      <c r="C56" s="18"/>
      <c r="D56" s="18"/>
      <c r="E56" s="18"/>
      <c r="F56" s="18"/>
      <c r="G56" s="18"/>
      <c r="H56" s="18"/>
      <c r="I56" s="18"/>
      <c r="J56" s="18"/>
      <c r="K56" s="18"/>
      <c r="L56" s="18"/>
      <c r="M56" s="18"/>
    </row>
    <row r="57" spans="1:13" ht="15.75" x14ac:dyDescent="0.25">
      <c r="A57" s="18"/>
      <c r="B57" s="42" t="s">
        <v>2721</v>
      </c>
      <c r="C57" s="18"/>
      <c r="D57" s="18"/>
      <c r="E57" s="18"/>
      <c r="F57" s="18"/>
      <c r="G57" s="18"/>
      <c r="H57" s="18"/>
      <c r="I57" s="18"/>
      <c r="J57" s="18"/>
      <c r="K57" s="18"/>
      <c r="L57" s="18"/>
      <c r="M57" s="18"/>
    </row>
    <row r="58" spans="1:13" ht="15.75" x14ac:dyDescent="0.25">
      <c r="A58" s="18"/>
      <c r="B58" s="18" t="s">
        <v>2722</v>
      </c>
      <c r="C58" s="18"/>
      <c r="D58" s="18"/>
      <c r="E58" s="18"/>
      <c r="F58" s="18"/>
      <c r="G58" s="18"/>
      <c r="H58" s="18"/>
      <c r="I58" s="18"/>
      <c r="J58" s="18"/>
      <c r="K58" s="18"/>
      <c r="L58" s="18"/>
      <c r="M58" s="18"/>
    </row>
    <row r="59" spans="1:13" ht="15.75" x14ac:dyDescent="0.25">
      <c r="A59" s="18"/>
      <c r="B59" s="18" t="s">
        <v>2723</v>
      </c>
      <c r="C59" s="18"/>
      <c r="D59" s="18"/>
      <c r="E59" s="18"/>
      <c r="F59" s="18"/>
      <c r="G59" s="18"/>
      <c r="H59" s="18"/>
      <c r="I59" s="18"/>
      <c r="J59" s="18"/>
      <c r="K59" s="18"/>
      <c r="L59" s="18"/>
      <c r="M59"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PL03a</vt:lpstr>
      <vt:lpstr>Sheet2</vt:lpstr>
      <vt:lpstr>Sheet1</vt:lpstr>
      <vt:lpstr>BBNTHT</vt:lpstr>
      <vt:lpstr>PL 03 liên danh</vt:lpstr>
      <vt:lpstr>bảng diễn giải</vt:lpstr>
      <vt:lpstr>đọc số</vt:lpstr>
      <vt:lpstr>PL03a!Print_Area</vt:lpstr>
      <vt:lpstr>BBNTHT!Print_Titles</vt:lpstr>
      <vt:lpstr>PL03a!Print_Titles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Nguyen</dc:creator>
  <cp:lastModifiedBy>Admin</cp:lastModifiedBy>
  <cp:lastPrinted>2024-12-24T02:26:34Z</cp:lastPrinted>
  <dcterms:created xsi:type="dcterms:W3CDTF">2024-06-10T04:28:38Z</dcterms:created>
  <dcterms:modified xsi:type="dcterms:W3CDTF">2025-02-20T08:51:35Z</dcterms:modified>
</cp:coreProperties>
</file>