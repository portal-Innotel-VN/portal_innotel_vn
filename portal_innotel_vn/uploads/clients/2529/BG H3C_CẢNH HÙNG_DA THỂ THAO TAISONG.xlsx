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e530f1a51b529a/Máy tính/"/>
    </mc:Choice>
  </mc:AlternateContent>
  <xr:revisionPtr revIDLastSave="0" documentId="8_{A36C018A-A88E-4B7B-9B55-F06414FA34D3}" xr6:coauthVersionLast="47" xr6:coauthVersionMax="47" xr10:uidLastSave="{00000000-0000-0000-0000-000000000000}"/>
  <bookViews>
    <workbookView xWindow="-120" yWindow="-120" windowWidth="20730" windowHeight="11310" xr2:uid="{69E6BA00-B631-4F04-9F98-CC44ECC1D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4" i="1"/>
</calcChain>
</file>

<file path=xl/sharedStrings.xml><?xml version="1.0" encoding="utf-8"?>
<sst xmlns="http://schemas.openxmlformats.org/spreadsheetml/2006/main" count="86" uniqueCount="45">
  <si>
    <t>No</t>
  </si>
  <si>
    <t>Yêu cầu</t>
  </si>
  <si>
    <t>SL</t>
  </si>
  <si>
    <t>Model đề xuất</t>
  </si>
  <si>
    <t>Thông số</t>
  </si>
  <si>
    <t>BH</t>
  </si>
  <si>
    <t>Note</t>
  </si>
  <si>
    <t>H3C S6520X-26QC-EI</t>
  </si>
  <si>
    <t>H3C S6520X-30QC-EI</t>
  </si>
  <si>
    <t>H3C S6520X-30QC-EI L3 Ethernet Switch(24SFP Plus+2QSFP Plus+2Slot),Without Power Supplies;_x000D_
2 * 250W AC Power Supply Module (Power Panel Side Exhaust Airflow);_x000D_
2 * Fan Module (Fan Panel Side Exhaust Airflow)</t>
  </si>
  <si>
    <t>1N</t>
  </si>
  <si>
    <t>tổng đơn order 60-70 ngày làm việc ko tính t7 cn lễ</t>
  </si>
  <si>
    <t>H3C S5130S-28S-EI</t>
  </si>
  <si>
    <t>LS-5120V3-28S-LI-GL</t>
  </si>
  <si>
    <t>H3C S5120V3-28S-LI L3 Ethernet Switch with 24*10/100/1000BASE-T Ports and 4*1G/10G BASE-X SFP Plus Ports,(AC)</t>
  </si>
  <si>
    <t>3N</t>
  </si>
  <si>
    <t>H3C S5130S-10P-PWR-EI</t>
  </si>
  <si>
    <t>LS-5120V3-10P-PWR-LI-GL</t>
  </si>
  <si>
    <t>H3C S5120V3-10P-PWR-LI L3 Ethernet Switch with 8*10/100/1000BASE-T PoE+ Ports (AC 125W) and 2*1000BASE-X SFP Ports,(AC)</t>
  </si>
  <si>
    <t>H3C SFP-XG-LR-SM1310</t>
  </si>
  <si>
    <t>SFP-XG-LX-SM1310</t>
  </si>
  <si>
    <t>SFP+ Module(1310nm,10km,LC)</t>
  </si>
  <si>
    <t>SFP-GE-LX-SM1310-A</t>
  </si>
  <si>
    <t>1000BASE-LX SFP Transceiver, Single Mode (1310nm, 10km, LC)</t>
  </si>
  <si>
    <t>H3C WX5540H</t>
  </si>
  <si>
    <t>H3C WX3840X</t>
  </si>
  <si>
    <t>H3C WX3840X Access Controller;_x000D_
2 * 250W AC Power Supply;_x000D_
Enhanced Access Controller License,128 APs,for Verticals,for V7V9</t>
  </si>
  <si>
    <t>H3C WA7638</t>
  </si>
  <si>
    <t>H3C WA7638 Internal Antennas 12 Streams Triple Radio 802.11be/ax/ac/n Access Point(2*GE+1*10GE+1*10G PSFP),FIT</t>
  </si>
  <si>
    <t>H3C WA7630X</t>
  </si>
  <si>
    <t>H3C WA7630X Internal Antennas 12 Streams Triple Radio 802.11be/ax/ac/n Industrial Access Point(1*GE+1*10GE+1*10G SFP+),FIT</t>
  </si>
  <si>
    <t>H3C S6520X-30HC-EI</t>
  </si>
  <si>
    <t xml:space="preserve"> H3C S6520X-30HC-EI</t>
  </si>
  <si>
    <t>H3C S6520X-30HC-EI L3 Ethernet Switch(24SFP Plus+2QSFP28+2Slot),Without Power Supplies;_x000D_
2 * 250W AC Power Supply Module (Power Panel Side Exhaust Airflow);_x000D_
2 * Fan Module (Fan Panel Side Exhaust Airflow)</t>
  </si>
  <si>
    <t>H3C S5130S-28P-PWR-EI</t>
  </si>
  <si>
    <t>LS-5120V3-28S-HPWR-LI-GL</t>
  </si>
  <si>
    <t>H3C S5120V3-28S-HPWR-LI L3 Ethernet Switch with 24*10/100/1000BASE-T PoE+ Ports, 4*100/1000BASE-X SFP Combo Ports, and 4*1G/10G BASE-X SFP Plus Ports,(AC)</t>
  </si>
  <si>
    <t>H3C S5130S-10P-EI</t>
  </si>
  <si>
    <t>LS-5120V3-10P-LI-GL</t>
  </si>
  <si>
    <t>H3C S5120V3-10P-LI L3 Ethernet Switch with 8*10/100/1000BASE-T Ports and 2*1000BASE-X SFP Ports,(AC)</t>
  </si>
  <si>
    <t>07.07.26_H3C_Innotel_Mr.Nhật_Cảnh Hùng_CÔNG TY TNHH SẢN PHẨM THỂ THAO TAISONG</t>
  </si>
  <si>
    <t>Đơn giá chưa vat</t>
  </si>
  <si>
    <t>Thành Tiền</t>
  </si>
  <si>
    <t>Tổng</t>
  </si>
  <si>
    <t>THUAN PHONG INNOVATIVE TELECOMMUNICATION CO., LTD.
Website: http://www.innotel.com.vn            Email: sales@innotel.com.vn
Tel: (84 8) 38621119.                      Fax: (84 8) 38630366.
55/31 Tran Dinh Xu, Cau Kho Ward, Distric 1, HCMC,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</si>
</sst>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name val="Segoe UI"/>
      <family val="2"/>
    </font>
    <font>
      <b/>
      <sz val="9"/>
      <name val="微软雅黑"/>
    </font>
    <font>
      <sz val="9"/>
      <name val="微软雅黑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top" wrapText="1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center"/>
    </xf>
    <xf numFmtId="3" fontId="9" fillId="0" borderId="1" xfId="0" applyNumberFormat="1" applyFont="1" applyBorder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47626</xdr:rowOff>
    </xdr:from>
    <xdr:to>
      <xdr:col>2</xdr:col>
      <xdr:colOff>200025</xdr:colOff>
      <xdr:row>1</xdr:row>
      <xdr:rowOff>66676</xdr:rowOff>
    </xdr:to>
    <xdr:pic>
      <xdr:nvPicPr>
        <xdr:cNvPr id="2" name="Picture 1" descr="dfdf">
          <a:extLst>
            <a:ext uri="{FF2B5EF4-FFF2-40B4-BE49-F238E27FC236}">
              <a16:creationId xmlns:a16="http://schemas.microsoft.com/office/drawing/2014/main" id="{B7E2C2F5-D039-C661-AC87-D5D49447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6"/>
          <a:ext cx="18288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10D6-1CF6-4115-A271-FE7060E9A1F6}">
  <dimension ref="A1:I23"/>
  <sheetViews>
    <sheetView tabSelected="1" workbookViewId="0">
      <selection activeCell="E4" sqref="E4"/>
    </sheetView>
  </sheetViews>
  <sheetFormatPr defaultRowHeight="15"/>
  <cols>
    <col min="1" max="1" width="3.5703125" bestFit="1" customWidth="1"/>
    <col min="2" max="2" width="20.85546875" customWidth="1"/>
    <col min="4" max="4" width="26.28515625" bestFit="1" customWidth="1"/>
    <col min="5" max="5" width="48.42578125" style="17" customWidth="1"/>
    <col min="6" max="7" width="15.140625" customWidth="1"/>
    <col min="8" max="8" width="9.7109375" customWidth="1"/>
    <col min="10" max="10" width="12.140625" customWidth="1"/>
  </cols>
  <sheetData>
    <row r="1" spans="1:9" ht="70.5" customHeight="1">
      <c r="D1" s="20" t="s">
        <v>44</v>
      </c>
      <c r="E1" s="21"/>
      <c r="F1" s="21"/>
      <c r="G1" s="21"/>
      <c r="H1" s="21"/>
      <c r="I1" s="21"/>
    </row>
    <row r="2" spans="1:9" ht="18.75">
      <c r="A2" s="22" t="s">
        <v>40</v>
      </c>
      <c r="B2" s="22"/>
      <c r="C2" s="22"/>
      <c r="D2" s="22"/>
      <c r="E2" s="22"/>
      <c r="F2" s="22"/>
      <c r="G2" s="22"/>
      <c r="H2" s="22"/>
      <c r="I2" s="22"/>
    </row>
    <row r="3" spans="1:9" ht="31.5">
      <c r="A3" s="1" t="s">
        <v>0</v>
      </c>
      <c r="B3" s="1" t="s">
        <v>1</v>
      </c>
      <c r="C3" s="2" t="s">
        <v>2</v>
      </c>
      <c r="D3" s="1" t="s">
        <v>3</v>
      </c>
      <c r="E3" s="3" t="s">
        <v>4</v>
      </c>
      <c r="F3" s="3" t="s">
        <v>41</v>
      </c>
      <c r="G3" s="3" t="s">
        <v>42</v>
      </c>
      <c r="H3" s="3" t="s">
        <v>5</v>
      </c>
      <c r="I3" s="3" t="s">
        <v>6</v>
      </c>
    </row>
    <row r="4" spans="1:9" ht="71.25">
      <c r="A4" s="4">
        <v>1</v>
      </c>
      <c r="B4" s="5" t="s">
        <v>7</v>
      </c>
      <c r="C4" s="4">
        <v>1</v>
      </c>
      <c r="D4" s="6" t="s">
        <v>8</v>
      </c>
      <c r="E4" s="7" t="s">
        <v>9</v>
      </c>
      <c r="F4" s="8">
        <v>101500000</v>
      </c>
      <c r="G4" s="8">
        <f>F4*C4</f>
        <v>101500000</v>
      </c>
      <c r="H4" s="9" t="s">
        <v>10</v>
      </c>
      <c r="I4" s="10" t="s">
        <v>11</v>
      </c>
    </row>
    <row r="5" spans="1:9" ht="45">
      <c r="A5" s="4">
        <v>2</v>
      </c>
      <c r="B5" s="5" t="s">
        <v>12</v>
      </c>
      <c r="C5" s="4">
        <v>4</v>
      </c>
      <c r="D5" s="11" t="s">
        <v>13</v>
      </c>
      <c r="E5" s="16" t="s">
        <v>14</v>
      </c>
      <c r="F5" s="8">
        <v>8800000</v>
      </c>
      <c r="G5" s="8">
        <f t="shared" ref="G5:G22" si="0">F5*C5</f>
        <v>35200000</v>
      </c>
      <c r="H5" s="9" t="s">
        <v>15</v>
      </c>
      <c r="I5" s="10"/>
    </row>
    <row r="6" spans="1:9" ht="45">
      <c r="A6" s="4">
        <v>3</v>
      </c>
      <c r="B6" s="5" t="s">
        <v>12</v>
      </c>
      <c r="C6" s="4">
        <v>5</v>
      </c>
      <c r="D6" s="11" t="s">
        <v>13</v>
      </c>
      <c r="E6" s="16" t="s">
        <v>14</v>
      </c>
      <c r="F6" s="8">
        <v>8800000</v>
      </c>
      <c r="G6" s="8">
        <f t="shared" si="0"/>
        <v>44000000</v>
      </c>
      <c r="H6" s="9" t="s">
        <v>15</v>
      </c>
      <c r="I6" s="10"/>
    </row>
    <row r="7" spans="1:9" ht="45">
      <c r="A7" s="4">
        <v>4</v>
      </c>
      <c r="B7" s="5" t="s">
        <v>16</v>
      </c>
      <c r="C7" s="4">
        <v>4</v>
      </c>
      <c r="D7" s="11" t="s">
        <v>17</v>
      </c>
      <c r="E7" s="16" t="s">
        <v>18</v>
      </c>
      <c r="F7" s="8">
        <v>6200000</v>
      </c>
      <c r="G7" s="8">
        <f t="shared" si="0"/>
        <v>24800000</v>
      </c>
      <c r="H7" s="9" t="s">
        <v>15</v>
      </c>
      <c r="I7" s="10"/>
    </row>
    <row r="8" spans="1:9">
      <c r="A8" s="4">
        <v>5</v>
      </c>
      <c r="B8" s="5" t="s">
        <v>19</v>
      </c>
      <c r="C8" s="4">
        <v>18</v>
      </c>
      <c r="D8" s="11" t="s">
        <v>20</v>
      </c>
      <c r="E8" s="16" t="s">
        <v>21</v>
      </c>
      <c r="F8" s="8">
        <v>2200000</v>
      </c>
      <c r="G8" s="8">
        <f t="shared" si="0"/>
        <v>39600000</v>
      </c>
      <c r="H8" s="9" t="s">
        <v>10</v>
      </c>
      <c r="I8" s="10"/>
    </row>
    <row r="9" spans="1:9" ht="30">
      <c r="A9" s="4">
        <v>6</v>
      </c>
      <c r="B9" s="5"/>
      <c r="C9" s="4">
        <v>8</v>
      </c>
      <c r="D9" s="11" t="s">
        <v>22</v>
      </c>
      <c r="E9" s="16" t="s">
        <v>23</v>
      </c>
      <c r="F9" s="8">
        <v>720000</v>
      </c>
      <c r="G9" s="8">
        <f t="shared" si="0"/>
        <v>5760000</v>
      </c>
      <c r="H9" s="9" t="s">
        <v>10</v>
      </c>
      <c r="I9" s="10"/>
    </row>
    <row r="10" spans="1:9" ht="57">
      <c r="A10" s="4">
        <v>7</v>
      </c>
      <c r="B10" s="5" t="s">
        <v>24</v>
      </c>
      <c r="C10" s="4">
        <v>1</v>
      </c>
      <c r="D10" s="11" t="s">
        <v>25</v>
      </c>
      <c r="E10" s="12" t="s">
        <v>26</v>
      </c>
      <c r="F10" s="8">
        <v>412300000</v>
      </c>
      <c r="G10" s="8">
        <f t="shared" si="0"/>
        <v>412300000</v>
      </c>
      <c r="H10" s="9" t="s">
        <v>10</v>
      </c>
      <c r="I10" s="10"/>
    </row>
    <row r="11" spans="1:9" ht="42.75">
      <c r="A11" s="4">
        <v>8</v>
      </c>
      <c r="B11" s="5" t="s">
        <v>27</v>
      </c>
      <c r="C11" s="4">
        <v>64</v>
      </c>
      <c r="D11" s="11" t="s">
        <v>27</v>
      </c>
      <c r="E11" s="12" t="s">
        <v>28</v>
      </c>
      <c r="F11" s="8">
        <v>37200000</v>
      </c>
      <c r="G11" s="8">
        <f t="shared" si="0"/>
        <v>2380800000</v>
      </c>
      <c r="H11" s="9" t="s">
        <v>10</v>
      </c>
      <c r="I11" s="10"/>
    </row>
    <row r="12" spans="1:9" ht="42.75">
      <c r="A12" s="4">
        <v>9</v>
      </c>
      <c r="B12" s="5" t="s">
        <v>29</v>
      </c>
      <c r="C12" s="4">
        <v>2</v>
      </c>
      <c r="D12" s="11" t="s">
        <v>29</v>
      </c>
      <c r="E12" s="13" t="s">
        <v>30</v>
      </c>
      <c r="F12" s="8">
        <v>63200000</v>
      </c>
      <c r="G12" s="8">
        <f t="shared" si="0"/>
        <v>126400000</v>
      </c>
      <c r="H12" s="9" t="s">
        <v>10</v>
      </c>
      <c r="I12" s="10"/>
    </row>
    <row r="13" spans="1:9" ht="75">
      <c r="A13" s="4">
        <v>10</v>
      </c>
      <c r="B13" s="5" t="s">
        <v>31</v>
      </c>
      <c r="C13" s="4">
        <v>1</v>
      </c>
      <c r="D13" s="11" t="s">
        <v>32</v>
      </c>
      <c r="E13" s="14" t="s">
        <v>33</v>
      </c>
      <c r="F13" s="8">
        <v>124700000</v>
      </c>
      <c r="G13" s="8">
        <f t="shared" si="0"/>
        <v>124700000</v>
      </c>
      <c r="H13" s="9" t="s">
        <v>10</v>
      </c>
      <c r="I13" s="10"/>
    </row>
    <row r="14" spans="1:9" ht="33.75">
      <c r="A14" s="4">
        <v>11</v>
      </c>
      <c r="B14" s="5" t="s">
        <v>34</v>
      </c>
      <c r="C14" s="4">
        <v>4</v>
      </c>
      <c r="D14" s="11" t="s">
        <v>35</v>
      </c>
      <c r="E14" s="15" t="s">
        <v>36</v>
      </c>
      <c r="F14" s="8">
        <v>15900000</v>
      </c>
      <c r="G14" s="8">
        <f t="shared" si="0"/>
        <v>63600000</v>
      </c>
      <c r="H14" s="9" t="s">
        <v>15</v>
      </c>
      <c r="I14" s="10"/>
    </row>
    <row r="15" spans="1:9" ht="45">
      <c r="A15" s="4">
        <v>12</v>
      </c>
      <c r="B15" s="5" t="s">
        <v>16</v>
      </c>
      <c r="C15" s="4">
        <v>4</v>
      </c>
      <c r="D15" s="11" t="s">
        <v>17</v>
      </c>
      <c r="E15" s="16" t="s">
        <v>18</v>
      </c>
      <c r="F15" s="8">
        <v>6200000</v>
      </c>
      <c r="G15" s="8">
        <f t="shared" si="0"/>
        <v>24800000</v>
      </c>
      <c r="H15" s="9" t="s">
        <v>15</v>
      </c>
      <c r="I15" s="10"/>
    </row>
    <row r="16" spans="1:9">
      <c r="A16" s="4">
        <v>13</v>
      </c>
      <c r="B16" s="5" t="s">
        <v>19</v>
      </c>
      <c r="C16" s="4">
        <v>8</v>
      </c>
      <c r="D16" s="11" t="s">
        <v>20</v>
      </c>
      <c r="E16" s="16" t="s">
        <v>21</v>
      </c>
      <c r="F16" s="8">
        <v>2200000</v>
      </c>
      <c r="G16" s="8">
        <f t="shared" si="0"/>
        <v>17600000</v>
      </c>
      <c r="H16" s="9" t="s">
        <v>10</v>
      </c>
      <c r="I16" s="10"/>
    </row>
    <row r="17" spans="1:9" ht="30">
      <c r="A17" s="4">
        <v>14</v>
      </c>
      <c r="B17" s="5"/>
      <c r="C17" s="4">
        <v>8</v>
      </c>
      <c r="D17" s="11" t="s">
        <v>22</v>
      </c>
      <c r="E17" s="16" t="s">
        <v>23</v>
      </c>
      <c r="F17" s="8">
        <v>7200000</v>
      </c>
      <c r="G17" s="8">
        <f t="shared" si="0"/>
        <v>57600000</v>
      </c>
      <c r="H17" s="9" t="s">
        <v>10</v>
      </c>
      <c r="I17" s="10"/>
    </row>
    <row r="18" spans="1:9" ht="75">
      <c r="A18" s="4">
        <v>15</v>
      </c>
      <c r="B18" s="5" t="s">
        <v>31</v>
      </c>
      <c r="C18" s="4">
        <v>1</v>
      </c>
      <c r="D18" s="11" t="s">
        <v>32</v>
      </c>
      <c r="E18" s="14" t="s">
        <v>33</v>
      </c>
      <c r="F18" s="8">
        <v>124700000</v>
      </c>
      <c r="G18" s="8">
        <f t="shared" si="0"/>
        <v>124700000</v>
      </c>
      <c r="H18" s="9" t="s">
        <v>10</v>
      </c>
      <c r="I18" s="10"/>
    </row>
    <row r="19" spans="1:9" ht="45">
      <c r="A19" s="4">
        <v>16</v>
      </c>
      <c r="B19" s="5" t="s">
        <v>12</v>
      </c>
      <c r="C19" s="4">
        <v>2</v>
      </c>
      <c r="D19" s="11" t="s">
        <v>13</v>
      </c>
      <c r="E19" s="16" t="s">
        <v>14</v>
      </c>
      <c r="F19" s="8">
        <v>8800000</v>
      </c>
      <c r="G19" s="8">
        <f t="shared" si="0"/>
        <v>17600000</v>
      </c>
      <c r="H19" s="9" t="s">
        <v>15</v>
      </c>
      <c r="I19" s="10"/>
    </row>
    <row r="20" spans="1:9" ht="45">
      <c r="A20" s="4">
        <v>17</v>
      </c>
      <c r="B20" s="5" t="s">
        <v>37</v>
      </c>
      <c r="C20" s="4">
        <v>5</v>
      </c>
      <c r="D20" s="11" t="s">
        <v>38</v>
      </c>
      <c r="E20" s="16" t="s">
        <v>39</v>
      </c>
      <c r="F20" s="8">
        <v>4100000</v>
      </c>
      <c r="G20" s="8">
        <f t="shared" si="0"/>
        <v>20500000</v>
      </c>
      <c r="H20" s="9" t="s">
        <v>15</v>
      </c>
      <c r="I20" s="10"/>
    </row>
    <row r="21" spans="1:9">
      <c r="A21" s="4">
        <v>18</v>
      </c>
      <c r="B21" s="5" t="s">
        <v>19</v>
      </c>
      <c r="C21" s="4">
        <v>4</v>
      </c>
      <c r="D21" s="11" t="s">
        <v>20</v>
      </c>
      <c r="E21" s="16" t="s">
        <v>21</v>
      </c>
      <c r="F21" s="8">
        <v>2200000</v>
      </c>
      <c r="G21" s="8">
        <f t="shared" si="0"/>
        <v>8800000</v>
      </c>
      <c r="H21" s="9" t="s">
        <v>10</v>
      </c>
      <c r="I21" s="10"/>
    </row>
    <row r="22" spans="1:9" ht="30">
      <c r="A22" s="4">
        <v>19</v>
      </c>
      <c r="B22" s="5"/>
      <c r="C22" s="4">
        <v>10</v>
      </c>
      <c r="D22" s="11" t="s">
        <v>22</v>
      </c>
      <c r="E22" s="16" t="s">
        <v>23</v>
      </c>
      <c r="F22" s="8">
        <v>720000</v>
      </c>
      <c r="G22" s="8">
        <f t="shared" si="0"/>
        <v>7200000</v>
      </c>
      <c r="H22" s="9" t="s">
        <v>10</v>
      </c>
      <c r="I22" s="10"/>
    </row>
    <row r="23" spans="1:9" ht="21">
      <c r="A23" s="18" t="s">
        <v>43</v>
      </c>
      <c r="B23" s="18"/>
      <c r="C23" s="18"/>
      <c r="D23" s="18"/>
      <c r="E23" s="18"/>
      <c r="F23" s="18"/>
      <c r="G23" s="19">
        <f>SUM(G4:G22)</f>
        <v>3637460000</v>
      </c>
    </row>
  </sheetData>
  <mergeCells count="4">
    <mergeCell ref="I4:I22"/>
    <mergeCell ref="A23:F23"/>
    <mergeCell ref="D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Vương Nhật</dc:creator>
  <cp:lastModifiedBy>Trần Vương Nhật</cp:lastModifiedBy>
  <dcterms:created xsi:type="dcterms:W3CDTF">2026-07-07T02:29:41Z</dcterms:created>
  <dcterms:modified xsi:type="dcterms:W3CDTF">2026-07-07T02:47:49Z</dcterms:modified>
</cp:coreProperties>
</file>