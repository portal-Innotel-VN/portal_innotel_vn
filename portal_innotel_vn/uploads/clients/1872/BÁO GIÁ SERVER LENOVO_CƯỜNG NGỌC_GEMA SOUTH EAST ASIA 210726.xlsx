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Bao Gia\Innotel\Cường Ngọc\2026\GEMA SOUTH EAST ASIA\Báo giá\Excel\Gửi KH\"/>
    </mc:Choice>
  </mc:AlternateContent>
  <xr:revisionPtr revIDLastSave="0" documentId="13_ncr:1_{6F946BB1-7B02-43A6-9D39-F154A5FAF8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áo Giá" sheetId="2" r:id="rId1"/>
  </sheets>
  <definedNames>
    <definedName name="_xlnm.Print_Area" localSheetId="0">'Báo Giá'!$A$1:$M$103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4" i="2" l="1"/>
  <c r="J83" i="2" l="1"/>
  <c r="K14" i="2" l="1"/>
  <c r="K83" i="2" s="1"/>
</calcChain>
</file>

<file path=xl/sharedStrings.xml><?xml version="1.0" encoding="utf-8"?>
<sst xmlns="http://schemas.openxmlformats.org/spreadsheetml/2006/main" count="247" uniqueCount="245">
  <si>
    <t>BẢNG CHÀO GIÁ</t>
  </si>
  <si>
    <t>STT</t>
  </si>
  <si>
    <t>ĐVT</t>
  </si>
  <si>
    <t>ĐƠN GIÁ
(VNĐ)</t>
  </si>
  <si>
    <t>THỜI HẠN BẢO HÀNH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</si>
  <si>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</si>
  <si>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</si>
  <si>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</si>
  <si>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</si>
  <si>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TỔNG CỘNG</t>
  </si>
  <si>
    <t>SL</t>
  </si>
  <si>
    <t>TÊN SẢN PHẨM</t>
  </si>
  <si>
    <t>LOẠI SẢN PHẨM</t>
  </si>
  <si>
    <t xml:space="preserve">Võ Nguyễn Thanh Xuân </t>
  </si>
  <si>
    <t>Người báo giá: VÕ TNGUYỄN THANH XUÂN</t>
  </si>
  <si>
    <t>Email: xuan@innotel.com.vn</t>
  </si>
  <si>
    <t>Thuế
(%)</t>
  </si>
  <si>
    <t>Ghi chú</t>
  </si>
  <si>
    <t>4. Bảo hành theo tiêu chuẩn nhà sản xuất.</t>
  </si>
  <si>
    <t>Nhà Phân phối: CÔNG TY TNHH VIỄN THÔNG SÁNG TẠO THUẬN PHONG (Innotel)</t>
  </si>
  <si>
    <t>Hardware</t>
  </si>
  <si>
    <t>THÀNH TIỀN 
(ĐÃ VAT)</t>
  </si>
  <si>
    <t>THÀNH TIỀN
(CHƯA VAT)</t>
  </si>
  <si>
    <t xml:space="preserve">Mobi: </t>
  </si>
  <si>
    <t>cái</t>
  </si>
  <si>
    <t>5. Thông tin tài khoản nhận thanh toán:</t>
  </si>
  <si>
    <r>
      <t xml:space="preserve">  - Đơn vị thủ hưởng: </t>
    </r>
    <r>
      <rPr>
        <b/>
        <sz val="11"/>
        <rFont val="Arial"/>
        <family val="2"/>
      </rPr>
      <t>CÔNG TY TNHH VIỄN THÔNG SÁNG TẠO THUẬN PHONG</t>
    </r>
    <r>
      <rPr>
        <sz val="11"/>
        <rFont val="Arial"/>
        <family val="2"/>
      </rPr>
      <t xml:space="preserve"> </t>
    </r>
  </si>
  <si>
    <r>
      <t xml:space="preserve">  - STK: </t>
    </r>
    <r>
      <rPr>
        <b/>
        <sz val="11"/>
        <rFont val="Arial"/>
        <family val="2"/>
      </rPr>
      <t>77838686</t>
    </r>
    <r>
      <rPr>
        <sz val="11"/>
        <rFont val="Arial"/>
        <family val="2"/>
      </rPr>
      <t xml:space="preserve"> tại </t>
    </r>
    <r>
      <rPr>
        <b/>
        <sz val="11"/>
        <rFont val="Arial"/>
        <family val="2"/>
      </rPr>
      <t>Ngân hàng TMCP Kỹ Thương Việt Nam - Chi Nhánh Chợ Lớn</t>
    </r>
  </si>
  <si>
    <t xml:space="preserve">Email: </t>
  </si>
  <si>
    <t>1-2</t>
  </si>
  <si>
    <t>3. Thanh toán: 2 đợt</t>
  </si>
  <si>
    <t xml:space="preserve">  - Đợt 1: Tạm ứng 30% tổng giá trị hợp đồng ngay khi đặt hàng</t>
  </si>
  <si>
    <t xml:space="preserve">  - Đợt 2: Thanh toán 70% tổng giá trị hợp đồng còn lại khi nhận được thông báo giao hàng</t>
  </si>
  <si>
    <t>1. Hiệu lực báo giá: 7 ngày kể từ ngày chào giá</t>
  </si>
  <si>
    <t>Đại lý: CÔNG TY TNHH THƯƠNG MẠI DỊCH VỤ TIN HỌC CƯỜNG NGỌC</t>
  </si>
  <si>
    <t>Người nhận: Mr. Sơn</t>
  </si>
  <si>
    <t>Người dùng cuối: GEMA SOUTH EAST ASIA COMPANY LIMITED</t>
  </si>
  <si>
    <t>BOM: Server Lenovo</t>
  </si>
  <si>
    <t>Ngày báo giá: 21-07-26</t>
  </si>
  <si>
    <t>Ngày hết hạn báo giá: 28-07-26</t>
  </si>
  <si>
    <t>Qno: 210726</t>
  </si>
  <si>
    <t>7DG9CTO1WW</t>
  </si>
  <si>
    <t>Server : ThinkSystem SR630 V4-3yr Base Warranty</t>
  </si>
  <si>
    <t>C1XE</t>
  </si>
  <si>
    <t>ThinkSystem 1U V4 10x2.5" Chassis</t>
  </si>
  <si>
    <t>C3JB</t>
  </si>
  <si>
    <t>ThinkSystem General Computing - Power Efficiency</t>
  </si>
  <si>
    <t>BVGL</t>
  </si>
  <si>
    <t>Data Center Environment 30 Degree Celsius / 86 Degree Fahrenheit</t>
  </si>
  <si>
    <t>C5R7</t>
  </si>
  <si>
    <t>Intel Xeon 6714P 8C 165W 4.0GHz Processor</t>
  </si>
  <si>
    <t>BPFK</t>
  </si>
  <si>
    <t>ThinkSystem SR850 V3/SR630 V3/SR630 V4 Standard Heatsink</t>
  </si>
  <si>
    <t>BYTJ</t>
  </si>
  <si>
    <t>ThinkSystem 32GB TruDDR5 6400MHz (2Rx8) RDIMM</t>
  </si>
  <si>
    <t>Select Storage devices - no configured RAID required</t>
  </si>
  <si>
    <t>B8NY</t>
  </si>
  <si>
    <t>ThinkSystem RAID 940-8i 4GB Flash PCIe Gen4 12Gb Adapter</t>
  </si>
  <si>
    <t>BYLS</t>
  </si>
  <si>
    <t>ThinkSystem 2.5" VA 960GB Read Intensive SATA 6Gb HS SSD v2</t>
  </si>
  <si>
    <t>C21T</t>
  </si>
  <si>
    <t>ThinkSystem 1U V4 8x2.5" SAS/SATA Backplane</t>
  </si>
  <si>
    <t>B5T1</t>
  </si>
  <si>
    <t>ThinkSystem Broadcom 5719 1GbE RJ45 4-port OCP Ethernet Adapter</t>
  </si>
  <si>
    <t>C1YH</t>
  </si>
  <si>
    <t>ThinkSystem SR630 V4 x16/x16 PCIe Gen5 Cable Riser 1</t>
  </si>
  <si>
    <t>C1Z7</t>
  </si>
  <si>
    <t>ThinkSystem SR630 V4 Full Height+Low Profile Riser1 Cage</t>
  </si>
  <si>
    <t>C0U8</t>
  </si>
  <si>
    <t>ThinkSystem 800W 230V/115V Platinum CRPS Hot-Swap Power Supply v1.5</t>
  </si>
  <si>
    <t>2.8m, 13A/100-250V, C13 to C14 Jumper Cord</t>
  </si>
  <si>
    <t>C1YS</t>
  </si>
  <si>
    <t>ThinkSystem 1U V4 Standard Fan Module</t>
  </si>
  <si>
    <t>C1YP</t>
  </si>
  <si>
    <t>ThinkSystem 1U V4 Standard Media Bay</t>
  </si>
  <si>
    <t>C2DH</t>
  </si>
  <si>
    <t>ThinkSystem Toolless Slide Rail Kit V4</t>
  </si>
  <si>
    <t>BPKQ</t>
  </si>
  <si>
    <t>TPM 2.0 with Secure Boot</t>
  </si>
  <si>
    <t>B7XZ</t>
  </si>
  <si>
    <t>Disable IPMI-over-LAN</t>
  </si>
  <si>
    <t>BUT2</t>
  </si>
  <si>
    <t>Enable System Guard</t>
  </si>
  <si>
    <t>C1Z1</t>
  </si>
  <si>
    <t>ThinkSystem V4 1U Security Bezel</t>
  </si>
  <si>
    <t>BK15</t>
  </si>
  <si>
    <t>High voltage (200V+)</t>
  </si>
  <si>
    <t>B8KV</t>
  </si>
  <si>
    <t>ThinkSystem 1U 8x2.5" SAS/SATA HDD Type Label</t>
  </si>
  <si>
    <t>BZ7F</t>
  </si>
  <si>
    <t>ThinkSystem WW Lenovo LPK, Birch Stream</t>
  </si>
  <si>
    <t>B97B</t>
  </si>
  <si>
    <t>XCC Label</t>
  </si>
  <si>
    <t>C212</t>
  </si>
  <si>
    <t>ThinkSystem BHS SR630 V4 1U PCIe number 1-2 and OCP number Label (BF+Rear M.2)</t>
  </si>
  <si>
    <t>C20N</t>
  </si>
  <si>
    <t>ThinkSystem 800W power rating label WW (CRPS)</t>
  </si>
  <si>
    <t>CHCG</t>
  </si>
  <si>
    <t>ThinkSystem SR630 V4 Agency Label with CCC (800W Platinum)</t>
  </si>
  <si>
    <t>AWF9</t>
  </si>
  <si>
    <t>ThinkSystem Response time Service Label LI</t>
  </si>
  <si>
    <t>C20D</t>
  </si>
  <si>
    <t>ThinkSystem SR630 V4 model name Label</t>
  </si>
  <si>
    <t>C20J</t>
  </si>
  <si>
    <t>ThinkSystem SR630 V4 Service Label for WW</t>
  </si>
  <si>
    <t>AUTQ</t>
  </si>
  <si>
    <t>ThinkSystem small Lenovo Label for 24x2.5"/12x3.5"/10x2.5"</t>
  </si>
  <si>
    <t>BQPS</t>
  </si>
  <si>
    <t>ThinkSystem logo Label</t>
  </si>
  <si>
    <t>C1XZ</t>
  </si>
  <si>
    <t>ThinkSystem Power Cable, PIC Power 2x3+6P to PIC Power 2x3+6P, 380mm</t>
  </si>
  <si>
    <t>C1XV</t>
  </si>
  <si>
    <t>ThinkSystem G4 SAS Cable, SLX8-SLX4 x2, 900mm/1020mm</t>
  </si>
  <si>
    <t>C21G</t>
  </si>
  <si>
    <t>ThinkSystem Supercap Cable, 1X9 receptacle to 2X4 microfit receptacle, 780mm</t>
  </si>
  <si>
    <t>BE0F</t>
  </si>
  <si>
    <t>N+N Redundancy Without Over-Subscription</t>
  </si>
  <si>
    <t>CAR5</t>
  </si>
  <si>
    <t>SR630 V4 Laser service indicator</t>
  </si>
  <si>
    <t>C3NP</t>
  </si>
  <si>
    <t>ThinkSystem SR630 V4 MI-BF Cbl Riser to P9</t>
  </si>
  <si>
    <t>B0ML</t>
  </si>
  <si>
    <t>Feature Enable TPM on MB</t>
  </si>
  <si>
    <t>C4DV</t>
  </si>
  <si>
    <t>ThinkSystem SR630 V4 Processor Board</t>
  </si>
  <si>
    <t>AUNP</t>
  </si>
  <si>
    <t>ThinkSystem RAID 930/940 SuperCap</t>
  </si>
  <si>
    <t>C3K9</t>
  </si>
  <si>
    <t>XClarity Platinum Upgrade v3</t>
  </si>
  <si>
    <t>BEYJ</t>
  </si>
  <si>
    <t>ThinkSystem MS Height CPU Dummy</t>
  </si>
  <si>
    <t>AURS</t>
  </si>
  <si>
    <t>Lenovo ThinkSystem Memory Dummy</t>
  </si>
  <si>
    <t>AVEN</t>
  </si>
  <si>
    <t>ThinkSystem 1x1 2.5" HDD Filler</t>
  </si>
  <si>
    <t>B5X6</t>
  </si>
  <si>
    <t>ThinkSystem 1U 2x2.5" Fixed Filler</t>
  </si>
  <si>
    <t>BPP5</t>
  </si>
  <si>
    <t>OCP3.0 Filler with screw</t>
  </si>
  <si>
    <t>C1YY</t>
  </si>
  <si>
    <t>ThinkSystem 1U V4 Low Profile Riser Cage Filler</t>
  </si>
  <si>
    <t>C1YZ</t>
  </si>
  <si>
    <t>ThinkSystem 1U V4 Fan filler</t>
  </si>
  <si>
    <t>CA7N</t>
  </si>
  <si>
    <t>ThinkSystem SR630 V4 System I/O board v2</t>
  </si>
  <si>
    <t>C26Y</t>
  </si>
  <si>
    <t>ThinkSystem V4 CPU HS Clip</t>
  </si>
  <si>
    <t>C1YN</t>
  </si>
  <si>
    <t>ThinkSystem 1U V4 Air Duct</t>
  </si>
  <si>
    <t>BHSS</t>
  </si>
  <si>
    <t>MI for PXE with RJ45 Network port</t>
  </si>
  <si>
    <t>C5XG</t>
  </si>
  <si>
    <t>ThinkSystem SR630 V4 General Config PKG AC+CL</t>
  </si>
  <si>
    <t>BU1E</t>
  </si>
  <si>
    <t>Top Choice flag</t>
  </si>
  <si>
    <t>BK70</t>
  </si>
  <si>
    <t>ThinkSystem V3 1U Supercap Holder Kit</t>
  </si>
  <si>
    <t>A2HP</t>
  </si>
  <si>
    <t>Configuration ID 01 test</t>
  </si>
  <si>
    <t>5374CM1</t>
  </si>
  <si>
    <t>Configuration Instruction</t>
  </si>
  <si>
    <t>B8Q5</t>
  </si>
  <si>
    <t>ThinkSystem RAID 940-8i 4GB Flash PCIe Gen4 12Gb Adapter Placement</t>
  </si>
  <si>
    <t>A2JX</t>
  </si>
  <si>
    <t>Controller 01</t>
  </si>
  <si>
    <t>7S0XCTO6WW</t>
  </si>
  <si>
    <t>XClarity One</t>
  </si>
  <si>
    <t>SCJD</t>
  </si>
  <si>
    <t>XClarity One - Standard, Per Endpoint w/3 Yr SW S&amp;S</t>
  </si>
  <si>
    <t>7S0XCTO8WW</t>
  </si>
  <si>
    <t>XClarity Controller Prem-FOD</t>
  </si>
  <si>
    <t>SCY0</t>
  </si>
  <si>
    <t>Lenovo XClarity XCC3 premier - FOD</t>
  </si>
  <si>
    <t>5WS7C20030</t>
  </si>
  <si>
    <t>3Yr Premier NBD Resp SR630 V4</t>
  </si>
  <si>
    <t>Server</t>
  </si>
  <si>
    <t>Đặt hàng trong vòng 8 - 14 tuần</t>
  </si>
  <si>
    <t>1-1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</si>
  <si>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</si>
  <si>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</si>
  <si>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</si>
  <si>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</si>
  <si>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</si>
  <si>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</si>
  <si>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</si>
  <si>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</si>
  <si>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</si>
  <si>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</si>
  <si>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</si>
  <si>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</si>
  <si>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</si>
  <si>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</si>
  <si>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</si>
  <si>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</si>
  <si>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1-19</t>
  </si>
  <si>
    <t>1-20</t>
  </si>
  <si>
    <t>1-21</t>
  </si>
  <si>
    <t>1-22</t>
  </si>
  <si>
    <t>1-23</t>
  </si>
  <si>
    <t>1-24</t>
  </si>
  <si>
    <t>1-25</t>
  </si>
  <si>
    <t>1-26</t>
  </si>
  <si>
    <t>1-27</t>
  </si>
  <si>
    <t>1-28</t>
  </si>
  <si>
    <t>1-29</t>
  </si>
  <si>
    <t>1-30</t>
  </si>
  <si>
    <t>1-31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</si>
  <si>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</si>
  <si>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</si>
  <si>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</si>
  <si>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</si>
  <si>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</si>
  <si>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</si>
  <si>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</si>
  <si>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</si>
  <si>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</si>
  <si>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</si>
  <si>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</si>
  <si>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1-43</t>
  </si>
  <si>
    <t>1-44</t>
  </si>
  <si>
    <t>1-45</t>
  </si>
  <si>
    <t>1-46</t>
  </si>
  <si>
    <t>1-47</t>
  </si>
  <si>
    <t>1-48</t>
  </si>
  <si>
    <t>1-49</t>
  </si>
  <si>
    <t>1-50</t>
  </si>
  <si>
    <t>1-51</t>
  </si>
  <si>
    <t>1-52</t>
  </si>
  <si>
    <t>1-53</t>
  </si>
  <si>
    <t>1-54</t>
  </si>
  <si>
    <t>1-55</t>
  </si>
  <si>
    <t>1-56</t>
  </si>
  <si>
    <t>1-57</t>
  </si>
  <si>
    <t>1-58</t>
  </si>
  <si>
    <t>1-59</t>
  </si>
  <si>
    <t>1-60</t>
  </si>
  <si>
    <t>1-61</t>
  </si>
  <si>
    <t>1-62</t>
  </si>
  <si>
    <t>1-63</t>
  </si>
  <si>
    <t>1-64</t>
  </si>
  <si>
    <t>1-65</t>
  </si>
  <si>
    <t>1-66</t>
  </si>
  <si>
    <t>1-67</t>
  </si>
  <si>
    <t>1-68</t>
  </si>
  <si>
    <t>2. Thời gian giao hàng: 8 - 14 tuần kể từ ngày nhận được tạm ứng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</si>
</sst>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Calibri"/>
      <family val="2"/>
      <scheme val="minor"/>
    </font>
    <font>
      <b/>
      <sz val="9"/>
      <color indexed="8"/>
      <name val="Helvetica"/>
    </font>
    <font>
      <sz val="9"/>
      <color indexed="8"/>
      <name val="Helvetica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4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3" fontId="9" fillId="0" borderId="7" xfId="1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3" fontId="10" fillId="0" borderId="7" xfId="0" applyNumberFormat="1" applyFont="1" applyBorder="1" applyAlignment="1">
      <alignment horizontal="right" vertical="center"/>
    </xf>
    <xf numFmtId="3" fontId="10" fillId="0" borderId="7" xfId="0" applyNumberFormat="1" applyFont="1" applyBorder="1" applyAlignment="1">
      <alignment horizontal="center" vertical="center"/>
    </xf>
    <xf numFmtId="3" fontId="9" fillId="0" borderId="7" xfId="1" quotePrefix="1" applyNumberFormat="1" applyFont="1" applyBorder="1" applyAlignment="1">
      <alignment horizontal="center" vertical="center" wrapText="1"/>
    </xf>
    <xf numFmtId="9" fontId="8" fillId="0" borderId="7" xfId="2" applyFont="1" applyFill="1" applyBorder="1" applyAlignment="1">
      <alignment horizontal="center" vertical="center"/>
    </xf>
    <xf numFmtId="164" fontId="2" fillId="2" borderId="7" xfId="1" applyNumberFormat="1" applyFont="1" applyFill="1" applyBorder="1" applyAlignment="1">
      <alignment horizontal="center" vertical="center" wrapText="1"/>
    </xf>
    <xf numFmtId="164" fontId="8" fillId="0" borderId="7" xfId="1" applyNumberFormat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right"/>
    </xf>
    <xf numFmtId="164" fontId="5" fillId="0" borderId="1" xfId="1" applyNumberFormat="1" applyFont="1" applyBorder="1" applyAlignment="1">
      <alignment horizontal="right"/>
    </xf>
    <xf numFmtId="0" fontId="13" fillId="0" borderId="7" xfId="0" applyFont="1" applyBorder="1" applyAlignment="1">
      <alignment horizontal="left" vertical="top" wrapText="1"/>
    </xf>
    <xf numFmtId="1" fontId="12" fillId="0" borderId="7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2" fillId="0" borderId="7" xfId="0" applyFont="1" applyBorder="1" applyAlignment="1">
      <alignment horizontal="center" vertical="center" wrapText="1"/>
    </xf>
    <xf numFmtId="0" fontId="2" fillId="0" borderId="14" xfId="0" applyFont="1" applyBorder="1"/>
    <xf numFmtId="0" fontId="7" fillId="0" borderId="14" xfId="0" applyFont="1" applyBorder="1"/>
    <xf numFmtId="0" fontId="3" fillId="0" borderId="14" xfId="0" applyFont="1" applyBorder="1"/>
    <xf numFmtId="0" fontId="3" fillId="0" borderId="14" xfId="0" applyFont="1" applyBorder="1" applyAlignment="1">
      <alignment vertical="center"/>
    </xf>
    <xf numFmtId="164" fontId="3" fillId="0" borderId="14" xfId="1" applyNumberFormat="1" applyFont="1" applyBorder="1" applyAlignment="1"/>
    <xf numFmtId="3" fontId="5" fillId="0" borderId="14" xfId="0" applyNumberFormat="1" applyFont="1" applyBorder="1"/>
    <xf numFmtId="3" fontId="5" fillId="0" borderId="14" xfId="0" applyNumberFormat="1" applyFont="1" applyBorder="1" applyAlignment="1">
      <alignment vertical="center"/>
    </xf>
    <xf numFmtId="164" fontId="3" fillId="0" borderId="1" xfId="1" applyNumberFormat="1" applyFont="1" applyBorder="1" applyAlignment="1"/>
    <xf numFmtId="0" fontId="5" fillId="0" borderId="1" xfId="0" applyFont="1" applyBorder="1" applyAlignment="1">
      <alignment vertical="center"/>
    </xf>
    <xf numFmtId="0" fontId="3" fillId="0" borderId="15" xfId="0" applyFont="1" applyBorder="1"/>
    <xf numFmtId="0" fontId="5" fillId="0" borderId="0" xfId="0" applyFont="1"/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2" fillId="3" borderId="9" xfId="0" applyFont="1" applyFill="1" applyBorder="1" applyAlignment="1">
      <alignment vertical="center" wrapText="1"/>
    </xf>
    <xf numFmtId="0" fontId="12" fillId="3" borderId="13" xfId="0" applyFont="1" applyFill="1" applyBorder="1" applyAlignment="1">
      <alignment vertical="center" wrapText="1"/>
    </xf>
    <xf numFmtId="3" fontId="14" fillId="0" borderId="7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left" vertical="top" wrapText="1"/>
    </xf>
    <xf numFmtId="3" fontId="9" fillId="0" borderId="7" xfId="1" applyNumberFormat="1" applyFont="1" applyBorder="1" applyAlignment="1">
      <alignment horizontal="center" vertical="center"/>
    </xf>
    <xf numFmtId="164" fontId="9" fillId="0" borderId="7" xfId="1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3" fillId="0" borderId="17" xfId="0" applyFont="1" applyBorder="1"/>
    <xf numFmtId="0" fontId="3" fillId="0" borderId="18" xfId="0" applyFont="1" applyBorder="1"/>
    <xf numFmtId="164" fontId="3" fillId="0" borderId="18" xfId="1" applyNumberFormat="1" applyFont="1" applyBorder="1" applyAlignment="1"/>
    <xf numFmtId="0" fontId="5" fillId="0" borderId="18" xfId="0" applyFont="1" applyBorder="1"/>
    <xf numFmtId="0" fontId="5" fillId="0" borderId="18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wrapText="1"/>
    </xf>
    <xf numFmtId="0" fontId="3" fillId="0" borderId="11" xfId="0" applyFont="1" applyBorder="1" applyAlignment="1">
      <alignment horizontal="left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7" xfId="0" applyFont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13" xfId="0" applyFont="1" applyBorder="1" applyAlignment="1">
      <alignment horizontal="right" vertical="center"/>
    </xf>
    <xf numFmtId="3" fontId="9" fillId="0" borderId="19" xfId="1" quotePrefix="1" applyNumberFormat="1" applyFont="1" applyBorder="1" applyAlignment="1">
      <alignment horizontal="center" vertical="center" wrapText="1"/>
    </xf>
    <xf numFmtId="3" fontId="9" fillId="0" borderId="20" xfId="1" quotePrefix="1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3" fontId="9" fillId="0" borderId="21" xfId="1" quotePrefix="1" applyNumberFormat="1" applyFont="1" applyBorder="1" applyAlignment="1">
      <alignment horizontal="center" vertical="center" wrapText="1"/>
    </xf>
    <xf numFmtId="164" fontId="8" fillId="0" borderId="7" xfId="1" applyNumberFormat="1" applyFont="1" applyFill="1" applyBorder="1" applyAlignment="1">
      <alignment horizontal="right" vertical="center"/>
    </xf>
    <xf numFmtId="0" fontId="9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765606</xdr:colOff>
      <xdr:row>2</xdr:row>
      <xdr:rowOff>95613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349250</xdr:colOff>
      <xdr:row>3</xdr:row>
      <xdr:rowOff>2547</xdr:rowOff>
    </xdr:from>
    <xdr:to>
      <xdr:col>11</xdr:col>
      <xdr:colOff>531100</xdr:colOff>
      <xdr:row>3</xdr:row>
      <xdr:rowOff>451476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745497"/>
          <a:ext cx="1185150" cy="448929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93</xdr:row>
      <xdr:rowOff>60960</xdr:rowOff>
    </xdr:from>
    <xdr:to>
      <xdr:col>2</xdr:col>
      <xdr:colOff>411480</xdr:colOff>
      <xdr:row>96</xdr:row>
      <xdr:rowOff>121920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6880860"/>
          <a:ext cx="975360" cy="58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"/>
  <sheetViews>
    <sheetView showGridLines="0" tabSelected="1" topLeftCell="A70" zoomScaleNormal="100" zoomScaleSheetLayoutView="85" workbookViewId="0">
      <selection activeCell="D97" sqref="D97"/>
    </sheetView>
  </sheetViews>
  <sheetFormatPr defaultRowHeight="13" x14ac:dyDescent="0.25"/>
  <cols>
    <col min="1" max="1" width="5" style="97" customWidth="1"/>
    <col min="2" max="2" width="11.1796875" style="7" customWidth="1"/>
    <col min="3" max="3" width="11.6328125" style="7" customWidth="1"/>
    <col min="4" max="4" width="13.08984375" style="7" customWidth="1"/>
    <col min="5" max="5" width="36.90625" style="1" customWidth="1"/>
    <col min="6" max="6" width="6.36328125" style="7" customWidth="1"/>
    <col min="7" max="7" width="6.6328125" style="11" customWidth="1"/>
    <col min="8" max="8" width="12.81640625" style="9" customWidth="1"/>
    <col min="9" max="9" width="5.90625" style="9" customWidth="1"/>
    <col min="10" max="10" width="13.81640625" style="23" customWidth="1"/>
    <col min="11" max="11" width="14.36328125" style="9" customWidth="1"/>
    <col min="12" max="13" width="13" style="11" customWidth="1"/>
    <col min="14" max="246" width="9.1796875" style="1"/>
    <col min="247" max="247" width="5" style="1" customWidth="1"/>
    <col min="248" max="248" width="23.81640625" style="1" customWidth="1"/>
    <col min="249" max="249" width="46.81640625" style="1" customWidth="1"/>
    <col min="250" max="250" width="5.81640625" style="1" customWidth="1"/>
    <col min="251" max="251" width="10" style="1" customWidth="1"/>
    <col min="252" max="252" width="12.1796875" style="1" customWidth="1"/>
    <col min="253" max="253" width="13.81640625" style="1" customWidth="1"/>
    <col min="254" max="254" width="12.54296875" style="1" customWidth="1"/>
    <col min="255" max="255" width="13" style="1" customWidth="1"/>
    <col min="256" max="256" width="13.81640625" style="1" bestFit="1" customWidth="1"/>
    <col min="257" max="502" width="9.1796875" style="1"/>
    <col min="503" max="503" width="5" style="1" customWidth="1"/>
    <col min="504" max="504" width="23.81640625" style="1" customWidth="1"/>
    <col min="505" max="505" width="46.81640625" style="1" customWidth="1"/>
    <col min="506" max="506" width="5.81640625" style="1" customWidth="1"/>
    <col min="507" max="507" width="10" style="1" customWidth="1"/>
    <col min="508" max="508" width="12.1796875" style="1" customWidth="1"/>
    <col min="509" max="509" width="13.81640625" style="1" customWidth="1"/>
    <col min="510" max="510" width="12.54296875" style="1" customWidth="1"/>
    <col min="511" max="511" width="13" style="1" customWidth="1"/>
    <col min="512" max="512" width="13.81640625" style="1" bestFit="1" customWidth="1"/>
    <col min="513" max="758" width="9.1796875" style="1"/>
    <col min="759" max="759" width="5" style="1" customWidth="1"/>
    <col min="760" max="760" width="23.81640625" style="1" customWidth="1"/>
    <col min="761" max="761" width="46.81640625" style="1" customWidth="1"/>
    <col min="762" max="762" width="5.81640625" style="1" customWidth="1"/>
    <col min="763" max="763" width="10" style="1" customWidth="1"/>
    <col min="764" max="764" width="12.1796875" style="1" customWidth="1"/>
    <col min="765" max="765" width="13.81640625" style="1" customWidth="1"/>
    <col min="766" max="766" width="12.54296875" style="1" customWidth="1"/>
    <col min="767" max="767" width="13" style="1" customWidth="1"/>
    <col min="768" max="768" width="13.81640625" style="1" bestFit="1" customWidth="1"/>
    <col min="769" max="1014" width="9.1796875" style="1"/>
    <col min="1015" max="1015" width="5" style="1" customWidth="1"/>
    <col min="1016" max="1016" width="23.81640625" style="1" customWidth="1"/>
    <col min="1017" max="1017" width="46.81640625" style="1" customWidth="1"/>
    <col min="1018" max="1018" width="5.81640625" style="1" customWidth="1"/>
    <col min="1019" max="1019" width="10" style="1" customWidth="1"/>
    <col min="1020" max="1020" width="12.1796875" style="1" customWidth="1"/>
    <col min="1021" max="1021" width="13.81640625" style="1" customWidth="1"/>
    <col min="1022" max="1022" width="12.54296875" style="1" customWidth="1"/>
    <col min="1023" max="1023" width="13" style="1" customWidth="1"/>
    <col min="1024" max="1024" width="13.81640625" style="1" bestFit="1" customWidth="1"/>
    <col min="1025" max="1270" width="9.1796875" style="1"/>
    <col min="1271" max="1271" width="5" style="1" customWidth="1"/>
    <col min="1272" max="1272" width="23.81640625" style="1" customWidth="1"/>
    <col min="1273" max="1273" width="46.81640625" style="1" customWidth="1"/>
    <col min="1274" max="1274" width="5.81640625" style="1" customWidth="1"/>
    <col min="1275" max="1275" width="10" style="1" customWidth="1"/>
    <col min="1276" max="1276" width="12.1796875" style="1" customWidth="1"/>
    <col min="1277" max="1277" width="13.81640625" style="1" customWidth="1"/>
    <col min="1278" max="1278" width="12.54296875" style="1" customWidth="1"/>
    <col min="1279" max="1279" width="13" style="1" customWidth="1"/>
    <col min="1280" max="1280" width="13.81640625" style="1" bestFit="1" customWidth="1"/>
    <col min="1281" max="1526" width="9.1796875" style="1"/>
    <col min="1527" max="1527" width="5" style="1" customWidth="1"/>
    <col min="1528" max="1528" width="23.81640625" style="1" customWidth="1"/>
    <col min="1529" max="1529" width="46.81640625" style="1" customWidth="1"/>
    <col min="1530" max="1530" width="5.81640625" style="1" customWidth="1"/>
    <col min="1531" max="1531" width="10" style="1" customWidth="1"/>
    <col min="1532" max="1532" width="12.1796875" style="1" customWidth="1"/>
    <col min="1533" max="1533" width="13.81640625" style="1" customWidth="1"/>
    <col min="1534" max="1534" width="12.54296875" style="1" customWidth="1"/>
    <col min="1535" max="1535" width="13" style="1" customWidth="1"/>
    <col min="1536" max="1536" width="13.81640625" style="1" bestFit="1" customWidth="1"/>
    <col min="1537" max="1782" width="9.1796875" style="1"/>
    <col min="1783" max="1783" width="5" style="1" customWidth="1"/>
    <col min="1784" max="1784" width="23.81640625" style="1" customWidth="1"/>
    <col min="1785" max="1785" width="46.81640625" style="1" customWidth="1"/>
    <col min="1786" max="1786" width="5.81640625" style="1" customWidth="1"/>
    <col min="1787" max="1787" width="10" style="1" customWidth="1"/>
    <col min="1788" max="1788" width="12.1796875" style="1" customWidth="1"/>
    <col min="1789" max="1789" width="13.81640625" style="1" customWidth="1"/>
    <col min="1790" max="1790" width="12.54296875" style="1" customWidth="1"/>
    <col min="1791" max="1791" width="13" style="1" customWidth="1"/>
    <col min="1792" max="1792" width="13.81640625" style="1" bestFit="1" customWidth="1"/>
    <col min="1793" max="2038" width="9.1796875" style="1"/>
    <col min="2039" max="2039" width="5" style="1" customWidth="1"/>
    <col min="2040" max="2040" width="23.81640625" style="1" customWidth="1"/>
    <col min="2041" max="2041" width="46.81640625" style="1" customWidth="1"/>
    <col min="2042" max="2042" width="5.81640625" style="1" customWidth="1"/>
    <col min="2043" max="2043" width="10" style="1" customWidth="1"/>
    <col min="2044" max="2044" width="12.1796875" style="1" customWidth="1"/>
    <col min="2045" max="2045" width="13.81640625" style="1" customWidth="1"/>
    <col min="2046" max="2046" width="12.54296875" style="1" customWidth="1"/>
    <col min="2047" max="2047" width="13" style="1" customWidth="1"/>
    <col min="2048" max="2048" width="13.81640625" style="1" bestFit="1" customWidth="1"/>
    <col min="2049" max="2294" width="9.1796875" style="1"/>
    <col min="2295" max="2295" width="5" style="1" customWidth="1"/>
    <col min="2296" max="2296" width="23.81640625" style="1" customWidth="1"/>
    <col min="2297" max="2297" width="46.81640625" style="1" customWidth="1"/>
    <col min="2298" max="2298" width="5.81640625" style="1" customWidth="1"/>
    <col min="2299" max="2299" width="10" style="1" customWidth="1"/>
    <col min="2300" max="2300" width="12.1796875" style="1" customWidth="1"/>
    <col min="2301" max="2301" width="13.81640625" style="1" customWidth="1"/>
    <col min="2302" max="2302" width="12.54296875" style="1" customWidth="1"/>
    <col min="2303" max="2303" width="13" style="1" customWidth="1"/>
    <col min="2304" max="2304" width="13.81640625" style="1" bestFit="1" customWidth="1"/>
    <col min="2305" max="2550" width="9.1796875" style="1"/>
    <col min="2551" max="2551" width="5" style="1" customWidth="1"/>
    <col min="2552" max="2552" width="23.81640625" style="1" customWidth="1"/>
    <col min="2553" max="2553" width="46.81640625" style="1" customWidth="1"/>
    <col min="2554" max="2554" width="5.81640625" style="1" customWidth="1"/>
    <col min="2555" max="2555" width="10" style="1" customWidth="1"/>
    <col min="2556" max="2556" width="12.1796875" style="1" customWidth="1"/>
    <col min="2557" max="2557" width="13.81640625" style="1" customWidth="1"/>
    <col min="2558" max="2558" width="12.54296875" style="1" customWidth="1"/>
    <col min="2559" max="2559" width="13" style="1" customWidth="1"/>
    <col min="2560" max="2560" width="13.81640625" style="1" bestFit="1" customWidth="1"/>
    <col min="2561" max="2806" width="9.1796875" style="1"/>
    <col min="2807" max="2807" width="5" style="1" customWidth="1"/>
    <col min="2808" max="2808" width="23.81640625" style="1" customWidth="1"/>
    <col min="2809" max="2809" width="46.81640625" style="1" customWidth="1"/>
    <col min="2810" max="2810" width="5.81640625" style="1" customWidth="1"/>
    <col min="2811" max="2811" width="10" style="1" customWidth="1"/>
    <col min="2812" max="2812" width="12.1796875" style="1" customWidth="1"/>
    <col min="2813" max="2813" width="13.81640625" style="1" customWidth="1"/>
    <col min="2814" max="2814" width="12.54296875" style="1" customWidth="1"/>
    <col min="2815" max="2815" width="13" style="1" customWidth="1"/>
    <col min="2816" max="2816" width="13.81640625" style="1" bestFit="1" customWidth="1"/>
    <col min="2817" max="3062" width="9.1796875" style="1"/>
    <col min="3063" max="3063" width="5" style="1" customWidth="1"/>
    <col min="3064" max="3064" width="23.81640625" style="1" customWidth="1"/>
    <col min="3065" max="3065" width="46.81640625" style="1" customWidth="1"/>
    <col min="3066" max="3066" width="5.81640625" style="1" customWidth="1"/>
    <col min="3067" max="3067" width="10" style="1" customWidth="1"/>
    <col min="3068" max="3068" width="12.1796875" style="1" customWidth="1"/>
    <col min="3069" max="3069" width="13.81640625" style="1" customWidth="1"/>
    <col min="3070" max="3070" width="12.54296875" style="1" customWidth="1"/>
    <col min="3071" max="3071" width="13" style="1" customWidth="1"/>
    <col min="3072" max="3072" width="13.81640625" style="1" bestFit="1" customWidth="1"/>
    <col min="3073" max="3318" width="9.1796875" style="1"/>
    <col min="3319" max="3319" width="5" style="1" customWidth="1"/>
    <col min="3320" max="3320" width="23.81640625" style="1" customWidth="1"/>
    <col min="3321" max="3321" width="46.81640625" style="1" customWidth="1"/>
    <col min="3322" max="3322" width="5.81640625" style="1" customWidth="1"/>
    <col min="3323" max="3323" width="10" style="1" customWidth="1"/>
    <col min="3324" max="3324" width="12.1796875" style="1" customWidth="1"/>
    <col min="3325" max="3325" width="13.81640625" style="1" customWidth="1"/>
    <col min="3326" max="3326" width="12.54296875" style="1" customWidth="1"/>
    <col min="3327" max="3327" width="13" style="1" customWidth="1"/>
    <col min="3328" max="3328" width="13.81640625" style="1" bestFit="1" customWidth="1"/>
    <col min="3329" max="3574" width="9.1796875" style="1"/>
    <col min="3575" max="3575" width="5" style="1" customWidth="1"/>
    <col min="3576" max="3576" width="23.81640625" style="1" customWidth="1"/>
    <col min="3577" max="3577" width="46.81640625" style="1" customWidth="1"/>
    <col min="3578" max="3578" width="5.81640625" style="1" customWidth="1"/>
    <col min="3579" max="3579" width="10" style="1" customWidth="1"/>
    <col min="3580" max="3580" width="12.1796875" style="1" customWidth="1"/>
    <col min="3581" max="3581" width="13.81640625" style="1" customWidth="1"/>
    <col min="3582" max="3582" width="12.54296875" style="1" customWidth="1"/>
    <col min="3583" max="3583" width="13" style="1" customWidth="1"/>
    <col min="3584" max="3584" width="13.81640625" style="1" bestFit="1" customWidth="1"/>
    <col min="3585" max="3830" width="9.1796875" style="1"/>
    <col min="3831" max="3831" width="5" style="1" customWidth="1"/>
    <col min="3832" max="3832" width="23.81640625" style="1" customWidth="1"/>
    <col min="3833" max="3833" width="46.81640625" style="1" customWidth="1"/>
    <col min="3834" max="3834" width="5.81640625" style="1" customWidth="1"/>
    <col min="3835" max="3835" width="10" style="1" customWidth="1"/>
    <col min="3836" max="3836" width="12.1796875" style="1" customWidth="1"/>
    <col min="3837" max="3837" width="13.81640625" style="1" customWidth="1"/>
    <col min="3838" max="3838" width="12.54296875" style="1" customWidth="1"/>
    <col min="3839" max="3839" width="13" style="1" customWidth="1"/>
    <col min="3840" max="3840" width="13.81640625" style="1" bestFit="1" customWidth="1"/>
    <col min="3841" max="4086" width="9.1796875" style="1"/>
    <col min="4087" max="4087" width="5" style="1" customWidth="1"/>
    <col min="4088" max="4088" width="23.81640625" style="1" customWidth="1"/>
    <col min="4089" max="4089" width="46.81640625" style="1" customWidth="1"/>
    <col min="4090" max="4090" width="5.81640625" style="1" customWidth="1"/>
    <col min="4091" max="4091" width="10" style="1" customWidth="1"/>
    <col min="4092" max="4092" width="12.1796875" style="1" customWidth="1"/>
    <col min="4093" max="4093" width="13.81640625" style="1" customWidth="1"/>
    <col min="4094" max="4094" width="12.54296875" style="1" customWidth="1"/>
    <col min="4095" max="4095" width="13" style="1" customWidth="1"/>
    <col min="4096" max="4096" width="13.81640625" style="1" bestFit="1" customWidth="1"/>
    <col min="4097" max="4342" width="9.1796875" style="1"/>
    <col min="4343" max="4343" width="5" style="1" customWidth="1"/>
    <col min="4344" max="4344" width="23.81640625" style="1" customWidth="1"/>
    <col min="4345" max="4345" width="46.81640625" style="1" customWidth="1"/>
    <col min="4346" max="4346" width="5.81640625" style="1" customWidth="1"/>
    <col min="4347" max="4347" width="10" style="1" customWidth="1"/>
    <col min="4348" max="4348" width="12.1796875" style="1" customWidth="1"/>
    <col min="4349" max="4349" width="13.81640625" style="1" customWidth="1"/>
    <col min="4350" max="4350" width="12.54296875" style="1" customWidth="1"/>
    <col min="4351" max="4351" width="13" style="1" customWidth="1"/>
    <col min="4352" max="4352" width="13.81640625" style="1" bestFit="1" customWidth="1"/>
    <col min="4353" max="4598" width="9.1796875" style="1"/>
    <col min="4599" max="4599" width="5" style="1" customWidth="1"/>
    <col min="4600" max="4600" width="23.81640625" style="1" customWidth="1"/>
    <col min="4601" max="4601" width="46.81640625" style="1" customWidth="1"/>
    <col min="4602" max="4602" width="5.81640625" style="1" customWidth="1"/>
    <col min="4603" max="4603" width="10" style="1" customWidth="1"/>
    <col min="4604" max="4604" width="12.1796875" style="1" customWidth="1"/>
    <col min="4605" max="4605" width="13.81640625" style="1" customWidth="1"/>
    <col min="4606" max="4606" width="12.54296875" style="1" customWidth="1"/>
    <col min="4607" max="4607" width="13" style="1" customWidth="1"/>
    <col min="4608" max="4608" width="13.81640625" style="1" bestFit="1" customWidth="1"/>
    <col min="4609" max="4854" width="9.1796875" style="1"/>
    <col min="4855" max="4855" width="5" style="1" customWidth="1"/>
    <col min="4856" max="4856" width="23.81640625" style="1" customWidth="1"/>
    <col min="4857" max="4857" width="46.81640625" style="1" customWidth="1"/>
    <col min="4858" max="4858" width="5.81640625" style="1" customWidth="1"/>
    <col min="4859" max="4859" width="10" style="1" customWidth="1"/>
    <col min="4860" max="4860" width="12.1796875" style="1" customWidth="1"/>
    <col min="4861" max="4861" width="13.81640625" style="1" customWidth="1"/>
    <col min="4862" max="4862" width="12.54296875" style="1" customWidth="1"/>
    <col min="4863" max="4863" width="13" style="1" customWidth="1"/>
    <col min="4864" max="4864" width="13.81640625" style="1" bestFit="1" customWidth="1"/>
    <col min="4865" max="5110" width="9.1796875" style="1"/>
    <col min="5111" max="5111" width="5" style="1" customWidth="1"/>
    <col min="5112" max="5112" width="23.81640625" style="1" customWidth="1"/>
    <col min="5113" max="5113" width="46.81640625" style="1" customWidth="1"/>
    <col min="5114" max="5114" width="5.81640625" style="1" customWidth="1"/>
    <col min="5115" max="5115" width="10" style="1" customWidth="1"/>
    <col min="5116" max="5116" width="12.1796875" style="1" customWidth="1"/>
    <col min="5117" max="5117" width="13.81640625" style="1" customWidth="1"/>
    <col min="5118" max="5118" width="12.54296875" style="1" customWidth="1"/>
    <col min="5119" max="5119" width="13" style="1" customWidth="1"/>
    <col min="5120" max="5120" width="13.81640625" style="1" bestFit="1" customWidth="1"/>
    <col min="5121" max="5366" width="9.1796875" style="1"/>
    <col min="5367" max="5367" width="5" style="1" customWidth="1"/>
    <col min="5368" max="5368" width="23.81640625" style="1" customWidth="1"/>
    <col min="5369" max="5369" width="46.81640625" style="1" customWidth="1"/>
    <col min="5370" max="5370" width="5.81640625" style="1" customWidth="1"/>
    <col min="5371" max="5371" width="10" style="1" customWidth="1"/>
    <col min="5372" max="5372" width="12.1796875" style="1" customWidth="1"/>
    <col min="5373" max="5373" width="13.81640625" style="1" customWidth="1"/>
    <col min="5374" max="5374" width="12.54296875" style="1" customWidth="1"/>
    <col min="5375" max="5375" width="13" style="1" customWidth="1"/>
    <col min="5376" max="5376" width="13.81640625" style="1" bestFit="1" customWidth="1"/>
    <col min="5377" max="5622" width="9.1796875" style="1"/>
    <col min="5623" max="5623" width="5" style="1" customWidth="1"/>
    <col min="5624" max="5624" width="23.81640625" style="1" customWidth="1"/>
    <col min="5625" max="5625" width="46.81640625" style="1" customWidth="1"/>
    <col min="5626" max="5626" width="5.81640625" style="1" customWidth="1"/>
    <col min="5627" max="5627" width="10" style="1" customWidth="1"/>
    <col min="5628" max="5628" width="12.1796875" style="1" customWidth="1"/>
    <col min="5629" max="5629" width="13.81640625" style="1" customWidth="1"/>
    <col min="5630" max="5630" width="12.54296875" style="1" customWidth="1"/>
    <col min="5631" max="5631" width="13" style="1" customWidth="1"/>
    <col min="5632" max="5632" width="13.81640625" style="1" bestFit="1" customWidth="1"/>
    <col min="5633" max="5878" width="9.1796875" style="1"/>
    <col min="5879" max="5879" width="5" style="1" customWidth="1"/>
    <col min="5880" max="5880" width="23.81640625" style="1" customWidth="1"/>
    <col min="5881" max="5881" width="46.81640625" style="1" customWidth="1"/>
    <col min="5882" max="5882" width="5.81640625" style="1" customWidth="1"/>
    <col min="5883" max="5883" width="10" style="1" customWidth="1"/>
    <col min="5884" max="5884" width="12.1796875" style="1" customWidth="1"/>
    <col min="5885" max="5885" width="13.81640625" style="1" customWidth="1"/>
    <col min="5886" max="5886" width="12.54296875" style="1" customWidth="1"/>
    <col min="5887" max="5887" width="13" style="1" customWidth="1"/>
    <col min="5888" max="5888" width="13.81640625" style="1" bestFit="1" customWidth="1"/>
    <col min="5889" max="6134" width="9.1796875" style="1"/>
    <col min="6135" max="6135" width="5" style="1" customWidth="1"/>
    <col min="6136" max="6136" width="23.81640625" style="1" customWidth="1"/>
    <col min="6137" max="6137" width="46.81640625" style="1" customWidth="1"/>
    <col min="6138" max="6138" width="5.81640625" style="1" customWidth="1"/>
    <col min="6139" max="6139" width="10" style="1" customWidth="1"/>
    <col min="6140" max="6140" width="12.1796875" style="1" customWidth="1"/>
    <col min="6141" max="6141" width="13.81640625" style="1" customWidth="1"/>
    <col min="6142" max="6142" width="12.54296875" style="1" customWidth="1"/>
    <col min="6143" max="6143" width="13" style="1" customWidth="1"/>
    <col min="6144" max="6144" width="13.81640625" style="1" bestFit="1" customWidth="1"/>
    <col min="6145" max="6390" width="9.1796875" style="1"/>
    <col min="6391" max="6391" width="5" style="1" customWidth="1"/>
    <col min="6392" max="6392" width="23.81640625" style="1" customWidth="1"/>
    <col min="6393" max="6393" width="46.81640625" style="1" customWidth="1"/>
    <col min="6394" max="6394" width="5.81640625" style="1" customWidth="1"/>
    <col min="6395" max="6395" width="10" style="1" customWidth="1"/>
    <col min="6396" max="6396" width="12.1796875" style="1" customWidth="1"/>
    <col min="6397" max="6397" width="13.81640625" style="1" customWidth="1"/>
    <col min="6398" max="6398" width="12.54296875" style="1" customWidth="1"/>
    <col min="6399" max="6399" width="13" style="1" customWidth="1"/>
    <col min="6400" max="6400" width="13.81640625" style="1" bestFit="1" customWidth="1"/>
    <col min="6401" max="6646" width="9.1796875" style="1"/>
    <col min="6647" max="6647" width="5" style="1" customWidth="1"/>
    <col min="6648" max="6648" width="23.81640625" style="1" customWidth="1"/>
    <col min="6649" max="6649" width="46.81640625" style="1" customWidth="1"/>
    <col min="6650" max="6650" width="5.81640625" style="1" customWidth="1"/>
    <col min="6651" max="6651" width="10" style="1" customWidth="1"/>
    <col min="6652" max="6652" width="12.1796875" style="1" customWidth="1"/>
    <col min="6653" max="6653" width="13.81640625" style="1" customWidth="1"/>
    <col min="6654" max="6654" width="12.54296875" style="1" customWidth="1"/>
    <col min="6655" max="6655" width="13" style="1" customWidth="1"/>
    <col min="6656" max="6656" width="13.81640625" style="1" bestFit="1" customWidth="1"/>
    <col min="6657" max="6902" width="9.1796875" style="1"/>
    <col min="6903" max="6903" width="5" style="1" customWidth="1"/>
    <col min="6904" max="6904" width="23.81640625" style="1" customWidth="1"/>
    <col min="6905" max="6905" width="46.81640625" style="1" customWidth="1"/>
    <col min="6906" max="6906" width="5.81640625" style="1" customWidth="1"/>
    <col min="6907" max="6907" width="10" style="1" customWidth="1"/>
    <col min="6908" max="6908" width="12.1796875" style="1" customWidth="1"/>
    <col min="6909" max="6909" width="13.81640625" style="1" customWidth="1"/>
    <col min="6910" max="6910" width="12.54296875" style="1" customWidth="1"/>
    <col min="6911" max="6911" width="13" style="1" customWidth="1"/>
    <col min="6912" max="6912" width="13.81640625" style="1" bestFit="1" customWidth="1"/>
    <col min="6913" max="7158" width="9.1796875" style="1"/>
    <col min="7159" max="7159" width="5" style="1" customWidth="1"/>
    <col min="7160" max="7160" width="23.81640625" style="1" customWidth="1"/>
    <col min="7161" max="7161" width="46.81640625" style="1" customWidth="1"/>
    <col min="7162" max="7162" width="5.81640625" style="1" customWidth="1"/>
    <col min="7163" max="7163" width="10" style="1" customWidth="1"/>
    <col min="7164" max="7164" width="12.1796875" style="1" customWidth="1"/>
    <col min="7165" max="7165" width="13.81640625" style="1" customWidth="1"/>
    <col min="7166" max="7166" width="12.54296875" style="1" customWidth="1"/>
    <col min="7167" max="7167" width="13" style="1" customWidth="1"/>
    <col min="7168" max="7168" width="13.81640625" style="1" bestFit="1" customWidth="1"/>
    <col min="7169" max="7414" width="9.1796875" style="1"/>
    <col min="7415" max="7415" width="5" style="1" customWidth="1"/>
    <col min="7416" max="7416" width="23.81640625" style="1" customWidth="1"/>
    <col min="7417" max="7417" width="46.81640625" style="1" customWidth="1"/>
    <col min="7418" max="7418" width="5.81640625" style="1" customWidth="1"/>
    <col min="7419" max="7419" width="10" style="1" customWidth="1"/>
    <col min="7420" max="7420" width="12.1796875" style="1" customWidth="1"/>
    <col min="7421" max="7421" width="13.81640625" style="1" customWidth="1"/>
    <col min="7422" max="7422" width="12.54296875" style="1" customWidth="1"/>
    <col min="7423" max="7423" width="13" style="1" customWidth="1"/>
    <col min="7424" max="7424" width="13.81640625" style="1" bestFit="1" customWidth="1"/>
    <col min="7425" max="7670" width="9.1796875" style="1"/>
    <col min="7671" max="7671" width="5" style="1" customWidth="1"/>
    <col min="7672" max="7672" width="23.81640625" style="1" customWidth="1"/>
    <col min="7673" max="7673" width="46.81640625" style="1" customWidth="1"/>
    <col min="7674" max="7674" width="5.81640625" style="1" customWidth="1"/>
    <col min="7675" max="7675" width="10" style="1" customWidth="1"/>
    <col min="7676" max="7676" width="12.1796875" style="1" customWidth="1"/>
    <col min="7677" max="7677" width="13.81640625" style="1" customWidth="1"/>
    <col min="7678" max="7678" width="12.54296875" style="1" customWidth="1"/>
    <col min="7679" max="7679" width="13" style="1" customWidth="1"/>
    <col min="7680" max="7680" width="13.81640625" style="1" bestFit="1" customWidth="1"/>
    <col min="7681" max="7926" width="9.1796875" style="1"/>
    <col min="7927" max="7927" width="5" style="1" customWidth="1"/>
    <col min="7928" max="7928" width="23.81640625" style="1" customWidth="1"/>
    <col min="7929" max="7929" width="46.81640625" style="1" customWidth="1"/>
    <col min="7930" max="7930" width="5.81640625" style="1" customWidth="1"/>
    <col min="7931" max="7931" width="10" style="1" customWidth="1"/>
    <col min="7932" max="7932" width="12.1796875" style="1" customWidth="1"/>
    <col min="7933" max="7933" width="13.81640625" style="1" customWidth="1"/>
    <col min="7934" max="7934" width="12.54296875" style="1" customWidth="1"/>
    <col min="7935" max="7935" width="13" style="1" customWidth="1"/>
    <col min="7936" max="7936" width="13.81640625" style="1" bestFit="1" customWidth="1"/>
    <col min="7937" max="8182" width="9.1796875" style="1"/>
    <col min="8183" max="8183" width="5" style="1" customWidth="1"/>
    <col min="8184" max="8184" width="23.81640625" style="1" customWidth="1"/>
    <col min="8185" max="8185" width="46.81640625" style="1" customWidth="1"/>
    <col min="8186" max="8186" width="5.81640625" style="1" customWidth="1"/>
    <col min="8187" max="8187" width="10" style="1" customWidth="1"/>
    <col min="8188" max="8188" width="12.1796875" style="1" customWidth="1"/>
    <col min="8189" max="8189" width="13.81640625" style="1" customWidth="1"/>
    <col min="8190" max="8190" width="12.54296875" style="1" customWidth="1"/>
    <col min="8191" max="8191" width="13" style="1" customWidth="1"/>
    <col min="8192" max="8192" width="13.81640625" style="1" bestFit="1" customWidth="1"/>
    <col min="8193" max="8438" width="9.1796875" style="1"/>
    <col min="8439" max="8439" width="5" style="1" customWidth="1"/>
    <col min="8440" max="8440" width="23.81640625" style="1" customWidth="1"/>
    <col min="8441" max="8441" width="46.81640625" style="1" customWidth="1"/>
    <col min="8442" max="8442" width="5.81640625" style="1" customWidth="1"/>
    <col min="8443" max="8443" width="10" style="1" customWidth="1"/>
    <col min="8444" max="8444" width="12.1796875" style="1" customWidth="1"/>
    <col min="8445" max="8445" width="13.81640625" style="1" customWidth="1"/>
    <col min="8446" max="8446" width="12.54296875" style="1" customWidth="1"/>
    <col min="8447" max="8447" width="13" style="1" customWidth="1"/>
    <col min="8448" max="8448" width="13.81640625" style="1" bestFit="1" customWidth="1"/>
    <col min="8449" max="8694" width="9.1796875" style="1"/>
    <col min="8695" max="8695" width="5" style="1" customWidth="1"/>
    <col min="8696" max="8696" width="23.81640625" style="1" customWidth="1"/>
    <col min="8697" max="8697" width="46.81640625" style="1" customWidth="1"/>
    <col min="8698" max="8698" width="5.81640625" style="1" customWidth="1"/>
    <col min="8699" max="8699" width="10" style="1" customWidth="1"/>
    <col min="8700" max="8700" width="12.1796875" style="1" customWidth="1"/>
    <col min="8701" max="8701" width="13.81640625" style="1" customWidth="1"/>
    <col min="8702" max="8702" width="12.54296875" style="1" customWidth="1"/>
    <col min="8703" max="8703" width="13" style="1" customWidth="1"/>
    <col min="8704" max="8704" width="13.81640625" style="1" bestFit="1" customWidth="1"/>
    <col min="8705" max="8950" width="9.1796875" style="1"/>
    <col min="8951" max="8951" width="5" style="1" customWidth="1"/>
    <col min="8952" max="8952" width="23.81640625" style="1" customWidth="1"/>
    <col min="8953" max="8953" width="46.81640625" style="1" customWidth="1"/>
    <col min="8954" max="8954" width="5.81640625" style="1" customWidth="1"/>
    <col min="8955" max="8955" width="10" style="1" customWidth="1"/>
    <col min="8956" max="8956" width="12.1796875" style="1" customWidth="1"/>
    <col min="8957" max="8957" width="13.81640625" style="1" customWidth="1"/>
    <col min="8958" max="8958" width="12.54296875" style="1" customWidth="1"/>
    <col min="8959" max="8959" width="13" style="1" customWidth="1"/>
    <col min="8960" max="8960" width="13.81640625" style="1" bestFit="1" customWidth="1"/>
    <col min="8961" max="9206" width="9.1796875" style="1"/>
    <col min="9207" max="9207" width="5" style="1" customWidth="1"/>
    <col min="9208" max="9208" width="23.81640625" style="1" customWidth="1"/>
    <col min="9209" max="9209" width="46.81640625" style="1" customWidth="1"/>
    <col min="9210" max="9210" width="5.81640625" style="1" customWidth="1"/>
    <col min="9211" max="9211" width="10" style="1" customWidth="1"/>
    <col min="9212" max="9212" width="12.1796875" style="1" customWidth="1"/>
    <col min="9213" max="9213" width="13.81640625" style="1" customWidth="1"/>
    <col min="9214" max="9214" width="12.54296875" style="1" customWidth="1"/>
    <col min="9215" max="9215" width="13" style="1" customWidth="1"/>
    <col min="9216" max="9216" width="13.81640625" style="1" bestFit="1" customWidth="1"/>
    <col min="9217" max="9462" width="9.1796875" style="1"/>
    <col min="9463" max="9463" width="5" style="1" customWidth="1"/>
    <col min="9464" max="9464" width="23.81640625" style="1" customWidth="1"/>
    <col min="9465" max="9465" width="46.81640625" style="1" customWidth="1"/>
    <col min="9466" max="9466" width="5.81640625" style="1" customWidth="1"/>
    <col min="9467" max="9467" width="10" style="1" customWidth="1"/>
    <col min="9468" max="9468" width="12.1796875" style="1" customWidth="1"/>
    <col min="9469" max="9469" width="13.81640625" style="1" customWidth="1"/>
    <col min="9470" max="9470" width="12.54296875" style="1" customWidth="1"/>
    <col min="9471" max="9471" width="13" style="1" customWidth="1"/>
    <col min="9472" max="9472" width="13.81640625" style="1" bestFit="1" customWidth="1"/>
    <col min="9473" max="9718" width="9.1796875" style="1"/>
    <col min="9719" max="9719" width="5" style="1" customWidth="1"/>
    <col min="9720" max="9720" width="23.81640625" style="1" customWidth="1"/>
    <col min="9721" max="9721" width="46.81640625" style="1" customWidth="1"/>
    <col min="9722" max="9722" width="5.81640625" style="1" customWidth="1"/>
    <col min="9723" max="9723" width="10" style="1" customWidth="1"/>
    <col min="9724" max="9724" width="12.1796875" style="1" customWidth="1"/>
    <col min="9725" max="9725" width="13.81640625" style="1" customWidth="1"/>
    <col min="9726" max="9726" width="12.54296875" style="1" customWidth="1"/>
    <col min="9727" max="9727" width="13" style="1" customWidth="1"/>
    <col min="9728" max="9728" width="13.81640625" style="1" bestFit="1" customWidth="1"/>
    <col min="9729" max="9974" width="9.1796875" style="1"/>
    <col min="9975" max="9975" width="5" style="1" customWidth="1"/>
    <col min="9976" max="9976" width="23.81640625" style="1" customWidth="1"/>
    <col min="9977" max="9977" width="46.81640625" style="1" customWidth="1"/>
    <col min="9978" max="9978" width="5.81640625" style="1" customWidth="1"/>
    <col min="9979" max="9979" width="10" style="1" customWidth="1"/>
    <col min="9980" max="9980" width="12.1796875" style="1" customWidth="1"/>
    <col min="9981" max="9981" width="13.81640625" style="1" customWidth="1"/>
    <col min="9982" max="9982" width="12.54296875" style="1" customWidth="1"/>
    <col min="9983" max="9983" width="13" style="1" customWidth="1"/>
    <col min="9984" max="9984" width="13.81640625" style="1" bestFit="1" customWidth="1"/>
    <col min="9985" max="10230" width="9.1796875" style="1"/>
    <col min="10231" max="10231" width="5" style="1" customWidth="1"/>
    <col min="10232" max="10232" width="23.81640625" style="1" customWidth="1"/>
    <col min="10233" max="10233" width="46.81640625" style="1" customWidth="1"/>
    <col min="10234" max="10234" width="5.81640625" style="1" customWidth="1"/>
    <col min="10235" max="10235" width="10" style="1" customWidth="1"/>
    <col min="10236" max="10236" width="12.1796875" style="1" customWidth="1"/>
    <col min="10237" max="10237" width="13.81640625" style="1" customWidth="1"/>
    <col min="10238" max="10238" width="12.54296875" style="1" customWidth="1"/>
    <col min="10239" max="10239" width="13" style="1" customWidth="1"/>
    <col min="10240" max="10240" width="13.81640625" style="1" bestFit="1" customWidth="1"/>
    <col min="10241" max="10486" width="9.1796875" style="1"/>
    <col min="10487" max="10487" width="5" style="1" customWidth="1"/>
    <col min="10488" max="10488" width="23.81640625" style="1" customWidth="1"/>
    <col min="10489" max="10489" width="46.81640625" style="1" customWidth="1"/>
    <col min="10490" max="10490" width="5.81640625" style="1" customWidth="1"/>
    <col min="10491" max="10491" width="10" style="1" customWidth="1"/>
    <col min="10492" max="10492" width="12.1796875" style="1" customWidth="1"/>
    <col min="10493" max="10493" width="13.81640625" style="1" customWidth="1"/>
    <col min="10494" max="10494" width="12.54296875" style="1" customWidth="1"/>
    <col min="10495" max="10495" width="13" style="1" customWidth="1"/>
    <col min="10496" max="10496" width="13.81640625" style="1" bestFit="1" customWidth="1"/>
    <col min="10497" max="10742" width="9.1796875" style="1"/>
    <col min="10743" max="10743" width="5" style="1" customWidth="1"/>
    <col min="10744" max="10744" width="23.81640625" style="1" customWidth="1"/>
    <col min="10745" max="10745" width="46.81640625" style="1" customWidth="1"/>
    <col min="10746" max="10746" width="5.81640625" style="1" customWidth="1"/>
    <col min="10747" max="10747" width="10" style="1" customWidth="1"/>
    <col min="10748" max="10748" width="12.1796875" style="1" customWidth="1"/>
    <col min="10749" max="10749" width="13.81640625" style="1" customWidth="1"/>
    <col min="10750" max="10750" width="12.54296875" style="1" customWidth="1"/>
    <col min="10751" max="10751" width="13" style="1" customWidth="1"/>
    <col min="10752" max="10752" width="13.81640625" style="1" bestFit="1" customWidth="1"/>
    <col min="10753" max="10998" width="9.1796875" style="1"/>
    <col min="10999" max="10999" width="5" style="1" customWidth="1"/>
    <col min="11000" max="11000" width="23.81640625" style="1" customWidth="1"/>
    <col min="11001" max="11001" width="46.81640625" style="1" customWidth="1"/>
    <col min="11002" max="11002" width="5.81640625" style="1" customWidth="1"/>
    <col min="11003" max="11003" width="10" style="1" customWidth="1"/>
    <col min="11004" max="11004" width="12.1796875" style="1" customWidth="1"/>
    <col min="11005" max="11005" width="13.81640625" style="1" customWidth="1"/>
    <col min="11006" max="11006" width="12.54296875" style="1" customWidth="1"/>
    <col min="11007" max="11007" width="13" style="1" customWidth="1"/>
    <col min="11008" max="11008" width="13.81640625" style="1" bestFit="1" customWidth="1"/>
    <col min="11009" max="11254" width="9.1796875" style="1"/>
    <col min="11255" max="11255" width="5" style="1" customWidth="1"/>
    <col min="11256" max="11256" width="23.81640625" style="1" customWidth="1"/>
    <col min="11257" max="11257" width="46.81640625" style="1" customWidth="1"/>
    <col min="11258" max="11258" width="5.81640625" style="1" customWidth="1"/>
    <col min="11259" max="11259" width="10" style="1" customWidth="1"/>
    <col min="11260" max="11260" width="12.1796875" style="1" customWidth="1"/>
    <col min="11261" max="11261" width="13.81640625" style="1" customWidth="1"/>
    <col min="11262" max="11262" width="12.54296875" style="1" customWidth="1"/>
    <col min="11263" max="11263" width="13" style="1" customWidth="1"/>
    <col min="11264" max="11264" width="13.81640625" style="1" bestFit="1" customWidth="1"/>
    <col min="11265" max="11510" width="9.1796875" style="1"/>
    <col min="11511" max="11511" width="5" style="1" customWidth="1"/>
    <col min="11512" max="11512" width="23.81640625" style="1" customWidth="1"/>
    <col min="11513" max="11513" width="46.81640625" style="1" customWidth="1"/>
    <col min="11514" max="11514" width="5.81640625" style="1" customWidth="1"/>
    <col min="11515" max="11515" width="10" style="1" customWidth="1"/>
    <col min="11516" max="11516" width="12.1796875" style="1" customWidth="1"/>
    <col min="11517" max="11517" width="13.81640625" style="1" customWidth="1"/>
    <col min="11518" max="11518" width="12.54296875" style="1" customWidth="1"/>
    <col min="11519" max="11519" width="13" style="1" customWidth="1"/>
    <col min="11520" max="11520" width="13.81640625" style="1" bestFit="1" customWidth="1"/>
    <col min="11521" max="11766" width="9.1796875" style="1"/>
    <col min="11767" max="11767" width="5" style="1" customWidth="1"/>
    <col min="11768" max="11768" width="23.81640625" style="1" customWidth="1"/>
    <col min="11769" max="11769" width="46.81640625" style="1" customWidth="1"/>
    <col min="11770" max="11770" width="5.81640625" style="1" customWidth="1"/>
    <col min="11771" max="11771" width="10" style="1" customWidth="1"/>
    <col min="11772" max="11772" width="12.1796875" style="1" customWidth="1"/>
    <col min="11773" max="11773" width="13.81640625" style="1" customWidth="1"/>
    <col min="11774" max="11774" width="12.54296875" style="1" customWidth="1"/>
    <col min="11775" max="11775" width="13" style="1" customWidth="1"/>
    <col min="11776" max="11776" width="13.81640625" style="1" bestFit="1" customWidth="1"/>
    <col min="11777" max="12022" width="9.1796875" style="1"/>
    <col min="12023" max="12023" width="5" style="1" customWidth="1"/>
    <col min="12024" max="12024" width="23.81640625" style="1" customWidth="1"/>
    <col min="12025" max="12025" width="46.81640625" style="1" customWidth="1"/>
    <col min="12026" max="12026" width="5.81640625" style="1" customWidth="1"/>
    <col min="12027" max="12027" width="10" style="1" customWidth="1"/>
    <col min="12028" max="12028" width="12.1796875" style="1" customWidth="1"/>
    <col min="12029" max="12029" width="13.81640625" style="1" customWidth="1"/>
    <col min="12030" max="12030" width="12.54296875" style="1" customWidth="1"/>
    <col min="12031" max="12031" width="13" style="1" customWidth="1"/>
    <col min="12032" max="12032" width="13.81640625" style="1" bestFit="1" customWidth="1"/>
    <col min="12033" max="12278" width="9.1796875" style="1"/>
    <col min="12279" max="12279" width="5" style="1" customWidth="1"/>
    <col min="12280" max="12280" width="23.81640625" style="1" customWidth="1"/>
    <col min="12281" max="12281" width="46.81640625" style="1" customWidth="1"/>
    <col min="12282" max="12282" width="5.81640625" style="1" customWidth="1"/>
    <col min="12283" max="12283" width="10" style="1" customWidth="1"/>
    <col min="12284" max="12284" width="12.1796875" style="1" customWidth="1"/>
    <col min="12285" max="12285" width="13.81640625" style="1" customWidth="1"/>
    <col min="12286" max="12286" width="12.54296875" style="1" customWidth="1"/>
    <col min="12287" max="12287" width="13" style="1" customWidth="1"/>
    <col min="12288" max="12288" width="13.81640625" style="1" bestFit="1" customWidth="1"/>
    <col min="12289" max="12534" width="9.1796875" style="1"/>
    <col min="12535" max="12535" width="5" style="1" customWidth="1"/>
    <col min="12536" max="12536" width="23.81640625" style="1" customWidth="1"/>
    <col min="12537" max="12537" width="46.81640625" style="1" customWidth="1"/>
    <col min="12538" max="12538" width="5.81640625" style="1" customWidth="1"/>
    <col min="12539" max="12539" width="10" style="1" customWidth="1"/>
    <col min="12540" max="12540" width="12.1796875" style="1" customWidth="1"/>
    <col min="12541" max="12541" width="13.81640625" style="1" customWidth="1"/>
    <col min="12542" max="12542" width="12.54296875" style="1" customWidth="1"/>
    <col min="12543" max="12543" width="13" style="1" customWidth="1"/>
    <col min="12544" max="12544" width="13.81640625" style="1" bestFit="1" customWidth="1"/>
    <col min="12545" max="12790" width="9.1796875" style="1"/>
    <col min="12791" max="12791" width="5" style="1" customWidth="1"/>
    <col min="12792" max="12792" width="23.81640625" style="1" customWidth="1"/>
    <col min="12793" max="12793" width="46.81640625" style="1" customWidth="1"/>
    <col min="12794" max="12794" width="5.81640625" style="1" customWidth="1"/>
    <col min="12795" max="12795" width="10" style="1" customWidth="1"/>
    <col min="12796" max="12796" width="12.1796875" style="1" customWidth="1"/>
    <col min="12797" max="12797" width="13.81640625" style="1" customWidth="1"/>
    <col min="12798" max="12798" width="12.54296875" style="1" customWidth="1"/>
    <col min="12799" max="12799" width="13" style="1" customWidth="1"/>
    <col min="12800" max="12800" width="13.81640625" style="1" bestFit="1" customWidth="1"/>
    <col min="12801" max="13046" width="9.1796875" style="1"/>
    <col min="13047" max="13047" width="5" style="1" customWidth="1"/>
    <col min="13048" max="13048" width="23.81640625" style="1" customWidth="1"/>
    <col min="13049" max="13049" width="46.81640625" style="1" customWidth="1"/>
    <col min="13050" max="13050" width="5.81640625" style="1" customWidth="1"/>
    <col min="13051" max="13051" width="10" style="1" customWidth="1"/>
    <col min="13052" max="13052" width="12.1796875" style="1" customWidth="1"/>
    <col min="13053" max="13053" width="13.81640625" style="1" customWidth="1"/>
    <col min="13054" max="13054" width="12.54296875" style="1" customWidth="1"/>
    <col min="13055" max="13055" width="13" style="1" customWidth="1"/>
    <col min="13056" max="13056" width="13.81640625" style="1" bestFit="1" customWidth="1"/>
    <col min="13057" max="13302" width="9.1796875" style="1"/>
    <col min="13303" max="13303" width="5" style="1" customWidth="1"/>
    <col min="13304" max="13304" width="23.81640625" style="1" customWidth="1"/>
    <col min="13305" max="13305" width="46.81640625" style="1" customWidth="1"/>
    <col min="13306" max="13306" width="5.81640625" style="1" customWidth="1"/>
    <col min="13307" max="13307" width="10" style="1" customWidth="1"/>
    <col min="13308" max="13308" width="12.1796875" style="1" customWidth="1"/>
    <col min="13309" max="13309" width="13.81640625" style="1" customWidth="1"/>
    <col min="13310" max="13310" width="12.54296875" style="1" customWidth="1"/>
    <col min="13311" max="13311" width="13" style="1" customWidth="1"/>
    <col min="13312" max="13312" width="13.81640625" style="1" bestFit="1" customWidth="1"/>
    <col min="13313" max="13558" width="9.1796875" style="1"/>
    <col min="13559" max="13559" width="5" style="1" customWidth="1"/>
    <col min="13560" max="13560" width="23.81640625" style="1" customWidth="1"/>
    <col min="13561" max="13561" width="46.81640625" style="1" customWidth="1"/>
    <col min="13562" max="13562" width="5.81640625" style="1" customWidth="1"/>
    <col min="13563" max="13563" width="10" style="1" customWidth="1"/>
    <col min="13564" max="13564" width="12.1796875" style="1" customWidth="1"/>
    <col min="13565" max="13565" width="13.81640625" style="1" customWidth="1"/>
    <col min="13566" max="13566" width="12.54296875" style="1" customWidth="1"/>
    <col min="13567" max="13567" width="13" style="1" customWidth="1"/>
    <col min="13568" max="13568" width="13.81640625" style="1" bestFit="1" customWidth="1"/>
    <col min="13569" max="13814" width="9.1796875" style="1"/>
    <col min="13815" max="13815" width="5" style="1" customWidth="1"/>
    <col min="13816" max="13816" width="23.81640625" style="1" customWidth="1"/>
    <col min="13817" max="13817" width="46.81640625" style="1" customWidth="1"/>
    <col min="13818" max="13818" width="5.81640625" style="1" customWidth="1"/>
    <col min="13819" max="13819" width="10" style="1" customWidth="1"/>
    <col min="13820" max="13820" width="12.1796875" style="1" customWidth="1"/>
    <col min="13821" max="13821" width="13.81640625" style="1" customWidth="1"/>
    <col min="13822" max="13822" width="12.54296875" style="1" customWidth="1"/>
    <col min="13823" max="13823" width="13" style="1" customWidth="1"/>
    <col min="13824" max="13824" width="13.81640625" style="1" bestFit="1" customWidth="1"/>
    <col min="13825" max="14070" width="9.1796875" style="1"/>
    <col min="14071" max="14071" width="5" style="1" customWidth="1"/>
    <col min="14072" max="14072" width="23.81640625" style="1" customWidth="1"/>
    <col min="14073" max="14073" width="46.81640625" style="1" customWidth="1"/>
    <col min="14074" max="14074" width="5.81640625" style="1" customWidth="1"/>
    <col min="14075" max="14075" width="10" style="1" customWidth="1"/>
    <col min="14076" max="14076" width="12.1796875" style="1" customWidth="1"/>
    <col min="14077" max="14077" width="13.81640625" style="1" customWidth="1"/>
    <col min="14078" max="14078" width="12.54296875" style="1" customWidth="1"/>
    <col min="14079" max="14079" width="13" style="1" customWidth="1"/>
    <col min="14080" max="14080" width="13.81640625" style="1" bestFit="1" customWidth="1"/>
    <col min="14081" max="14326" width="9.1796875" style="1"/>
    <col min="14327" max="14327" width="5" style="1" customWidth="1"/>
    <col min="14328" max="14328" width="23.81640625" style="1" customWidth="1"/>
    <col min="14329" max="14329" width="46.81640625" style="1" customWidth="1"/>
    <col min="14330" max="14330" width="5.81640625" style="1" customWidth="1"/>
    <col min="14331" max="14331" width="10" style="1" customWidth="1"/>
    <col min="14332" max="14332" width="12.1796875" style="1" customWidth="1"/>
    <col min="14333" max="14333" width="13.81640625" style="1" customWidth="1"/>
    <col min="14334" max="14334" width="12.54296875" style="1" customWidth="1"/>
    <col min="14335" max="14335" width="13" style="1" customWidth="1"/>
    <col min="14336" max="14336" width="13.81640625" style="1" bestFit="1" customWidth="1"/>
    <col min="14337" max="14582" width="9.1796875" style="1"/>
    <col min="14583" max="14583" width="5" style="1" customWidth="1"/>
    <col min="14584" max="14584" width="23.81640625" style="1" customWidth="1"/>
    <col min="14585" max="14585" width="46.81640625" style="1" customWidth="1"/>
    <col min="14586" max="14586" width="5.81640625" style="1" customWidth="1"/>
    <col min="14587" max="14587" width="10" style="1" customWidth="1"/>
    <col min="14588" max="14588" width="12.1796875" style="1" customWidth="1"/>
    <col min="14589" max="14589" width="13.81640625" style="1" customWidth="1"/>
    <col min="14590" max="14590" width="12.54296875" style="1" customWidth="1"/>
    <col min="14591" max="14591" width="13" style="1" customWidth="1"/>
    <col min="14592" max="14592" width="13.81640625" style="1" bestFit="1" customWidth="1"/>
    <col min="14593" max="14838" width="9.1796875" style="1"/>
    <col min="14839" max="14839" width="5" style="1" customWidth="1"/>
    <col min="14840" max="14840" width="23.81640625" style="1" customWidth="1"/>
    <col min="14841" max="14841" width="46.81640625" style="1" customWidth="1"/>
    <col min="14842" max="14842" width="5.81640625" style="1" customWidth="1"/>
    <col min="14843" max="14843" width="10" style="1" customWidth="1"/>
    <col min="14844" max="14844" width="12.1796875" style="1" customWidth="1"/>
    <col min="14845" max="14845" width="13.81640625" style="1" customWidth="1"/>
    <col min="14846" max="14846" width="12.54296875" style="1" customWidth="1"/>
    <col min="14847" max="14847" width="13" style="1" customWidth="1"/>
    <col min="14848" max="14848" width="13.81640625" style="1" bestFit="1" customWidth="1"/>
    <col min="14849" max="15094" width="9.1796875" style="1"/>
    <col min="15095" max="15095" width="5" style="1" customWidth="1"/>
    <col min="15096" max="15096" width="23.81640625" style="1" customWidth="1"/>
    <col min="15097" max="15097" width="46.81640625" style="1" customWidth="1"/>
    <col min="15098" max="15098" width="5.81640625" style="1" customWidth="1"/>
    <col min="15099" max="15099" width="10" style="1" customWidth="1"/>
    <col min="15100" max="15100" width="12.1796875" style="1" customWidth="1"/>
    <col min="15101" max="15101" width="13.81640625" style="1" customWidth="1"/>
    <col min="15102" max="15102" width="12.54296875" style="1" customWidth="1"/>
    <col min="15103" max="15103" width="13" style="1" customWidth="1"/>
    <col min="15104" max="15104" width="13.81640625" style="1" bestFit="1" customWidth="1"/>
    <col min="15105" max="15350" width="9.1796875" style="1"/>
    <col min="15351" max="15351" width="5" style="1" customWidth="1"/>
    <col min="15352" max="15352" width="23.81640625" style="1" customWidth="1"/>
    <col min="15353" max="15353" width="46.81640625" style="1" customWidth="1"/>
    <col min="15354" max="15354" width="5.81640625" style="1" customWidth="1"/>
    <col min="15355" max="15355" width="10" style="1" customWidth="1"/>
    <col min="15356" max="15356" width="12.1796875" style="1" customWidth="1"/>
    <col min="15357" max="15357" width="13.81640625" style="1" customWidth="1"/>
    <col min="15358" max="15358" width="12.54296875" style="1" customWidth="1"/>
    <col min="15359" max="15359" width="13" style="1" customWidth="1"/>
    <col min="15360" max="15360" width="13.81640625" style="1" bestFit="1" customWidth="1"/>
    <col min="15361" max="15606" width="9.1796875" style="1"/>
    <col min="15607" max="15607" width="5" style="1" customWidth="1"/>
    <col min="15608" max="15608" width="23.81640625" style="1" customWidth="1"/>
    <col min="15609" max="15609" width="46.81640625" style="1" customWidth="1"/>
    <col min="15610" max="15610" width="5.81640625" style="1" customWidth="1"/>
    <col min="15611" max="15611" width="10" style="1" customWidth="1"/>
    <col min="15612" max="15612" width="12.1796875" style="1" customWidth="1"/>
    <col min="15613" max="15613" width="13.81640625" style="1" customWidth="1"/>
    <col min="15614" max="15614" width="12.54296875" style="1" customWidth="1"/>
    <col min="15615" max="15615" width="13" style="1" customWidth="1"/>
    <col min="15616" max="15616" width="13.81640625" style="1" bestFit="1" customWidth="1"/>
    <col min="15617" max="15862" width="9.1796875" style="1"/>
    <col min="15863" max="15863" width="5" style="1" customWidth="1"/>
    <col min="15864" max="15864" width="23.81640625" style="1" customWidth="1"/>
    <col min="15865" max="15865" width="46.81640625" style="1" customWidth="1"/>
    <col min="15866" max="15866" width="5.81640625" style="1" customWidth="1"/>
    <col min="15867" max="15867" width="10" style="1" customWidth="1"/>
    <col min="15868" max="15868" width="12.1796875" style="1" customWidth="1"/>
    <col min="15869" max="15869" width="13.81640625" style="1" customWidth="1"/>
    <col min="15870" max="15870" width="12.54296875" style="1" customWidth="1"/>
    <col min="15871" max="15871" width="13" style="1" customWidth="1"/>
    <col min="15872" max="15872" width="13.81640625" style="1" bestFit="1" customWidth="1"/>
    <col min="15873" max="16118" width="9.1796875" style="1"/>
    <col min="16119" max="16119" width="5" style="1" customWidth="1"/>
    <col min="16120" max="16120" width="23.81640625" style="1" customWidth="1"/>
    <col min="16121" max="16121" width="46.81640625" style="1" customWidth="1"/>
    <col min="16122" max="16122" width="5.81640625" style="1" customWidth="1"/>
    <col min="16123" max="16123" width="10" style="1" customWidth="1"/>
    <col min="16124" max="16124" width="12.1796875" style="1" customWidth="1"/>
    <col min="16125" max="16125" width="13.81640625" style="1" customWidth="1"/>
    <col min="16126" max="16126" width="12.54296875" style="1" customWidth="1"/>
    <col min="16127" max="16127" width="13" style="1" customWidth="1"/>
    <col min="16128" max="16128" width="13.81640625" style="1" bestFit="1" customWidth="1"/>
    <col min="16129" max="16369" width="9.1796875" style="1"/>
    <col min="16370" max="16384" width="9.1796875" style="1" customWidth="1"/>
  </cols>
  <sheetData>
    <row r="1" spans="1:13" ht="19.5" customHeight="1" x14ac:dyDescent="0.25">
      <c r="C1" s="27"/>
      <c r="D1" s="27"/>
      <c r="E1" s="65" t="s">
        <v>6</v>
      </c>
      <c r="F1" s="66"/>
      <c r="G1" s="66"/>
      <c r="H1" s="66"/>
      <c r="I1" s="66"/>
      <c r="J1" s="66"/>
      <c r="K1" s="66"/>
      <c r="L1" s="66"/>
      <c r="M1" s="66"/>
    </row>
    <row r="2" spans="1:13" ht="19.5" customHeight="1" x14ac:dyDescent="0.25">
      <c r="C2" s="28"/>
      <c r="D2" s="28"/>
      <c r="E2" s="67"/>
      <c r="F2" s="68"/>
      <c r="G2" s="68"/>
      <c r="H2" s="68"/>
      <c r="I2" s="68"/>
      <c r="J2" s="68"/>
      <c r="K2" s="68"/>
      <c r="L2" s="68"/>
      <c r="M2" s="68"/>
    </row>
    <row r="3" spans="1:13" ht="19.5" customHeight="1" x14ac:dyDescent="0.25">
      <c r="C3" s="28"/>
      <c r="D3" s="28"/>
      <c r="E3" s="67"/>
      <c r="F3" s="68"/>
      <c r="G3" s="68"/>
      <c r="H3" s="68"/>
      <c r="I3" s="68"/>
      <c r="J3" s="68"/>
      <c r="K3" s="68"/>
      <c r="L3" s="68"/>
      <c r="M3" s="68"/>
    </row>
    <row r="4" spans="1:13" ht="37" customHeight="1" x14ac:dyDescent="0.25">
      <c r="A4" s="101"/>
      <c r="B4" s="69" t="s">
        <v>0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</row>
    <row r="5" spans="1:13" x14ac:dyDescent="0.25">
      <c r="A5" s="76" t="s">
        <v>34</v>
      </c>
      <c r="B5" s="77"/>
      <c r="C5" s="77"/>
      <c r="D5" s="77"/>
      <c r="E5" s="78"/>
      <c r="F5" s="73" t="s">
        <v>19</v>
      </c>
      <c r="G5" s="74"/>
      <c r="H5" s="74"/>
      <c r="I5" s="74"/>
      <c r="J5" s="74"/>
      <c r="K5" s="74"/>
      <c r="L5" s="74"/>
      <c r="M5" s="75"/>
    </row>
    <row r="6" spans="1:13" x14ac:dyDescent="0.25">
      <c r="A6" s="76" t="s">
        <v>35</v>
      </c>
      <c r="B6" s="77"/>
      <c r="C6" s="77"/>
      <c r="D6" s="77"/>
      <c r="E6" s="78"/>
      <c r="F6" s="79" t="s">
        <v>38</v>
      </c>
      <c r="G6" s="80"/>
      <c r="H6" s="80"/>
      <c r="I6" s="80"/>
      <c r="J6" s="80"/>
      <c r="K6" s="80"/>
      <c r="L6" s="80"/>
      <c r="M6" s="81"/>
    </row>
    <row r="7" spans="1:13" x14ac:dyDescent="0.25">
      <c r="A7" s="76" t="s">
        <v>36</v>
      </c>
      <c r="B7" s="77"/>
      <c r="C7" s="77"/>
      <c r="D7" s="77"/>
      <c r="E7" s="78"/>
      <c r="F7" s="79" t="s">
        <v>39</v>
      </c>
      <c r="G7" s="80"/>
      <c r="H7" s="80"/>
      <c r="I7" s="80"/>
      <c r="J7" s="80"/>
      <c r="K7" s="80"/>
      <c r="L7" s="80"/>
      <c r="M7" s="81"/>
    </row>
    <row r="8" spans="1:13" ht="12.5" x14ac:dyDescent="0.25">
      <c r="A8" s="62" t="s">
        <v>28</v>
      </c>
      <c r="B8" s="63"/>
      <c r="C8" s="63"/>
      <c r="D8" s="63"/>
      <c r="E8" s="64"/>
      <c r="F8" s="79" t="s">
        <v>14</v>
      </c>
      <c r="G8" s="80"/>
      <c r="H8" s="80"/>
      <c r="I8" s="80"/>
      <c r="J8" s="80"/>
      <c r="K8" s="80"/>
      <c r="L8" s="80"/>
      <c r="M8" s="81"/>
    </row>
    <row r="9" spans="1:13" ht="12.5" x14ac:dyDescent="0.25">
      <c r="A9" s="62" t="s">
        <v>23</v>
      </c>
      <c r="B9" s="63"/>
      <c r="C9" s="63"/>
      <c r="D9" s="63"/>
      <c r="E9" s="64"/>
      <c r="F9" s="79" t="s">
        <v>15</v>
      </c>
      <c r="G9" s="80"/>
      <c r="H9" s="80"/>
      <c r="I9" s="80"/>
      <c r="J9" s="80"/>
      <c r="K9" s="80"/>
      <c r="L9" s="80"/>
      <c r="M9" s="81"/>
    </row>
    <row r="10" spans="1:13" x14ac:dyDescent="0.25">
      <c r="A10" s="76" t="s">
        <v>37</v>
      </c>
      <c r="B10" s="77"/>
      <c r="C10" s="77"/>
      <c r="D10" s="77"/>
      <c r="E10" s="78"/>
      <c r="F10" s="80" t="s">
        <v>40</v>
      </c>
      <c r="G10" s="80"/>
      <c r="H10" s="80"/>
      <c r="I10" s="80"/>
      <c r="J10" s="80"/>
      <c r="K10" s="80"/>
      <c r="L10" s="80"/>
      <c r="M10" s="81"/>
    </row>
    <row r="11" spans="1:13" x14ac:dyDescent="0.25">
      <c r="A11" s="98"/>
      <c r="B11" s="71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</row>
    <row r="12" spans="1:13" s="2" customFormat="1" ht="26.5" customHeight="1" x14ac:dyDescent="0.35">
      <c r="A12" s="12" t="s">
        <v>1</v>
      </c>
      <c r="B12" s="12" t="s">
        <v>11</v>
      </c>
      <c r="C12" s="12" t="s">
        <v>12</v>
      </c>
      <c r="D12" s="12" t="s">
        <v>7</v>
      </c>
      <c r="E12" s="12" t="s">
        <v>8</v>
      </c>
      <c r="F12" s="12" t="s">
        <v>10</v>
      </c>
      <c r="G12" s="12" t="s">
        <v>2</v>
      </c>
      <c r="H12" s="12" t="s">
        <v>3</v>
      </c>
      <c r="I12" s="12" t="s">
        <v>16</v>
      </c>
      <c r="J12" s="21" t="s">
        <v>22</v>
      </c>
      <c r="K12" s="12" t="s">
        <v>21</v>
      </c>
      <c r="L12" s="12" t="s">
        <v>4</v>
      </c>
      <c r="M12" s="12" t="s">
        <v>17</v>
      </c>
    </row>
    <row r="13" spans="1:13" s="3" customFormat="1" ht="12.5" x14ac:dyDescent="0.35">
      <c r="A13" s="51"/>
      <c r="B13" s="50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</row>
    <row r="14" spans="1:13" s="55" customFormat="1" ht="34.5" customHeight="1" x14ac:dyDescent="0.35">
      <c r="A14" s="96">
        <v>1</v>
      </c>
      <c r="B14" s="90" t="s">
        <v>175</v>
      </c>
      <c r="C14" s="90" t="s">
        <v>20</v>
      </c>
      <c r="D14" s="30" t="s">
        <v>41</v>
      </c>
      <c r="E14" s="52" t="s">
        <v>42</v>
      </c>
      <c r="F14" s="26">
        <v>1</v>
      </c>
      <c r="G14" s="53" t="s">
        <v>24</v>
      </c>
      <c r="H14" s="54">
        <v>417450000</v>
      </c>
      <c r="I14" s="20">
        <v>0.08</v>
      </c>
      <c r="J14" s="22">
        <f>H14*F14</f>
        <v>417450000</v>
      </c>
      <c r="K14" s="15">
        <f>J14*(1+I14)</f>
        <v>450846000</v>
      </c>
      <c r="L14" s="19"/>
      <c r="M14" s="88" t="s">
        <v>176</v>
      </c>
    </row>
    <row r="15" spans="1:13" s="55" customFormat="1" x14ac:dyDescent="0.35">
      <c r="A15" s="47" t="s">
        <v>177</v>
      </c>
      <c r="B15" s="93"/>
      <c r="C15" s="93"/>
      <c r="D15" s="92" t="s">
        <v>43</v>
      </c>
      <c r="E15" s="25" t="s">
        <v>44</v>
      </c>
      <c r="F15" s="48">
        <v>1</v>
      </c>
      <c r="G15" s="53"/>
      <c r="H15" s="54"/>
      <c r="I15" s="20"/>
      <c r="J15" s="22"/>
      <c r="K15" s="15"/>
      <c r="L15" s="19"/>
      <c r="M15" s="89"/>
    </row>
    <row r="16" spans="1:13" s="55" customFormat="1" ht="23" x14ac:dyDescent="0.35">
      <c r="A16" s="47" t="s">
        <v>29</v>
      </c>
      <c r="B16" s="93"/>
      <c r="C16" s="93"/>
      <c r="D16" s="92" t="s">
        <v>45</v>
      </c>
      <c r="E16" s="25" t="s">
        <v>46</v>
      </c>
      <c r="F16" s="48">
        <v>1</v>
      </c>
      <c r="G16" s="53"/>
      <c r="H16" s="54"/>
      <c r="I16" s="20"/>
      <c r="J16" s="22"/>
      <c r="K16" s="15"/>
      <c r="L16" s="19"/>
      <c r="M16" s="89"/>
    </row>
    <row r="17" spans="1:13" s="55" customFormat="1" ht="23" customHeight="1" x14ac:dyDescent="0.35">
      <c r="A17" s="47" t="s">
        <v>178</v>
      </c>
      <c r="B17" s="93"/>
      <c r="C17" s="93"/>
      <c r="D17" s="92" t="s">
        <v>47</v>
      </c>
      <c r="E17" s="25" t="s">
        <v>48</v>
      </c>
      <c r="F17" s="48">
        <v>1</v>
      </c>
      <c r="G17" s="53"/>
      <c r="H17" s="54"/>
      <c r="I17" s="20"/>
      <c r="J17" s="22"/>
      <c r="K17" s="15"/>
      <c r="L17" s="19"/>
      <c r="M17" s="89"/>
    </row>
    <row r="18" spans="1:13" s="55" customFormat="1" x14ac:dyDescent="0.35">
      <c r="A18" s="47" t="s">
        <v>179</v>
      </c>
      <c r="B18" s="93"/>
      <c r="C18" s="93"/>
      <c r="D18" s="30" t="s">
        <v>49</v>
      </c>
      <c r="E18" s="52" t="s">
        <v>50</v>
      </c>
      <c r="F18" s="26">
        <v>1</v>
      </c>
      <c r="G18" s="53"/>
      <c r="H18" s="54"/>
      <c r="I18" s="20"/>
      <c r="J18" s="22"/>
      <c r="K18" s="15"/>
      <c r="L18" s="19"/>
      <c r="M18" s="89"/>
    </row>
    <row r="19" spans="1:13" s="55" customFormat="1" ht="23" x14ac:dyDescent="0.35">
      <c r="A19" s="47" t="s">
        <v>180</v>
      </c>
      <c r="B19" s="93"/>
      <c r="C19" s="93"/>
      <c r="D19" s="92" t="s">
        <v>51</v>
      </c>
      <c r="E19" s="25" t="s">
        <v>52</v>
      </c>
      <c r="F19" s="48">
        <v>1</v>
      </c>
      <c r="G19" s="53"/>
      <c r="H19" s="54"/>
      <c r="I19" s="20"/>
      <c r="J19" s="22"/>
      <c r="K19" s="15"/>
      <c r="L19" s="19"/>
      <c r="M19" s="89"/>
    </row>
    <row r="20" spans="1:13" s="55" customFormat="1" ht="27" customHeight="1" x14ac:dyDescent="0.35">
      <c r="A20" s="47" t="s">
        <v>181</v>
      </c>
      <c r="B20" s="93"/>
      <c r="C20" s="93"/>
      <c r="D20" s="30" t="s">
        <v>53</v>
      </c>
      <c r="E20" s="52" t="s">
        <v>54</v>
      </c>
      <c r="F20" s="26">
        <v>1</v>
      </c>
      <c r="G20" s="53"/>
      <c r="H20" s="54"/>
      <c r="I20" s="20"/>
      <c r="J20" s="22"/>
      <c r="K20" s="15"/>
      <c r="L20" s="88"/>
      <c r="M20" s="89"/>
    </row>
    <row r="21" spans="1:13" s="55" customFormat="1" ht="27" customHeight="1" x14ac:dyDescent="0.35">
      <c r="A21" s="47" t="s">
        <v>182</v>
      </c>
      <c r="B21" s="93"/>
      <c r="C21" s="93"/>
      <c r="D21" s="92">
        <v>5977</v>
      </c>
      <c r="E21" s="25" t="s">
        <v>55</v>
      </c>
      <c r="F21" s="48">
        <v>1</v>
      </c>
      <c r="G21" s="53"/>
      <c r="H21" s="54"/>
      <c r="I21" s="20"/>
      <c r="J21" s="22"/>
      <c r="K21" s="15"/>
      <c r="L21" s="94"/>
      <c r="M21" s="89"/>
    </row>
    <row r="22" spans="1:13" s="55" customFormat="1" ht="23" customHeight="1" x14ac:dyDescent="0.35">
      <c r="A22" s="47" t="s">
        <v>183</v>
      </c>
      <c r="B22" s="93"/>
      <c r="C22" s="93"/>
      <c r="D22" s="30" t="s">
        <v>56</v>
      </c>
      <c r="E22" s="52" t="s">
        <v>57</v>
      </c>
      <c r="F22" s="26">
        <v>1</v>
      </c>
      <c r="G22" s="53"/>
      <c r="H22" s="54"/>
      <c r="I22" s="20"/>
      <c r="J22" s="22"/>
      <c r="K22" s="15"/>
      <c r="L22" s="19"/>
      <c r="M22" s="89"/>
    </row>
    <row r="23" spans="1:13" s="55" customFormat="1" ht="23" x14ac:dyDescent="0.35">
      <c r="A23" s="47" t="s">
        <v>184</v>
      </c>
      <c r="B23" s="93"/>
      <c r="C23" s="93"/>
      <c r="D23" s="30" t="s">
        <v>58</v>
      </c>
      <c r="E23" s="52" t="s">
        <v>59</v>
      </c>
      <c r="F23" s="26">
        <v>2</v>
      </c>
      <c r="G23" s="53"/>
      <c r="H23" s="54"/>
      <c r="I23" s="20"/>
      <c r="J23" s="22"/>
      <c r="K23" s="15"/>
      <c r="L23" s="19"/>
      <c r="M23" s="89"/>
    </row>
    <row r="24" spans="1:13" s="55" customFormat="1" ht="23" x14ac:dyDescent="0.35">
      <c r="A24" s="47" t="s">
        <v>185</v>
      </c>
      <c r="B24" s="93"/>
      <c r="C24" s="93"/>
      <c r="D24" s="92" t="s">
        <v>60</v>
      </c>
      <c r="E24" s="25" t="s">
        <v>61</v>
      </c>
      <c r="F24" s="48">
        <v>1</v>
      </c>
      <c r="G24" s="53"/>
      <c r="H24" s="54"/>
      <c r="I24" s="20"/>
      <c r="J24" s="22"/>
      <c r="K24" s="15"/>
      <c r="L24" s="19"/>
      <c r="M24" s="89"/>
    </row>
    <row r="25" spans="1:13" s="55" customFormat="1" ht="23" x14ac:dyDescent="0.35">
      <c r="A25" s="47" t="s">
        <v>186</v>
      </c>
      <c r="B25" s="93"/>
      <c r="C25" s="93"/>
      <c r="D25" s="30" t="s">
        <v>62</v>
      </c>
      <c r="E25" s="52" t="s">
        <v>63</v>
      </c>
      <c r="F25" s="26">
        <v>1</v>
      </c>
      <c r="G25" s="53"/>
      <c r="H25" s="54"/>
      <c r="I25" s="20"/>
      <c r="J25" s="22"/>
      <c r="K25" s="15"/>
      <c r="L25" s="19"/>
      <c r="M25" s="89"/>
    </row>
    <row r="26" spans="1:13" s="55" customFormat="1" ht="23" x14ac:dyDescent="0.35">
      <c r="A26" s="47" t="s">
        <v>187</v>
      </c>
      <c r="B26" s="93"/>
      <c r="C26" s="93"/>
      <c r="D26" s="92" t="s">
        <v>64</v>
      </c>
      <c r="E26" s="25" t="s">
        <v>65</v>
      </c>
      <c r="F26" s="48">
        <v>1</v>
      </c>
      <c r="G26" s="53"/>
      <c r="H26" s="95"/>
      <c r="I26" s="20"/>
      <c r="J26" s="22"/>
      <c r="K26" s="15"/>
      <c r="L26" s="19"/>
      <c r="M26" s="89"/>
    </row>
    <row r="27" spans="1:13" s="55" customFormat="1" ht="23" x14ac:dyDescent="0.35">
      <c r="A27" s="47" t="s">
        <v>188</v>
      </c>
      <c r="B27" s="93"/>
      <c r="C27" s="93"/>
      <c r="D27" s="92" t="s">
        <v>66</v>
      </c>
      <c r="E27" s="25" t="s">
        <v>67</v>
      </c>
      <c r="F27" s="48">
        <v>1</v>
      </c>
      <c r="G27" s="53"/>
      <c r="H27" s="95"/>
      <c r="I27" s="20"/>
      <c r="J27" s="22"/>
      <c r="K27" s="15"/>
      <c r="L27" s="19"/>
      <c r="M27" s="89"/>
    </row>
    <row r="28" spans="1:13" s="55" customFormat="1" ht="23" x14ac:dyDescent="0.35">
      <c r="A28" s="47" t="s">
        <v>189</v>
      </c>
      <c r="B28" s="93"/>
      <c r="C28" s="93"/>
      <c r="D28" s="92" t="s">
        <v>68</v>
      </c>
      <c r="E28" s="25" t="s">
        <v>69</v>
      </c>
      <c r="F28" s="48">
        <v>2</v>
      </c>
      <c r="G28" s="53"/>
      <c r="H28" s="95"/>
      <c r="I28" s="20"/>
      <c r="J28" s="22"/>
      <c r="K28" s="15"/>
      <c r="L28" s="19"/>
      <c r="M28" s="89"/>
    </row>
    <row r="29" spans="1:13" s="55" customFormat="1" x14ac:dyDescent="0.35">
      <c r="A29" s="47" t="s">
        <v>190</v>
      </c>
      <c r="B29" s="93"/>
      <c r="C29" s="93"/>
      <c r="D29" s="92">
        <v>6400</v>
      </c>
      <c r="E29" s="25" t="s">
        <v>70</v>
      </c>
      <c r="F29" s="48">
        <v>2</v>
      </c>
      <c r="G29" s="53"/>
      <c r="H29" s="54"/>
      <c r="I29" s="20"/>
      <c r="J29" s="22"/>
      <c r="K29" s="15"/>
      <c r="L29" s="19"/>
      <c r="M29" s="89"/>
    </row>
    <row r="30" spans="1:13" s="55" customFormat="1" x14ac:dyDescent="0.35">
      <c r="A30" s="47" t="s">
        <v>191</v>
      </c>
      <c r="B30" s="93"/>
      <c r="C30" s="93"/>
      <c r="D30" s="92" t="s">
        <v>71</v>
      </c>
      <c r="E30" s="25" t="s">
        <v>72</v>
      </c>
      <c r="F30" s="48">
        <v>3</v>
      </c>
      <c r="G30" s="53"/>
      <c r="H30" s="54"/>
      <c r="I30" s="20"/>
      <c r="J30" s="22"/>
      <c r="K30" s="15"/>
      <c r="L30" s="19"/>
      <c r="M30" s="89"/>
    </row>
    <row r="31" spans="1:13" s="55" customFormat="1" x14ac:dyDescent="0.35">
      <c r="A31" s="47" t="s">
        <v>192</v>
      </c>
      <c r="B31" s="93"/>
      <c r="C31" s="93"/>
      <c r="D31" s="92" t="s">
        <v>73</v>
      </c>
      <c r="E31" s="25" t="s">
        <v>74</v>
      </c>
      <c r="F31" s="48">
        <v>1</v>
      </c>
      <c r="G31" s="53"/>
      <c r="H31" s="54"/>
      <c r="I31" s="20"/>
      <c r="J31" s="22"/>
      <c r="K31" s="15"/>
      <c r="L31" s="19"/>
      <c r="M31" s="89"/>
    </row>
    <row r="32" spans="1:13" s="55" customFormat="1" x14ac:dyDescent="0.35">
      <c r="A32" s="47" t="s">
        <v>193</v>
      </c>
      <c r="B32" s="93"/>
      <c r="C32" s="93"/>
      <c r="D32" s="92" t="s">
        <v>75</v>
      </c>
      <c r="E32" s="25" t="s">
        <v>76</v>
      </c>
      <c r="F32" s="48">
        <v>1</v>
      </c>
      <c r="G32" s="53"/>
      <c r="H32" s="54"/>
      <c r="I32" s="20"/>
      <c r="J32" s="22"/>
      <c r="K32" s="15"/>
      <c r="L32" s="19"/>
      <c r="M32" s="89"/>
    </row>
    <row r="33" spans="1:13" s="55" customFormat="1" x14ac:dyDescent="0.35">
      <c r="A33" s="47" t="s">
        <v>194</v>
      </c>
      <c r="B33" s="93"/>
      <c r="C33" s="93"/>
      <c r="D33" s="92" t="s">
        <v>77</v>
      </c>
      <c r="E33" s="25" t="s">
        <v>78</v>
      </c>
      <c r="F33" s="48">
        <v>1</v>
      </c>
      <c r="G33" s="53"/>
      <c r="H33" s="54"/>
      <c r="I33" s="20"/>
      <c r="J33" s="22"/>
      <c r="K33" s="15"/>
      <c r="L33" s="19"/>
      <c r="M33" s="89"/>
    </row>
    <row r="34" spans="1:13" s="55" customFormat="1" x14ac:dyDescent="0.35">
      <c r="A34" s="47" t="s">
        <v>195</v>
      </c>
      <c r="B34" s="93"/>
      <c r="C34" s="93"/>
      <c r="D34" s="92" t="s">
        <v>79</v>
      </c>
      <c r="E34" s="25" t="s">
        <v>80</v>
      </c>
      <c r="F34" s="48">
        <v>1</v>
      </c>
      <c r="G34" s="53"/>
      <c r="H34" s="54"/>
      <c r="I34" s="20"/>
      <c r="J34" s="22"/>
      <c r="K34" s="15"/>
      <c r="L34" s="19"/>
      <c r="M34" s="89"/>
    </row>
    <row r="35" spans="1:13" s="55" customFormat="1" x14ac:dyDescent="0.35">
      <c r="A35" s="47" t="s">
        <v>196</v>
      </c>
      <c r="B35" s="93"/>
      <c r="C35" s="93"/>
      <c r="D35" s="92" t="s">
        <v>81</v>
      </c>
      <c r="E35" s="25" t="s">
        <v>82</v>
      </c>
      <c r="F35" s="48">
        <v>1</v>
      </c>
      <c r="G35" s="53"/>
      <c r="H35" s="54"/>
      <c r="I35" s="20"/>
      <c r="J35" s="22"/>
      <c r="K35" s="15"/>
      <c r="L35" s="19"/>
      <c r="M35" s="89"/>
    </row>
    <row r="36" spans="1:13" s="55" customFormat="1" x14ac:dyDescent="0.35">
      <c r="A36" s="47" t="s">
        <v>197</v>
      </c>
      <c r="B36" s="93"/>
      <c r="C36" s="93"/>
      <c r="D36" s="92" t="s">
        <v>83</v>
      </c>
      <c r="E36" s="25" t="s">
        <v>84</v>
      </c>
      <c r="F36" s="48">
        <v>1</v>
      </c>
      <c r="G36" s="53"/>
      <c r="H36" s="54"/>
      <c r="I36" s="20"/>
      <c r="J36" s="22"/>
      <c r="K36" s="15"/>
      <c r="L36" s="19"/>
      <c r="M36" s="89"/>
    </row>
    <row r="37" spans="1:13" s="55" customFormat="1" x14ac:dyDescent="0.35">
      <c r="A37" s="47" t="s">
        <v>198</v>
      </c>
      <c r="B37" s="93"/>
      <c r="C37" s="93"/>
      <c r="D37" s="92" t="s">
        <v>85</v>
      </c>
      <c r="E37" s="25" t="s">
        <v>86</v>
      </c>
      <c r="F37" s="48">
        <v>1</v>
      </c>
      <c r="G37" s="53"/>
      <c r="H37" s="54"/>
      <c r="I37" s="20"/>
      <c r="J37" s="22"/>
      <c r="K37" s="15"/>
      <c r="L37" s="19"/>
      <c r="M37" s="89"/>
    </row>
    <row r="38" spans="1:13" s="55" customFormat="1" ht="23" x14ac:dyDescent="0.35">
      <c r="A38" s="47" t="s">
        <v>199</v>
      </c>
      <c r="B38" s="93"/>
      <c r="C38" s="93"/>
      <c r="D38" s="92" t="s">
        <v>87</v>
      </c>
      <c r="E38" s="25" t="s">
        <v>88</v>
      </c>
      <c r="F38" s="48">
        <v>1</v>
      </c>
      <c r="G38" s="53"/>
      <c r="H38" s="54"/>
      <c r="I38" s="20"/>
      <c r="J38" s="22"/>
      <c r="K38" s="15"/>
      <c r="L38" s="19"/>
      <c r="M38" s="89"/>
    </row>
    <row r="39" spans="1:13" s="55" customFormat="1" x14ac:dyDescent="0.35">
      <c r="A39" s="47" t="s">
        <v>200</v>
      </c>
      <c r="B39" s="93"/>
      <c r="C39" s="93"/>
      <c r="D39" s="92" t="s">
        <v>89</v>
      </c>
      <c r="E39" s="25" t="s">
        <v>90</v>
      </c>
      <c r="F39" s="48">
        <v>1</v>
      </c>
      <c r="G39" s="53"/>
      <c r="H39" s="95"/>
      <c r="I39" s="20"/>
      <c r="J39" s="22"/>
      <c r="K39" s="15"/>
      <c r="L39" s="19"/>
      <c r="M39" s="89"/>
    </row>
    <row r="40" spans="1:13" s="55" customFormat="1" x14ac:dyDescent="0.35">
      <c r="A40" s="47" t="s">
        <v>201</v>
      </c>
      <c r="B40" s="93"/>
      <c r="C40" s="93"/>
      <c r="D40" s="92" t="s">
        <v>91</v>
      </c>
      <c r="E40" s="25" t="s">
        <v>92</v>
      </c>
      <c r="F40" s="48">
        <v>1</v>
      </c>
      <c r="G40" s="53"/>
      <c r="H40" s="54"/>
      <c r="I40" s="20"/>
      <c r="J40" s="22"/>
      <c r="K40" s="15"/>
      <c r="L40" s="19"/>
      <c r="M40" s="89"/>
    </row>
    <row r="41" spans="1:13" s="55" customFormat="1" ht="23" x14ac:dyDescent="0.35">
      <c r="A41" s="47" t="s">
        <v>202</v>
      </c>
      <c r="B41" s="93"/>
      <c r="C41" s="93"/>
      <c r="D41" s="92" t="s">
        <v>93</v>
      </c>
      <c r="E41" s="25" t="s">
        <v>94</v>
      </c>
      <c r="F41" s="48">
        <v>1</v>
      </c>
      <c r="G41" s="53"/>
      <c r="H41" s="54"/>
      <c r="I41" s="20"/>
      <c r="J41" s="22"/>
      <c r="K41" s="15"/>
      <c r="L41" s="19"/>
      <c r="M41" s="89"/>
    </row>
    <row r="42" spans="1:13" s="55" customFormat="1" ht="23" x14ac:dyDescent="0.35">
      <c r="A42" s="47" t="s">
        <v>203</v>
      </c>
      <c r="B42" s="93"/>
      <c r="C42" s="93"/>
      <c r="D42" s="92" t="s">
        <v>95</v>
      </c>
      <c r="E42" s="25" t="s">
        <v>96</v>
      </c>
      <c r="F42" s="48">
        <v>1</v>
      </c>
      <c r="G42" s="53"/>
      <c r="H42" s="54"/>
      <c r="I42" s="20"/>
      <c r="J42" s="22"/>
      <c r="K42" s="15"/>
      <c r="L42" s="19"/>
      <c r="M42" s="89"/>
    </row>
    <row r="43" spans="1:13" s="55" customFormat="1" ht="23" x14ac:dyDescent="0.35">
      <c r="A43" s="47" t="s">
        <v>204</v>
      </c>
      <c r="B43" s="93"/>
      <c r="C43" s="93"/>
      <c r="D43" s="92" t="s">
        <v>97</v>
      </c>
      <c r="E43" s="25" t="s">
        <v>98</v>
      </c>
      <c r="F43" s="48">
        <v>1</v>
      </c>
      <c r="G43" s="53"/>
      <c r="H43" s="54"/>
      <c r="I43" s="20"/>
      <c r="J43" s="22"/>
      <c r="K43" s="15"/>
      <c r="L43" s="19"/>
      <c r="M43" s="89"/>
    </row>
    <row r="44" spans="1:13" s="55" customFormat="1" x14ac:dyDescent="0.35">
      <c r="A44" s="47" t="s">
        <v>205</v>
      </c>
      <c r="B44" s="93"/>
      <c r="C44" s="93"/>
      <c r="D44" s="92" t="s">
        <v>99</v>
      </c>
      <c r="E44" s="25" t="s">
        <v>100</v>
      </c>
      <c r="F44" s="48">
        <v>1</v>
      </c>
      <c r="G44" s="53"/>
      <c r="H44" s="54"/>
      <c r="I44" s="20"/>
      <c r="J44" s="22"/>
      <c r="K44" s="15"/>
      <c r="L44" s="19"/>
      <c r="M44" s="89"/>
    </row>
    <row r="45" spans="1:13" s="55" customFormat="1" x14ac:dyDescent="0.35">
      <c r="A45" s="47" t="s">
        <v>206</v>
      </c>
      <c r="B45" s="93"/>
      <c r="C45" s="93"/>
      <c r="D45" s="92" t="s">
        <v>101</v>
      </c>
      <c r="E45" s="25" t="s">
        <v>102</v>
      </c>
      <c r="F45" s="48">
        <v>1</v>
      </c>
      <c r="G45" s="53"/>
      <c r="H45" s="95"/>
      <c r="I45" s="20"/>
      <c r="J45" s="22"/>
      <c r="K45" s="15"/>
      <c r="L45" s="19"/>
      <c r="M45" s="89"/>
    </row>
    <row r="46" spans="1:13" s="55" customFormat="1" x14ac:dyDescent="0.35">
      <c r="A46" s="47" t="s">
        <v>207</v>
      </c>
      <c r="B46" s="93"/>
      <c r="C46" s="93"/>
      <c r="D46" s="92" t="s">
        <v>103</v>
      </c>
      <c r="E46" s="25" t="s">
        <v>104</v>
      </c>
      <c r="F46" s="48">
        <v>1</v>
      </c>
      <c r="G46" s="53"/>
      <c r="H46" s="54"/>
      <c r="I46" s="20"/>
      <c r="J46" s="22"/>
      <c r="K46" s="15"/>
      <c r="L46" s="19"/>
      <c r="M46" s="89"/>
    </row>
    <row r="47" spans="1:13" s="55" customFormat="1" ht="23" x14ac:dyDescent="0.35">
      <c r="A47" s="47" t="s">
        <v>208</v>
      </c>
      <c r="B47" s="93"/>
      <c r="C47" s="93"/>
      <c r="D47" s="92" t="s">
        <v>105</v>
      </c>
      <c r="E47" s="25" t="s">
        <v>106</v>
      </c>
      <c r="F47" s="48">
        <v>1</v>
      </c>
      <c r="G47" s="53"/>
      <c r="H47" s="95"/>
      <c r="I47" s="20"/>
      <c r="J47" s="22"/>
      <c r="K47" s="15"/>
      <c r="L47" s="19"/>
      <c r="M47" s="89"/>
    </row>
    <row r="48" spans="1:13" s="55" customFormat="1" x14ac:dyDescent="0.35">
      <c r="A48" s="47" t="s">
        <v>209</v>
      </c>
      <c r="B48" s="93"/>
      <c r="C48" s="93"/>
      <c r="D48" s="92" t="s">
        <v>107</v>
      </c>
      <c r="E48" s="25" t="s">
        <v>108</v>
      </c>
      <c r="F48" s="48">
        <v>1</v>
      </c>
      <c r="G48" s="53"/>
      <c r="H48" s="95"/>
      <c r="I48" s="20"/>
      <c r="J48" s="22"/>
      <c r="K48" s="15"/>
      <c r="L48" s="19"/>
      <c r="M48" s="89"/>
    </row>
    <row r="49" spans="1:13" s="55" customFormat="1" ht="23" x14ac:dyDescent="0.35">
      <c r="A49" s="47" t="s">
        <v>210</v>
      </c>
      <c r="B49" s="93"/>
      <c r="C49" s="93"/>
      <c r="D49" s="92" t="s">
        <v>109</v>
      </c>
      <c r="E49" s="25" t="s">
        <v>110</v>
      </c>
      <c r="F49" s="48">
        <v>1</v>
      </c>
      <c r="G49" s="53"/>
      <c r="H49" s="54"/>
      <c r="I49" s="20"/>
      <c r="J49" s="22"/>
      <c r="K49" s="15"/>
      <c r="L49" s="19"/>
      <c r="M49" s="89"/>
    </row>
    <row r="50" spans="1:13" s="55" customFormat="1" ht="23" x14ac:dyDescent="0.35">
      <c r="A50" s="47" t="s">
        <v>211</v>
      </c>
      <c r="B50" s="93"/>
      <c r="C50" s="93"/>
      <c r="D50" s="92" t="s">
        <v>111</v>
      </c>
      <c r="E50" s="25" t="s">
        <v>112</v>
      </c>
      <c r="F50" s="48">
        <v>1</v>
      </c>
      <c r="G50" s="53"/>
      <c r="H50" s="54"/>
      <c r="I50" s="20"/>
      <c r="J50" s="22"/>
      <c r="K50" s="15"/>
      <c r="L50" s="19"/>
      <c r="M50" s="89"/>
    </row>
    <row r="51" spans="1:13" s="55" customFormat="1" ht="23" x14ac:dyDescent="0.35">
      <c r="A51" s="47" t="s">
        <v>212</v>
      </c>
      <c r="B51" s="93"/>
      <c r="C51" s="93"/>
      <c r="D51" s="92" t="s">
        <v>113</v>
      </c>
      <c r="E51" s="25" t="s">
        <v>114</v>
      </c>
      <c r="F51" s="48">
        <v>1</v>
      </c>
      <c r="G51" s="53"/>
      <c r="H51" s="54"/>
      <c r="I51" s="20"/>
      <c r="J51" s="22"/>
      <c r="K51" s="15"/>
      <c r="L51" s="19"/>
      <c r="M51" s="89"/>
    </row>
    <row r="52" spans="1:13" s="55" customFormat="1" x14ac:dyDescent="0.35">
      <c r="A52" s="47" t="s">
        <v>213</v>
      </c>
      <c r="B52" s="93"/>
      <c r="C52" s="93"/>
      <c r="D52" s="92" t="s">
        <v>115</v>
      </c>
      <c r="E52" s="25" t="s">
        <v>116</v>
      </c>
      <c r="F52" s="48">
        <v>1</v>
      </c>
      <c r="G52" s="53"/>
      <c r="H52" s="95"/>
      <c r="I52" s="20"/>
      <c r="J52" s="22"/>
      <c r="K52" s="15"/>
      <c r="L52" s="19"/>
      <c r="M52" s="89"/>
    </row>
    <row r="53" spans="1:13" s="55" customFormat="1" x14ac:dyDescent="0.35">
      <c r="A53" s="47" t="s">
        <v>214</v>
      </c>
      <c r="B53" s="93"/>
      <c r="C53" s="93"/>
      <c r="D53" s="92" t="s">
        <v>117</v>
      </c>
      <c r="E53" s="25" t="s">
        <v>118</v>
      </c>
      <c r="F53" s="48">
        <v>1</v>
      </c>
      <c r="G53" s="53"/>
      <c r="H53" s="95"/>
      <c r="I53" s="20"/>
      <c r="J53" s="22"/>
      <c r="K53" s="15"/>
      <c r="L53" s="19"/>
      <c r="M53" s="89"/>
    </row>
    <row r="54" spans="1:13" s="55" customFormat="1" x14ac:dyDescent="0.35">
      <c r="A54" s="47" t="s">
        <v>215</v>
      </c>
      <c r="B54" s="93"/>
      <c r="C54" s="93"/>
      <c r="D54" s="92" t="s">
        <v>119</v>
      </c>
      <c r="E54" s="25" t="s">
        <v>120</v>
      </c>
      <c r="F54" s="48">
        <v>1</v>
      </c>
      <c r="G54" s="53"/>
      <c r="H54" s="95"/>
      <c r="I54" s="20"/>
      <c r="J54" s="22"/>
      <c r="K54" s="15"/>
      <c r="L54" s="19"/>
      <c r="M54" s="89"/>
    </row>
    <row r="55" spans="1:13" s="55" customFormat="1" x14ac:dyDescent="0.35">
      <c r="A55" s="47" t="s">
        <v>216</v>
      </c>
      <c r="B55" s="93"/>
      <c r="C55" s="93"/>
      <c r="D55" s="92" t="s">
        <v>121</v>
      </c>
      <c r="E55" s="25" t="s">
        <v>122</v>
      </c>
      <c r="F55" s="48">
        <v>1</v>
      </c>
      <c r="G55" s="53"/>
      <c r="H55" s="54"/>
      <c r="I55" s="20"/>
      <c r="J55" s="22"/>
      <c r="K55" s="15"/>
      <c r="L55" s="19"/>
      <c r="M55" s="89"/>
    </row>
    <row r="56" spans="1:13" s="55" customFormat="1" x14ac:dyDescent="0.35">
      <c r="A56" s="47" t="s">
        <v>217</v>
      </c>
      <c r="B56" s="93"/>
      <c r="C56" s="93"/>
      <c r="D56" s="92" t="s">
        <v>123</v>
      </c>
      <c r="E56" s="25" t="s">
        <v>124</v>
      </c>
      <c r="F56" s="48">
        <v>1</v>
      </c>
      <c r="G56" s="53"/>
      <c r="H56" s="54"/>
      <c r="I56" s="20"/>
      <c r="J56" s="22"/>
      <c r="K56" s="15"/>
      <c r="L56" s="19"/>
      <c r="M56" s="89"/>
    </row>
    <row r="57" spans="1:13" s="55" customFormat="1" x14ac:dyDescent="0.35">
      <c r="A57" s="47" t="s">
        <v>218</v>
      </c>
      <c r="B57" s="93"/>
      <c r="C57" s="93"/>
      <c r="D57" s="92" t="s">
        <v>125</v>
      </c>
      <c r="E57" s="25" t="s">
        <v>126</v>
      </c>
      <c r="F57" s="48">
        <v>1</v>
      </c>
      <c r="G57" s="53"/>
      <c r="H57" s="54"/>
      <c r="I57" s="20"/>
      <c r="J57" s="22"/>
      <c r="K57" s="15"/>
      <c r="L57" s="19"/>
      <c r="M57" s="89"/>
    </row>
    <row r="58" spans="1:13" s="55" customFormat="1" x14ac:dyDescent="0.35">
      <c r="A58" s="47" t="s">
        <v>219</v>
      </c>
      <c r="B58" s="93"/>
      <c r="C58" s="93"/>
      <c r="D58" s="92" t="s">
        <v>127</v>
      </c>
      <c r="E58" s="25" t="s">
        <v>128</v>
      </c>
      <c r="F58" s="48">
        <v>1</v>
      </c>
      <c r="G58" s="53"/>
      <c r="H58" s="54"/>
      <c r="I58" s="20"/>
      <c r="J58" s="22"/>
      <c r="K58" s="15"/>
      <c r="L58" s="19"/>
      <c r="M58" s="89"/>
    </row>
    <row r="59" spans="1:13" s="55" customFormat="1" x14ac:dyDescent="0.35">
      <c r="A59" s="47" t="s">
        <v>220</v>
      </c>
      <c r="B59" s="93"/>
      <c r="C59" s="93"/>
      <c r="D59" s="92" t="s">
        <v>129</v>
      </c>
      <c r="E59" s="25" t="s">
        <v>130</v>
      </c>
      <c r="F59" s="48">
        <v>1</v>
      </c>
      <c r="G59" s="53"/>
      <c r="H59" s="54"/>
      <c r="I59" s="20"/>
      <c r="J59" s="22"/>
      <c r="K59" s="15"/>
      <c r="L59" s="19"/>
      <c r="M59" s="89"/>
    </row>
    <row r="60" spans="1:13" s="55" customFormat="1" x14ac:dyDescent="0.35">
      <c r="A60" s="47" t="s">
        <v>221</v>
      </c>
      <c r="B60" s="93"/>
      <c r="C60" s="93"/>
      <c r="D60" s="92" t="s">
        <v>131</v>
      </c>
      <c r="E60" s="25" t="s">
        <v>132</v>
      </c>
      <c r="F60" s="48">
        <v>15</v>
      </c>
      <c r="G60" s="53"/>
      <c r="H60" s="54"/>
      <c r="I60" s="20"/>
      <c r="J60" s="22"/>
      <c r="K60" s="15"/>
      <c r="L60" s="19"/>
      <c r="M60" s="89"/>
    </row>
    <row r="61" spans="1:13" s="55" customFormat="1" x14ac:dyDescent="0.35">
      <c r="A61" s="47" t="s">
        <v>222</v>
      </c>
      <c r="B61" s="93"/>
      <c r="C61" s="93"/>
      <c r="D61" s="92" t="s">
        <v>133</v>
      </c>
      <c r="E61" s="25" t="s">
        <v>134</v>
      </c>
      <c r="F61" s="48">
        <v>6</v>
      </c>
      <c r="G61" s="53"/>
      <c r="H61" s="54"/>
      <c r="I61" s="20"/>
      <c r="J61" s="22"/>
      <c r="K61" s="15"/>
      <c r="L61" s="19"/>
      <c r="M61" s="89"/>
    </row>
    <row r="62" spans="1:13" s="55" customFormat="1" x14ac:dyDescent="0.35">
      <c r="A62" s="47" t="s">
        <v>223</v>
      </c>
      <c r="B62" s="93"/>
      <c r="C62" s="93"/>
      <c r="D62" s="92" t="s">
        <v>135</v>
      </c>
      <c r="E62" s="25" t="s">
        <v>136</v>
      </c>
      <c r="F62" s="48">
        <v>1</v>
      </c>
      <c r="G62" s="53"/>
      <c r="H62" s="54"/>
      <c r="I62" s="20"/>
      <c r="J62" s="22"/>
      <c r="K62" s="15"/>
      <c r="L62" s="19"/>
      <c r="M62" s="89"/>
    </row>
    <row r="63" spans="1:13" s="55" customFormat="1" x14ac:dyDescent="0.35">
      <c r="A63" s="47" t="s">
        <v>224</v>
      </c>
      <c r="B63" s="93"/>
      <c r="C63" s="93"/>
      <c r="D63" s="92" t="s">
        <v>137</v>
      </c>
      <c r="E63" s="25" t="s">
        <v>138</v>
      </c>
      <c r="F63" s="48">
        <v>1</v>
      </c>
      <c r="G63" s="53"/>
      <c r="H63" s="54"/>
      <c r="I63" s="20"/>
      <c r="J63" s="22"/>
      <c r="K63" s="15"/>
      <c r="L63" s="19"/>
      <c r="M63" s="89"/>
    </row>
    <row r="64" spans="1:13" s="55" customFormat="1" x14ac:dyDescent="0.35">
      <c r="A64" s="47" t="s">
        <v>225</v>
      </c>
      <c r="B64" s="93"/>
      <c r="C64" s="93"/>
      <c r="D64" s="92" t="s">
        <v>139</v>
      </c>
      <c r="E64" s="25" t="s">
        <v>140</v>
      </c>
      <c r="F64" s="48">
        <v>1</v>
      </c>
      <c r="G64" s="53"/>
      <c r="H64" s="54"/>
      <c r="I64" s="20"/>
      <c r="J64" s="22"/>
      <c r="K64" s="15"/>
      <c r="L64" s="19"/>
      <c r="M64" s="89"/>
    </row>
    <row r="65" spans="1:13" s="55" customFormat="1" x14ac:dyDescent="0.35">
      <c r="A65" s="47" t="s">
        <v>226</v>
      </c>
      <c r="B65" s="93"/>
      <c r="C65" s="93"/>
      <c r="D65" s="92" t="s">
        <v>141</v>
      </c>
      <c r="E65" s="25" t="s">
        <v>142</v>
      </c>
      <c r="F65" s="48">
        <v>1</v>
      </c>
      <c r="G65" s="53"/>
      <c r="H65" s="54"/>
      <c r="I65" s="20"/>
      <c r="J65" s="22"/>
      <c r="K65" s="15"/>
      <c r="L65" s="19"/>
      <c r="M65" s="89"/>
    </row>
    <row r="66" spans="1:13" s="55" customFormat="1" x14ac:dyDescent="0.35">
      <c r="A66" s="47" t="s">
        <v>227</v>
      </c>
      <c r="B66" s="93"/>
      <c r="C66" s="93"/>
      <c r="D66" s="92" t="s">
        <v>143</v>
      </c>
      <c r="E66" s="25" t="s">
        <v>144</v>
      </c>
      <c r="F66" s="48">
        <v>1</v>
      </c>
      <c r="G66" s="53"/>
      <c r="H66" s="54"/>
      <c r="I66" s="20"/>
      <c r="J66" s="22"/>
      <c r="K66" s="15"/>
      <c r="L66" s="19"/>
      <c r="M66" s="89"/>
    </row>
    <row r="67" spans="1:13" s="55" customFormat="1" x14ac:dyDescent="0.35">
      <c r="A67" s="47" t="s">
        <v>228</v>
      </c>
      <c r="B67" s="93"/>
      <c r="C67" s="93"/>
      <c r="D67" s="92" t="s">
        <v>145</v>
      </c>
      <c r="E67" s="25" t="s">
        <v>146</v>
      </c>
      <c r="F67" s="48">
        <v>1</v>
      </c>
      <c r="G67" s="53"/>
      <c r="H67" s="54"/>
      <c r="I67" s="20"/>
      <c r="J67" s="22"/>
      <c r="K67" s="15"/>
      <c r="L67" s="19"/>
      <c r="M67" s="89"/>
    </row>
    <row r="68" spans="1:13" s="55" customFormat="1" x14ac:dyDescent="0.35">
      <c r="A68" s="47" t="s">
        <v>229</v>
      </c>
      <c r="B68" s="93"/>
      <c r="C68" s="93"/>
      <c r="D68" s="92" t="s">
        <v>147</v>
      </c>
      <c r="E68" s="25" t="s">
        <v>148</v>
      </c>
      <c r="F68" s="48">
        <v>1</v>
      </c>
      <c r="G68" s="53"/>
      <c r="H68" s="54"/>
      <c r="I68" s="20"/>
      <c r="J68" s="22"/>
      <c r="K68" s="15"/>
      <c r="L68" s="19"/>
      <c r="M68" s="89"/>
    </row>
    <row r="69" spans="1:13" s="55" customFormat="1" x14ac:dyDescent="0.35">
      <c r="A69" s="47" t="s">
        <v>230</v>
      </c>
      <c r="B69" s="93"/>
      <c r="C69" s="93"/>
      <c r="D69" s="92" t="s">
        <v>149</v>
      </c>
      <c r="E69" s="25" t="s">
        <v>150</v>
      </c>
      <c r="F69" s="48">
        <v>1</v>
      </c>
      <c r="G69" s="53"/>
      <c r="H69" s="95"/>
      <c r="I69" s="20"/>
      <c r="J69" s="22"/>
      <c r="K69" s="15"/>
      <c r="L69" s="19"/>
      <c r="M69" s="89"/>
    </row>
    <row r="70" spans="1:13" s="55" customFormat="1" ht="23" x14ac:dyDescent="0.35">
      <c r="A70" s="47" t="s">
        <v>231</v>
      </c>
      <c r="B70" s="93"/>
      <c r="C70" s="93"/>
      <c r="D70" s="92" t="s">
        <v>151</v>
      </c>
      <c r="E70" s="25" t="s">
        <v>152</v>
      </c>
      <c r="F70" s="48">
        <v>1</v>
      </c>
      <c r="G70" s="53"/>
      <c r="H70" s="54"/>
      <c r="I70" s="20"/>
      <c r="J70" s="22"/>
      <c r="K70" s="15"/>
      <c r="L70" s="19"/>
      <c r="M70" s="89"/>
    </row>
    <row r="71" spans="1:13" s="55" customFormat="1" x14ac:dyDescent="0.35">
      <c r="A71" s="47" t="s">
        <v>232</v>
      </c>
      <c r="B71" s="93"/>
      <c r="C71" s="93"/>
      <c r="D71" s="92" t="s">
        <v>153</v>
      </c>
      <c r="E71" s="25" t="s">
        <v>154</v>
      </c>
      <c r="F71" s="48">
        <v>1</v>
      </c>
      <c r="G71" s="53"/>
      <c r="H71" s="54"/>
      <c r="I71" s="20"/>
      <c r="J71" s="22"/>
      <c r="K71" s="15"/>
      <c r="L71" s="19"/>
      <c r="M71" s="89"/>
    </row>
    <row r="72" spans="1:13" s="55" customFormat="1" x14ac:dyDescent="0.35">
      <c r="A72" s="47" t="s">
        <v>233</v>
      </c>
      <c r="B72" s="93"/>
      <c r="C72" s="93"/>
      <c r="D72" s="92" t="s">
        <v>155</v>
      </c>
      <c r="E72" s="25" t="s">
        <v>156</v>
      </c>
      <c r="F72" s="48">
        <v>1</v>
      </c>
      <c r="G72" s="53"/>
      <c r="H72" s="95"/>
      <c r="I72" s="20"/>
      <c r="J72" s="22"/>
      <c r="K72" s="15"/>
      <c r="L72" s="19"/>
      <c r="M72" s="89"/>
    </row>
    <row r="73" spans="1:13" s="55" customFormat="1" x14ac:dyDescent="0.35">
      <c r="A73" s="47" t="s">
        <v>234</v>
      </c>
      <c r="B73" s="93"/>
      <c r="C73" s="93"/>
      <c r="D73" s="92" t="s">
        <v>157</v>
      </c>
      <c r="E73" s="25" t="s">
        <v>158</v>
      </c>
      <c r="F73" s="48">
        <v>1</v>
      </c>
      <c r="G73" s="53"/>
      <c r="H73" s="95"/>
      <c r="I73" s="20"/>
      <c r="J73" s="22"/>
      <c r="K73" s="15"/>
      <c r="L73" s="19"/>
      <c r="M73" s="89"/>
    </row>
    <row r="74" spans="1:13" s="55" customFormat="1" x14ac:dyDescent="0.35">
      <c r="A74" s="47" t="s">
        <v>235</v>
      </c>
      <c r="B74" s="93"/>
      <c r="C74" s="93"/>
      <c r="D74" s="92" t="s">
        <v>159</v>
      </c>
      <c r="E74" s="25" t="s">
        <v>160</v>
      </c>
      <c r="F74" s="48">
        <v>1</v>
      </c>
      <c r="G74" s="53"/>
      <c r="H74" s="54"/>
      <c r="I74" s="20"/>
      <c r="J74" s="22"/>
      <c r="K74" s="15"/>
      <c r="L74" s="19"/>
      <c r="M74" s="89"/>
    </row>
    <row r="75" spans="1:13" s="55" customFormat="1" ht="23" x14ac:dyDescent="0.35">
      <c r="A75" s="47" t="s">
        <v>236</v>
      </c>
      <c r="B75" s="93"/>
      <c r="C75" s="93"/>
      <c r="D75" s="92" t="s">
        <v>161</v>
      </c>
      <c r="E75" s="25" t="s">
        <v>162</v>
      </c>
      <c r="F75" s="48">
        <v>1</v>
      </c>
      <c r="G75" s="53"/>
      <c r="H75" s="54"/>
      <c r="I75" s="20"/>
      <c r="J75" s="22"/>
      <c r="K75" s="15"/>
      <c r="L75" s="19"/>
      <c r="M75" s="89"/>
    </row>
    <row r="76" spans="1:13" s="55" customFormat="1" x14ac:dyDescent="0.35">
      <c r="A76" s="47" t="s">
        <v>237</v>
      </c>
      <c r="B76" s="93"/>
      <c r="C76" s="93"/>
      <c r="D76" s="92" t="s">
        <v>163</v>
      </c>
      <c r="E76" s="25" t="s">
        <v>164</v>
      </c>
      <c r="F76" s="48">
        <v>1</v>
      </c>
      <c r="G76" s="53"/>
      <c r="H76" s="54"/>
      <c r="I76" s="20"/>
      <c r="J76" s="22"/>
      <c r="K76" s="15"/>
      <c r="L76" s="19"/>
      <c r="M76" s="89"/>
    </row>
    <row r="77" spans="1:13" s="55" customFormat="1" x14ac:dyDescent="0.35">
      <c r="A77" s="47" t="s">
        <v>238</v>
      </c>
      <c r="B77" s="93"/>
      <c r="C77" s="93"/>
      <c r="D77" s="92" t="s">
        <v>157</v>
      </c>
      <c r="E77" s="25" t="s">
        <v>158</v>
      </c>
      <c r="F77" s="48">
        <v>1</v>
      </c>
      <c r="G77" s="53"/>
      <c r="H77" s="54"/>
      <c r="I77" s="20"/>
      <c r="J77" s="22"/>
      <c r="K77" s="15"/>
      <c r="L77" s="19"/>
      <c r="M77" s="89"/>
    </row>
    <row r="78" spans="1:13" s="55" customFormat="1" x14ac:dyDescent="0.35">
      <c r="A78" s="47" t="s">
        <v>239</v>
      </c>
      <c r="B78" s="93"/>
      <c r="C78" s="93"/>
      <c r="D78" s="92" t="s">
        <v>165</v>
      </c>
      <c r="E78" s="25" t="s">
        <v>166</v>
      </c>
      <c r="F78" s="48">
        <v>1</v>
      </c>
      <c r="G78" s="53"/>
      <c r="H78" s="54"/>
      <c r="I78" s="20"/>
      <c r="J78" s="22"/>
      <c r="K78" s="15"/>
      <c r="L78" s="19"/>
      <c r="M78" s="89"/>
    </row>
    <row r="79" spans="1:13" s="55" customFormat="1" ht="23" x14ac:dyDescent="0.35">
      <c r="A79" s="47" t="s">
        <v>240</v>
      </c>
      <c r="B79" s="93"/>
      <c r="C79" s="93"/>
      <c r="D79" s="92" t="s">
        <v>167</v>
      </c>
      <c r="E79" s="25" t="s">
        <v>168</v>
      </c>
      <c r="F79" s="48">
        <v>1</v>
      </c>
      <c r="G79" s="53"/>
      <c r="H79" s="54"/>
      <c r="I79" s="20"/>
      <c r="J79" s="22"/>
      <c r="K79" s="15"/>
      <c r="L79" s="19"/>
      <c r="M79" s="89"/>
    </row>
    <row r="80" spans="1:13" s="55" customFormat="1" x14ac:dyDescent="0.35">
      <c r="A80" s="47" t="s">
        <v>241</v>
      </c>
      <c r="B80" s="93"/>
      <c r="C80" s="93"/>
      <c r="D80" s="92" t="s">
        <v>169</v>
      </c>
      <c r="E80" s="25" t="s">
        <v>170</v>
      </c>
      <c r="F80" s="48">
        <v>1</v>
      </c>
      <c r="G80" s="53"/>
      <c r="H80" s="54"/>
      <c r="I80" s="20"/>
      <c r="J80" s="22"/>
      <c r="K80" s="15"/>
      <c r="L80" s="19"/>
      <c r="M80" s="89"/>
    </row>
    <row r="81" spans="1:13" s="55" customFormat="1" x14ac:dyDescent="0.35">
      <c r="A81" s="47" t="s">
        <v>242</v>
      </c>
      <c r="B81" s="93"/>
      <c r="C81" s="93"/>
      <c r="D81" s="92" t="s">
        <v>171</v>
      </c>
      <c r="E81" s="25" t="s">
        <v>172</v>
      </c>
      <c r="F81" s="48">
        <v>1</v>
      </c>
      <c r="G81" s="53"/>
      <c r="H81" s="95"/>
      <c r="I81" s="20"/>
      <c r="J81" s="22"/>
      <c r="K81" s="15"/>
      <c r="L81" s="19"/>
      <c r="M81" s="89"/>
    </row>
    <row r="82" spans="1:13" s="55" customFormat="1" x14ac:dyDescent="0.35">
      <c r="A82" s="47" t="s">
        <v>243</v>
      </c>
      <c r="B82" s="91"/>
      <c r="C82" s="91"/>
      <c r="D82" s="92" t="s">
        <v>173</v>
      </c>
      <c r="E82" s="25" t="s">
        <v>174</v>
      </c>
      <c r="F82" s="48">
        <v>1</v>
      </c>
      <c r="G82" s="53"/>
      <c r="H82" s="95"/>
      <c r="I82" s="20"/>
      <c r="J82" s="22"/>
      <c r="K82" s="15"/>
      <c r="L82" s="19"/>
      <c r="M82" s="94"/>
    </row>
    <row r="83" spans="1:13" s="3" customFormat="1" x14ac:dyDescent="0.35">
      <c r="A83" s="16"/>
      <c r="B83" s="85" t="s">
        <v>9</v>
      </c>
      <c r="C83" s="86"/>
      <c r="D83" s="86"/>
      <c r="E83" s="86"/>
      <c r="F83" s="86"/>
      <c r="G83" s="86"/>
      <c r="H83" s="86"/>
      <c r="I83" s="87"/>
      <c r="J83" s="17">
        <f>SUM(J14:J82)</f>
        <v>417450000</v>
      </c>
      <c r="K83" s="17">
        <f>SUM(K14:K82)</f>
        <v>450846000</v>
      </c>
      <c r="L83" s="18"/>
      <c r="M83" s="46"/>
    </row>
    <row r="84" spans="1:13" ht="14" x14ac:dyDescent="0.3">
      <c r="A84" s="100"/>
      <c r="B84" s="32" t="s">
        <v>5</v>
      </c>
      <c r="C84" s="32"/>
      <c r="D84" s="32"/>
      <c r="E84" s="33"/>
      <c r="F84" s="33"/>
      <c r="G84" s="34"/>
      <c r="H84" s="33"/>
      <c r="I84" s="33"/>
      <c r="J84" s="35"/>
      <c r="K84" s="36"/>
      <c r="L84" s="37"/>
      <c r="M84" s="37"/>
    </row>
    <row r="85" spans="1:13" ht="14" x14ac:dyDescent="0.3">
      <c r="B85" s="1" t="s">
        <v>33</v>
      </c>
      <c r="C85" s="1"/>
      <c r="D85" s="1"/>
      <c r="F85" s="1"/>
      <c r="G85" s="3"/>
      <c r="H85" s="1"/>
      <c r="I85" s="1"/>
      <c r="J85" s="38"/>
      <c r="K85" s="5"/>
      <c r="L85" s="39"/>
      <c r="M85" s="39"/>
    </row>
    <row r="86" spans="1:13" ht="14" x14ac:dyDescent="0.3">
      <c r="B86" s="1" t="s">
        <v>244</v>
      </c>
      <c r="C86" s="1"/>
      <c r="D86" s="1"/>
      <c r="F86" s="1"/>
      <c r="G86" s="3"/>
      <c r="H86" s="1"/>
      <c r="I86" s="1"/>
      <c r="J86" s="38"/>
      <c r="K86" s="5"/>
      <c r="L86" s="39"/>
      <c r="M86" s="39"/>
    </row>
    <row r="87" spans="1:13" ht="14" x14ac:dyDescent="0.3">
      <c r="B87" s="1" t="s">
        <v>30</v>
      </c>
      <c r="C87" s="1"/>
      <c r="D87" s="1"/>
      <c r="F87" s="1"/>
      <c r="G87" s="3"/>
      <c r="H87" s="1"/>
      <c r="I87" s="1"/>
      <c r="J87" s="38"/>
      <c r="K87" s="5"/>
      <c r="L87" s="39"/>
      <c r="M87" s="39"/>
    </row>
    <row r="88" spans="1:13" ht="14" x14ac:dyDescent="0.3">
      <c r="A88" s="102"/>
      <c r="B88" s="56" t="s">
        <v>31</v>
      </c>
      <c r="C88" s="57"/>
      <c r="D88" s="57"/>
      <c r="E88" s="57"/>
      <c r="F88" s="57"/>
      <c r="G88" s="42"/>
      <c r="H88" s="57"/>
      <c r="I88" s="57"/>
      <c r="J88" s="58"/>
      <c r="K88" s="59"/>
      <c r="L88" s="60"/>
      <c r="M88" s="61"/>
    </row>
    <row r="89" spans="1:13" ht="14" x14ac:dyDescent="0.3">
      <c r="A89" s="102"/>
      <c r="B89" s="56" t="s">
        <v>32</v>
      </c>
      <c r="C89" s="57"/>
      <c r="D89" s="57"/>
      <c r="E89" s="57"/>
      <c r="F89" s="57"/>
      <c r="G89" s="42"/>
      <c r="H89" s="57"/>
      <c r="I89" s="57"/>
      <c r="J89" s="58"/>
      <c r="K89" s="59"/>
      <c r="L89" s="60"/>
      <c r="M89" s="61"/>
    </row>
    <row r="90" spans="1:13" x14ac:dyDescent="0.25">
      <c r="A90" s="102"/>
      <c r="B90" s="82" t="s">
        <v>18</v>
      </c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</row>
    <row r="91" spans="1:13" ht="14" x14ac:dyDescent="0.3">
      <c r="A91" s="99"/>
      <c r="B91" s="41" t="s">
        <v>25</v>
      </c>
      <c r="C91" s="49"/>
      <c r="D91" s="49"/>
      <c r="E91" s="42"/>
      <c r="F91" s="42"/>
      <c r="G91" s="42"/>
      <c r="H91" s="42"/>
      <c r="I91" s="42"/>
      <c r="J91" s="42"/>
      <c r="K91" s="42"/>
      <c r="L91" s="42"/>
      <c r="M91" s="43"/>
    </row>
    <row r="92" spans="1:13" ht="14" x14ac:dyDescent="0.3">
      <c r="A92" s="99"/>
      <c r="B92" s="41" t="s">
        <v>26</v>
      </c>
      <c r="C92" s="49"/>
      <c r="D92" s="49"/>
      <c r="E92" s="42"/>
      <c r="F92" s="42"/>
      <c r="G92" s="42"/>
      <c r="H92" s="42"/>
      <c r="I92" s="42"/>
      <c r="J92" s="42"/>
      <c r="K92" s="42"/>
      <c r="L92" s="42"/>
      <c r="M92" s="43"/>
    </row>
    <row r="93" spans="1:13" ht="14" x14ac:dyDescent="0.3">
      <c r="A93" s="99"/>
      <c r="B93" s="41" t="s">
        <v>27</v>
      </c>
      <c r="C93" s="49"/>
      <c r="D93" s="49"/>
      <c r="E93" s="42"/>
      <c r="F93" s="42"/>
      <c r="G93" s="42"/>
      <c r="H93" s="42"/>
      <c r="I93" s="42"/>
      <c r="J93" s="42"/>
      <c r="K93" s="42"/>
      <c r="L93" s="42"/>
      <c r="M93" s="43"/>
    </row>
    <row r="94" spans="1:13" ht="14" x14ac:dyDescent="0.3">
      <c r="A94" s="99"/>
      <c r="B94" s="40"/>
      <c r="C94" s="40"/>
      <c r="D94" s="40"/>
      <c r="F94" s="1"/>
      <c r="G94" s="3"/>
      <c r="H94" s="1"/>
      <c r="I94" s="1"/>
      <c r="J94" s="38"/>
      <c r="K94" s="5"/>
      <c r="L94" s="39"/>
      <c r="M94" s="39"/>
    </row>
    <row r="95" spans="1:13" ht="14" x14ac:dyDescent="0.3">
      <c r="A95" s="99"/>
      <c r="B95" s="29"/>
      <c r="C95" s="29"/>
      <c r="D95" s="29"/>
      <c r="K95" s="8"/>
      <c r="L95" s="10"/>
      <c r="M95" s="10"/>
    </row>
    <row r="96" spans="1:13" ht="14" x14ac:dyDescent="0.3">
      <c r="A96" s="99"/>
      <c r="B96" s="29"/>
      <c r="C96" s="29"/>
      <c r="D96" s="29"/>
      <c r="K96" s="8"/>
      <c r="L96" s="10"/>
      <c r="M96" s="10"/>
    </row>
    <row r="97" spans="1:13" ht="14" x14ac:dyDescent="0.3">
      <c r="A97" s="103"/>
      <c r="B97" s="29"/>
      <c r="E97" s="13"/>
      <c r="F97" s="1"/>
      <c r="K97" s="8"/>
    </row>
    <row r="98" spans="1:13" ht="14" x14ac:dyDescent="0.3">
      <c r="A98" s="103"/>
      <c r="B98" s="31" t="s">
        <v>13</v>
      </c>
      <c r="C98" s="14"/>
      <c r="D98" s="14"/>
      <c r="E98" s="13"/>
      <c r="F98" s="1"/>
      <c r="K98" s="8"/>
    </row>
    <row r="99" spans="1:13" ht="14" x14ac:dyDescent="0.3">
      <c r="A99" s="103"/>
      <c r="B99" s="14"/>
      <c r="C99" s="14"/>
      <c r="D99" s="14"/>
      <c r="E99" s="7"/>
      <c r="F99" s="13"/>
      <c r="K99" s="8"/>
      <c r="L99" s="10"/>
      <c r="M99" s="10"/>
    </row>
    <row r="100" spans="1:13" ht="14" x14ac:dyDescent="0.3">
      <c r="A100" s="103"/>
      <c r="E100" s="13"/>
      <c r="F100" s="1"/>
      <c r="K100" s="8"/>
    </row>
    <row r="101" spans="1:13" ht="14" x14ac:dyDescent="0.3">
      <c r="A101" s="100"/>
      <c r="C101" s="4"/>
      <c r="D101" s="4"/>
      <c r="K101" s="8"/>
      <c r="L101" s="10"/>
      <c r="M101" s="10"/>
    </row>
    <row r="102" spans="1:13" ht="14" x14ac:dyDescent="0.3">
      <c r="K102" s="8"/>
      <c r="L102" s="10"/>
      <c r="M102" s="10"/>
    </row>
    <row r="103" spans="1:13" ht="14" x14ac:dyDescent="0.3">
      <c r="E103" s="5"/>
      <c r="F103" s="6"/>
      <c r="G103" s="10"/>
      <c r="H103" s="8"/>
      <c r="I103" s="8"/>
      <c r="J103" s="24"/>
      <c r="K103" s="8"/>
      <c r="L103" s="10"/>
      <c r="M103" s="10"/>
    </row>
  </sheetData>
  <mergeCells count="21">
    <mergeCell ref="M14:M82"/>
    <mergeCell ref="C14:C82"/>
    <mergeCell ref="B14:B82"/>
    <mergeCell ref="L20:L21"/>
    <mergeCell ref="B90:M90"/>
    <mergeCell ref="F10:M10"/>
    <mergeCell ref="A10:E10"/>
    <mergeCell ref="B83:I83"/>
    <mergeCell ref="A9:E9"/>
    <mergeCell ref="E1:M3"/>
    <mergeCell ref="B4:M4"/>
    <mergeCell ref="B11:M11"/>
    <mergeCell ref="F5:M5"/>
    <mergeCell ref="A5:E5"/>
    <mergeCell ref="F6:M6"/>
    <mergeCell ref="A6:E6"/>
    <mergeCell ref="F7:M7"/>
    <mergeCell ref="A7:E7"/>
    <mergeCell ref="F8:M8"/>
    <mergeCell ref="A8:E8"/>
    <mergeCell ref="F9:M9"/>
  </mergeCells>
  <phoneticPr fontId="11" type="noConversion"/>
  <printOptions horizontalCentered="1"/>
  <pageMargins left="0.2" right="0.2" top="0.1" bottom="0.1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Báo Giá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2026-07-17T10:27:07Z</cp:lastPrinted>
  <dcterms:created xsi:type="dcterms:W3CDTF">2022-12-12T03:18:33Z</dcterms:created>
  <dcterms:modified xsi:type="dcterms:W3CDTF">2026-07-20T09:46:09Z</dcterms:modified>
</cp:coreProperties>
</file>