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https://d.docs.live.net/f0e530f1a51b529a/Máy tính/"/>
    </mc:Choice>
  </mc:AlternateContent>
  <xr:revisionPtr revIDLastSave="0" documentId="8_{F2985B02-1C68-4D8E-8CBB-47A8D110236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I6" i="1"/>
  <c r="I7" i="1"/>
  <c r="I8" i="1"/>
  <c r="I9" i="1"/>
  <c r="I10" i="1"/>
  <c r="I11" i="1"/>
  <c r="I12" i="1"/>
  <c r="I13" i="1"/>
  <c r="I14" i="1"/>
  <c r="I15" i="1"/>
  <c r="I16" i="1"/>
  <c r="I17" i="1"/>
  <c r="I18" i="1"/>
  <c r="I19" i="1"/>
  <c r="I20" i="1"/>
  <c r="I22" i="1"/>
  <c r="I23" i="1"/>
  <c r="I24" i="1"/>
  <c r="I25" i="1"/>
  <c r="I26" i="1"/>
  <c r="I27" i="1"/>
  <c r="I28" i="1"/>
  <c r="I29" i="1"/>
  <c r="I30" i="1"/>
  <c r="I31" i="1"/>
  <c r="I32" i="1"/>
  <c r="I33" i="1"/>
  <c r="I34" i="1"/>
  <c r="I35" i="1"/>
  <c r="I4" i="1" l="1"/>
  <c r="I36" i="1" s="1"/>
  <c r="B39" i="1"/>
  <c r="I37" i="1" l="1"/>
  <c r="I38" i="1" s="1"/>
</calcChain>
</file>

<file path=xl/sharedStrings.xml><?xml version="1.0" encoding="utf-8"?>
<sst xmlns="http://schemas.openxmlformats.org/spreadsheetml/2006/main" count="99" uniqueCount="73">
  <si>
    <t xml:space="preserve">BẢNG BÁO GIÁ </t>
  </si>
  <si>
    <t>Chúng tôi xin chân thành cảm ơn sự quan tâm của quý khách hàng và xin trân trọng gửi đến quý khách bảng báo giá như sau:</t>
  </si>
  <si>
    <t>STT</t>
  </si>
  <si>
    <t>Hạng mục</t>
  </si>
  <si>
    <t>ĐVT</t>
  </si>
  <si>
    <t>SL</t>
  </si>
  <si>
    <t>Đơn giá</t>
  </si>
  <si>
    <t>Thành tiền</t>
  </si>
  <si>
    <t>Ổ cắm điện thoại kiểu RJ-11</t>
  </si>
  <si>
    <t>cái</t>
  </si>
  <si>
    <t>Trạm nối dây chính (MDF) 40 đôi</t>
  </si>
  <si>
    <t>bộ</t>
  </si>
  <si>
    <t>Tổng đài 3 trung kế - 16 máy nhánh</t>
  </si>
  <si>
    <t>Cáp điện thoại 2 đôi</t>
  </si>
  <si>
    <t>mét</t>
  </si>
  <si>
    <t>Ống điện PVC(20)</t>
  </si>
  <si>
    <t>Ổ cắm mạng kiểu RJ-45</t>
  </si>
  <si>
    <t>Bộ phát sóng Wifi, cấp nguồn PoE</t>
  </si>
  <si>
    <t>Router kết nối Internet</t>
  </si>
  <si>
    <t>Bộ chuyển mạch Switch 2 Port SFP, 8 port RJ45 (PoE)</t>
  </si>
  <si>
    <t>Bộ chuyển mạch Switch 2 Port SFP, 16 port RJ45 (PoE)</t>
  </si>
  <si>
    <t>Bộ chuyển mạch Switch 2 Port SFP, 24 port RJ45 (PoE)</t>
  </si>
  <si>
    <t>Bộ chuyển mạch Switch 2 Port SFP, 48 port RJ45</t>
  </si>
  <si>
    <t>Bộ chuyển mạch 12 Port SFP</t>
  </si>
  <si>
    <t>Bảng nối dây (Patch Panel) 24 port</t>
  </si>
  <si>
    <t>Bảng nối dây (Patch Panel) 48 port</t>
  </si>
  <si>
    <t>Hộp phối quang - ODF-4 port</t>
  </si>
  <si>
    <t>Hộp phối quang - ODF-36 port</t>
  </si>
  <si>
    <t>Tủ rack 9U</t>
  </si>
  <si>
    <t>Tủ rack 15U</t>
  </si>
  <si>
    <t>Thanh cấp nguồn tủ rack</t>
  </si>
  <si>
    <t>Cáp mạng UTP Cat.6</t>
  </si>
  <si>
    <t>Dây nhảy Cat 6</t>
  </si>
  <si>
    <t>Dây Nhảy Quang</t>
  </si>
  <si>
    <t>Hộp cáp điện nhẹ 100x50</t>
  </si>
  <si>
    <t>Hộp cáp điện nhẹ 50x50</t>
  </si>
  <si>
    <t>Cáp đồng trần 70mm²</t>
  </si>
  <si>
    <t>Cu/PVC 1Cx70 mm² €</t>
  </si>
  <si>
    <t>Cọc tiếp đất thép mạ đồng Ø16 dài 2,4m</t>
  </si>
  <si>
    <t>cọc</t>
  </si>
  <si>
    <t>Mối hàn hóa nhiệt</t>
  </si>
  <si>
    <t>Hố kiểm tra điện trở nối đất</t>
  </si>
  <si>
    <t>THÀNH TIỀN</t>
  </si>
  <si>
    <t>THUẾ GTGT 8%</t>
  </si>
  <si>
    <t>THÀNH TIỀN BAO GỒM THUẾ GTGT 8%</t>
  </si>
  <si>
    <t xml:space="preserve">Bằng chữ: </t>
  </si>
  <si>
    <t>Các điều khoản thương mại:</t>
  </si>
  <si>
    <t>cây</t>
  </si>
  <si>
    <t>thùng</t>
  </si>
  <si>
    <t>sợi</t>
  </si>
  <si>
    <t>Mô tả</t>
  </si>
  <si>
    <t>Mã hàng / Hãng</t>
  </si>
  <si>
    <t xml:space="preserve"> AOLYNK UAP622G-AX15 / H3C</t>
  </si>
  <si>
    <t>AOLYNK UR410MG / H3C</t>
  </si>
  <si>
    <t>Aolynk US110-8G2MF-HP / H3C</t>
  </si>
  <si>
    <t>Aolynk US110-16G2MF-HP / H3C</t>
  </si>
  <si>
    <t>Aolynk US110-24G2MF-HP / H3C</t>
  </si>
  <si>
    <t xml:space="preserve">H3C US500-8G24F4XF-S  / H3C </t>
  </si>
  <si>
    <t>H3C US500-48G4F  / H3C</t>
  </si>
  <si>
    <t>SFP-GE-LX-SM1310-A / H3C</t>
  </si>
  <si>
    <t>Module SFP</t>
  </si>
  <si>
    <t>Tủ mạng treo tường 9u
"	TCN-WM9UW550C	"H471xW550xD450mm
- Vật liệu thép sử dụng : 1.0mm, 1.5mm
- Cửa trước:  lưới | mica
- Quạt tản nhiệt: 1
- Ổ điện: Lioa 4P
- Ốc cài: 12 bộ 
- Tắc kê nhựa + vít 6x60: 04 bộ
- Sơn tĩnh điện : TRẮNG XÁM | ĐEN</t>
  </si>
  <si>
    <t>AOLYNK UAP622G-AX15 
Ceiling-Mounted Wi-Fi 6 AX1500 Access Point (Round Design)
 • 1 cổng LAN GE cấp nguồn PoE chuẩn 802.3at qua cổng LAN.
 •  Chuẩn Wi-Fi 6 AX1500  (2.4GHz: 300Mbps; 5GHz: 1201Mbps)
 •  Đảm bảo kết nối ổn cho 70-90 user đồng thời
 •  Hỗ trợ Roaming WiFi, Multiple SSID, VLAN, Band Steering giúp tối ưu trải nghiệm không dây trong môi trường nhiều thiết bị.
 •  APP / Web Cloud AOLYNK cho phép cấu hình, giám sát và quản lý tập trung  mọi lúc mọi nơi qua Internet.
 •  Thiết kế ốp trần chuyên dụng, thẩm mỹ cao, phù hợp triển khai cho văn phòng, trường học, nhà hàng, khách sạn.
 •  Bảo hành: 36 tháng</t>
  </si>
  <si>
    <t>AOLYNK UR410MG
Multi-Gigabit VPN Load Balancing Router 10 Port (6 WAN)
• 2 cổng WAN 2.5 Gigabit , 3 cổng WAN/LAN Gigabit chuyển đổi, 1 cổng SFP+ 10G WAN/LAN chuyển đổi và 4 cổng LAN Gigabit 
• Băng thông xử lý lên đến 5Gbps, đáp ứng nhu cầu truy cập và truyền tải dữ liệu cường độ cao.
• NAT Session 160.000
• Hỗ trợ Load Balancing và WAN Failover, cho phép tối đa 6 đường WAN 
• Hỗ trợ IPSec VPN với tối đa 100 VPN Tunnels
• Hỗ trợ quản lý tập trung lên đến 120+ Access Point AOLYNK.
• Quản lý từ xa qua nền tảng APP / Web Cloud AOLYNK, cho phép cấu hình, giám sát và quản lý tập trung mọi lúc mọi nơi qua Internet.
• Bảo hành: 36 tháng.</t>
  </si>
  <si>
    <t>AOLYNK US110-8G2MF-HP
Cloud Gigabit PoE+ Switch 10 Port (8GE PoE+ + 2 SFP 2.5G)
• 8 cổng LAN Gigabit PoE+ và 2 cổng SFP 1G/2.5G.
• Tổng công suất PoE 130W, hỗ trợ PoE+ chuẩn 802.3af/at, tối đa 30W mỗi cổng.
• Băng thông chuyển mạch 26Gbps, tốc độ chuyển tiếp 19.34Mpps.
• Hỗ trợ VLAN, DHCP Snooping, Loop Prevention và PoE Watchdog.
• APP / Web Cloud AOLYNK cho phép cấu hình, giám sát và quản lý từ xa qua Internet.
• Thiết kế vỏ kim loại, không quạt, hoạt động êm ái, phù hợp cho văn phòng, cửa hàng và hệ thống camera IP.
• Bảo hành: 36 tháng.</t>
  </si>
  <si>
    <t>AOLYNK US110-16G2MF-HP
Cloud Gigabit PoE+ Switch 18 Port (16GE PoE+ + 2 SFP 2.5G)
• 16 cổng LAN Gigabit PoE+ và 2 cổng SFP 1G/2.5G.
• Tổng công suất PoE 225W, hỗ trợ PoE+ chuẩn 802.3af/at, tối đa 30W mỗi cổng.
• Băng thông chuyển mạch 42Gbps, tốc độ chuyển tiếp 31.25Mpps.
• Hỗ trợ VLAN, DHCP Snooping, Loop Prevention và PoE Watchdog.
• Link Aggregation giúp mở rộng băng thông đường uplink và tối ưu hiệu suất truyền tải dữ liệu.
• APP / Web Cloud AOLYNK cho phép cấu hình, giám sát và quản lý từ xa qua Internet.
• Thiết kế chuẩn rack 19 inch, phù hợp cho văn phòng, khách sạn, trường học và hệ thống camera IP.
• Bảo hành: 36 tháng.</t>
  </si>
  <si>
    <t>AOLYNK US110-24G2MF-HP
Cloud Gigabit PoE+ Switch 26 Port (24GE PoE+ + 2 SFP 2.5G)
• 24 cổng LAN Gigabit PoE+ và 2 cổng SFP 1G/2.5G.
• Tổng công suất PoE 370W, hỗ trợ PoE+ chuẩn 802.3af/at, tối đa 30W mỗi cổng.
• Băng thông chuyển mạch 58Gbps, tốc độ chuyển tiếp 43.15Mpps.
• Hỗ trợ VLAN, DHCP Snooping, Loop Prevention và PoE Watchdog.
• Link Aggregation giúp mở rộng băng thông đường uplink và tối ưu hiệu suất truyền tải dữ liệu.
• APP / Web Cloud AOLYNK cho phép cấu hình, giám sát và quản lý từ xa qua Internet.
• Thiết kế chuẩn rack 19 inch, phù hợp cho văn phòng, khách sạn, trường học và hệ thống camera IP.
• Bảo hành: 36 tháng.</t>
  </si>
  <si>
    <t>H3C US500-48G4F
Layer 3 Lite Switch 52 Port (48GE + 4 SFP)
• 48 cổng LAN Gigabit và 4 cổng SFP Gigabit.
• Băng thông chuyển mạch 176Gbps, tốc độ chuyển tiếp 130.94Mpps.
• Hỗ trợ Static Routing, RIP, OSPF, VLAN Routing và IPv4/IPv6 Dual Stack.
• Hỗ trợ ACL, QoS, DHCP Snooping, 802.1X Authentication và Link Aggregation.
• Hỗ trợ công nghệ IRF (tối đa 4 thiết bị) giúp hợp nhất nhiều switch thành một thiết bị logic duy nhất, đơn giản hóa quản trị, mở rộng linh hoạt và tăng cường khả năng dự phòng cho hệ thống mạng.
• APP / Web Cloud AOLYNK cho phép cấu hình, giám sát và quản lý từ xa qua Internet.
• Bảo hành: 60 tháng.</t>
  </si>
  <si>
    <t>H3C US500-8G24F4XF
Layer Lite 3 Fiber Switch 36 Port (8GE + 24 SFP + 4 SFP+ 10G)
• 8 cổng LAN Gigabit, 24 cổng SFP Gigabit và 4 cổng SFP+ 10G.
• Băng thông chuyển mạch 128Gbps, tốc độ chuyển tiếp 95.23Mpps.
• Hỗ trợ Static Routing, RIP, OSPF, IPv4/IPv6 Dual Stack và VLAN Routing.
• Hỗ trợ ACL, QoS, DHCP Snooping, 802.1X Authentication, Port Security và Link Aggregation.
• Hỗ trợ công nghệ IRF (tối đa 4 thiết bị) giúp hợp nhất nhiều switch thành một thiết bị logic duy nhất, đơn giản hóa quản trị, mở rộng linh hoạt và tăng cường khả năng dự phòng cho hệ thống mạng.
• APP / Web Cloud AOLYNK cho phép cấu hình, giám sát và quản lý từ xa qua Internet.
• Bảo hành: 60 tháng.</t>
  </si>
  <si>
    <t>1000BASE-LX SFP Transceiver, Single Mode (1310nm, 10km, LC)</t>
  </si>
  <si>
    <t>Tủ mạng 19" 15U D600- C	TCN-15U600-C	"H810xD600xW600mm
- Cửa mở trước sau đột lưới hoặc mica
- Quạt tản nhiệt: 1 cái gắn nóc tủ
- Ổ điện: Lioa 4 port
- Bánh xe 5 phân có khóa
- Thanh máng cáp : 2
- Ốc cài: 16 bộ
- Vật liệu thép sử dụng : 1.0mm, 1.5mm 
- Sơn tĩnh điện : TRẮNG XÁM | ĐEN</t>
  </si>
  <si>
    <t>Ổ điện 6 port có CB	TCN-P6CB	Chuẩn 19", có CB13A, sử dụng dây điện 3x2.5mm2 dài 1,8m. Công suất 3250W</t>
  </si>
  <si>
    <t>Order 5-7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</si>
</sst>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x14ac:knownFonts="1">
    <font>
      <sz val="11"/>
      <color theme="1"/>
      <name val="Calibri"/>
      <family val="2"/>
      <scheme val="minor"/>
    </font>
    <font>
      <sz val="11"/>
      <color theme="1"/>
      <name val="Calibri"/>
      <family val="2"/>
      <scheme val="minor"/>
    </font>
    <font>
      <b/>
      <sz val="16"/>
      <name val="Times New Roman"/>
      <family val="1"/>
    </font>
    <font>
      <i/>
      <sz val="13"/>
      <name val="Times New Roman"/>
      <family val="1"/>
      <charset val="163"/>
    </font>
    <font>
      <b/>
      <sz val="12"/>
      <name val="Times New Roman"/>
      <family val="1"/>
    </font>
    <font>
      <sz val="12"/>
      <name val="Times New Roman"/>
      <family val="1"/>
    </font>
    <font>
      <b/>
      <sz val="12"/>
      <name val="Times New Roman"/>
      <family val="1"/>
      <charset val="163"/>
    </font>
    <font>
      <b/>
      <i/>
      <sz val="12"/>
      <name val="Times New Roman"/>
      <family val="1"/>
    </font>
    <font>
      <i/>
      <sz val="12"/>
      <name val="Times New Roman"/>
      <family val="1"/>
      <charset val="163"/>
    </font>
    <font>
      <sz val="12"/>
      <color rgb="FFFF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7">
    <xf numFmtId="0" fontId="0" fillId="0" borderId="0" xfId="0"/>
    <xf numFmtId="0" fontId="4" fillId="0" borderId="1" xfId="0" applyFont="1" applyBorder="1" applyAlignment="1">
      <alignment horizontal="center" vertical="center" wrapText="1"/>
    </xf>
    <xf numFmtId="0" fontId="0" fillId="0" borderId="0" xfId="0" applyAlignment="1">
      <alignment wrapText="1"/>
    </xf>
    <xf numFmtId="0" fontId="5" fillId="0" borderId="1" xfId="0" applyFont="1" applyBorder="1" applyAlignment="1">
      <alignment horizontal="center" vertical="center" wrapText="1"/>
    </xf>
    <xf numFmtId="3" fontId="5" fillId="0" borderId="1" xfId="0" applyNumberFormat="1" applyFont="1" applyBorder="1" applyAlignment="1">
      <alignment vertical="center"/>
    </xf>
    <xf numFmtId="3" fontId="5" fillId="0" borderId="1" xfId="0" applyNumberFormat="1" applyFont="1" applyBorder="1" applyAlignment="1">
      <alignment horizontal="right" vertical="center" wrapText="1"/>
    </xf>
    <xf numFmtId="0" fontId="0" fillId="0" borderId="0" xfId="0" applyAlignment="1">
      <alignment vertical="center"/>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0" xfId="0" applyAlignment="1">
      <alignment vertical="center" wrapText="1"/>
    </xf>
    <xf numFmtId="164" fontId="6" fillId="0" borderId="1" xfId="1" applyNumberFormat="1" applyFont="1" applyBorder="1" applyAlignment="1">
      <alignment horizontal="right" vertical="center" wrapText="1"/>
    </xf>
    <xf numFmtId="3" fontId="0" fillId="0" borderId="0" xfId="0" applyNumberFormat="1"/>
    <xf numFmtId="0" fontId="7" fillId="0" borderId="0" xfId="0" applyFont="1" applyAlignment="1">
      <alignment vertical="center"/>
    </xf>
    <xf numFmtId="0" fontId="4" fillId="0" borderId="0" xfId="0" applyFont="1"/>
    <xf numFmtId="0" fontId="4" fillId="0" borderId="0" xfId="0" applyFont="1" applyAlignment="1">
      <alignment horizontal="left" vertical="top"/>
    </xf>
    <xf numFmtId="0" fontId="5"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2" fillId="0" borderId="0" xfId="0" applyFont="1" applyAlignment="1">
      <alignment horizontal="center" wrapText="1"/>
    </xf>
    <xf numFmtId="0" fontId="3" fillId="0" borderId="0" xfId="0" applyFont="1" applyAlignment="1">
      <alignment horizontal="left"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2" borderId="1" xfId="0" applyFont="1" applyFill="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4" fillId="0" borderId="0" xfId="0" applyFont="1" applyAlignment="1">
      <alignment horizontal="center"/>
    </xf>
    <xf numFmtId="0" fontId="6" fillId="0" borderId="1" xfId="0" applyFont="1" applyBorder="1" applyAlignment="1">
      <alignment horizontal="center" vertical="center" wrapText="1"/>
    </xf>
    <xf numFmtId="0" fontId="7" fillId="0" borderId="0" xfId="0" applyFont="1" applyAlignment="1">
      <alignment horizontal="left" vertical="center"/>
    </xf>
    <xf numFmtId="0" fontId="8"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center" vertical="top" wrapText="1"/>
    </xf>
    <xf numFmtId="0" fontId="9" fillId="2" borderId="2"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1" xfId="0" applyFont="1" applyFill="1" applyBorder="1" applyAlignment="1">
      <alignment horizontal="left" vertical="center" wrapText="1"/>
    </xf>
    <xf numFmtId="3" fontId="9" fillId="0" borderId="1" xfId="0" applyNumberFormat="1" applyFont="1" applyBorder="1" applyAlignment="1">
      <alignment vertical="center"/>
    </xf>
  </cellXfs>
  <cellStyles count="2">
    <cellStyle name="Comma" xfId="1" builtinId="3"/>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topLeftCell="A16" zoomScale="85" zoomScaleNormal="85" workbookViewId="0">
      <selection activeCell="J23" sqref="J23"/>
    </sheetView>
  </sheetViews>
  <sheetFormatPr defaultRowHeight="14.4" x14ac:dyDescent="0.3"/>
  <cols>
    <col min="1" max="1" width="11.109375" customWidth="1"/>
    <col min="2" max="2" width="23.44140625" customWidth="1"/>
    <col min="3" max="3" width="22.33203125" hidden="1" customWidth="1"/>
    <col min="4" max="4" width="31" customWidth="1"/>
    <col min="5" max="5" width="58.5546875" customWidth="1"/>
    <col min="6" max="6" width="6.33203125" customWidth="1"/>
    <col min="7" max="7" width="7.5546875" customWidth="1"/>
    <col min="8" max="8" width="15.21875" customWidth="1"/>
    <col min="9" max="9" width="17" customWidth="1"/>
    <col min="10" max="10" width="13.5546875" customWidth="1"/>
    <col min="13" max="13" width="66.33203125" customWidth="1"/>
  </cols>
  <sheetData>
    <row r="1" spans="1:13" ht="29.25" customHeight="1" x14ac:dyDescent="0.35">
      <c r="A1" s="19" t="s">
        <v>0</v>
      </c>
      <c r="B1" s="19"/>
      <c r="C1" s="19"/>
      <c r="D1" s="19"/>
      <c r="E1" s="19"/>
      <c r="F1" s="19"/>
      <c r="G1" s="19"/>
      <c r="H1" s="19"/>
      <c r="I1" s="19"/>
    </row>
    <row r="2" spans="1:13" ht="39" customHeight="1" x14ac:dyDescent="0.3">
      <c r="A2" s="20" t="s">
        <v>1</v>
      </c>
      <c r="B2" s="20"/>
      <c r="C2" s="20"/>
      <c r="D2" s="20"/>
      <c r="E2" s="20"/>
      <c r="F2" s="20"/>
      <c r="G2" s="20"/>
      <c r="H2" s="20"/>
      <c r="I2" s="20"/>
    </row>
    <row r="3" spans="1:13" ht="18.75" customHeight="1" x14ac:dyDescent="0.3">
      <c r="A3" s="1" t="s">
        <v>2</v>
      </c>
      <c r="B3" s="21" t="s">
        <v>3</v>
      </c>
      <c r="C3" s="21"/>
      <c r="D3" s="1" t="s">
        <v>51</v>
      </c>
      <c r="E3" s="1" t="s">
        <v>50</v>
      </c>
      <c r="F3" s="1" t="s">
        <v>4</v>
      </c>
      <c r="G3" s="1" t="s">
        <v>5</v>
      </c>
      <c r="H3" s="1" t="s">
        <v>6</v>
      </c>
      <c r="I3" s="1" t="s">
        <v>7</v>
      </c>
      <c r="M3" s="2"/>
    </row>
    <row r="4" spans="1:13" s="6" customFormat="1" ht="29.25" hidden="1" customHeight="1" x14ac:dyDescent="0.3">
      <c r="A4" s="3">
        <v>1</v>
      </c>
      <c r="B4" s="22" t="s">
        <v>8</v>
      </c>
      <c r="C4" s="22"/>
      <c r="D4" s="17"/>
      <c r="E4" s="17"/>
      <c r="F4" s="3" t="s">
        <v>9</v>
      </c>
      <c r="G4" s="3">
        <v>9</v>
      </c>
      <c r="H4" s="4"/>
      <c r="I4" s="5">
        <f t="shared" ref="I4:I35" si="0">H4*G4</f>
        <v>0</v>
      </c>
    </row>
    <row r="5" spans="1:13" s="6" customFormat="1" ht="29.25" hidden="1" customHeight="1" x14ac:dyDescent="0.3">
      <c r="A5" s="7">
        <v>2</v>
      </c>
      <c r="B5" s="23" t="s">
        <v>10</v>
      </c>
      <c r="C5" s="23"/>
      <c r="D5" s="15"/>
      <c r="E5" s="15"/>
      <c r="F5" s="3" t="s">
        <v>11</v>
      </c>
      <c r="G5" s="3">
        <v>1</v>
      </c>
      <c r="H5" s="4"/>
      <c r="I5" s="5">
        <f t="shared" si="0"/>
        <v>0</v>
      </c>
    </row>
    <row r="6" spans="1:13" s="6" customFormat="1" ht="29.25" hidden="1" customHeight="1" x14ac:dyDescent="0.3">
      <c r="A6" s="3">
        <v>3</v>
      </c>
      <c r="B6" s="23" t="s">
        <v>12</v>
      </c>
      <c r="C6" s="23"/>
      <c r="D6" s="15"/>
      <c r="E6" s="15"/>
      <c r="F6" s="3" t="s">
        <v>11</v>
      </c>
      <c r="G6" s="3">
        <v>1</v>
      </c>
      <c r="H6" s="4"/>
      <c r="I6" s="5">
        <f t="shared" si="0"/>
        <v>0</v>
      </c>
    </row>
    <row r="7" spans="1:13" s="6" customFormat="1" ht="29.25" hidden="1" customHeight="1" x14ac:dyDescent="0.3">
      <c r="A7" s="7">
        <v>4</v>
      </c>
      <c r="B7" s="23" t="s">
        <v>13</v>
      </c>
      <c r="C7" s="23"/>
      <c r="D7" s="15"/>
      <c r="E7" s="15"/>
      <c r="F7" s="3" t="s">
        <v>14</v>
      </c>
      <c r="G7" s="3">
        <v>650</v>
      </c>
      <c r="H7" s="4"/>
      <c r="I7" s="5">
        <f t="shared" si="0"/>
        <v>0</v>
      </c>
    </row>
    <row r="8" spans="1:13" s="6" customFormat="1" ht="29.25" hidden="1" customHeight="1" x14ac:dyDescent="0.3">
      <c r="A8" s="3">
        <v>5</v>
      </c>
      <c r="B8" s="23" t="s">
        <v>15</v>
      </c>
      <c r="C8" s="23"/>
      <c r="D8" s="15"/>
      <c r="E8" s="15"/>
      <c r="F8" s="3" t="s">
        <v>47</v>
      </c>
      <c r="G8" s="3">
        <v>35</v>
      </c>
      <c r="H8" s="4"/>
      <c r="I8" s="5">
        <f t="shared" si="0"/>
        <v>0</v>
      </c>
    </row>
    <row r="9" spans="1:13" s="6" customFormat="1" ht="29.25" hidden="1" customHeight="1" x14ac:dyDescent="0.3">
      <c r="A9" s="7">
        <v>6</v>
      </c>
      <c r="B9" s="23" t="s">
        <v>16</v>
      </c>
      <c r="C9" s="23"/>
      <c r="D9" s="15"/>
      <c r="E9" s="15"/>
      <c r="F9" s="3" t="s">
        <v>9</v>
      </c>
      <c r="G9" s="3">
        <v>107</v>
      </c>
      <c r="H9" s="4"/>
      <c r="I9" s="5">
        <f t="shared" si="0"/>
        <v>0</v>
      </c>
    </row>
    <row r="10" spans="1:13" s="6" customFormat="1" ht="234" x14ac:dyDescent="0.3">
      <c r="A10" s="3">
        <v>7</v>
      </c>
      <c r="B10" s="23" t="s">
        <v>17</v>
      </c>
      <c r="C10" s="23"/>
      <c r="D10" s="15" t="s">
        <v>52</v>
      </c>
      <c r="E10" s="15" t="s">
        <v>62</v>
      </c>
      <c r="F10" s="3" t="s">
        <v>11</v>
      </c>
      <c r="G10" s="3">
        <v>64</v>
      </c>
      <c r="H10" s="4">
        <v>2030000</v>
      </c>
      <c r="I10" s="5">
        <f t="shared" si="0"/>
        <v>129920000</v>
      </c>
    </row>
    <row r="11" spans="1:13" s="6" customFormat="1" ht="265.2" x14ac:dyDescent="0.3">
      <c r="A11" s="7">
        <v>8</v>
      </c>
      <c r="B11" s="23" t="s">
        <v>18</v>
      </c>
      <c r="C11" s="23"/>
      <c r="D11" s="15" t="s">
        <v>53</v>
      </c>
      <c r="E11" s="15" t="s">
        <v>63</v>
      </c>
      <c r="F11" s="3" t="s">
        <v>11</v>
      </c>
      <c r="G11" s="3">
        <v>1</v>
      </c>
      <c r="H11" s="4">
        <v>6250000</v>
      </c>
      <c r="I11" s="5">
        <f t="shared" si="0"/>
        <v>6250000</v>
      </c>
    </row>
    <row r="12" spans="1:13" s="6" customFormat="1" ht="218.4" x14ac:dyDescent="0.3">
      <c r="A12" s="3">
        <v>9</v>
      </c>
      <c r="B12" s="18" t="s">
        <v>19</v>
      </c>
      <c r="C12" s="18"/>
      <c r="D12" s="16" t="s">
        <v>54</v>
      </c>
      <c r="E12" s="16" t="s">
        <v>64</v>
      </c>
      <c r="F12" s="8" t="s">
        <v>11</v>
      </c>
      <c r="G12" s="8">
        <v>1</v>
      </c>
      <c r="H12" s="4">
        <v>2630000</v>
      </c>
      <c r="I12" s="5">
        <f t="shared" si="0"/>
        <v>2630000</v>
      </c>
    </row>
    <row r="13" spans="1:13" s="6" customFormat="1" ht="265.2" x14ac:dyDescent="0.3">
      <c r="A13" s="7">
        <v>10</v>
      </c>
      <c r="B13" s="18" t="s">
        <v>20</v>
      </c>
      <c r="C13" s="18"/>
      <c r="D13" s="16" t="s">
        <v>55</v>
      </c>
      <c r="E13" s="16" t="s">
        <v>65</v>
      </c>
      <c r="F13" s="8" t="s">
        <v>11</v>
      </c>
      <c r="G13" s="8">
        <v>2</v>
      </c>
      <c r="H13" s="4">
        <v>5330000</v>
      </c>
      <c r="I13" s="5">
        <f t="shared" si="0"/>
        <v>10660000</v>
      </c>
    </row>
    <row r="14" spans="1:13" s="6" customFormat="1" ht="265.2" x14ac:dyDescent="0.3">
      <c r="A14" s="3">
        <v>11</v>
      </c>
      <c r="B14" s="18" t="s">
        <v>21</v>
      </c>
      <c r="C14" s="18"/>
      <c r="D14" s="16" t="s">
        <v>56</v>
      </c>
      <c r="E14" s="16" t="s">
        <v>66</v>
      </c>
      <c r="F14" s="8" t="s">
        <v>11</v>
      </c>
      <c r="G14" s="8">
        <v>5</v>
      </c>
      <c r="H14" s="4">
        <v>7360000</v>
      </c>
      <c r="I14" s="5">
        <f t="shared" si="0"/>
        <v>36800000</v>
      </c>
      <c r="M14" s="9"/>
    </row>
    <row r="15" spans="1:13" s="6" customFormat="1" ht="249.6" x14ac:dyDescent="0.3">
      <c r="A15" s="7">
        <v>12</v>
      </c>
      <c r="B15" s="18" t="s">
        <v>22</v>
      </c>
      <c r="C15" s="18"/>
      <c r="D15" s="16" t="s">
        <v>58</v>
      </c>
      <c r="E15" s="16" t="s">
        <v>67</v>
      </c>
      <c r="F15" s="8" t="s">
        <v>11</v>
      </c>
      <c r="G15" s="8">
        <v>2</v>
      </c>
      <c r="H15" s="4">
        <v>12600000</v>
      </c>
      <c r="I15" s="5">
        <f t="shared" si="0"/>
        <v>25200000</v>
      </c>
    </row>
    <row r="16" spans="1:13" s="6" customFormat="1" ht="280.8" x14ac:dyDescent="0.3">
      <c r="A16" s="3">
        <v>13</v>
      </c>
      <c r="B16" s="22" t="s">
        <v>23</v>
      </c>
      <c r="C16" s="22"/>
      <c r="D16" s="16" t="s">
        <v>57</v>
      </c>
      <c r="E16" s="17" t="s">
        <v>68</v>
      </c>
      <c r="F16" s="8" t="s">
        <v>11</v>
      </c>
      <c r="G16" s="8">
        <v>1</v>
      </c>
      <c r="H16" s="4">
        <v>16570000</v>
      </c>
      <c r="I16" s="5">
        <f t="shared" si="0"/>
        <v>16570000</v>
      </c>
    </row>
    <row r="17" spans="1:10" s="6" customFormat="1" ht="29.25" hidden="1" customHeight="1" x14ac:dyDescent="0.3">
      <c r="A17" s="7">
        <v>14</v>
      </c>
      <c r="B17" s="23" t="s">
        <v>24</v>
      </c>
      <c r="C17" s="23"/>
      <c r="D17" s="15"/>
      <c r="E17" s="15"/>
      <c r="F17" s="3" t="s">
        <v>11</v>
      </c>
      <c r="G17" s="3">
        <v>8</v>
      </c>
      <c r="H17" s="4"/>
      <c r="I17" s="5">
        <f t="shared" si="0"/>
        <v>0</v>
      </c>
    </row>
    <row r="18" spans="1:10" s="6" customFormat="1" ht="29.25" hidden="1" customHeight="1" x14ac:dyDescent="0.3">
      <c r="A18" s="3">
        <v>15</v>
      </c>
      <c r="B18" s="23" t="s">
        <v>25</v>
      </c>
      <c r="C18" s="23"/>
      <c r="D18" s="15"/>
      <c r="E18" s="15"/>
      <c r="F18" s="3" t="s">
        <v>11</v>
      </c>
      <c r="G18" s="3">
        <v>2</v>
      </c>
      <c r="H18" s="4"/>
      <c r="I18" s="5">
        <f t="shared" si="0"/>
        <v>0</v>
      </c>
    </row>
    <row r="19" spans="1:10" s="6" customFormat="1" ht="29.25" hidden="1" customHeight="1" x14ac:dyDescent="0.3">
      <c r="A19" s="7">
        <v>16</v>
      </c>
      <c r="B19" s="23" t="s">
        <v>26</v>
      </c>
      <c r="C19" s="23"/>
      <c r="D19" s="15"/>
      <c r="E19" s="15"/>
      <c r="F19" s="3" t="s">
        <v>11</v>
      </c>
      <c r="G19" s="3">
        <v>7</v>
      </c>
      <c r="H19" s="4"/>
      <c r="I19" s="5">
        <f t="shared" si="0"/>
        <v>0</v>
      </c>
    </row>
    <row r="20" spans="1:10" s="6" customFormat="1" ht="15.6" hidden="1" x14ac:dyDescent="0.3">
      <c r="A20" s="3">
        <v>17</v>
      </c>
      <c r="B20" s="23" t="s">
        <v>27</v>
      </c>
      <c r="C20" s="23"/>
      <c r="D20" s="15"/>
      <c r="E20" s="15"/>
      <c r="F20" s="3" t="s">
        <v>11</v>
      </c>
      <c r="G20" s="3">
        <v>1</v>
      </c>
      <c r="H20" s="4"/>
      <c r="I20" s="5">
        <f t="shared" si="0"/>
        <v>0</v>
      </c>
    </row>
    <row r="21" spans="1:10" s="6" customFormat="1" ht="29.25" customHeight="1" x14ac:dyDescent="0.3">
      <c r="A21" s="3"/>
      <c r="B21" s="33" t="s">
        <v>60</v>
      </c>
      <c r="C21" s="34"/>
      <c r="D21" s="35" t="s">
        <v>59</v>
      </c>
      <c r="E21" s="15" t="s">
        <v>69</v>
      </c>
      <c r="F21" s="3"/>
      <c r="G21" s="3"/>
      <c r="H21" s="36">
        <v>750000</v>
      </c>
      <c r="I21" s="5"/>
    </row>
    <row r="22" spans="1:10" s="6" customFormat="1" ht="140.4" x14ac:dyDescent="0.3">
      <c r="A22" s="7">
        <v>18</v>
      </c>
      <c r="B22" s="23" t="s">
        <v>28</v>
      </c>
      <c r="C22" s="23"/>
      <c r="D22" s="15"/>
      <c r="E22" s="15" t="s">
        <v>61</v>
      </c>
      <c r="F22" s="3" t="s">
        <v>11</v>
      </c>
      <c r="G22" s="3">
        <v>7</v>
      </c>
      <c r="H22" s="4">
        <v>1200000</v>
      </c>
      <c r="I22" s="5">
        <f t="shared" si="0"/>
        <v>8400000</v>
      </c>
      <c r="J22" s="6" t="s">
        <v>72</v>
      </c>
    </row>
    <row r="23" spans="1:10" s="6" customFormat="1" ht="156" x14ac:dyDescent="0.3">
      <c r="A23" s="3">
        <v>19</v>
      </c>
      <c r="B23" s="23" t="s">
        <v>29</v>
      </c>
      <c r="C23" s="23"/>
      <c r="D23" s="15"/>
      <c r="E23" s="15" t="s">
        <v>70</v>
      </c>
      <c r="F23" s="3" t="s">
        <v>11</v>
      </c>
      <c r="G23" s="3">
        <v>1</v>
      </c>
      <c r="H23" s="4">
        <v>2300000</v>
      </c>
      <c r="I23" s="5">
        <f t="shared" si="0"/>
        <v>2300000</v>
      </c>
      <c r="J23" s="6" t="s">
        <v>72</v>
      </c>
    </row>
    <row r="24" spans="1:10" s="6" customFormat="1" ht="29.25" customHeight="1" x14ac:dyDescent="0.3">
      <c r="A24" s="7">
        <v>20</v>
      </c>
      <c r="B24" s="23" t="s">
        <v>30</v>
      </c>
      <c r="C24" s="23"/>
      <c r="D24" s="15"/>
      <c r="E24" s="15" t="s">
        <v>71</v>
      </c>
      <c r="F24" s="3" t="s">
        <v>11</v>
      </c>
      <c r="G24" s="3">
        <v>8</v>
      </c>
      <c r="H24" s="4">
        <v>375000</v>
      </c>
      <c r="I24" s="5">
        <f t="shared" si="0"/>
        <v>3000000</v>
      </c>
    </row>
    <row r="25" spans="1:10" s="6" customFormat="1" ht="29.25" hidden="1" customHeight="1" x14ac:dyDescent="0.3">
      <c r="A25" s="3">
        <v>21</v>
      </c>
      <c r="B25" s="23" t="s">
        <v>31</v>
      </c>
      <c r="C25" s="23"/>
      <c r="D25" s="15"/>
      <c r="E25" s="15"/>
      <c r="F25" s="3" t="s">
        <v>48</v>
      </c>
      <c r="G25" s="3">
        <v>16</v>
      </c>
      <c r="H25" s="4"/>
      <c r="I25" s="5">
        <f t="shared" si="0"/>
        <v>0</v>
      </c>
    </row>
    <row r="26" spans="1:10" s="6" customFormat="1" ht="29.25" hidden="1" customHeight="1" x14ac:dyDescent="0.3">
      <c r="A26" s="7">
        <v>22</v>
      </c>
      <c r="B26" s="23" t="s">
        <v>32</v>
      </c>
      <c r="C26" s="23"/>
      <c r="D26" s="15"/>
      <c r="E26" s="15"/>
      <c r="F26" s="3" t="s">
        <v>49</v>
      </c>
      <c r="G26" s="3">
        <v>160</v>
      </c>
      <c r="H26" s="4"/>
      <c r="I26" s="5">
        <f t="shared" si="0"/>
        <v>0</v>
      </c>
    </row>
    <row r="27" spans="1:10" s="6" customFormat="1" ht="29.25" hidden="1" customHeight="1" x14ac:dyDescent="0.3">
      <c r="A27" s="3">
        <v>23</v>
      </c>
      <c r="B27" s="23" t="s">
        <v>33</v>
      </c>
      <c r="C27" s="23"/>
      <c r="D27" s="15"/>
      <c r="E27" s="15"/>
      <c r="F27" s="3" t="s">
        <v>14</v>
      </c>
      <c r="G27" s="3">
        <v>64</v>
      </c>
      <c r="H27" s="4"/>
      <c r="I27" s="5">
        <f t="shared" si="0"/>
        <v>0</v>
      </c>
    </row>
    <row r="28" spans="1:10" s="6" customFormat="1" ht="29.25" hidden="1" customHeight="1" x14ac:dyDescent="0.3">
      <c r="A28" s="7">
        <v>24</v>
      </c>
      <c r="B28" s="23" t="s">
        <v>15</v>
      </c>
      <c r="C28" s="23"/>
      <c r="D28" s="15"/>
      <c r="E28" s="15"/>
      <c r="F28" s="3" t="s">
        <v>47</v>
      </c>
      <c r="G28" s="3">
        <v>272</v>
      </c>
      <c r="H28" s="4"/>
      <c r="I28" s="5">
        <f t="shared" si="0"/>
        <v>0</v>
      </c>
    </row>
    <row r="29" spans="1:10" s="6" customFormat="1" ht="29.25" hidden="1" customHeight="1" x14ac:dyDescent="0.3">
      <c r="A29" s="3">
        <v>25</v>
      </c>
      <c r="B29" s="23" t="s">
        <v>34</v>
      </c>
      <c r="C29" s="23"/>
      <c r="D29" s="15"/>
      <c r="E29" s="15"/>
      <c r="F29" s="3" t="s">
        <v>14</v>
      </c>
      <c r="G29" s="3">
        <v>40</v>
      </c>
      <c r="H29" s="4"/>
      <c r="I29" s="5">
        <f t="shared" si="0"/>
        <v>0</v>
      </c>
    </row>
    <row r="30" spans="1:10" s="6" customFormat="1" ht="29.25" hidden="1" customHeight="1" x14ac:dyDescent="0.3">
      <c r="A30" s="7">
        <v>26</v>
      </c>
      <c r="B30" s="23" t="s">
        <v>35</v>
      </c>
      <c r="C30" s="23"/>
      <c r="D30" s="15"/>
      <c r="E30" s="15"/>
      <c r="F30" s="3" t="s">
        <v>14</v>
      </c>
      <c r="G30" s="3">
        <v>798</v>
      </c>
      <c r="H30" s="4"/>
      <c r="I30" s="5">
        <f t="shared" si="0"/>
        <v>0</v>
      </c>
    </row>
    <row r="31" spans="1:10" s="6" customFormat="1" ht="29.25" hidden="1" customHeight="1" x14ac:dyDescent="0.3">
      <c r="A31" s="3">
        <v>27</v>
      </c>
      <c r="B31" s="23" t="s">
        <v>36</v>
      </c>
      <c r="C31" s="23"/>
      <c r="D31" s="15"/>
      <c r="E31" s="15"/>
      <c r="F31" s="3" t="s">
        <v>14</v>
      </c>
      <c r="G31" s="3">
        <v>25</v>
      </c>
      <c r="H31" s="4"/>
      <c r="I31" s="5">
        <f t="shared" si="0"/>
        <v>0</v>
      </c>
    </row>
    <row r="32" spans="1:10" s="6" customFormat="1" ht="29.25" hidden="1" customHeight="1" x14ac:dyDescent="0.3">
      <c r="A32" s="7">
        <v>28</v>
      </c>
      <c r="B32" s="23" t="s">
        <v>37</v>
      </c>
      <c r="C32" s="23"/>
      <c r="D32" s="15"/>
      <c r="E32" s="15"/>
      <c r="F32" s="3" t="s">
        <v>14</v>
      </c>
      <c r="G32" s="3">
        <v>10</v>
      </c>
      <c r="H32" s="4"/>
      <c r="I32" s="5">
        <f t="shared" si="0"/>
        <v>0</v>
      </c>
    </row>
    <row r="33" spans="1:10" s="6" customFormat="1" ht="29.25" hidden="1" customHeight="1" x14ac:dyDescent="0.3">
      <c r="A33" s="3">
        <v>29</v>
      </c>
      <c r="B33" s="23" t="s">
        <v>38</v>
      </c>
      <c r="C33" s="23"/>
      <c r="D33" s="15"/>
      <c r="E33" s="15"/>
      <c r="F33" s="3" t="s">
        <v>39</v>
      </c>
      <c r="G33" s="3">
        <v>8</v>
      </c>
      <c r="H33" s="4"/>
      <c r="I33" s="5">
        <f t="shared" si="0"/>
        <v>0</v>
      </c>
    </row>
    <row r="34" spans="1:10" s="6" customFormat="1" ht="29.25" hidden="1" customHeight="1" x14ac:dyDescent="0.3">
      <c r="A34" s="7">
        <v>30</v>
      </c>
      <c r="B34" s="23" t="s">
        <v>40</v>
      </c>
      <c r="C34" s="23"/>
      <c r="D34" s="15"/>
      <c r="E34" s="15"/>
      <c r="F34" s="3" t="s">
        <v>11</v>
      </c>
      <c r="G34" s="3">
        <v>6</v>
      </c>
      <c r="H34" s="4"/>
      <c r="I34" s="5">
        <f t="shared" si="0"/>
        <v>0</v>
      </c>
    </row>
    <row r="35" spans="1:10" s="6" customFormat="1" ht="29.25" hidden="1" customHeight="1" x14ac:dyDescent="0.3">
      <c r="A35" s="3">
        <v>31</v>
      </c>
      <c r="B35" s="23" t="s">
        <v>41</v>
      </c>
      <c r="C35" s="23"/>
      <c r="D35" s="15"/>
      <c r="E35" s="15"/>
      <c r="F35" s="3" t="s">
        <v>11</v>
      </c>
      <c r="G35" s="3">
        <v>1</v>
      </c>
      <c r="H35" s="4"/>
      <c r="I35" s="5">
        <f t="shared" si="0"/>
        <v>0</v>
      </c>
    </row>
    <row r="36" spans="1:10" s="6" customFormat="1" ht="15" customHeight="1" x14ac:dyDescent="0.3">
      <c r="A36" s="24" t="s">
        <v>42</v>
      </c>
      <c r="B36" s="25"/>
      <c r="C36" s="25"/>
      <c r="D36" s="25"/>
      <c r="E36" s="25"/>
      <c r="F36" s="25"/>
      <c r="G36" s="25"/>
      <c r="H36" s="26"/>
      <c r="I36" s="5">
        <f>SUM(I4:I35)</f>
        <v>241730000</v>
      </c>
    </row>
    <row r="37" spans="1:10" s="6" customFormat="1" ht="15" customHeight="1" x14ac:dyDescent="0.3">
      <c r="A37" s="24" t="s">
        <v>43</v>
      </c>
      <c r="B37" s="25"/>
      <c r="C37" s="25"/>
      <c r="D37" s="25"/>
      <c r="E37" s="25"/>
      <c r="F37" s="25"/>
      <c r="G37" s="25"/>
      <c r="H37" s="26"/>
      <c r="I37" s="5">
        <f>I36*8%</f>
        <v>19338400</v>
      </c>
    </row>
    <row r="38" spans="1:10" ht="16.2" customHeight="1" x14ac:dyDescent="0.3">
      <c r="A38" s="28" t="s">
        <v>44</v>
      </c>
      <c r="B38" s="28"/>
      <c r="C38" s="28"/>
      <c r="D38" s="28"/>
      <c r="E38" s="28"/>
      <c r="F38" s="28"/>
      <c r="G38" s="28"/>
      <c r="H38" s="28"/>
      <c r="I38" s="10">
        <f>SUM(I36:I37)</f>
        <v>261068400</v>
      </c>
      <c r="J38" s="11"/>
    </row>
    <row r="39" spans="1:10" ht="16.2" x14ac:dyDescent="0.3">
      <c r="A39" s="12" t="s">
        <v>45</v>
      </c>
      <c r="B39" s="29" t="e">
        <f ca="1">_xll.VND(I38)</f>
        <v>#NAME?</v>
      </c>
      <c r="C39" s="29"/>
      <c r="D39" s="29"/>
      <c r="E39" s="29"/>
      <c r="F39" s="29"/>
      <c r="G39" s="29"/>
      <c r="H39" s="29"/>
      <c r="I39" s="29"/>
    </row>
    <row r="40" spans="1:10" ht="16.2" x14ac:dyDescent="0.3">
      <c r="A40" s="29" t="s">
        <v>46</v>
      </c>
      <c r="B40" s="29"/>
      <c r="C40" s="29"/>
      <c r="D40" s="29"/>
      <c r="E40" s="29"/>
      <c r="F40" s="29"/>
      <c r="G40" s="29"/>
      <c r="H40" s="29"/>
      <c r="I40" s="29"/>
    </row>
    <row r="41" spans="1:10" ht="180.75" customHeight="1" x14ac:dyDescent="0.3">
      <c r="A41" s="30"/>
      <c r="B41" s="30"/>
      <c r="C41" s="30"/>
      <c r="D41" s="30"/>
      <c r="E41" s="30"/>
      <c r="F41" s="30"/>
      <c r="G41" s="30"/>
      <c r="H41" s="30"/>
      <c r="I41" s="30"/>
    </row>
    <row r="42" spans="1:10" ht="31.35" customHeight="1" x14ac:dyDescent="0.3">
      <c r="A42" s="31"/>
      <c r="B42" s="31"/>
      <c r="C42" s="31"/>
      <c r="D42" s="14"/>
      <c r="E42" s="14"/>
      <c r="F42" s="32"/>
      <c r="G42" s="32"/>
      <c r="H42" s="32"/>
      <c r="I42" s="32"/>
    </row>
    <row r="46" spans="1:10" ht="15.6" x14ac:dyDescent="0.3">
      <c r="F46" s="27"/>
      <c r="G46" s="27"/>
      <c r="H46" s="27"/>
      <c r="I46" s="27"/>
    </row>
    <row r="47" spans="1:10" ht="15.6" x14ac:dyDescent="0.3">
      <c r="C47" s="13"/>
      <c r="D47" s="13"/>
      <c r="E47" s="13"/>
      <c r="F47" s="27"/>
      <c r="G47" s="27"/>
      <c r="H47" s="27"/>
      <c r="I47" s="27"/>
    </row>
  </sheetData>
  <mergeCells count="45">
    <mergeCell ref="F46:I46"/>
    <mergeCell ref="F47:I47"/>
    <mergeCell ref="A38:H38"/>
    <mergeCell ref="B39:I39"/>
    <mergeCell ref="A40:I40"/>
    <mergeCell ref="A41:I41"/>
    <mergeCell ref="A42:C42"/>
    <mergeCell ref="F42:I42"/>
    <mergeCell ref="A37:H37"/>
    <mergeCell ref="B26:C26"/>
    <mergeCell ref="B27:C27"/>
    <mergeCell ref="B28:C28"/>
    <mergeCell ref="B29:C29"/>
    <mergeCell ref="B30:C30"/>
    <mergeCell ref="B31:C31"/>
    <mergeCell ref="B32:C32"/>
    <mergeCell ref="B33:C33"/>
    <mergeCell ref="B34:C34"/>
    <mergeCell ref="B35:C35"/>
    <mergeCell ref="A36:H36"/>
    <mergeCell ref="B25:C25"/>
    <mergeCell ref="B13:C13"/>
    <mergeCell ref="B14:C14"/>
    <mergeCell ref="B15:C15"/>
    <mergeCell ref="B16:C16"/>
    <mergeCell ref="B17:C17"/>
    <mergeCell ref="B18:C18"/>
    <mergeCell ref="B19:C19"/>
    <mergeCell ref="B20:C20"/>
    <mergeCell ref="B22:C22"/>
    <mergeCell ref="B23:C23"/>
    <mergeCell ref="B24:C24"/>
    <mergeCell ref="B21:C21"/>
    <mergeCell ref="B12:C12"/>
    <mergeCell ref="A1:I1"/>
    <mergeCell ref="A2:I2"/>
    <mergeCell ref="B3:C3"/>
    <mergeCell ref="B4:C4"/>
    <mergeCell ref="B5:C5"/>
    <mergeCell ref="B6:C6"/>
    <mergeCell ref="B7:C7"/>
    <mergeCell ref="B8:C8"/>
    <mergeCell ref="B9:C9"/>
    <mergeCell ref="B10:C10"/>
    <mergeCell ref="B11:C11"/>
  </mergeCells>
  <conditionalFormatting sqref="B4">
    <cfRule type="duplicateValues" dxfId="8" priority="4" stopIfTrue="1"/>
    <cfRule type="duplicateValues" dxfId="7" priority="5" stopIfTrue="1"/>
    <cfRule type="duplicateValues" dxfId="6" priority="6" stopIfTrue="1"/>
  </conditionalFormatting>
  <conditionalFormatting sqref="B5">
    <cfRule type="duplicateValues" dxfId="5" priority="1" stopIfTrue="1"/>
    <cfRule type="duplicateValues" dxfId="4" priority="2" stopIfTrue="1"/>
    <cfRule type="duplicateValues" dxfId="3" priority="3" stopIfTrue="1"/>
  </conditionalFormatting>
  <conditionalFormatting sqref="B6:B35">
    <cfRule type="duplicateValues" dxfId="2" priority="7" stopIfTrue="1"/>
    <cfRule type="duplicateValues" dxfId="1" priority="8" stopIfTrue="1"/>
    <cfRule type="duplicateValues" dxfId="0" priority="9"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CHAU_ANPHAT</dc:creator>
  <cp:lastModifiedBy>Trần Vương Nhật</cp:lastModifiedBy>
  <dcterms:created xsi:type="dcterms:W3CDTF">2026-07-20T04:16:40Z</dcterms:created>
  <dcterms:modified xsi:type="dcterms:W3CDTF">2026-07-22T01:48:11Z</dcterms:modified>
</cp:coreProperties>
</file>