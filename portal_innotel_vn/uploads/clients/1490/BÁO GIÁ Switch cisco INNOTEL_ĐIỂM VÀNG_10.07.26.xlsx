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f0e530f1a51b529a/Máy tính/BÁN HÀNG/BẢNG BÁO GIÁ( nội bộ)/BÁO GIÁ/"/>
    </mc:Choice>
  </mc:AlternateContent>
  <xr:revisionPtr revIDLastSave="574" documentId="8_{76A08187-77B5-4F94-AAC9-A4AC60D49EB4}" xr6:coauthVersionLast="47" xr6:coauthVersionMax="47" xr10:uidLastSave="{73706C1E-3EEB-46DC-8101-493E8267B751}"/>
  <bookViews>
    <workbookView xWindow="-120" yWindow="-120" windowWidth="20730" windowHeight="1131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8" i="2" l="1"/>
  <c r="G29" i="2"/>
  <c r="G31" i="2" s="1"/>
  <c r="G28" i="2"/>
  <c r="G32" i="2" s="1"/>
  <c r="G17" i="2"/>
  <c r="G30" i="2" l="1"/>
  <c r="G33" i="2" s="1"/>
  <c r="C13" i="2"/>
</calcChain>
</file>

<file path=xl/sharedStrings.xml><?xml version="1.0" encoding="utf-8"?>
<sst xmlns="http://schemas.openxmlformats.org/spreadsheetml/2006/main" count="86" uniqueCount="83">
  <si>
    <t>TEL:</t>
  </si>
  <si>
    <t>Ngày :</t>
  </si>
  <si>
    <t>SL</t>
  </si>
  <si>
    <t>Kính gửi:</t>
  </si>
  <si>
    <t>Chủ đề</t>
  </si>
  <si>
    <t>CÁC ĐIỀU KHOẢN THƯƠNG MẠI</t>
  </si>
  <si>
    <t>Web: http://www.innotel.com.vn</t>
  </si>
  <si>
    <t>Xác nhận đặt hàng</t>
  </si>
  <si>
    <r>
      <t xml:space="preserve">THUAN PHONG INNOVATIVE TELECOMMUNICATION CO., LTD.
</t>
    </r>
    <r>
      <rPr>
        <sz val="11"/>
        <rFont val="Times New Roman"/>
        <family val="1"/>
      </rPr>
      <t>Website: http://www.innotel.com.vn            Email: sales@innotel.com.vn
Tel: (84 8) 38621119.                      Fax: (84 8) 38630366.
55/31 Tran Dinh Xu, Cau Kho Ward, Distric 1, HCMC, Vietnam</t>
    </r>
  </si>
  <si>
    <t>Nhân viên kinh doanh</t>
  </si>
  <si>
    <t>Địa chỉ:</t>
  </si>
  <si>
    <t>MST:</t>
  </si>
  <si>
    <t>FAX</t>
  </si>
  <si>
    <t>TỔNG CHƯA VAT</t>
  </si>
  <si>
    <t>TỔNG ĐÃ VAT</t>
  </si>
  <si>
    <t xml:space="preserve">6. Thanh toán bằng chuyển khoản hoặc tiền mặt
Công ty TNHH Viễn thông sáng tạo Thuận Phong 
Số tài khoản: 17058209 tại ngân hàng ACB Hồ Chí Minh </t>
  </si>
  <si>
    <t>Đại diện mua hàng:</t>
  </si>
  <si>
    <t>Người bán</t>
  </si>
  <si>
    <t>Chức vụ</t>
  </si>
  <si>
    <t>STT</t>
  </si>
  <si>
    <t>5. Địa chỉ bảo hành: Tại 55/31 Trần Đình Xu, Q1</t>
  </si>
  <si>
    <t>BÁO GIÁ THIẾT BỊ</t>
  </si>
  <si>
    <t xml:space="preserve">2. Địa chỉ giao hàng: : </t>
  </si>
  <si>
    <t>4. Thanh toán: thỏa thuận</t>
  </si>
  <si>
    <t>Bảo hành</t>
  </si>
  <si>
    <t>Diễn Giải</t>
  </si>
  <si>
    <t xml:space="preserve">3. Người nhận hàng:             SĐT: 
                                     </t>
  </si>
  <si>
    <t>0310690988</t>
  </si>
  <si>
    <t>Giám Đốc</t>
  </si>
  <si>
    <t>Mã Hàng</t>
  </si>
  <si>
    <t>VAT 8%</t>
  </si>
  <si>
    <t>Kiều My</t>
  </si>
  <si>
    <t xml:space="preserve">Mob: </t>
  </si>
  <si>
    <t xml:space="preserve">Email: </t>
  </si>
  <si>
    <t>CÔNG TY TNHH THƯƠNG MẠI DỊCH VỤ KỸ THUẬT ĐIỂM VÀNG</t>
  </si>
  <si>
    <t>A. Hà</t>
  </si>
  <si>
    <t>42 Nguyễn Thái Bình, Phường Bến Thành, TP Hồ Chí Minh, Việt Nam</t>
  </si>
  <si>
    <t>Mr. Nhật</t>
  </si>
  <si>
    <t>Switch cisco</t>
  </si>
  <si>
    <t>1.0</t>
  </si>
  <si>
    <t>C9200L-48T-4X-E</t>
  </si>
  <si>
    <t>Catalyst 9200L 48-port data only,4 x 10G,Network Essentials</t>
  </si>
  <si>
    <t>1.0.1</t>
  </si>
  <si>
    <t>CON-SNT-C920L4XE</t>
  </si>
  <si>
    <t>SNTC-8X5XNBD Catalyst 9200L 48-port data, 4 x 10G ,Ne</t>
  </si>
  <si>
    <t>1.1</t>
  </si>
  <si>
    <t>C9200L-DNA-E-48</t>
  </si>
  <si>
    <t>C9200L Cisco DNA Essentials, 48-port Term license</t>
  </si>
  <si>
    <t>1.1.1</t>
  </si>
  <si>
    <t>C9200L-DNA-E-48-3Y</t>
  </si>
  <si>
    <t>C9200L Cisco DNA Essentials, 48-port, 3 Year Term license</t>
  </si>
  <si>
    <t>1.2</t>
  </si>
  <si>
    <t>C9200L-NW-E-48</t>
  </si>
  <si>
    <t>C9200L Network Essentials, 48-port license</t>
  </si>
  <si>
    <t>1.3</t>
  </si>
  <si>
    <t>CAB-TA-EU</t>
  </si>
  <si>
    <t>Europe AC Type A Power Cable</t>
  </si>
  <si>
    <t>1.4</t>
  </si>
  <si>
    <t>PWR-C5-BLANK</t>
  </si>
  <si>
    <t>Config 5 Power Supply Blank</t>
  </si>
  <si>
    <t>1.5</t>
  </si>
  <si>
    <t>C9200-STACK-BLANK</t>
  </si>
  <si>
    <t>Catalyst 9200 Blank Stack Module</t>
  </si>
  <si>
    <t>1.6</t>
  </si>
  <si>
    <t>C9K-ACC-RBFT</t>
  </si>
  <si>
    <t>RUBBER FEET FOR TABLE TOP SETUP 9200 and 93xx</t>
  </si>
  <si>
    <t>1.7</t>
  </si>
  <si>
    <t>C9K-ACC-SCR-4</t>
  </si>
  <si>
    <t>12-24 and 10-32 SCREWS FOR RACK INSTALLATION, QTY 4</t>
  </si>
  <si>
    <t>1.8</t>
  </si>
  <si>
    <t>CAB-GUIDE-1RU</t>
  </si>
  <si>
    <t>1RU CABLE MANAGEMENT GUIDES 9200 and 9300</t>
  </si>
  <si>
    <t>1.9</t>
  </si>
  <si>
    <t>NETWORK-PNP-LIC</t>
  </si>
  <si>
    <t>Network Plug-n-Play Connect for zero-touch device deployment</t>
  </si>
  <si>
    <t>2.0</t>
  </si>
  <si>
    <t>SFP-10G-SR=</t>
  </si>
  <si>
    <t>10GBASE-SR SFP Module</t>
  </si>
  <si>
    <t xml:space="preserve">Đơn giá chưa vat
</t>
  </si>
  <si>
    <t xml:space="preserve">Thành tiền
</t>
  </si>
  <si>
    <t>VAT 10% ( Mục 1.0.1)</t>
  </si>
  <si>
    <t>1. Thời gian giao hàng trong vòng 4-6 tuần kể từ ngày xác nhận đặt hàng</t>
  </si>
  <si>
    <t>3 năm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</si>
</sst>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[$-409]mmm\-yy;@"/>
    <numFmt numFmtId="166" formatCode="_-* #,##0\ _₫_-;\-* #,##0\ _₫_-;_-* &quot;-&quot;??\ _₫_-;_-@_-"/>
    <numFmt numFmtId="167" formatCode="#.0"/>
  </numFmts>
  <fonts count="9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1"/>
      <name val="Times New Roman"/>
      <family val="1"/>
    </font>
    <font>
      <sz val="11"/>
      <name val="Times New Roman"/>
      <family val="1"/>
    </font>
    <font>
      <b/>
      <u/>
      <sz val="11"/>
      <name val="Times New Roman"/>
      <family val="1"/>
    </font>
    <font>
      <u/>
      <sz val="11"/>
      <name val="Times New Roman"/>
      <family val="1"/>
    </font>
    <font>
      <b/>
      <sz val="9"/>
      <color indexed="8"/>
      <name val="Helvetica"/>
    </font>
    <font>
      <sz val="9"/>
      <color indexed="8"/>
      <name val="Helvetica"/>
    </font>
  </fonts>
  <fills count="5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 style="thin">
        <color indexed="9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9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9"/>
      </right>
      <top/>
      <bottom style="thin">
        <color indexed="64"/>
      </bottom>
      <diagonal/>
    </border>
    <border>
      <left/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9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0" borderId="0"/>
    <xf numFmtId="165" fontId="2" fillId="0" borderId="0"/>
    <xf numFmtId="0" fontId="2" fillId="0" borderId="0"/>
  </cellStyleXfs>
  <cellXfs count="90">
    <xf numFmtId="0" fontId="0" fillId="0" borderId="0" xfId="0"/>
    <xf numFmtId="0" fontId="4" fillId="0" borderId="3" xfId="0" applyFont="1" applyBorder="1" applyAlignment="1">
      <alignment vertical="center" wrapText="1"/>
    </xf>
    <xf numFmtId="0" fontId="4" fillId="0" borderId="4" xfId="0" applyFont="1" applyBorder="1"/>
    <xf numFmtId="0" fontId="4" fillId="0" borderId="1" xfId="0" applyFont="1" applyBorder="1"/>
    <xf numFmtId="0" fontId="3" fillId="2" borderId="3" xfId="0" applyFont="1" applyFill="1" applyBorder="1" applyAlignment="1">
      <alignment horizontal="center" vertical="center" wrapText="1"/>
    </xf>
    <xf numFmtId="164" fontId="3" fillId="2" borderId="3" xfId="1" applyNumberFormat="1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top" wrapText="1"/>
    </xf>
    <xf numFmtId="0" fontId="4" fillId="0" borderId="4" xfId="0" applyFont="1" applyBorder="1" applyAlignment="1">
      <alignment vertical="center"/>
    </xf>
    <xf numFmtId="0" fontId="5" fillId="0" borderId="5" xfId="0" applyFont="1" applyBorder="1"/>
    <xf numFmtId="0" fontId="4" fillId="0" borderId="5" xfId="0" applyFont="1" applyBorder="1"/>
    <xf numFmtId="164" fontId="4" fillId="0" borderId="5" xfId="1" applyNumberFormat="1" applyFont="1" applyBorder="1"/>
    <xf numFmtId="164" fontId="4" fillId="0" borderId="1" xfId="1" applyNumberFormat="1" applyFont="1" applyBorder="1"/>
    <xf numFmtId="0" fontId="4" fillId="0" borderId="0" xfId="0" applyFont="1" applyAlignment="1">
      <alignment horizontal="left"/>
    </xf>
    <xf numFmtId="0" fontId="3" fillId="0" borderId="1" xfId="0" applyFont="1" applyBorder="1"/>
    <xf numFmtId="164" fontId="6" fillId="0" borderId="1" xfId="1" applyNumberFormat="1" applyFont="1" applyBorder="1"/>
    <xf numFmtId="0" fontId="3" fillId="0" borderId="2" xfId="0" applyFont="1" applyBorder="1"/>
    <xf numFmtId="0" fontId="4" fillId="0" borderId="2" xfId="0" applyFont="1" applyBorder="1"/>
    <xf numFmtId="0" fontId="3" fillId="0" borderId="6" xfId="0" applyFont="1" applyBorder="1"/>
    <xf numFmtId="0" fontId="3" fillId="0" borderId="3" xfId="0" applyFont="1" applyBorder="1"/>
    <xf numFmtId="0" fontId="3" fillId="0" borderId="7" xfId="0" applyFont="1" applyBorder="1"/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vertical="center"/>
    </xf>
    <xf numFmtId="0" fontId="3" fillId="0" borderId="5" xfId="0" applyFont="1" applyBorder="1"/>
    <xf numFmtId="0" fontId="3" fillId="0" borderId="0" xfId="0" applyFont="1"/>
    <xf numFmtId="166" fontId="3" fillId="0" borderId="3" xfId="1" applyNumberFormat="1" applyFont="1" applyFill="1" applyBorder="1" applyAlignment="1">
      <alignment vertical="center"/>
    </xf>
    <xf numFmtId="164" fontId="5" fillId="0" borderId="1" xfId="1" applyNumberFormat="1" applyFont="1" applyBorder="1"/>
    <xf numFmtId="0" fontId="4" fillId="3" borderId="4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center" vertical="top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vertical="center" wrapText="1"/>
    </xf>
    <xf numFmtId="0" fontId="4" fillId="3" borderId="3" xfId="0" applyFont="1" applyFill="1" applyBorder="1" applyAlignment="1">
      <alignment horizontal="center" vertical="center" wrapText="1"/>
    </xf>
    <xf numFmtId="164" fontId="4" fillId="3" borderId="3" xfId="1" applyNumberFormat="1" applyFont="1" applyFill="1" applyBorder="1" applyAlignment="1">
      <alignment horizontal="center" vertical="center" wrapText="1"/>
    </xf>
    <xf numFmtId="167" fontId="7" fillId="0" borderId="3" xfId="0" applyNumberFormat="1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top" wrapText="1"/>
    </xf>
    <xf numFmtId="0" fontId="8" fillId="0" borderId="3" xfId="0" applyFont="1" applyBorder="1" applyAlignment="1">
      <alignment horizontal="left" vertical="top" wrapText="1"/>
    </xf>
    <xf numFmtId="1" fontId="8" fillId="0" borderId="3" xfId="0" applyNumberFormat="1" applyFont="1" applyBorder="1" applyAlignment="1">
      <alignment horizontal="center" vertical="center" wrapText="1"/>
    </xf>
    <xf numFmtId="0" fontId="8" fillId="4" borderId="3" xfId="0" applyFont="1" applyFill="1" applyBorder="1" applyAlignment="1">
      <alignment horizontal="left" vertical="center" wrapText="1" indent="1"/>
    </xf>
    <xf numFmtId="0" fontId="8" fillId="4" borderId="3" xfId="0" applyFont="1" applyFill="1" applyBorder="1" applyAlignment="1">
      <alignment horizontal="left" vertical="center" wrapText="1"/>
    </xf>
    <xf numFmtId="0" fontId="8" fillId="4" borderId="3" xfId="0" applyFont="1" applyFill="1" applyBorder="1" applyAlignment="1">
      <alignment horizontal="left" vertical="top" wrapText="1"/>
    </xf>
    <xf numFmtId="0" fontId="8" fillId="0" borderId="3" xfId="0" applyFont="1" applyBorder="1" applyAlignment="1">
      <alignment horizontal="left" vertical="center" wrapText="1" indent="1"/>
    </xf>
    <xf numFmtId="0" fontId="8" fillId="0" borderId="3" xfId="0" applyFont="1" applyBorder="1" applyAlignment="1">
      <alignment horizontal="left" vertical="center" wrapText="1"/>
    </xf>
    <xf numFmtId="1" fontId="7" fillId="0" borderId="3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164" fontId="3" fillId="0" borderId="23" xfId="1" applyNumberFormat="1" applyFont="1" applyBorder="1" applyAlignment="1">
      <alignment horizontal="center" wrapText="1"/>
    </xf>
    <xf numFmtId="164" fontId="3" fillId="0" borderId="4" xfId="1" applyNumberFormat="1" applyFont="1" applyBorder="1" applyAlignment="1">
      <alignment horizontal="center" wrapText="1"/>
    </xf>
    <xf numFmtId="15" fontId="4" fillId="0" borderId="8" xfId="0" quotePrefix="1" applyNumberFormat="1" applyFont="1" applyBorder="1" applyAlignment="1">
      <alignment horizontal="left" vertical="center" wrapText="1"/>
    </xf>
    <xf numFmtId="15" fontId="4" fillId="0" borderId="9" xfId="0" quotePrefix="1" applyNumberFormat="1" applyFont="1" applyBorder="1" applyAlignment="1">
      <alignment horizontal="left" vertical="center" wrapText="1"/>
    </xf>
    <xf numFmtId="15" fontId="4" fillId="0" borderId="19" xfId="0" quotePrefix="1" applyNumberFormat="1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  <xf numFmtId="0" fontId="4" fillId="0" borderId="23" xfId="0" applyFont="1" applyBorder="1" applyAlignment="1">
      <alignment horizontal="left" wrapText="1"/>
    </xf>
    <xf numFmtId="0" fontId="4" fillId="0" borderId="24" xfId="0" applyFont="1" applyBorder="1" applyAlignment="1">
      <alignment horizontal="left" wrapText="1"/>
    </xf>
    <xf numFmtId="0" fontId="4" fillId="0" borderId="4" xfId="0" applyFont="1" applyBorder="1" applyAlignment="1">
      <alignment horizontal="left" wrapText="1"/>
    </xf>
    <xf numFmtId="0" fontId="4" fillId="0" borderId="2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wrapText="1"/>
    </xf>
    <xf numFmtId="0" fontId="4" fillId="0" borderId="11" xfId="0" applyFont="1" applyBorder="1" applyAlignment="1">
      <alignment horizontal="left" wrapText="1"/>
    </xf>
    <xf numFmtId="0" fontId="4" fillId="0" borderId="12" xfId="0" applyFont="1" applyBorder="1" applyAlignment="1">
      <alignment horizontal="left" wrapText="1"/>
    </xf>
    <xf numFmtId="0" fontId="4" fillId="0" borderId="24" xfId="0" applyFont="1" applyBorder="1" applyAlignment="1">
      <alignment horizontal="left" vertical="top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6" xfId="0" applyFont="1" applyFill="1" applyBorder="1" applyAlignment="1">
      <alignment horizontal="center" vertical="center" wrapText="1"/>
    </xf>
    <xf numFmtId="0" fontId="4" fillId="3" borderId="27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  <xf numFmtId="0" fontId="4" fillId="0" borderId="19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0" borderId="13" xfId="0" applyFont="1" applyBorder="1"/>
    <xf numFmtId="0" fontId="4" fillId="0" borderId="14" xfId="0" applyFont="1" applyBorder="1"/>
    <xf numFmtId="0" fontId="4" fillId="0" borderId="7" xfId="0" applyFont="1" applyBorder="1"/>
    <xf numFmtId="0" fontId="4" fillId="0" borderId="0" xfId="0" applyFont="1"/>
    <xf numFmtId="0" fontId="4" fillId="0" borderId="15" xfId="0" applyFont="1" applyBorder="1"/>
    <xf numFmtId="0" fontId="4" fillId="0" borderId="16" xfId="0" applyFont="1" applyBorder="1"/>
    <xf numFmtId="0" fontId="4" fillId="0" borderId="17" xfId="0" applyFont="1" applyBorder="1"/>
    <xf numFmtId="0" fontId="4" fillId="0" borderId="18" xfId="0" applyFont="1" applyBorder="1"/>
    <xf numFmtId="0" fontId="3" fillId="0" borderId="20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8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3" fillId="0" borderId="19" xfId="0" applyFont="1" applyBorder="1" applyAlignment="1">
      <alignment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8" xfId="0" quotePrefix="1" applyFont="1" applyBorder="1" applyAlignment="1">
      <alignment horizontal="left" vertical="center" wrapText="1"/>
    </xf>
    <xf numFmtId="164" fontId="4" fillId="3" borderId="25" xfId="1" applyNumberFormat="1" applyFont="1" applyFill="1" applyBorder="1" applyAlignment="1">
      <alignment horizontal="center" vertical="top" wrapText="1"/>
    </xf>
    <xf numFmtId="164" fontId="4" fillId="3" borderId="26" xfId="1" applyNumberFormat="1" applyFont="1" applyFill="1" applyBorder="1" applyAlignment="1">
      <alignment horizontal="center" vertical="top" wrapText="1"/>
    </xf>
    <xf numFmtId="164" fontId="4" fillId="3" borderId="27" xfId="1" applyNumberFormat="1" applyFont="1" applyFill="1" applyBorder="1" applyAlignment="1">
      <alignment horizontal="center" vertical="top" wrapText="1"/>
    </xf>
  </cellXfs>
  <cellStyles count="5">
    <cellStyle name="Comma" xfId="1" builtinId="3"/>
    <cellStyle name="Normal" xfId="0" builtinId="0"/>
    <cellStyle name="Normal - Style1 2" xfId="4" xr:uid="{00000000-0005-0000-0000-000002000000}"/>
    <cellStyle name="Normal 2" xfId="2" xr:uid="{00000000-0005-0000-0000-000003000000}"/>
    <cellStyle name="Normal 4 2" xfId="3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38100</xdr:rowOff>
    </xdr:from>
    <xdr:to>
      <xdr:col>1</xdr:col>
      <xdr:colOff>1053945</xdr:colOff>
      <xdr:row>3</xdr:row>
      <xdr:rowOff>167640</xdr:rowOff>
    </xdr:to>
    <xdr:pic>
      <xdr:nvPicPr>
        <xdr:cNvPr id="2533" name="Picture 28">
          <a:extLst>
            <a:ext uri="{FF2B5EF4-FFF2-40B4-BE49-F238E27FC236}">
              <a16:creationId xmlns:a16="http://schemas.microsoft.com/office/drawing/2014/main" id="{00000000-0008-0000-0000-0000E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" y="38100"/>
          <a:ext cx="144780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9"/>
  <sheetViews>
    <sheetView tabSelected="1" topLeftCell="A24" zoomScaleNormal="100" workbookViewId="0">
      <selection activeCell="H17" sqref="H17"/>
    </sheetView>
  </sheetViews>
  <sheetFormatPr defaultColWidth="9.140625" defaultRowHeight="15" x14ac:dyDescent="0.25"/>
  <cols>
    <col min="1" max="1" width="7" style="13" customWidth="1"/>
    <col min="2" max="2" width="18.28515625" style="3" customWidth="1"/>
    <col min="3" max="3" width="32" style="3" customWidth="1"/>
    <col min="4" max="4" width="5.28515625" style="3" customWidth="1"/>
    <col min="5" max="5" width="8.28515625" style="11" customWidth="1"/>
    <col min="6" max="6" width="16.85546875" style="11" customWidth="1"/>
    <col min="7" max="7" width="17.42578125" style="11" customWidth="1"/>
    <col min="8" max="8" width="11" style="3" bestFit="1" customWidth="1"/>
    <col min="9" max="16384" width="9.140625" style="3"/>
  </cols>
  <sheetData>
    <row r="1" spans="1:8" ht="12.75" customHeight="1" x14ac:dyDescent="0.25">
      <c r="C1" s="70" t="s">
        <v>8</v>
      </c>
      <c r="D1" s="71"/>
      <c r="E1" s="71"/>
      <c r="F1" s="71"/>
      <c r="G1" s="72"/>
    </row>
    <row r="2" spans="1:8" ht="12.75" customHeight="1" x14ac:dyDescent="0.25">
      <c r="C2" s="73"/>
      <c r="D2" s="74"/>
      <c r="E2" s="74"/>
      <c r="F2" s="74"/>
      <c r="G2" s="75"/>
    </row>
    <row r="3" spans="1:8" ht="12.75" customHeight="1" x14ac:dyDescent="0.25">
      <c r="C3" s="73"/>
      <c r="D3" s="74"/>
      <c r="E3" s="74"/>
      <c r="F3" s="74"/>
      <c r="G3" s="75"/>
    </row>
    <row r="4" spans="1:8" ht="24" customHeight="1" thickBot="1" x14ac:dyDescent="0.3">
      <c r="A4" s="15"/>
      <c r="B4" s="16"/>
      <c r="C4" s="76"/>
      <c r="D4" s="77"/>
      <c r="E4" s="77"/>
      <c r="F4" s="77"/>
      <c r="G4" s="78"/>
    </row>
    <row r="5" spans="1:8" ht="39.75" customHeight="1" thickTop="1" x14ac:dyDescent="0.25">
      <c r="A5" s="17"/>
      <c r="B5" s="79" t="s">
        <v>21</v>
      </c>
      <c r="C5" s="80"/>
      <c r="D5" s="80"/>
      <c r="E5" s="80"/>
      <c r="F5" s="80"/>
      <c r="G5" s="81"/>
    </row>
    <row r="6" spans="1:8" x14ac:dyDescent="0.25">
      <c r="A6" s="18"/>
      <c r="B6" s="1" t="s">
        <v>3</v>
      </c>
      <c r="C6" s="82" t="s">
        <v>34</v>
      </c>
      <c r="D6" s="83"/>
      <c r="E6" s="83"/>
      <c r="F6" s="83"/>
      <c r="G6" s="84"/>
      <c r="H6" s="2"/>
    </row>
    <row r="7" spans="1:8" x14ac:dyDescent="0.25">
      <c r="A7" s="18"/>
      <c r="B7" s="1" t="s">
        <v>16</v>
      </c>
      <c r="C7" s="1" t="s">
        <v>35</v>
      </c>
      <c r="D7" s="45" t="s">
        <v>18</v>
      </c>
      <c r="E7" s="46"/>
      <c r="F7" s="45" t="s">
        <v>28</v>
      </c>
      <c r="G7" s="46"/>
      <c r="H7" s="2"/>
    </row>
    <row r="8" spans="1:8" x14ac:dyDescent="0.25">
      <c r="A8" s="18"/>
      <c r="B8" s="1" t="s">
        <v>11</v>
      </c>
      <c r="C8" s="86" t="s">
        <v>27</v>
      </c>
      <c r="D8" s="68"/>
      <c r="E8" s="68"/>
      <c r="F8" s="68"/>
      <c r="G8" s="69"/>
      <c r="H8" s="2"/>
    </row>
    <row r="9" spans="1:8" ht="30.75" customHeight="1" x14ac:dyDescent="0.25">
      <c r="A9" s="18"/>
      <c r="B9" s="1" t="s">
        <v>10</v>
      </c>
      <c r="C9" s="67" t="s">
        <v>36</v>
      </c>
      <c r="D9" s="68"/>
      <c r="E9" s="68"/>
      <c r="F9" s="68"/>
      <c r="G9" s="69"/>
      <c r="H9" s="2"/>
    </row>
    <row r="10" spans="1:8" x14ac:dyDescent="0.25">
      <c r="A10" s="18"/>
      <c r="B10" s="1" t="s">
        <v>0</v>
      </c>
      <c r="C10" s="85"/>
      <c r="D10" s="85"/>
      <c r="E10" s="85"/>
      <c r="F10" s="85"/>
      <c r="G10" s="85"/>
      <c r="H10" s="2"/>
    </row>
    <row r="11" spans="1:8" x14ac:dyDescent="0.25">
      <c r="A11" s="18"/>
      <c r="B11" s="1" t="s">
        <v>12</v>
      </c>
      <c r="C11" s="67"/>
      <c r="D11" s="68"/>
      <c r="E11" s="68"/>
      <c r="F11" s="68"/>
      <c r="G11" s="69"/>
      <c r="H11" s="2"/>
    </row>
    <row r="12" spans="1:8" ht="16.5" customHeight="1" x14ac:dyDescent="0.25">
      <c r="A12" s="18"/>
      <c r="B12" s="1" t="s">
        <v>17</v>
      </c>
      <c r="C12" s="1" t="s">
        <v>37</v>
      </c>
      <c r="D12" s="45" t="s">
        <v>18</v>
      </c>
      <c r="E12" s="46"/>
      <c r="F12" s="45" t="s">
        <v>9</v>
      </c>
      <c r="G12" s="46"/>
      <c r="H12" s="2"/>
    </row>
    <row r="13" spans="1:8" ht="15" customHeight="1" x14ac:dyDescent="0.25">
      <c r="A13" s="18"/>
      <c r="B13" s="1" t="s">
        <v>1</v>
      </c>
      <c r="C13" s="49">
        <f ca="1">TODAY()</f>
        <v>46213</v>
      </c>
      <c r="D13" s="50"/>
      <c r="E13" s="50"/>
      <c r="F13" s="50"/>
      <c r="G13" s="51"/>
      <c r="H13" s="2"/>
    </row>
    <row r="14" spans="1:8" ht="30" customHeight="1" x14ac:dyDescent="0.25">
      <c r="A14" s="18"/>
      <c r="B14" s="1" t="s">
        <v>4</v>
      </c>
      <c r="C14" s="52" t="s">
        <v>38</v>
      </c>
      <c r="D14" s="53"/>
      <c r="E14" s="53"/>
      <c r="F14" s="53"/>
      <c r="G14" s="54"/>
      <c r="H14" s="2"/>
    </row>
    <row r="15" spans="1:8" ht="15" customHeight="1" x14ac:dyDescent="0.25">
      <c r="A15" s="19"/>
      <c r="B15" s="60"/>
      <c r="C15" s="61"/>
      <c r="D15" s="61"/>
      <c r="E15" s="61"/>
      <c r="F15" s="61"/>
      <c r="G15" s="62"/>
    </row>
    <row r="16" spans="1:8" s="20" customFormat="1" ht="44.25" customHeight="1" x14ac:dyDescent="0.2">
      <c r="A16" s="4" t="s">
        <v>19</v>
      </c>
      <c r="B16" s="29" t="s">
        <v>29</v>
      </c>
      <c r="C16" s="28" t="s">
        <v>25</v>
      </c>
      <c r="D16" s="4" t="s">
        <v>2</v>
      </c>
      <c r="E16" s="4" t="s">
        <v>24</v>
      </c>
      <c r="F16" s="5" t="s">
        <v>78</v>
      </c>
      <c r="G16" s="5" t="s">
        <v>79</v>
      </c>
      <c r="H16" s="6"/>
    </row>
    <row r="17" spans="1:8" s="27" customFormat="1" ht="24" x14ac:dyDescent="0.2">
      <c r="A17" s="32" t="s">
        <v>39</v>
      </c>
      <c r="B17" s="33" t="s">
        <v>40</v>
      </c>
      <c r="C17" s="33" t="s">
        <v>41</v>
      </c>
      <c r="D17" s="41">
        <v>2</v>
      </c>
      <c r="E17" s="64" t="s">
        <v>82</v>
      </c>
      <c r="F17" s="87">
        <v>76400000</v>
      </c>
      <c r="G17" s="87">
        <f>F17*D17</f>
        <v>152800000</v>
      </c>
      <c r="H17" s="26"/>
    </row>
    <row r="18" spans="1:8" s="27" customFormat="1" ht="24" x14ac:dyDescent="0.2">
      <c r="A18" s="39" t="s">
        <v>45</v>
      </c>
      <c r="B18" s="40" t="s">
        <v>46</v>
      </c>
      <c r="C18" s="34" t="s">
        <v>47</v>
      </c>
      <c r="D18" s="35">
        <v>2</v>
      </c>
      <c r="E18" s="65"/>
      <c r="F18" s="88"/>
      <c r="G18" s="88"/>
      <c r="H18" s="26"/>
    </row>
    <row r="19" spans="1:8" s="27" customFormat="1" ht="24" x14ac:dyDescent="0.2">
      <c r="A19" s="39" t="s">
        <v>48</v>
      </c>
      <c r="B19" s="40" t="s">
        <v>49</v>
      </c>
      <c r="C19" s="34" t="s">
        <v>50</v>
      </c>
      <c r="D19" s="35">
        <v>2</v>
      </c>
      <c r="E19" s="65"/>
      <c r="F19" s="88"/>
      <c r="G19" s="88"/>
      <c r="H19" s="26"/>
    </row>
    <row r="20" spans="1:8" s="27" customFormat="1" ht="24" x14ac:dyDescent="0.2">
      <c r="A20" s="39" t="s">
        <v>51</v>
      </c>
      <c r="B20" s="40" t="s">
        <v>52</v>
      </c>
      <c r="C20" s="34" t="s">
        <v>53</v>
      </c>
      <c r="D20" s="35">
        <v>2</v>
      </c>
      <c r="E20" s="65"/>
      <c r="F20" s="88"/>
      <c r="G20" s="88"/>
      <c r="H20" s="26"/>
    </row>
    <row r="21" spans="1:8" s="27" customFormat="1" x14ac:dyDescent="0.2">
      <c r="A21" s="39" t="s">
        <v>54</v>
      </c>
      <c r="B21" s="40" t="s">
        <v>55</v>
      </c>
      <c r="C21" s="34" t="s">
        <v>56</v>
      </c>
      <c r="D21" s="35">
        <v>2</v>
      </c>
      <c r="E21" s="65"/>
      <c r="F21" s="88"/>
      <c r="G21" s="88"/>
      <c r="H21" s="26"/>
    </row>
    <row r="22" spans="1:8" s="27" customFormat="1" x14ac:dyDescent="0.2">
      <c r="A22" s="39" t="s">
        <v>57</v>
      </c>
      <c r="B22" s="40" t="s">
        <v>58</v>
      </c>
      <c r="C22" s="34" t="s">
        <v>59</v>
      </c>
      <c r="D22" s="35">
        <v>2</v>
      </c>
      <c r="E22" s="65"/>
      <c r="F22" s="88"/>
      <c r="G22" s="88"/>
      <c r="H22" s="26"/>
    </row>
    <row r="23" spans="1:8" s="27" customFormat="1" ht="24" x14ac:dyDescent="0.2">
      <c r="A23" s="39" t="s">
        <v>60</v>
      </c>
      <c r="B23" s="40" t="s">
        <v>61</v>
      </c>
      <c r="C23" s="34" t="s">
        <v>62</v>
      </c>
      <c r="D23" s="35">
        <v>4</v>
      </c>
      <c r="E23" s="65"/>
      <c r="F23" s="88"/>
      <c r="G23" s="88"/>
      <c r="H23" s="26"/>
    </row>
    <row r="24" spans="1:8" s="27" customFormat="1" ht="24" x14ac:dyDescent="0.2">
      <c r="A24" s="39" t="s">
        <v>63</v>
      </c>
      <c r="B24" s="40" t="s">
        <v>64</v>
      </c>
      <c r="C24" s="34" t="s">
        <v>65</v>
      </c>
      <c r="D24" s="35">
        <v>2</v>
      </c>
      <c r="E24" s="65"/>
      <c r="F24" s="88"/>
      <c r="G24" s="88"/>
      <c r="H24" s="26"/>
    </row>
    <row r="25" spans="1:8" s="27" customFormat="1" ht="24" x14ac:dyDescent="0.2">
      <c r="A25" s="39" t="s">
        <v>66</v>
      </c>
      <c r="B25" s="40" t="s">
        <v>67</v>
      </c>
      <c r="C25" s="34" t="s">
        <v>68</v>
      </c>
      <c r="D25" s="35">
        <v>2</v>
      </c>
      <c r="E25" s="65"/>
      <c r="F25" s="88"/>
      <c r="G25" s="88"/>
      <c r="H25" s="26"/>
    </row>
    <row r="26" spans="1:8" s="27" customFormat="1" ht="24" x14ac:dyDescent="0.2">
      <c r="A26" s="39" t="s">
        <v>69</v>
      </c>
      <c r="B26" s="40" t="s">
        <v>70</v>
      </c>
      <c r="C26" s="34" t="s">
        <v>71</v>
      </c>
      <c r="D26" s="35">
        <v>2</v>
      </c>
      <c r="E26" s="65"/>
      <c r="F26" s="88"/>
      <c r="G26" s="88"/>
      <c r="H26" s="26"/>
    </row>
    <row r="27" spans="1:8" s="27" customFormat="1" ht="24" x14ac:dyDescent="0.2">
      <c r="A27" s="39" t="s">
        <v>72</v>
      </c>
      <c r="B27" s="40" t="s">
        <v>73</v>
      </c>
      <c r="C27" s="34" t="s">
        <v>74</v>
      </c>
      <c r="D27" s="35">
        <v>2</v>
      </c>
      <c r="E27" s="65"/>
      <c r="F27" s="89"/>
      <c r="G27" s="89"/>
      <c r="H27" s="26"/>
    </row>
    <row r="28" spans="1:8" s="27" customFormat="1" ht="24" x14ac:dyDescent="0.2">
      <c r="A28" s="36" t="s">
        <v>42</v>
      </c>
      <c r="B28" s="37" t="s">
        <v>43</v>
      </c>
      <c r="C28" s="38" t="s">
        <v>44</v>
      </c>
      <c r="D28" s="35">
        <v>2</v>
      </c>
      <c r="E28" s="66"/>
      <c r="F28" s="31">
        <f>10500000*3</f>
        <v>31500000</v>
      </c>
      <c r="G28" s="31">
        <f>F28*D28</f>
        <v>63000000</v>
      </c>
      <c r="H28" s="26"/>
    </row>
    <row r="29" spans="1:8" s="27" customFormat="1" x14ac:dyDescent="0.2">
      <c r="A29" s="32" t="s">
        <v>75</v>
      </c>
      <c r="B29" s="33" t="s">
        <v>76</v>
      </c>
      <c r="C29" s="34" t="s">
        <v>77</v>
      </c>
      <c r="D29" s="35">
        <v>4</v>
      </c>
      <c r="E29" s="30" t="s">
        <v>82</v>
      </c>
      <c r="F29" s="31">
        <v>6200000</v>
      </c>
      <c r="G29" s="31">
        <f>F29*D29</f>
        <v>24800000</v>
      </c>
      <c r="H29" s="26"/>
    </row>
    <row r="30" spans="1:8" s="21" customFormat="1" ht="15" customHeight="1" x14ac:dyDescent="0.2">
      <c r="A30" s="42" t="s">
        <v>13</v>
      </c>
      <c r="B30" s="43"/>
      <c r="C30" s="43"/>
      <c r="D30" s="43"/>
      <c r="E30" s="43"/>
      <c r="F30" s="44"/>
      <c r="G30" s="24">
        <f>SUM(G17:G29)</f>
        <v>240600000</v>
      </c>
      <c r="H30" s="7"/>
    </row>
    <row r="31" spans="1:8" s="21" customFormat="1" x14ac:dyDescent="0.2">
      <c r="A31" s="42" t="s">
        <v>30</v>
      </c>
      <c r="B31" s="43"/>
      <c r="C31" s="43"/>
      <c r="D31" s="43"/>
      <c r="E31" s="43"/>
      <c r="F31" s="44"/>
      <c r="G31" s="24">
        <f>(G17+G29)*8%</f>
        <v>14208000</v>
      </c>
      <c r="H31" s="7"/>
    </row>
    <row r="32" spans="1:8" s="21" customFormat="1" x14ac:dyDescent="0.2">
      <c r="A32" s="42" t="s">
        <v>80</v>
      </c>
      <c r="B32" s="43"/>
      <c r="C32" s="43"/>
      <c r="D32" s="43"/>
      <c r="E32" s="43"/>
      <c r="F32" s="44"/>
      <c r="G32" s="24">
        <f>G28*10%</f>
        <v>6300000</v>
      </c>
      <c r="H32" s="7"/>
    </row>
    <row r="33" spans="1:8" s="21" customFormat="1" ht="22.5" customHeight="1" x14ac:dyDescent="0.2">
      <c r="A33" s="42" t="s">
        <v>14</v>
      </c>
      <c r="B33" s="43"/>
      <c r="C33" s="43"/>
      <c r="D33" s="43"/>
      <c r="E33" s="43"/>
      <c r="F33" s="44"/>
      <c r="G33" s="24">
        <f>SUM(G30:G32)</f>
        <v>261108000</v>
      </c>
      <c r="H33" s="7"/>
    </row>
    <row r="34" spans="1:8" ht="24" customHeight="1" x14ac:dyDescent="0.25">
      <c r="A34" s="22"/>
      <c r="B34" s="8" t="s">
        <v>5</v>
      </c>
      <c r="C34" s="9"/>
      <c r="D34" s="9"/>
      <c r="E34" s="10"/>
      <c r="F34" s="10"/>
      <c r="G34" s="10"/>
    </row>
    <row r="35" spans="1:8" ht="29.25" customHeight="1" x14ac:dyDescent="0.25">
      <c r="B35" s="55" t="s">
        <v>81</v>
      </c>
      <c r="C35" s="56"/>
      <c r="D35" s="56"/>
      <c r="E35" s="56"/>
      <c r="F35" s="56"/>
      <c r="G35" s="57"/>
    </row>
    <row r="36" spans="1:8" x14ac:dyDescent="0.25">
      <c r="B36" s="3" t="s">
        <v>22</v>
      </c>
    </row>
    <row r="37" spans="1:8" x14ac:dyDescent="0.25">
      <c r="B37" s="58" t="s">
        <v>26</v>
      </c>
      <c r="C37" s="63"/>
      <c r="D37" s="63"/>
      <c r="E37" s="63"/>
      <c r="F37" s="63"/>
      <c r="G37" s="59"/>
    </row>
    <row r="38" spans="1:8" x14ac:dyDescent="0.25">
      <c r="B38" s="55" t="s">
        <v>23</v>
      </c>
      <c r="C38" s="56"/>
      <c r="D38" s="56"/>
      <c r="E38" s="56"/>
      <c r="F38" s="56"/>
      <c r="G38" s="57"/>
    </row>
    <row r="39" spans="1:8" x14ac:dyDescent="0.25">
      <c r="B39" s="3" t="s">
        <v>20</v>
      </c>
    </row>
    <row r="40" spans="1:8" ht="51.75" customHeight="1" x14ac:dyDescent="0.25">
      <c r="B40" s="58" t="s">
        <v>15</v>
      </c>
      <c r="C40" s="59"/>
    </row>
    <row r="41" spans="1:8" ht="13.5" customHeight="1" x14ac:dyDescent="0.25">
      <c r="A41" s="23"/>
      <c r="B41" s="12"/>
    </row>
    <row r="42" spans="1:8" ht="13.5" customHeight="1" x14ac:dyDescent="0.25">
      <c r="B42" s="13" t="s">
        <v>31</v>
      </c>
      <c r="E42" s="25" t="s">
        <v>7</v>
      </c>
      <c r="F42" s="14"/>
    </row>
    <row r="43" spans="1:8" ht="13.5" customHeight="1" x14ac:dyDescent="0.25">
      <c r="B43" s="13" t="s">
        <v>9</v>
      </c>
    </row>
    <row r="44" spans="1:8" ht="13.5" customHeight="1" x14ac:dyDescent="0.25"/>
    <row r="45" spans="1:8" ht="13.5" customHeight="1" x14ac:dyDescent="0.25">
      <c r="C45" s="13"/>
    </row>
    <row r="46" spans="1:8" x14ac:dyDescent="0.25">
      <c r="C46" s="13"/>
    </row>
    <row r="47" spans="1:8" ht="13.5" customHeight="1" x14ac:dyDescent="0.25">
      <c r="B47" s="13" t="s">
        <v>32</v>
      </c>
      <c r="C47" s="13"/>
    </row>
    <row r="48" spans="1:8" x14ac:dyDescent="0.25">
      <c r="B48" s="13" t="s">
        <v>33</v>
      </c>
      <c r="C48" s="13"/>
      <c r="E48" s="47"/>
      <c r="F48" s="48"/>
    </row>
    <row r="49" spans="2:2" x14ac:dyDescent="0.25">
      <c r="B49" s="13" t="s">
        <v>6</v>
      </c>
    </row>
  </sheetData>
  <mergeCells count="26">
    <mergeCell ref="C11:G11"/>
    <mergeCell ref="C1:G4"/>
    <mergeCell ref="B5:G5"/>
    <mergeCell ref="C6:G6"/>
    <mergeCell ref="C10:G10"/>
    <mergeCell ref="C8:G8"/>
    <mergeCell ref="C9:G9"/>
    <mergeCell ref="D7:E7"/>
    <mergeCell ref="F7:G7"/>
    <mergeCell ref="E48:F48"/>
    <mergeCell ref="C13:G13"/>
    <mergeCell ref="C14:G14"/>
    <mergeCell ref="A33:F33"/>
    <mergeCell ref="B38:G38"/>
    <mergeCell ref="B40:C40"/>
    <mergeCell ref="B15:G15"/>
    <mergeCell ref="A30:F30"/>
    <mergeCell ref="B37:G37"/>
    <mergeCell ref="B35:G35"/>
    <mergeCell ref="A31:F31"/>
    <mergeCell ref="E17:E28"/>
    <mergeCell ref="F17:F27"/>
    <mergeCell ref="G17:G27"/>
    <mergeCell ref="A32:F32"/>
    <mergeCell ref="F12:G12"/>
    <mergeCell ref="D12:E12"/>
  </mergeCells>
  <phoneticPr fontId="0" type="noConversion"/>
  <pageMargins left="0" right="0" top="0" bottom="0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innotel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hai</dc:creator>
  <cp:lastModifiedBy>Trần Vương Nhật</cp:lastModifiedBy>
  <cp:lastPrinted>2025-04-24T04:05:03Z</cp:lastPrinted>
  <dcterms:created xsi:type="dcterms:W3CDTF">2001-06-27T18:38:16Z</dcterms:created>
  <dcterms:modified xsi:type="dcterms:W3CDTF">2026-07-10T08:22:01Z</dcterms:modified>
</cp:coreProperties>
</file>