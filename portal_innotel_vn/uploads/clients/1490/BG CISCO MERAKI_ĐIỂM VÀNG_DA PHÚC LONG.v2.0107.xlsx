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f0e530f1a51b529a/Máy tính/BÁN HÀNG/Dự án/Tháng 5.2026/Meraki/"/>
    </mc:Choice>
  </mc:AlternateContent>
  <xr:revisionPtr revIDLastSave="5" documentId="8_{F2EE896F-6A8B-4AFF-A89D-6032BBB27BBB}" xr6:coauthVersionLast="47" xr6:coauthVersionMax="47" xr10:uidLastSave="{0D85E944-7293-4083-9A67-681E2643E5D8}"/>
  <bookViews>
    <workbookView xWindow="-120" yWindow="-120" windowWidth="20730" windowHeight="11310" xr2:uid="{00000000-000D-0000-FFFF-FFFF00000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 l="1"/>
  <c r="G22" i="2"/>
  <c r="G17" i="2"/>
  <c r="G20" i="2"/>
  <c r="G24" i="2" s="1"/>
  <c r="G25" i="2" s="1"/>
  <c r="C13" i="2" l="1"/>
  <c r="G26" i="2" l="1"/>
</calcChain>
</file>

<file path=xl/sharedStrings.xml><?xml version="1.0" encoding="utf-8"?>
<sst xmlns="http://schemas.openxmlformats.org/spreadsheetml/2006/main" count="58" uniqueCount="53">
  <si>
    <t>TEL:</t>
  </si>
  <si>
    <t>Ngày :</t>
  </si>
  <si>
    <t>SL</t>
  </si>
  <si>
    <t>Kính gửi:</t>
  </si>
  <si>
    <t>Chủ đề</t>
  </si>
  <si>
    <t>CÁC ĐIỀU KHOẢN THƯƠNG MẠI</t>
  </si>
  <si>
    <t>Web: http://www.innotel.com.vn</t>
  </si>
  <si>
    <t>Xác nhận đặt hàng</t>
  </si>
  <si>
    <t>Thành tiền
(vnđ)</t>
  </si>
  <si>
    <r>
      <t xml:space="preserve">THUAN PHONG INNOVATIVE TELECOMMUNICATION CO., LTD.
</t>
    </r>
    <r>
      <rPr>
        <sz val="11"/>
        <rFont val="Times New Roman"/>
        <family val="1"/>
      </rPr>
      <t>Website: http://www.innotel.com.vn            Email: sales@innotel.com.vn
Tel: (84 8) 38621119.                      Fax: (84 8) 38630366.
55/31 Tran Dinh Xu, Cau Kho Ward, Distric 1, HCMC, Vietnam</t>
    </r>
  </si>
  <si>
    <t>Nhân viên kinh doanh</t>
  </si>
  <si>
    <t>Địa chỉ:</t>
  </si>
  <si>
    <t>MST:</t>
  </si>
  <si>
    <t>FAX</t>
  </si>
  <si>
    <t>Trần Vương Nhật</t>
  </si>
  <si>
    <t>Đơn giá chưa vat
(vnđ)</t>
  </si>
  <si>
    <t>TỔNG CHƯA VAT</t>
  </si>
  <si>
    <t>TỔNG ĐÃ VAT</t>
  </si>
  <si>
    <t>Email: nhat@innotel.com.vn</t>
  </si>
  <si>
    <t>Mob: 0911418220</t>
  </si>
  <si>
    <t xml:space="preserve">6. Thanh toán bằng chuyển khoản hoặc tiền mặt
Công ty TNHH Viễn thông sáng tạo Thuận Phong 
Số tài khoản: 17058209 tại ngân hàng ACB Hồ Chí Minh </t>
  </si>
  <si>
    <t>Đại diện mua hàng:</t>
  </si>
  <si>
    <t>Trần Vương Nhật                            Chức Danh: Nhân viên kinh doanh</t>
  </si>
  <si>
    <t>Người bán</t>
  </si>
  <si>
    <t>Chức vụ</t>
  </si>
  <si>
    <t>STT</t>
  </si>
  <si>
    <t>Mô Tả</t>
  </si>
  <si>
    <t>5. Địa chỉ bảo hành: Tại 55/31 Trần Đình Xu, Q1</t>
  </si>
  <si>
    <t>BÁO GIÁ THIẾT BỊ</t>
  </si>
  <si>
    <t xml:space="preserve">2. Địa chỉ giao hàng: : </t>
  </si>
  <si>
    <t xml:space="preserve">3. Người nhận hàng:          SĐT: 
                                     </t>
  </si>
  <si>
    <t>4. Thanh toán: thỏa thuận</t>
  </si>
  <si>
    <t>Bảo hành</t>
  </si>
  <si>
    <t>1 năm</t>
  </si>
  <si>
    <t>CÔNG TY TNHH THƯƠNG MẠI DỊCH VỤ KỸ THUẬT ĐIỂM VÀNG</t>
  </si>
  <si>
    <t>Mr. Hà</t>
  </si>
  <si>
    <t xml:space="preserve"> Giám Đốc</t>
  </si>
  <si>
    <t>42 Nguyễn Thái Bình, Phường Bến Thành, TP Hồ Chí Minh, Việt Nam</t>
  </si>
  <si>
    <t>0310726747</t>
  </si>
  <si>
    <t>Cisco Meraki</t>
  </si>
  <si>
    <t>MR46-HW</t>
  </si>
  <si>
    <t>Mã hàng</t>
  </si>
  <si>
    <t>Meraki MR46 Wi-Fi 6 Indoor AP</t>
  </si>
  <si>
    <t>LIC-ENT-3YR</t>
  </si>
  <si>
    <t>Meraki MR Enterprise License, 3YR</t>
  </si>
  <si>
    <t>3 năm</t>
  </si>
  <si>
    <t>VAT 8%</t>
  </si>
  <si>
    <t>C1200-24FP-4G</t>
  </si>
  <si>
    <t>1. Thời gian giao hàng trong vòng 10-12 tuần kể từ ngày xác nhận đặt hàng</t>
  </si>
  <si>
    <r>
      <t xml:space="preserve">Lưu ý: </t>
    </r>
    <r>
      <rPr>
        <sz val="11"/>
        <color rgb="FFFF0000"/>
        <rFont val="Times New Roman"/>
        <family val="1"/>
      </rPr>
      <t>Lic meraki renew theo chính sách thuế mới là gói dịch vụ (vat 10%)</t>
    </r>
  </si>
  <si>
    <t>Catalyst 1200 24-port GE, PoE 375W, 4x1G SFP, Rack-mountable</t>
  </si>
  <si>
    <t>Công lắp đặt
Đo kiểm và bấm lại đầu dây mạng toàn bộ các line về tủ IT
Rút bỏ các dây mạng không còn sử dụng
Sắp xếp, làm gọn tủ IT đảm bảo tiêu chuẩn vận hành</t>
  </si>
  <si>
    <t>Nhân công tại HCM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</si>
</sst>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409]mmm\-yy;@"/>
    <numFmt numFmtId="166" formatCode="_-* #,##0\ _₫_-;\-* #,##0\ _₫_-;_-* &quot;-&quot;??\ _₫_-;_-@_-"/>
    <numFmt numFmtId="167" formatCode="#.0"/>
  </numFmts>
  <fonts count="13" x14ac:knownFonts="1">
    <font>
      <sz val="10"/>
      <name val="Arial"/>
    </font>
    <font>
      <sz val="10"/>
      <name val="Arial"/>
      <family val="2"/>
    </font>
    <font>
      <sz val="10"/>
      <name val="Arial"/>
      <family val="2"/>
    </font>
    <font>
      <b/>
      <sz val="11"/>
      <name val="Times New Roman"/>
      <family val="1"/>
    </font>
    <font>
      <sz val="11"/>
      <name val="Times New Roman"/>
      <family val="1"/>
    </font>
    <font>
      <b/>
      <u/>
      <sz val="11"/>
      <name val="Times New Roman"/>
      <family val="1"/>
    </font>
    <font>
      <u/>
      <sz val="11"/>
      <name val="Times New Roman"/>
      <family val="1"/>
    </font>
    <font>
      <sz val="9"/>
      <color indexed="8"/>
      <name val="Helvetica"/>
    </font>
    <font>
      <b/>
      <sz val="9"/>
      <color indexed="8"/>
      <name val="Helvetica"/>
    </font>
    <font>
      <sz val="10"/>
      <name val="Arial"/>
      <family val="2"/>
    </font>
    <font>
      <b/>
      <sz val="11"/>
      <color theme="1"/>
      <name val="Times New Roman"/>
      <family val="1"/>
    </font>
    <font>
      <sz val="11"/>
      <color theme="1"/>
      <name val="Times New Roman"/>
      <family val="1"/>
    </font>
    <font>
      <sz val="11"/>
      <color rgb="FFFF0000"/>
      <name val="Times New Roman"/>
      <family val="1"/>
    </font>
  </fonts>
  <fills count="5">
    <fill>
      <patternFill patternType="none"/>
    </fill>
    <fill>
      <patternFill patternType="gray125"/>
    </fill>
    <fill>
      <patternFill patternType="solid">
        <fgColor indexed="46"/>
        <bgColor indexed="64"/>
      </patternFill>
    </fill>
    <fill>
      <patternFill patternType="solid">
        <fgColor theme="0"/>
        <bgColor indexed="64"/>
      </patternFill>
    </fill>
    <fill>
      <patternFill patternType="solid">
        <fgColor rgb="FFFFFF00"/>
        <bgColor indexed="64"/>
      </patternFill>
    </fill>
  </fills>
  <borders count="2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double">
        <color indexed="64"/>
      </bottom>
      <diagonal/>
    </border>
    <border>
      <left style="thin">
        <color indexed="64"/>
      </left>
      <right style="thin">
        <color indexed="64"/>
      </right>
      <top style="thin">
        <color indexed="64"/>
      </top>
      <bottom style="thin">
        <color indexed="64"/>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diagonal/>
    </border>
    <border>
      <left style="thin">
        <color indexed="9"/>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9"/>
      </left>
      <right/>
      <top/>
      <bottom style="thin">
        <color indexed="64"/>
      </bottom>
      <diagonal/>
    </border>
    <border>
      <left/>
      <right/>
      <top/>
      <bottom style="thin">
        <color indexed="64"/>
      </bottom>
      <diagonal/>
    </border>
    <border>
      <left/>
      <right style="thin">
        <color indexed="9"/>
      </right>
      <top/>
      <bottom style="thin">
        <color indexed="64"/>
      </bottom>
      <diagonal/>
    </border>
    <border>
      <left/>
      <right/>
      <top style="thin">
        <color indexed="9"/>
      </top>
      <bottom/>
      <diagonal/>
    </border>
    <border>
      <left/>
      <right style="thin">
        <color indexed="9"/>
      </right>
      <top style="thin">
        <color indexed="9"/>
      </top>
      <bottom/>
      <diagonal/>
    </border>
    <border>
      <left/>
      <right style="thin">
        <color indexed="9"/>
      </right>
      <top/>
      <bottom/>
      <diagonal/>
    </border>
    <border>
      <left style="thin">
        <color indexed="9"/>
      </left>
      <right/>
      <top/>
      <bottom style="double">
        <color indexed="64"/>
      </bottom>
      <diagonal/>
    </border>
    <border>
      <left/>
      <right/>
      <top/>
      <bottom style="double">
        <color indexed="64"/>
      </bottom>
      <diagonal/>
    </border>
    <border>
      <left/>
      <right style="thin">
        <color indexed="9"/>
      </right>
      <top/>
      <bottom style="double">
        <color indexed="64"/>
      </bottom>
      <diagonal/>
    </border>
    <border>
      <left/>
      <right style="thin">
        <color indexed="64"/>
      </right>
      <top style="thin">
        <color indexed="64"/>
      </top>
      <bottom style="thin">
        <color indexed="64"/>
      </bottom>
      <diagonal/>
    </border>
    <border>
      <left style="thin">
        <color indexed="9"/>
      </left>
      <right/>
      <top style="thin">
        <color indexed="9"/>
      </top>
      <bottom style="thin">
        <color indexed="64"/>
      </bottom>
      <diagonal/>
    </border>
    <border>
      <left/>
      <right/>
      <top style="thin">
        <color indexed="9"/>
      </top>
      <bottom style="thin">
        <color indexed="64"/>
      </bottom>
      <diagonal/>
    </border>
    <border>
      <left/>
      <right style="thin">
        <color indexed="9"/>
      </right>
      <top style="thin">
        <color indexed="9"/>
      </top>
      <bottom style="thin">
        <color indexed="64"/>
      </bottom>
      <diagonal/>
    </border>
    <border>
      <left style="thin">
        <color indexed="9"/>
      </left>
      <right/>
      <top style="thin">
        <color indexed="9"/>
      </top>
      <bottom style="thin">
        <color indexed="9"/>
      </bottom>
      <diagonal/>
    </border>
    <border>
      <left/>
      <right/>
      <top style="thin">
        <color indexed="9"/>
      </top>
      <bottom style="thin">
        <color indexed="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s>
  <cellStyleXfs count="6">
    <xf numFmtId="0" fontId="0" fillId="0" borderId="0"/>
    <xf numFmtId="43" fontId="1" fillId="0" borderId="0" applyFont="0" applyFill="0" applyBorder="0" applyAlignment="0" applyProtection="0"/>
    <xf numFmtId="0" fontId="2" fillId="0" borderId="0"/>
    <xf numFmtId="165" fontId="2" fillId="0" borderId="0"/>
    <xf numFmtId="0" fontId="2" fillId="0" borderId="0"/>
    <xf numFmtId="44" fontId="9" fillId="0" borderId="0" applyFont="0" applyFill="0" applyBorder="0" applyAlignment="0" applyProtection="0"/>
  </cellStyleXfs>
  <cellXfs count="105">
    <xf numFmtId="0" fontId="0" fillId="0" borderId="0" xfId="0"/>
    <xf numFmtId="0" fontId="4" fillId="0" borderId="3" xfId="0" applyFont="1" applyBorder="1" applyAlignment="1">
      <alignment vertical="center" wrapText="1"/>
    </xf>
    <xf numFmtId="0" fontId="4" fillId="0" borderId="4" xfId="0" applyFont="1" applyBorder="1"/>
    <xf numFmtId="0" fontId="4" fillId="0" borderId="1" xfId="0" applyFont="1" applyBorder="1"/>
    <xf numFmtId="0" fontId="3" fillId="2" borderId="3" xfId="0" applyFont="1" applyFill="1" applyBorder="1" applyAlignment="1">
      <alignment horizontal="center" vertical="center" wrapText="1"/>
    </xf>
    <xf numFmtId="164" fontId="3" fillId="2" borderId="3" xfId="1" applyNumberFormat="1" applyFont="1" applyFill="1" applyBorder="1" applyAlignment="1">
      <alignment horizontal="center" vertical="center" wrapText="1"/>
    </xf>
    <xf numFmtId="0" fontId="4" fillId="0" borderId="4" xfId="0" applyFont="1" applyBorder="1" applyAlignment="1">
      <alignment horizontal="center" vertical="top" wrapText="1"/>
    </xf>
    <xf numFmtId="0" fontId="4" fillId="0" borderId="4" xfId="0" applyFont="1" applyBorder="1" applyAlignment="1">
      <alignment vertical="center"/>
    </xf>
    <xf numFmtId="0" fontId="5" fillId="0" borderId="5" xfId="0" applyFont="1" applyBorder="1"/>
    <xf numFmtId="0" fontId="4" fillId="0" borderId="5" xfId="0" applyFont="1" applyBorder="1"/>
    <xf numFmtId="164" fontId="4" fillId="0" borderId="5" xfId="1" applyNumberFormat="1" applyFont="1" applyBorder="1"/>
    <xf numFmtId="164" fontId="4" fillId="0" borderId="1" xfId="1" applyNumberFormat="1" applyFont="1" applyBorder="1"/>
    <xf numFmtId="0" fontId="4" fillId="0" borderId="0" xfId="0" applyFont="1" applyAlignment="1">
      <alignment horizontal="left"/>
    </xf>
    <xf numFmtId="0" fontId="3" fillId="0" borderId="1" xfId="0" applyFont="1" applyBorder="1"/>
    <xf numFmtId="164" fontId="6" fillId="0" borderId="1" xfId="1" applyNumberFormat="1" applyFont="1" applyBorder="1"/>
    <xf numFmtId="0" fontId="3" fillId="0" borderId="2" xfId="0" applyFont="1" applyBorder="1"/>
    <xf numFmtId="0" fontId="4" fillId="0" borderId="2" xfId="0" applyFont="1" applyBorder="1"/>
    <xf numFmtId="0" fontId="3" fillId="0" borderId="6" xfId="0" applyFont="1" applyBorder="1"/>
    <xf numFmtId="0" fontId="3" fillId="0" borderId="3" xfId="0" applyFont="1" applyBorder="1"/>
    <xf numFmtId="0" fontId="3" fillId="0" borderId="7" xfId="0" applyFont="1" applyBorder="1"/>
    <xf numFmtId="0" fontId="4" fillId="0" borderId="1" xfId="0" applyFont="1" applyBorder="1" applyAlignment="1">
      <alignment horizontal="center" vertical="top" wrapText="1"/>
    </xf>
    <xf numFmtId="0" fontId="4" fillId="0" borderId="1" xfId="0" applyFont="1" applyBorder="1" applyAlignment="1">
      <alignment vertical="center"/>
    </xf>
    <xf numFmtId="0" fontId="3" fillId="0" borderId="5" xfId="0" applyFont="1" applyBorder="1"/>
    <xf numFmtId="0" fontId="3" fillId="0" borderId="0" xfId="0" applyFont="1"/>
    <xf numFmtId="166" fontId="3" fillId="0" borderId="3" xfId="1" applyNumberFormat="1" applyFont="1" applyFill="1" applyBorder="1" applyAlignment="1">
      <alignment vertical="center"/>
    </xf>
    <xf numFmtId="164" fontId="5" fillId="0" borderId="1" xfId="1" applyNumberFormat="1" applyFont="1" applyBorder="1"/>
    <xf numFmtId="1" fontId="7" fillId="0" borderId="3" xfId="0" applyNumberFormat="1" applyFont="1" applyBorder="1" applyAlignment="1">
      <alignment horizontal="center" vertical="center" wrapText="1"/>
    </xf>
    <xf numFmtId="0" fontId="3" fillId="2" borderId="3" xfId="0" applyFont="1" applyFill="1" applyBorder="1" applyAlignment="1">
      <alignment vertical="center" wrapText="1"/>
    </xf>
    <xf numFmtId="0" fontId="7" fillId="0" borderId="3" xfId="0" applyFont="1" applyBorder="1" applyAlignment="1">
      <alignment horizontal="left" vertical="top" wrapText="1"/>
    </xf>
    <xf numFmtId="2" fontId="3" fillId="2" borderId="3" xfId="0" applyNumberFormat="1" applyFont="1" applyFill="1" applyBorder="1" applyAlignment="1">
      <alignment horizontal="center" vertical="center" wrapText="1"/>
    </xf>
    <xf numFmtId="2" fontId="4" fillId="0" borderId="5" xfId="0" applyNumberFormat="1" applyFont="1" applyBorder="1"/>
    <xf numFmtId="2" fontId="4" fillId="0" borderId="1" xfId="0" applyNumberFormat="1" applyFont="1" applyBorder="1"/>
    <xf numFmtId="0" fontId="8" fillId="0" borderId="3" xfId="0" applyFont="1" applyBorder="1" applyAlignment="1">
      <alignment horizontal="left" vertical="top" wrapText="1"/>
    </xf>
    <xf numFmtId="1" fontId="8"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167" fontId="7" fillId="0" borderId="3" xfId="0" applyNumberFormat="1" applyFont="1" applyBorder="1" applyAlignment="1">
      <alignment horizontal="center" vertical="center" wrapText="1"/>
    </xf>
    <xf numFmtId="0" fontId="7" fillId="0" borderId="3" xfId="0" applyFont="1" applyBorder="1" applyAlignment="1">
      <alignment horizontal="center" vertical="center" wrapText="1"/>
    </xf>
    <xf numFmtId="164" fontId="10" fillId="0" borderId="3" xfId="1" applyNumberFormat="1" applyFont="1" applyFill="1" applyBorder="1" applyAlignment="1">
      <alignment horizontal="center" vertical="center"/>
    </xf>
    <xf numFmtId="44" fontId="4" fillId="3" borderId="3" xfId="5" applyFont="1" applyFill="1" applyBorder="1" applyAlignment="1">
      <alignment horizontal="left" vertical="center" wrapText="1"/>
    </xf>
    <xf numFmtId="164" fontId="11" fillId="0" borderId="3" xfId="1" applyNumberFormat="1" applyFont="1" applyFill="1" applyBorder="1" applyAlignment="1">
      <alignment horizontal="center" vertical="center"/>
    </xf>
    <xf numFmtId="167" fontId="7" fillId="0" borderId="25" xfId="0" applyNumberFormat="1" applyFont="1" applyBorder="1" applyAlignment="1">
      <alignment horizontal="center" vertical="center" wrapText="1"/>
    </xf>
    <xf numFmtId="0" fontId="7" fillId="0" borderId="25" xfId="0" applyFont="1" applyBorder="1" applyAlignment="1">
      <alignment horizontal="left" vertical="center" wrapText="1"/>
    </xf>
    <xf numFmtId="0" fontId="7" fillId="0" borderId="25" xfId="0" applyFont="1" applyBorder="1" applyAlignment="1">
      <alignment horizontal="left" vertical="top" wrapText="1"/>
    </xf>
    <xf numFmtId="1" fontId="7" fillId="0" borderId="25" xfId="0" applyNumberFormat="1" applyFont="1" applyBorder="1" applyAlignment="1">
      <alignment horizontal="center" vertical="center" wrapText="1"/>
    </xf>
    <xf numFmtId="167" fontId="7" fillId="0" borderId="26" xfId="0" applyNumberFormat="1" applyFont="1" applyBorder="1" applyAlignment="1">
      <alignment horizontal="center" vertical="center" wrapText="1"/>
    </xf>
    <xf numFmtId="0" fontId="7" fillId="0" borderId="26" xfId="0" applyFont="1" applyBorder="1" applyAlignment="1">
      <alignment horizontal="left" vertical="center" wrapText="1"/>
    </xf>
    <xf numFmtId="0" fontId="7" fillId="0" borderId="26" xfId="0" applyFont="1" applyBorder="1" applyAlignment="1">
      <alignment horizontal="left" vertical="top" wrapText="1"/>
    </xf>
    <xf numFmtId="1" fontId="8" fillId="0" borderId="26" xfId="0" applyNumberFormat="1" applyFont="1" applyBorder="1" applyAlignment="1">
      <alignment horizontal="center" vertical="center" wrapText="1"/>
    </xf>
    <xf numFmtId="167" fontId="7" fillId="4" borderId="0" xfId="0" applyNumberFormat="1" applyFont="1" applyFill="1" applyAlignment="1">
      <alignment horizontal="center" vertical="center" wrapText="1"/>
    </xf>
    <xf numFmtId="0" fontId="7" fillId="4" borderId="0" xfId="0" applyFont="1" applyFill="1" applyAlignment="1">
      <alignment horizontal="left" vertical="center" wrapText="1"/>
    </xf>
    <xf numFmtId="0" fontId="7" fillId="4" borderId="0" xfId="0" applyFont="1" applyFill="1" applyAlignment="1">
      <alignment horizontal="left" vertical="top" wrapText="1"/>
    </xf>
    <xf numFmtId="1" fontId="7" fillId="4" borderId="0" xfId="0" applyNumberFormat="1" applyFont="1" applyFill="1" applyAlignment="1">
      <alignment horizontal="center" vertical="center" wrapText="1"/>
    </xf>
    <xf numFmtId="44" fontId="4" fillId="4" borderId="0" xfId="5" applyFont="1" applyFill="1" applyBorder="1" applyAlignment="1">
      <alignment horizontal="left" vertical="center" wrapText="1"/>
    </xf>
    <xf numFmtId="164" fontId="11" fillId="4" borderId="0" xfId="1" applyNumberFormat="1" applyFont="1" applyFill="1" applyBorder="1" applyAlignment="1">
      <alignment horizontal="center" vertical="center"/>
    </xf>
    <xf numFmtId="164" fontId="10" fillId="4" borderId="0" xfId="1" applyNumberFormat="1" applyFont="1" applyFill="1" applyBorder="1" applyAlignment="1">
      <alignment horizontal="center" vertical="center"/>
    </xf>
    <xf numFmtId="0" fontId="3" fillId="0" borderId="27" xfId="0" applyFont="1" applyBorder="1" applyAlignment="1">
      <alignment horizontal="left" vertical="center"/>
    </xf>
    <xf numFmtId="164" fontId="11" fillId="0" borderId="3" xfId="1" applyNumberFormat="1" applyFont="1" applyFill="1" applyBorder="1" applyAlignment="1">
      <alignment horizontal="center" vertical="center"/>
    </xf>
    <xf numFmtId="164" fontId="11" fillId="0" borderId="25" xfId="1" applyNumberFormat="1" applyFont="1" applyFill="1" applyBorder="1" applyAlignment="1">
      <alignment horizontal="center" vertical="center"/>
    </xf>
    <xf numFmtId="164" fontId="10" fillId="0" borderId="3" xfId="1" applyNumberFormat="1" applyFont="1" applyFill="1" applyBorder="1" applyAlignment="1">
      <alignment horizontal="center" vertical="center"/>
    </xf>
    <xf numFmtId="164" fontId="10" fillId="0" borderId="25" xfId="1" applyNumberFormat="1" applyFont="1" applyFill="1" applyBorder="1" applyAlignment="1">
      <alignment horizontal="center" vertical="center"/>
    </xf>
    <xf numFmtId="44" fontId="4" fillId="3" borderId="26" xfId="5" applyFont="1" applyFill="1" applyBorder="1" applyAlignment="1">
      <alignment horizontal="left" vertical="center" wrapText="1"/>
    </xf>
    <xf numFmtId="44" fontId="4" fillId="3" borderId="3" xfId="5" applyFont="1" applyFill="1" applyBorder="1" applyAlignment="1">
      <alignment horizontal="left" vertical="center" wrapText="1"/>
    </xf>
    <xf numFmtId="164" fontId="11" fillId="0" borderId="26" xfId="1" applyNumberFormat="1" applyFont="1" applyFill="1" applyBorder="1" applyAlignment="1">
      <alignment horizontal="center" vertical="center"/>
    </xf>
    <xf numFmtId="164" fontId="10" fillId="0" borderId="26" xfId="1" applyNumberFormat="1" applyFont="1" applyFill="1" applyBorder="1" applyAlignment="1">
      <alignment horizontal="center" vertical="center"/>
    </xf>
    <xf numFmtId="0" fontId="3" fillId="0" borderId="6" xfId="0" applyFont="1" applyBorder="1" applyAlignment="1">
      <alignment horizontal="center" vertical="center" wrapText="1"/>
    </xf>
    <xf numFmtId="0" fontId="4" fillId="0" borderId="13" xfId="0" applyFont="1" applyBorder="1"/>
    <xf numFmtId="0" fontId="4" fillId="0" borderId="14" xfId="0" applyFont="1" applyBorder="1"/>
    <xf numFmtId="0" fontId="4" fillId="0" borderId="7" xfId="0" applyFont="1" applyBorder="1"/>
    <xf numFmtId="0" fontId="4" fillId="0" borderId="0" xfId="0" applyFont="1"/>
    <xf numFmtId="0" fontId="4" fillId="0" borderId="15" xfId="0" applyFont="1" applyBorder="1"/>
    <xf numFmtId="0" fontId="4" fillId="0" borderId="16" xfId="0" applyFont="1" applyBorder="1"/>
    <xf numFmtId="0" fontId="4" fillId="0" borderId="17" xfId="0" applyFont="1" applyBorder="1"/>
    <xf numFmtId="0" fontId="4" fillId="0" borderId="18" xfId="0" applyFont="1" applyBorder="1"/>
    <xf numFmtId="0" fontId="3"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9" xfId="0" applyFont="1" applyBorder="1" applyAlignment="1">
      <alignment vertical="center" wrapText="1"/>
    </xf>
    <xf numFmtId="0" fontId="4" fillId="0" borderId="3" xfId="0" applyFont="1" applyBorder="1" applyAlignment="1">
      <alignment horizontal="left" vertical="center" wrapText="1"/>
    </xf>
    <xf numFmtId="0" fontId="4" fillId="0" borderId="8" xfId="0" quotePrefix="1" applyFont="1" applyBorder="1" applyAlignment="1">
      <alignment horizontal="left" vertical="center" wrapText="1"/>
    </xf>
    <xf numFmtId="0" fontId="4" fillId="0" borderId="9" xfId="0" applyFont="1" applyBorder="1" applyAlignment="1">
      <alignment horizontal="left" vertical="center" wrapText="1"/>
    </xf>
    <xf numFmtId="0" fontId="4" fillId="0" borderId="19" xfId="0" applyFont="1" applyBorder="1" applyAlignment="1">
      <alignment horizontal="left" vertical="center" wrapText="1"/>
    </xf>
    <xf numFmtId="0" fontId="4" fillId="0" borderId="8" xfId="0" applyFont="1" applyBorder="1" applyAlignment="1">
      <alignment horizontal="left" vertical="center" wrapText="1"/>
    </xf>
    <xf numFmtId="0" fontId="4" fillId="0" borderId="8" xfId="0" applyFont="1" applyBorder="1" applyAlignment="1">
      <alignment horizontal="center" vertical="center" wrapText="1"/>
    </xf>
    <xf numFmtId="0" fontId="4" fillId="0" borderId="19" xfId="0" applyFont="1" applyBorder="1" applyAlignment="1">
      <alignment horizontal="center" vertical="center" wrapText="1"/>
    </xf>
    <xf numFmtId="164" fontId="3" fillId="0" borderId="23" xfId="1" applyNumberFormat="1" applyFont="1" applyBorder="1" applyAlignment="1">
      <alignment horizontal="center" wrapText="1"/>
    </xf>
    <xf numFmtId="164" fontId="3" fillId="0" borderId="4" xfId="1" applyNumberFormat="1" applyFont="1" applyBorder="1" applyAlignment="1">
      <alignment horizontal="center" wrapText="1"/>
    </xf>
    <xf numFmtId="15" fontId="4" fillId="0" borderId="8" xfId="0" quotePrefix="1" applyNumberFormat="1" applyFont="1" applyBorder="1" applyAlignment="1">
      <alignment horizontal="left" vertical="center" wrapText="1"/>
    </xf>
    <xf numFmtId="15" fontId="4" fillId="0" borderId="9" xfId="0" quotePrefix="1" applyNumberFormat="1" applyFont="1" applyBorder="1" applyAlignment="1">
      <alignment horizontal="left" vertical="center" wrapText="1"/>
    </xf>
    <xf numFmtId="15" fontId="4" fillId="0" borderId="19" xfId="0" quotePrefix="1" applyNumberFormat="1"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9" xfId="0" applyFont="1" applyBorder="1" applyAlignment="1">
      <alignment horizontal="left" vertical="center" wrapText="1"/>
    </xf>
    <xf numFmtId="0" fontId="3" fillId="0" borderId="3" xfId="0" applyFont="1" applyBorder="1" applyAlignment="1">
      <alignment horizontal="center" vertical="center"/>
    </xf>
    <xf numFmtId="0" fontId="4" fillId="0" borderId="23" xfId="0" applyFont="1" applyBorder="1" applyAlignment="1">
      <alignment horizontal="left" wrapText="1"/>
    </xf>
    <xf numFmtId="0" fontId="4" fillId="0" borderId="24" xfId="0" applyFont="1" applyBorder="1" applyAlignment="1">
      <alignment horizontal="left" wrapText="1"/>
    </xf>
    <xf numFmtId="0" fontId="4" fillId="0" borderId="4" xfId="0" applyFont="1" applyBorder="1" applyAlignment="1">
      <alignment horizontal="left" wrapText="1"/>
    </xf>
    <xf numFmtId="0" fontId="4" fillId="0" borderId="23" xfId="0" applyFont="1" applyBorder="1" applyAlignment="1">
      <alignment horizontal="left" vertical="top" wrapText="1"/>
    </xf>
    <xf numFmtId="0" fontId="4" fillId="0" borderId="4" xfId="0" applyFont="1" applyBorder="1" applyAlignment="1">
      <alignment horizontal="left" vertical="top" wrapText="1"/>
    </xf>
    <xf numFmtId="0" fontId="4" fillId="0" borderId="10" xfId="0" applyFont="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0" fontId="4" fillId="0" borderId="24" xfId="0" applyFont="1" applyBorder="1" applyAlignment="1">
      <alignment horizontal="left" vertical="top" wrapText="1"/>
    </xf>
    <xf numFmtId="44" fontId="4" fillId="3" borderId="25" xfId="5" applyFont="1" applyFill="1" applyBorder="1" applyAlignment="1">
      <alignment horizontal="left" vertical="center" wrapText="1"/>
    </xf>
  </cellXfs>
  <cellStyles count="6">
    <cellStyle name="Comma" xfId="1" builtinId="3"/>
    <cellStyle name="Currency" xfId="5" builtinId="4"/>
    <cellStyle name="Normal" xfId="0" builtinId="0"/>
    <cellStyle name="Normal - Style1 2" xfId="4" xr:uid="{00000000-0005-0000-0000-000002000000}"/>
    <cellStyle name="Normal 2" xfId="2" xr:uid="{00000000-0005-0000-0000-000003000000}"/>
    <cellStyle name="Normal 4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0</xdr:row>
      <xdr:rowOff>38100</xdr:rowOff>
    </xdr:from>
    <xdr:to>
      <xdr:col>1</xdr:col>
      <xdr:colOff>1101570</xdr:colOff>
      <xdr:row>3</xdr:row>
      <xdr:rowOff>167640</xdr:rowOff>
    </xdr:to>
    <xdr:pic>
      <xdr:nvPicPr>
        <xdr:cNvPr id="2533" name="Picture 28">
          <a:extLst>
            <a:ext uri="{FF2B5EF4-FFF2-40B4-BE49-F238E27FC236}">
              <a16:creationId xmlns:a16="http://schemas.microsoft.com/office/drawing/2014/main" id="{00000000-0008-0000-0000-0000E5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38100"/>
          <a:ext cx="14478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tabSelected="1" topLeftCell="A6" zoomScaleNormal="100" workbookViewId="0">
      <selection activeCell="I21" sqref="I21"/>
    </sheetView>
  </sheetViews>
  <sheetFormatPr defaultColWidth="9.140625" defaultRowHeight="15" x14ac:dyDescent="0.25"/>
  <cols>
    <col min="1" max="1" width="6.28515625" style="13" bestFit="1" customWidth="1"/>
    <col min="2" max="2" width="19.7109375" style="3" customWidth="1"/>
    <col min="3" max="3" width="32" style="3" customWidth="1"/>
    <col min="4" max="4" width="6.140625" style="31" customWidth="1"/>
    <col min="5" max="5" width="8.28515625" style="11" customWidth="1"/>
    <col min="6" max="6" width="16.85546875" style="11" customWidth="1"/>
    <col min="7" max="7" width="16" style="11" customWidth="1"/>
    <col min="8" max="8" width="11" style="3" bestFit="1" customWidth="1"/>
    <col min="9" max="16384" width="9.140625" style="3"/>
  </cols>
  <sheetData>
    <row r="1" spans="1:8" ht="12.75" customHeight="1" x14ac:dyDescent="0.25">
      <c r="C1" s="64" t="s">
        <v>9</v>
      </c>
      <c r="D1" s="65"/>
      <c r="E1" s="65"/>
      <c r="F1" s="65"/>
      <c r="G1" s="66"/>
    </row>
    <row r="2" spans="1:8" ht="12.75" customHeight="1" x14ac:dyDescent="0.25">
      <c r="C2" s="67"/>
      <c r="D2" s="68"/>
      <c r="E2" s="68"/>
      <c r="F2" s="68"/>
      <c r="G2" s="69"/>
    </row>
    <row r="3" spans="1:8" ht="12.75" customHeight="1" x14ac:dyDescent="0.25">
      <c r="C3" s="67"/>
      <c r="D3" s="68"/>
      <c r="E3" s="68"/>
      <c r="F3" s="68"/>
      <c r="G3" s="69"/>
    </row>
    <row r="4" spans="1:8" ht="24" customHeight="1" thickBot="1" x14ac:dyDescent="0.3">
      <c r="A4" s="15"/>
      <c r="B4" s="16"/>
      <c r="C4" s="70"/>
      <c r="D4" s="71"/>
      <c r="E4" s="71"/>
      <c r="F4" s="71"/>
      <c r="G4" s="72"/>
    </row>
    <row r="5" spans="1:8" ht="47.45" customHeight="1" thickTop="1" x14ac:dyDescent="0.25">
      <c r="A5" s="17"/>
      <c r="B5" s="73" t="s">
        <v>28</v>
      </c>
      <c r="C5" s="74"/>
      <c r="D5" s="74"/>
      <c r="E5" s="74"/>
      <c r="F5" s="74"/>
      <c r="G5" s="75"/>
    </row>
    <row r="6" spans="1:8" ht="19.5" customHeight="1" x14ac:dyDescent="0.25">
      <c r="A6" s="18"/>
      <c r="B6" s="1" t="s">
        <v>3</v>
      </c>
      <c r="C6" s="76" t="s">
        <v>34</v>
      </c>
      <c r="D6" s="77"/>
      <c r="E6" s="77"/>
      <c r="F6" s="77"/>
      <c r="G6" s="78"/>
      <c r="H6" s="2"/>
    </row>
    <row r="7" spans="1:8" x14ac:dyDescent="0.25">
      <c r="A7" s="18"/>
      <c r="B7" s="1" t="s">
        <v>21</v>
      </c>
      <c r="C7" s="1" t="s">
        <v>35</v>
      </c>
      <c r="D7" s="84" t="s">
        <v>24</v>
      </c>
      <c r="E7" s="85"/>
      <c r="F7" s="84" t="s">
        <v>36</v>
      </c>
      <c r="G7" s="85"/>
      <c r="H7" s="2"/>
    </row>
    <row r="8" spans="1:8" x14ac:dyDescent="0.25">
      <c r="A8" s="18"/>
      <c r="B8" s="1" t="s">
        <v>12</v>
      </c>
      <c r="C8" s="80" t="s">
        <v>38</v>
      </c>
      <c r="D8" s="81"/>
      <c r="E8" s="81"/>
      <c r="F8" s="81"/>
      <c r="G8" s="82"/>
      <c r="H8" s="2"/>
    </row>
    <row r="9" spans="1:8" ht="30.75" customHeight="1" x14ac:dyDescent="0.25">
      <c r="A9" s="18"/>
      <c r="B9" s="1" t="s">
        <v>11</v>
      </c>
      <c r="C9" s="83" t="s">
        <v>37</v>
      </c>
      <c r="D9" s="81"/>
      <c r="E9" s="81"/>
      <c r="F9" s="81"/>
      <c r="G9" s="82"/>
      <c r="H9" s="2"/>
    </row>
    <row r="10" spans="1:8" x14ac:dyDescent="0.25">
      <c r="A10" s="18"/>
      <c r="B10" s="1" t="s">
        <v>0</v>
      </c>
      <c r="C10" s="79"/>
      <c r="D10" s="79"/>
      <c r="E10" s="79"/>
      <c r="F10" s="79"/>
      <c r="G10" s="79"/>
      <c r="H10" s="2"/>
    </row>
    <row r="11" spans="1:8" x14ac:dyDescent="0.25">
      <c r="A11" s="18"/>
      <c r="B11" s="1" t="s">
        <v>13</v>
      </c>
      <c r="C11" s="83"/>
      <c r="D11" s="81"/>
      <c r="E11" s="81"/>
      <c r="F11" s="81"/>
      <c r="G11" s="82"/>
      <c r="H11" s="2"/>
    </row>
    <row r="12" spans="1:8" ht="16.5" customHeight="1" x14ac:dyDescent="0.25">
      <c r="A12" s="18"/>
      <c r="B12" s="1" t="s">
        <v>23</v>
      </c>
      <c r="C12" s="79" t="s">
        <v>22</v>
      </c>
      <c r="D12" s="79"/>
      <c r="E12" s="79"/>
      <c r="F12" s="79"/>
      <c r="G12" s="79"/>
      <c r="H12" s="2"/>
    </row>
    <row r="13" spans="1:8" ht="15" customHeight="1" x14ac:dyDescent="0.25">
      <c r="A13" s="18"/>
      <c r="B13" s="1" t="s">
        <v>1</v>
      </c>
      <c r="C13" s="88">
        <f ca="1">TODAY()</f>
        <v>46204</v>
      </c>
      <c r="D13" s="89"/>
      <c r="E13" s="89"/>
      <c r="F13" s="89"/>
      <c r="G13" s="90"/>
      <c r="H13" s="2"/>
    </row>
    <row r="14" spans="1:8" ht="30" customHeight="1" x14ac:dyDescent="0.25">
      <c r="A14" s="18"/>
      <c r="B14" s="1" t="s">
        <v>4</v>
      </c>
      <c r="C14" s="91" t="s">
        <v>39</v>
      </c>
      <c r="D14" s="92"/>
      <c r="E14" s="92"/>
      <c r="F14" s="92"/>
      <c r="G14" s="93"/>
      <c r="H14" s="2"/>
    </row>
    <row r="15" spans="1:8" ht="15" customHeight="1" x14ac:dyDescent="0.25">
      <c r="A15" s="19"/>
      <c r="B15" s="100"/>
      <c r="C15" s="101"/>
      <c r="D15" s="101"/>
      <c r="E15" s="101"/>
      <c r="F15" s="101"/>
      <c r="G15" s="102"/>
    </row>
    <row r="16" spans="1:8" s="20" customFormat="1" ht="44.25" customHeight="1" x14ac:dyDescent="0.2">
      <c r="A16" s="4" t="s">
        <v>25</v>
      </c>
      <c r="B16" s="27" t="s">
        <v>41</v>
      </c>
      <c r="C16" s="27" t="s">
        <v>26</v>
      </c>
      <c r="D16" s="29" t="s">
        <v>2</v>
      </c>
      <c r="E16" s="4" t="s">
        <v>32</v>
      </c>
      <c r="F16" s="5" t="s">
        <v>15</v>
      </c>
      <c r="G16" s="5" t="s">
        <v>8</v>
      </c>
      <c r="H16" s="6"/>
    </row>
    <row r="17" spans="1:8" s="20" customFormat="1" x14ac:dyDescent="0.2">
      <c r="A17" s="35">
        <v>1</v>
      </c>
      <c r="B17" s="32" t="s">
        <v>40</v>
      </c>
      <c r="C17" s="28" t="s">
        <v>42</v>
      </c>
      <c r="D17" s="33">
        <v>3</v>
      </c>
      <c r="E17" s="61" t="s">
        <v>45</v>
      </c>
      <c r="F17" s="56">
        <v>20300000</v>
      </c>
      <c r="G17" s="58">
        <f>F17*D17</f>
        <v>60900000</v>
      </c>
      <c r="H17" s="6"/>
    </row>
    <row r="18" spans="1:8" s="21" customFormat="1" x14ac:dyDescent="0.2">
      <c r="A18" s="40">
        <v>1.1000000000000001</v>
      </c>
      <c r="B18" s="41" t="s">
        <v>43</v>
      </c>
      <c r="C18" s="42" t="s">
        <v>44</v>
      </c>
      <c r="D18" s="43">
        <v>3</v>
      </c>
      <c r="E18" s="104"/>
      <c r="F18" s="57"/>
      <c r="G18" s="59"/>
      <c r="H18" s="7"/>
    </row>
    <row r="19" spans="1:8" s="21" customFormat="1" x14ac:dyDescent="0.2">
      <c r="A19" s="48"/>
      <c r="B19" s="49"/>
      <c r="C19" s="50"/>
      <c r="D19" s="51"/>
      <c r="E19" s="52"/>
      <c r="F19" s="53"/>
      <c r="G19" s="54"/>
      <c r="H19" s="7"/>
    </row>
    <row r="20" spans="1:8" s="21" customFormat="1" x14ac:dyDescent="0.2">
      <c r="A20" s="44">
        <v>2</v>
      </c>
      <c r="B20" s="45" t="s">
        <v>40</v>
      </c>
      <c r="C20" s="46" t="s">
        <v>42</v>
      </c>
      <c r="D20" s="47">
        <v>14</v>
      </c>
      <c r="E20" s="60" t="s">
        <v>45</v>
      </c>
      <c r="F20" s="62">
        <v>20300000</v>
      </c>
      <c r="G20" s="63">
        <f>F20*D20</f>
        <v>284200000</v>
      </c>
      <c r="H20" s="7"/>
    </row>
    <row r="21" spans="1:8" s="21" customFormat="1" x14ac:dyDescent="0.2">
      <c r="A21" s="36">
        <v>2.1</v>
      </c>
      <c r="B21" s="34" t="s">
        <v>43</v>
      </c>
      <c r="C21" s="28" t="s">
        <v>44</v>
      </c>
      <c r="D21" s="26">
        <v>14</v>
      </c>
      <c r="E21" s="61"/>
      <c r="F21" s="56"/>
      <c r="G21" s="58"/>
      <c r="H21" s="7"/>
    </row>
    <row r="22" spans="1:8" s="21" customFormat="1" ht="24" x14ac:dyDescent="0.2">
      <c r="A22" s="36">
        <v>2.2000000000000002</v>
      </c>
      <c r="B22" s="34" t="s">
        <v>47</v>
      </c>
      <c r="C22" s="28" t="s">
        <v>50</v>
      </c>
      <c r="D22" s="26">
        <v>3</v>
      </c>
      <c r="E22" s="38" t="s">
        <v>33</v>
      </c>
      <c r="F22" s="39">
        <v>18600000</v>
      </c>
      <c r="G22" s="37">
        <f>F22*D22</f>
        <v>55800000</v>
      </c>
      <c r="H22" s="7"/>
    </row>
    <row r="23" spans="1:8" s="21" customFormat="1" ht="84" x14ac:dyDescent="0.2">
      <c r="A23" s="36">
        <v>2.2999999999999998</v>
      </c>
      <c r="B23" s="34" t="s">
        <v>52</v>
      </c>
      <c r="C23" s="28" t="s">
        <v>51</v>
      </c>
      <c r="D23" s="26">
        <v>1</v>
      </c>
      <c r="E23" s="38"/>
      <c r="F23" s="39">
        <v>7000000</v>
      </c>
      <c r="G23" s="37">
        <f>F23*D23</f>
        <v>7000000</v>
      </c>
      <c r="H23" s="7"/>
    </row>
    <row r="24" spans="1:8" s="21" customFormat="1" ht="15" customHeight="1" x14ac:dyDescent="0.2">
      <c r="A24" s="94" t="s">
        <v>16</v>
      </c>
      <c r="B24" s="94"/>
      <c r="C24" s="94"/>
      <c r="D24" s="94"/>
      <c r="E24" s="94"/>
      <c r="F24" s="94"/>
      <c r="G24" s="24">
        <f>SUM(G17:G23)</f>
        <v>407900000</v>
      </c>
      <c r="H24" s="7"/>
    </row>
    <row r="25" spans="1:8" s="21" customFormat="1" x14ac:dyDescent="0.2">
      <c r="A25" s="94" t="s">
        <v>46</v>
      </c>
      <c r="B25" s="94"/>
      <c r="C25" s="94"/>
      <c r="D25" s="94"/>
      <c r="E25" s="94"/>
      <c r="F25" s="94"/>
      <c r="G25" s="24">
        <f>G24*8%</f>
        <v>32632000</v>
      </c>
      <c r="H25" s="7"/>
    </row>
    <row r="26" spans="1:8" s="21" customFormat="1" ht="22.5" customHeight="1" x14ac:dyDescent="0.2">
      <c r="A26" s="94" t="s">
        <v>17</v>
      </c>
      <c r="B26" s="94"/>
      <c r="C26" s="94"/>
      <c r="D26" s="94"/>
      <c r="E26" s="94"/>
      <c r="F26" s="94"/>
      <c r="G26" s="24">
        <f>G24+G25</f>
        <v>440532000</v>
      </c>
      <c r="H26" s="7"/>
    </row>
    <row r="27" spans="1:8" s="21" customFormat="1" ht="22.5" customHeight="1" x14ac:dyDescent="0.2">
      <c r="A27" s="55" t="s">
        <v>49</v>
      </c>
      <c r="B27" s="55"/>
      <c r="C27" s="55"/>
      <c r="D27" s="55"/>
      <c r="E27" s="55"/>
      <c r="F27" s="55"/>
      <c r="G27" s="55"/>
      <c r="H27" s="7"/>
    </row>
    <row r="28" spans="1:8" ht="24" customHeight="1" x14ac:dyDescent="0.25">
      <c r="A28" s="22"/>
      <c r="B28" s="8" t="s">
        <v>5</v>
      </c>
      <c r="C28" s="9"/>
      <c r="D28" s="30"/>
      <c r="E28" s="10"/>
      <c r="F28" s="10"/>
      <c r="G28" s="10"/>
    </row>
    <row r="29" spans="1:8" ht="29.25" customHeight="1" x14ac:dyDescent="0.25">
      <c r="B29" s="95" t="s">
        <v>48</v>
      </c>
      <c r="C29" s="96"/>
      <c r="D29" s="96"/>
      <c r="E29" s="96"/>
      <c r="F29" s="96"/>
      <c r="G29" s="97"/>
    </row>
    <row r="30" spans="1:8" x14ac:dyDescent="0.25">
      <c r="B30" s="3" t="s">
        <v>29</v>
      </c>
    </row>
    <row r="31" spans="1:8" x14ac:dyDescent="0.25">
      <c r="B31" s="98" t="s">
        <v>30</v>
      </c>
      <c r="C31" s="103"/>
      <c r="D31" s="103"/>
      <c r="E31" s="103"/>
      <c r="F31" s="103"/>
      <c r="G31" s="99"/>
    </row>
    <row r="32" spans="1:8" x14ac:dyDescent="0.25">
      <c r="B32" s="95" t="s">
        <v>31</v>
      </c>
      <c r="C32" s="96"/>
      <c r="D32" s="96"/>
      <c r="E32" s="96"/>
      <c r="F32" s="96"/>
      <c r="G32" s="97"/>
    </row>
    <row r="33" spans="1:6" x14ac:dyDescent="0.25">
      <c r="B33" s="3" t="s">
        <v>27</v>
      </c>
    </row>
    <row r="34" spans="1:6" ht="51.75" customHeight="1" x14ac:dyDescent="0.25">
      <c r="B34" s="98" t="s">
        <v>20</v>
      </c>
      <c r="C34" s="99"/>
    </row>
    <row r="35" spans="1:6" ht="13.5" customHeight="1" x14ac:dyDescent="0.25">
      <c r="A35" s="23"/>
      <c r="B35" s="12"/>
    </row>
    <row r="36" spans="1:6" ht="13.5" customHeight="1" x14ac:dyDescent="0.25">
      <c r="B36" s="13" t="s">
        <v>14</v>
      </c>
      <c r="E36" s="25" t="s">
        <v>7</v>
      </c>
      <c r="F36" s="14"/>
    </row>
    <row r="37" spans="1:6" ht="13.5" customHeight="1" x14ac:dyDescent="0.25">
      <c r="B37" s="13" t="s">
        <v>10</v>
      </c>
    </row>
    <row r="38" spans="1:6" ht="13.5" customHeight="1" x14ac:dyDescent="0.25"/>
    <row r="39" spans="1:6" ht="13.5" customHeight="1" x14ac:dyDescent="0.25">
      <c r="C39" s="13"/>
    </row>
    <row r="40" spans="1:6" x14ac:dyDescent="0.25">
      <c r="C40" s="13"/>
    </row>
    <row r="41" spans="1:6" ht="13.5" customHeight="1" x14ac:dyDescent="0.25">
      <c r="B41" s="13" t="s">
        <v>19</v>
      </c>
      <c r="C41" s="13"/>
    </row>
    <row r="42" spans="1:6" x14ac:dyDescent="0.25">
      <c r="B42" s="13" t="s">
        <v>18</v>
      </c>
      <c r="C42" s="13"/>
      <c r="E42" s="86"/>
      <c r="F42" s="87"/>
    </row>
    <row r="43" spans="1:6" x14ac:dyDescent="0.25">
      <c r="B43" s="13" t="s">
        <v>6</v>
      </c>
    </row>
  </sheetData>
  <mergeCells count="28">
    <mergeCell ref="E42:F42"/>
    <mergeCell ref="C13:G13"/>
    <mergeCell ref="C14:G14"/>
    <mergeCell ref="A26:F26"/>
    <mergeCell ref="B32:G32"/>
    <mergeCell ref="B34:C34"/>
    <mergeCell ref="B15:G15"/>
    <mergeCell ref="A24:F24"/>
    <mergeCell ref="B31:G31"/>
    <mergeCell ref="B29:G29"/>
    <mergeCell ref="A25:F25"/>
    <mergeCell ref="E17:E18"/>
    <mergeCell ref="C1:G4"/>
    <mergeCell ref="B5:G5"/>
    <mergeCell ref="C6:G6"/>
    <mergeCell ref="C10:G10"/>
    <mergeCell ref="C12:G12"/>
    <mergeCell ref="C8:G8"/>
    <mergeCell ref="C9:G9"/>
    <mergeCell ref="D7:E7"/>
    <mergeCell ref="F7:G7"/>
    <mergeCell ref="C11:G11"/>
    <mergeCell ref="A27:G27"/>
    <mergeCell ref="F17:F18"/>
    <mergeCell ref="G17:G18"/>
    <mergeCell ref="E20:E21"/>
    <mergeCell ref="F20:F21"/>
    <mergeCell ref="G20:G21"/>
  </mergeCells>
  <phoneticPr fontId="0" type="noConversion"/>
  <pageMargins left="0" right="0" top="0" bottom="0"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innotel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hai</dc:creator>
  <cp:lastModifiedBy>Trần Vương Nhật</cp:lastModifiedBy>
  <cp:lastPrinted>2025-03-10T04:41:40Z</cp:lastPrinted>
  <dcterms:created xsi:type="dcterms:W3CDTF">2001-06-27T18:38:16Z</dcterms:created>
  <dcterms:modified xsi:type="dcterms:W3CDTF">2026-07-01T07:50:45Z</dcterms:modified>
</cp:coreProperties>
</file>