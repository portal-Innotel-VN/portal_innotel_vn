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0e530f1a51b529a/Máy tính/"/>
    </mc:Choice>
  </mc:AlternateContent>
  <xr:revisionPtr revIDLastSave="1" documentId="8_{B2BEFE2F-1B81-44D5-BAF8-DFD8C2DDB901}" xr6:coauthVersionLast="47" xr6:coauthVersionMax="47" xr10:uidLastSave="{E92BF1E1-23AA-43C1-92BC-8BD30065E988}"/>
  <bookViews>
    <workbookView xWindow="-120" yWindow="-120" windowWidth="20730" windowHeight="1131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G28" i="2" l="1"/>
  <c r="G32" i="2" s="1"/>
  <c r="G29" i="2"/>
  <c r="G17" i="2"/>
  <c r="G31" i="2" l="1"/>
  <c r="G30" i="2"/>
  <c r="G33" i="2" s="1"/>
  <c r="C13" i="2"/>
</calcChain>
</file>

<file path=xl/sharedStrings.xml><?xml version="1.0" encoding="utf-8"?>
<sst xmlns="http://schemas.openxmlformats.org/spreadsheetml/2006/main" count="86" uniqueCount="83">
  <si>
    <t>TEL:</t>
  </si>
  <si>
    <t>Ngày :</t>
  </si>
  <si>
    <t>SL</t>
  </si>
  <si>
    <t>Kính gửi:</t>
  </si>
  <si>
    <t>Chủ đề</t>
  </si>
  <si>
    <t>CÁC ĐIỀU KHOẢN THƯƠNG MẠI</t>
  </si>
  <si>
    <t>Web: http://www.innotel.com.vn</t>
  </si>
  <si>
    <t>Xác nhận đặt hàng</t>
  </si>
  <si>
    <r>
      <t xml:space="preserve">THUAN PHONG INNOVATIVE TELECOMMUNICATION CO., LTD.
</t>
    </r>
    <r>
      <rPr>
        <sz val="11"/>
        <rFont val="Times New Roman"/>
        <family val="1"/>
      </rPr>
      <t>Website: http://www.innotel.com.vn            Email: sales@innotel.com.vn
Tel: (84 8) 38621119.                      Fax: (84 8) 38630366.
55/31 Tran Dinh Xu, Cau Kho Ward, Distric 1, HCMC, Vietnam</t>
    </r>
  </si>
  <si>
    <t>Nhân viên kinh doanh</t>
  </si>
  <si>
    <t>Địa chỉ:</t>
  </si>
  <si>
    <t>MST:</t>
  </si>
  <si>
    <t>FAX</t>
  </si>
  <si>
    <t>TỔNG CHƯA VAT</t>
  </si>
  <si>
    <t>TỔNG ĐÃ VAT</t>
  </si>
  <si>
    <t xml:space="preserve">6. Thanh toán bằng chuyển khoản hoặc tiền mặt
Công ty TNHH Viễn thông sáng tạo Thuận Phong 
Số tài khoản: 17058209 tại ngân hàng ACB Hồ Chí Minh </t>
  </si>
  <si>
    <t>Đại diện mua hàng:</t>
  </si>
  <si>
    <t>Người bán</t>
  </si>
  <si>
    <t>Chức vụ</t>
  </si>
  <si>
    <t>STT</t>
  </si>
  <si>
    <t>5. Địa chỉ bảo hành: Tại 55/31 Trần Đình Xu, Q1</t>
  </si>
  <si>
    <t>BÁO GIÁ THIẾT BỊ</t>
  </si>
  <si>
    <t xml:space="preserve">2. Địa chỉ giao hàng: : </t>
  </si>
  <si>
    <t>4. Thanh toán: thỏa thuận</t>
  </si>
  <si>
    <t>Bảo hành</t>
  </si>
  <si>
    <t>Diễn Giải</t>
  </si>
  <si>
    <t xml:space="preserve">3. Người nhận hàng:             SĐT: 
                                     </t>
  </si>
  <si>
    <t>0310690988</t>
  </si>
  <si>
    <t>Giám Đốc</t>
  </si>
  <si>
    <t>Mã Hàng</t>
  </si>
  <si>
    <t>VAT 8%</t>
  </si>
  <si>
    <t>Kiều My</t>
  </si>
  <si>
    <t xml:space="preserve">Mob: </t>
  </si>
  <si>
    <t xml:space="preserve">Email: </t>
  </si>
  <si>
    <t>CÔNG TY TNHH THƯƠNG MẠI DỊCH VỤ KỸ THUẬT ĐIỂM VÀNG</t>
  </si>
  <si>
    <t>A. Hà</t>
  </si>
  <si>
    <t>42 Nguyễn Thái Bình, Phường Bến Thành, TP Hồ Chí Minh, Việt Nam</t>
  </si>
  <si>
    <t>Mr. Nhật</t>
  </si>
  <si>
    <t>Switch cisco</t>
  </si>
  <si>
    <t>1.0</t>
  </si>
  <si>
    <t>C9200L-48T-4X-E</t>
  </si>
  <si>
    <t>Catalyst 9200L 48-port data only,4 x 10G,Network Essentials</t>
  </si>
  <si>
    <t>1.0.1</t>
  </si>
  <si>
    <t>CON-SNT-C920L4XE</t>
  </si>
  <si>
    <t>SNTC-8X5XNBD Catalyst 9200L 48-port data, 4 x 10G ,Ne</t>
  </si>
  <si>
    <t>1.1</t>
  </si>
  <si>
    <t>C9200L-DNA-E-48</t>
  </si>
  <si>
    <t>C9200L Cisco DNA Essentials, 48-port Term license</t>
  </si>
  <si>
    <t>1.1.1</t>
  </si>
  <si>
    <t>C9200L-DNA-E-48-3Y</t>
  </si>
  <si>
    <t>C9200L Cisco DNA Essentials, 48-port, 3 Year Term license</t>
  </si>
  <si>
    <t>1.2</t>
  </si>
  <si>
    <t>C9200L-NW-E-48</t>
  </si>
  <si>
    <t>C9200L Network Essentials, 48-port license</t>
  </si>
  <si>
    <t>1.3</t>
  </si>
  <si>
    <t>1.4</t>
  </si>
  <si>
    <t>1.5</t>
  </si>
  <si>
    <t>C9200-STACK-BLANK</t>
  </si>
  <si>
    <t>Catalyst 9200 Blank Stack Module</t>
  </si>
  <si>
    <t>1.6</t>
  </si>
  <si>
    <t>C9K-ACC-RBFT</t>
  </si>
  <si>
    <t>RUBBER FEET FOR TABLE TOP SETUP 9200 and 93xx</t>
  </si>
  <si>
    <t>1.7</t>
  </si>
  <si>
    <t>C9K-ACC-SCR-4</t>
  </si>
  <si>
    <t>12-24 and 10-32 SCREWS FOR RACK INSTALLATION, QTY 4</t>
  </si>
  <si>
    <t>1.8</t>
  </si>
  <si>
    <t>CAB-GUIDE-1RU</t>
  </si>
  <si>
    <t>1RU CABLE MANAGEMENT GUIDES 9200 and 9300</t>
  </si>
  <si>
    <t>1.9</t>
  </si>
  <si>
    <t>NETWORK-PNP-LIC</t>
  </si>
  <si>
    <t>Network Plug-n-Play Connect for zero-touch device deployment</t>
  </si>
  <si>
    <t>2.0</t>
  </si>
  <si>
    <t>SFP-10G-SR=</t>
  </si>
  <si>
    <t>10GBASE-SR SFP Module</t>
  </si>
  <si>
    <t xml:space="preserve">Đơn giá chưa vat
</t>
  </si>
  <si>
    <t xml:space="preserve">Thành tiền
</t>
  </si>
  <si>
    <t>VAT 10% ( Mục 1.0.1)</t>
  </si>
  <si>
    <t>1. Thời gian giao hàng trong vòng 4-6 tuần kể từ ngày xác nhận đặt hàng</t>
  </si>
  <si>
    <t>3 năm</t>
  </si>
  <si>
    <t>PWR-C5-125WAC/2</t>
  </si>
  <si>
    <t>125W AC Config 5 Power Supply - Secondary Power Supply</t>
  </si>
  <si>
    <t>CAB-C15-CBN</t>
  </si>
  <si>
    <r>
      <t xml:space="preserve">Cabinet Jumper Power Cord, 250 VAC 13A, </t>
    </r>
    <r>
      <rPr>
        <sz val="9"/>
        <color rgb="FFFF0000"/>
        <rFont val="Helvetica"/>
      </rPr>
      <t>C14-C15</t>
    </r>
    <r>
      <rPr>
        <sz val="9"/>
        <color indexed="8"/>
        <rFont val="Helvetica"/>
      </rPr>
      <t xml:space="preserve"> Connectors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</si>
</sst>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_-* #,##0\ _₫_-;\-* #,##0\ _₫_-;_-* &quot;-&quot;??\ _₫_-;_-@_-"/>
    <numFmt numFmtId="167" formatCode="#.0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u/>
      <sz val="11"/>
      <name val="Times New Roman"/>
      <family val="1"/>
    </font>
    <font>
      <b/>
      <sz val="9"/>
      <color indexed="8"/>
      <name val="Helvetica"/>
    </font>
    <font>
      <sz val="9"/>
      <color indexed="8"/>
      <name val="Helvetica"/>
    </font>
    <font>
      <sz val="9"/>
      <color rgb="FFFF0000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9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/>
    <xf numFmtId="0" fontId="2" fillId="0" borderId="0"/>
  </cellStyleXfs>
  <cellXfs count="89">
    <xf numFmtId="0" fontId="0" fillId="0" borderId="0" xfId="0"/>
    <xf numFmtId="0" fontId="4" fillId="0" borderId="3" xfId="0" applyFont="1" applyBorder="1" applyAlignment="1">
      <alignment vertical="center" wrapText="1"/>
    </xf>
    <xf numFmtId="0" fontId="4" fillId="0" borderId="4" xfId="0" applyFont="1" applyBorder="1"/>
    <xf numFmtId="0" fontId="4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center"/>
    </xf>
    <xf numFmtId="0" fontId="5" fillId="0" borderId="5" xfId="0" applyFont="1" applyBorder="1"/>
    <xf numFmtId="0" fontId="4" fillId="0" borderId="5" xfId="0" applyFont="1" applyBorder="1"/>
    <xf numFmtId="164" fontId="4" fillId="0" borderId="5" xfId="1" applyNumberFormat="1" applyFont="1" applyBorder="1"/>
    <xf numFmtId="164" fontId="4" fillId="0" borderId="1" xfId="1" applyNumberFormat="1" applyFont="1" applyBorder="1"/>
    <xf numFmtId="0" fontId="4" fillId="0" borderId="0" xfId="0" applyFont="1" applyAlignment="1">
      <alignment horizontal="left"/>
    </xf>
    <xf numFmtId="0" fontId="3" fillId="0" borderId="1" xfId="0" applyFont="1" applyBorder="1"/>
    <xf numFmtId="164" fontId="6" fillId="0" borderId="1" xfId="1" applyNumberFormat="1" applyFont="1" applyBorder="1"/>
    <xf numFmtId="0" fontId="3" fillId="0" borderId="2" xfId="0" applyFont="1" applyBorder="1"/>
    <xf numFmtId="0" fontId="4" fillId="0" borderId="2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/>
    </xf>
    <xf numFmtId="0" fontId="3" fillId="0" borderId="5" xfId="0" applyFont="1" applyBorder="1"/>
    <xf numFmtId="0" fontId="3" fillId="0" borderId="0" xfId="0" applyFont="1"/>
    <xf numFmtId="166" fontId="3" fillId="0" borderId="3" xfId="1" applyNumberFormat="1" applyFont="1" applyFill="1" applyBorder="1" applyAlignment="1">
      <alignment vertical="center"/>
    </xf>
    <xf numFmtId="164" fontId="5" fillId="0" borderId="1" xfId="1" applyNumberFormat="1" applyFont="1" applyBorder="1"/>
    <xf numFmtId="0" fontId="4" fillId="3" borderId="4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 wrapText="1"/>
    </xf>
    <xf numFmtId="167" fontId="7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wrapText="1"/>
    </xf>
    <xf numFmtId="164" fontId="3" fillId="0" borderId="4" xfId="1" applyNumberFormat="1" applyFont="1" applyBorder="1" applyAlignment="1">
      <alignment horizontal="center" wrapText="1"/>
    </xf>
    <xf numFmtId="15" fontId="4" fillId="0" borderId="8" xfId="0" quotePrefix="1" applyNumberFormat="1" applyFont="1" applyBorder="1" applyAlignment="1">
      <alignment horizontal="left" vertical="center" wrapText="1"/>
    </xf>
    <xf numFmtId="15" fontId="4" fillId="0" borderId="9" xfId="0" quotePrefix="1" applyNumberFormat="1" applyFont="1" applyBorder="1" applyAlignment="1">
      <alignment horizontal="left" vertical="center" wrapText="1"/>
    </xf>
    <xf numFmtId="15" fontId="4" fillId="0" borderId="19" xfId="0" quotePrefix="1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24" xfId="0" applyFont="1" applyBorder="1" applyAlignment="1">
      <alignment horizontal="left" vertical="top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164" fontId="4" fillId="3" borderId="25" xfId="1" applyNumberFormat="1" applyFont="1" applyFill="1" applyBorder="1" applyAlignment="1">
      <alignment horizontal="center" vertical="top" wrapText="1"/>
    </xf>
    <xf numFmtId="164" fontId="4" fillId="3" borderId="26" xfId="1" applyNumberFormat="1" applyFont="1" applyFill="1" applyBorder="1" applyAlignment="1">
      <alignment horizontal="center" vertical="top" wrapText="1"/>
    </xf>
    <xf numFmtId="164" fontId="4" fillId="3" borderId="27" xfId="1" applyNumberFormat="1" applyFont="1" applyFill="1" applyBorder="1" applyAlignment="1">
      <alignment horizontal="center" vertical="top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4" fillId="0" borderId="7" xfId="0" applyFont="1" applyBorder="1"/>
    <xf numFmtId="0" fontId="4" fillId="0" borderId="0" xfId="0" applyFont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</cellXfs>
  <cellStyles count="5">
    <cellStyle name="Comma" xfId="1" builtinId="3"/>
    <cellStyle name="Normal" xfId="0" builtinId="0"/>
    <cellStyle name="Normal - Style1 2" xfId="4" xr:uid="{00000000-0005-0000-0000-000002000000}"/>
    <cellStyle name="Normal 2" xfId="2" xr:uid="{00000000-0005-0000-0000-000003000000}"/>
    <cellStyle name="Normal 4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1</xdr:col>
      <xdr:colOff>1053945</xdr:colOff>
      <xdr:row>3</xdr:row>
      <xdr:rowOff>167640</xdr:rowOff>
    </xdr:to>
    <xdr:pic>
      <xdr:nvPicPr>
        <xdr:cNvPr id="2533" name="Picture 28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8100"/>
          <a:ext cx="1447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9" zoomScaleNormal="100" workbookViewId="0">
      <selection activeCell="F29" sqref="F29"/>
    </sheetView>
  </sheetViews>
  <sheetFormatPr defaultColWidth="9.140625" defaultRowHeight="15" x14ac:dyDescent="0.25"/>
  <cols>
    <col min="1" max="1" width="7" style="13" customWidth="1"/>
    <col min="2" max="2" width="18.28515625" style="3" customWidth="1"/>
    <col min="3" max="3" width="32" style="3" customWidth="1"/>
    <col min="4" max="4" width="5.28515625" style="3" customWidth="1"/>
    <col min="5" max="5" width="8.28515625" style="11" customWidth="1"/>
    <col min="6" max="6" width="16.85546875" style="11" customWidth="1"/>
    <col min="7" max="7" width="17.42578125" style="11" customWidth="1"/>
    <col min="8" max="8" width="11" style="3" bestFit="1" customWidth="1"/>
    <col min="9" max="16384" width="9.140625" style="3"/>
  </cols>
  <sheetData>
    <row r="1" spans="1:8" ht="12.75" customHeight="1" x14ac:dyDescent="0.25">
      <c r="C1" s="72" t="s">
        <v>8</v>
      </c>
      <c r="D1" s="73"/>
      <c r="E1" s="73"/>
      <c r="F1" s="73"/>
      <c r="G1" s="74"/>
    </row>
    <row r="2" spans="1:8" ht="12.75" customHeight="1" x14ac:dyDescent="0.25">
      <c r="C2" s="75"/>
      <c r="D2" s="76"/>
      <c r="E2" s="76"/>
      <c r="F2" s="76"/>
      <c r="G2" s="77"/>
    </row>
    <row r="3" spans="1:8" ht="12.75" customHeight="1" x14ac:dyDescent="0.25">
      <c r="C3" s="75"/>
      <c r="D3" s="76"/>
      <c r="E3" s="76"/>
      <c r="F3" s="76"/>
      <c r="G3" s="77"/>
    </row>
    <row r="4" spans="1:8" ht="24" customHeight="1" thickBot="1" x14ac:dyDescent="0.3">
      <c r="A4" s="15"/>
      <c r="B4" s="16"/>
      <c r="C4" s="78"/>
      <c r="D4" s="79"/>
      <c r="E4" s="79"/>
      <c r="F4" s="79"/>
      <c r="G4" s="80"/>
    </row>
    <row r="5" spans="1:8" ht="39.75" customHeight="1" thickTop="1" x14ac:dyDescent="0.25">
      <c r="A5" s="17"/>
      <c r="B5" s="81" t="s">
        <v>21</v>
      </c>
      <c r="C5" s="82"/>
      <c r="D5" s="82"/>
      <c r="E5" s="82"/>
      <c r="F5" s="82"/>
      <c r="G5" s="83"/>
    </row>
    <row r="6" spans="1:8" x14ac:dyDescent="0.25">
      <c r="A6" s="18"/>
      <c r="B6" s="1" t="s">
        <v>3</v>
      </c>
      <c r="C6" s="84" t="s">
        <v>34</v>
      </c>
      <c r="D6" s="85"/>
      <c r="E6" s="85"/>
      <c r="F6" s="85"/>
      <c r="G6" s="86"/>
      <c r="H6" s="2"/>
    </row>
    <row r="7" spans="1:8" x14ac:dyDescent="0.25">
      <c r="A7" s="18"/>
      <c r="B7" s="1" t="s">
        <v>16</v>
      </c>
      <c r="C7" s="1" t="s">
        <v>35</v>
      </c>
      <c r="D7" s="41" t="s">
        <v>18</v>
      </c>
      <c r="E7" s="42"/>
      <c r="F7" s="41" t="s">
        <v>28</v>
      </c>
      <c r="G7" s="42"/>
      <c r="H7" s="2"/>
    </row>
    <row r="8" spans="1:8" x14ac:dyDescent="0.25">
      <c r="A8" s="18"/>
      <c r="B8" s="1" t="s">
        <v>11</v>
      </c>
      <c r="C8" s="88" t="s">
        <v>27</v>
      </c>
      <c r="D8" s="70"/>
      <c r="E8" s="70"/>
      <c r="F8" s="70"/>
      <c r="G8" s="71"/>
      <c r="H8" s="2"/>
    </row>
    <row r="9" spans="1:8" ht="30.75" customHeight="1" x14ac:dyDescent="0.25">
      <c r="A9" s="18"/>
      <c r="B9" s="1" t="s">
        <v>10</v>
      </c>
      <c r="C9" s="69" t="s">
        <v>36</v>
      </c>
      <c r="D9" s="70"/>
      <c r="E9" s="70"/>
      <c r="F9" s="70"/>
      <c r="G9" s="71"/>
      <c r="H9" s="2"/>
    </row>
    <row r="10" spans="1:8" x14ac:dyDescent="0.25">
      <c r="A10" s="18"/>
      <c r="B10" s="1" t="s">
        <v>0</v>
      </c>
      <c r="C10" s="87"/>
      <c r="D10" s="87"/>
      <c r="E10" s="87"/>
      <c r="F10" s="87"/>
      <c r="G10" s="87"/>
      <c r="H10" s="2"/>
    </row>
    <row r="11" spans="1:8" x14ac:dyDescent="0.25">
      <c r="A11" s="18"/>
      <c r="B11" s="1" t="s">
        <v>12</v>
      </c>
      <c r="C11" s="69"/>
      <c r="D11" s="70"/>
      <c r="E11" s="70"/>
      <c r="F11" s="70"/>
      <c r="G11" s="71"/>
      <c r="H11" s="2"/>
    </row>
    <row r="12" spans="1:8" ht="16.5" customHeight="1" x14ac:dyDescent="0.25">
      <c r="A12" s="18"/>
      <c r="B12" s="1" t="s">
        <v>17</v>
      </c>
      <c r="C12" s="1" t="s">
        <v>37</v>
      </c>
      <c r="D12" s="41" t="s">
        <v>18</v>
      </c>
      <c r="E12" s="42"/>
      <c r="F12" s="41" t="s">
        <v>9</v>
      </c>
      <c r="G12" s="42"/>
      <c r="H12" s="2"/>
    </row>
    <row r="13" spans="1:8" ht="15" customHeight="1" x14ac:dyDescent="0.25">
      <c r="A13" s="18"/>
      <c r="B13" s="1" t="s">
        <v>1</v>
      </c>
      <c r="C13" s="45">
        <f ca="1">TODAY()</f>
        <v>46219</v>
      </c>
      <c r="D13" s="46"/>
      <c r="E13" s="46"/>
      <c r="F13" s="46"/>
      <c r="G13" s="47"/>
      <c r="H13" s="2"/>
    </row>
    <row r="14" spans="1:8" ht="30" customHeight="1" x14ac:dyDescent="0.25">
      <c r="A14" s="18"/>
      <c r="B14" s="1" t="s">
        <v>4</v>
      </c>
      <c r="C14" s="48" t="s">
        <v>38</v>
      </c>
      <c r="D14" s="49"/>
      <c r="E14" s="49"/>
      <c r="F14" s="49"/>
      <c r="G14" s="50"/>
      <c r="H14" s="2"/>
    </row>
    <row r="15" spans="1:8" ht="15" customHeight="1" x14ac:dyDescent="0.25">
      <c r="A15" s="19"/>
      <c r="B15" s="59"/>
      <c r="C15" s="60"/>
      <c r="D15" s="60"/>
      <c r="E15" s="60"/>
      <c r="F15" s="60"/>
      <c r="G15" s="61"/>
    </row>
    <row r="16" spans="1:8" s="20" customFormat="1" ht="44.25" customHeight="1" x14ac:dyDescent="0.2">
      <c r="A16" s="4" t="s">
        <v>19</v>
      </c>
      <c r="B16" s="29" t="s">
        <v>29</v>
      </c>
      <c r="C16" s="28" t="s">
        <v>25</v>
      </c>
      <c r="D16" s="4" t="s">
        <v>2</v>
      </c>
      <c r="E16" s="4" t="s">
        <v>24</v>
      </c>
      <c r="F16" s="5" t="s">
        <v>74</v>
      </c>
      <c r="G16" s="5" t="s">
        <v>75</v>
      </c>
      <c r="H16" s="6"/>
    </row>
    <row r="17" spans="1:8" s="27" customFormat="1" ht="24" x14ac:dyDescent="0.2">
      <c r="A17" s="32" t="s">
        <v>39</v>
      </c>
      <c r="B17" s="33" t="s">
        <v>40</v>
      </c>
      <c r="C17" s="33" t="s">
        <v>41</v>
      </c>
      <c r="D17" s="38">
        <v>2</v>
      </c>
      <c r="E17" s="63" t="s">
        <v>78</v>
      </c>
      <c r="F17" s="66">
        <v>94400000</v>
      </c>
      <c r="G17" s="66">
        <f>F17*D17</f>
        <v>188800000</v>
      </c>
      <c r="H17" s="26"/>
    </row>
    <row r="18" spans="1:8" s="27" customFormat="1" ht="24" x14ac:dyDescent="0.2">
      <c r="A18" s="36" t="s">
        <v>45</v>
      </c>
      <c r="B18" s="37" t="s">
        <v>46</v>
      </c>
      <c r="C18" s="34" t="s">
        <v>47</v>
      </c>
      <c r="D18" s="35">
        <v>2</v>
      </c>
      <c r="E18" s="64"/>
      <c r="F18" s="67"/>
      <c r="G18" s="67"/>
      <c r="H18" s="26"/>
    </row>
    <row r="19" spans="1:8" s="27" customFormat="1" ht="24" x14ac:dyDescent="0.2">
      <c r="A19" s="36" t="s">
        <v>48</v>
      </c>
      <c r="B19" s="37" t="s">
        <v>49</v>
      </c>
      <c r="C19" s="34" t="s">
        <v>50</v>
      </c>
      <c r="D19" s="35">
        <v>2</v>
      </c>
      <c r="E19" s="64"/>
      <c r="F19" s="67"/>
      <c r="G19" s="67"/>
      <c r="H19" s="26"/>
    </row>
    <row r="20" spans="1:8" s="27" customFormat="1" ht="24" x14ac:dyDescent="0.2">
      <c r="A20" s="36" t="s">
        <v>51</v>
      </c>
      <c r="B20" s="37" t="s">
        <v>52</v>
      </c>
      <c r="C20" s="34" t="s">
        <v>53</v>
      </c>
      <c r="D20" s="35">
        <v>2</v>
      </c>
      <c r="E20" s="64"/>
      <c r="F20" s="67"/>
      <c r="G20" s="67"/>
      <c r="H20" s="26"/>
    </row>
    <row r="21" spans="1:8" s="27" customFormat="1" ht="24" x14ac:dyDescent="0.2">
      <c r="A21" s="36" t="s">
        <v>54</v>
      </c>
      <c r="B21" s="37" t="s">
        <v>57</v>
      </c>
      <c r="C21" s="34" t="s">
        <v>58</v>
      </c>
      <c r="D21" s="35">
        <v>4</v>
      </c>
      <c r="E21" s="64"/>
      <c r="F21" s="67"/>
      <c r="G21" s="67"/>
      <c r="H21" s="26"/>
    </row>
    <row r="22" spans="1:8" s="27" customFormat="1" ht="24" x14ac:dyDescent="0.2">
      <c r="A22" s="36" t="s">
        <v>55</v>
      </c>
      <c r="B22" s="37" t="s">
        <v>60</v>
      </c>
      <c r="C22" s="34" t="s">
        <v>61</v>
      </c>
      <c r="D22" s="35">
        <v>2</v>
      </c>
      <c r="E22" s="64"/>
      <c r="F22" s="67"/>
      <c r="G22" s="67"/>
      <c r="H22" s="26"/>
    </row>
    <row r="23" spans="1:8" s="27" customFormat="1" ht="24" x14ac:dyDescent="0.2">
      <c r="A23" s="36" t="s">
        <v>56</v>
      </c>
      <c r="B23" s="37" t="s">
        <v>63</v>
      </c>
      <c r="C23" s="34" t="s">
        <v>64</v>
      </c>
      <c r="D23" s="35">
        <v>2</v>
      </c>
      <c r="E23" s="64"/>
      <c r="F23" s="67"/>
      <c r="G23" s="67"/>
      <c r="H23" s="26"/>
    </row>
    <row r="24" spans="1:8" s="27" customFormat="1" ht="24" x14ac:dyDescent="0.2">
      <c r="A24" s="36" t="s">
        <v>59</v>
      </c>
      <c r="B24" s="37" t="s">
        <v>66</v>
      </c>
      <c r="C24" s="34" t="s">
        <v>67</v>
      </c>
      <c r="D24" s="35">
        <v>2</v>
      </c>
      <c r="E24" s="64"/>
      <c r="F24" s="67"/>
      <c r="G24" s="67"/>
      <c r="H24" s="26"/>
    </row>
    <row r="25" spans="1:8" s="27" customFormat="1" ht="24" x14ac:dyDescent="0.2">
      <c r="A25" s="36" t="s">
        <v>62</v>
      </c>
      <c r="B25" s="37" t="s">
        <v>69</v>
      </c>
      <c r="C25" s="34" t="s">
        <v>70</v>
      </c>
      <c r="D25" s="35">
        <v>2</v>
      </c>
      <c r="E25" s="64"/>
      <c r="F25" s="67"/>
      <c r="G25" s="67"/>
      <c r="H25" s="26"/>
    </row>
    <row r="26" spans="1:8" s="27" customFormat="1" ht="24" x14ac:dyDescent="0.2">
      <c r="A26" s="36" t="s">
        <v>65</v>
      </c>
      <c r="B26" s="40" t="s">
        <v>79</v>
      </c>
      <c r="C26" s="34" t="s">
        <v>80</v>
      </c>
      <c r="D26" s="35">
        <v>2</v>
      </c>
      <c r="E26" s="64"/>
      <c r="F26" s="67"/>
      <c r="G26" s="67"/>
      <c r="H26" s="26"/>
    </row>
    <row r="27" spans="1:8" s="27" customFormat="1" ht="24" x14ac:dyDescent="0.2">
      <c r="A27" s="36" t="s">
        <v>68</v>
      </c>
      <c r="B27" s="37" t="s">
        <v>81</v>
      </c>
      <c r="C27" s="34" t="s">
        <v>82</v>
      </c>
      <c r="D27" s="35">
        <v>4</v>
      </c>
      <c r="E27" s="64"/>
      <c r="F27" s="68"/>
      <c r="G27" s="68"/>
      <c r="H27" s="26"/>
    </row>
    <row r="28" spans="1:8" s="27" customFormat="1" ht="24" x14ac:dyDescent="0.2">
      <c r="A28" s="36" t="s">
        <v>42</v>
      </c>
      <c r="B28" s="37" t="s">
        <v>43</v>
      </c>
      <c r="C28" s="34" t="s">
        <v>44</v>
      </c>
      <c r="D28" s="39">
        <v>2</v>
      </c>
      <c r="E28" s="65"/>
      <c r="F28" s="31">
        <f>31500000</f>
        <v>31500000</v>
      </c>
      <c r="G28" s="31">
        <f>F28*D27</f>
        <v>126000000</v>
      </c>
      <c r="H28" s="26"/>
    </row>
    <row r="29" spans="1:8" s="27" customFormat="1" x14ac:dyDescent="0.2">
      <c r="A29" s="32" t="s">
        <v>71</v>
      </c>
      <c r="B29" s="33" t="s">
        <v>72</v>
      </c>
      <c r="C29" s="34" t="s">
        <v>73</v>
      </c>
      <c r="D29" s="35">
        <v>4</v>
      </c>
      <c r="E29" s="30" t="s">
        <v>78</v>
      </c>
      <c r="F29" s="31">
        <v>6200000</v>
      </c>
      <c r="G29" s="31">
        <f>F29*D29</f>
        <v>24800000</v>
      </c>
      <c r="H29" s="26"/>
    </row>
    <row r="30" spans="1:8" s="21" customFormat="1" ht="15" customHeight="1" x14ac:dyDescent="0.2">
      <c r="A30" s="51" t="s">
        <v>13</v>
      </c>
      <c r="B30" s="52"/>
      <c r="C30" s="52"/>
      <c r="D30" s="52"/>
      <c r="E30" s="52"/>
      <c r="F30" s="53"/>
      <c r="G30" s="24">
        <f>SUM(G17:G29)</f>
        <v>339600000</v>
      </c>
      <c r="H30" s="7"/>
    </row>
    <row r="31" spans="1:8" s="21" customFormat="1" x14ac:dyDescent="0.2">
      <c r="A31" s="51" t="s">
        <v>30</v>
      </c>
      <c r="B31" s="52"/>
      <c r="C31" s="52"/>
      <c r="D31" s="52"/>
      <c r="E31" s="52"/>
      <c r="F31" s="53"/>
      <c r="G31" s="24">
        <f>(G17+G29)*8%</f>
        <v>17088000</v>
      </c>
      <c r="H31" s="7"/>
    </row>
    <row r="32" spans="1:8" s="21" customFormat="1" x14ac:dyDescent="0.2">
      <c r="A32" s="51" t="s">
        <v>76</v>
      </c>
      <c r="B32" s="52"/>
      <c r="C32" s="52"/>
      <c r="D32" s="52"/>
      <c r="E32" s="52"/>
      <c r="F32" s="53"/>
      <c r="G32" s="24">
        <f>G28*10%</f>
        <v>12600000</v>
      </c>
      <c r="H32" s="7"/>
    </row>
    <row r="33" spans="1:8" s="21" customFormat="1" ht="22.5" customHeight="1" x14ac:dyDescent="0.2">
      <c r="A33" s="51" t="s">
        <v>14</v>
      </c>
      <c r="B33" s="52"/>
      <c r="C33" s="52"/>
      <c r="D33" s="52"/>
      <c r="E33" s="52"/>
      <c r="F33" s="53"/>
      <c r="G33" s="24">
        <f>SUM(G30:G32)</f>
        <v>369288000</v>
      </c>
      <c r="H33" s="7"/>
    </row>
    <row r="34" spans="1:8" ht="24" customHeight="1" x14ac:dyDescent="0.25">
      <c r="A34" s="22"/>
      <c r="B34" s="8" t="s">
        <v>5</v>
      </c>
      <c r="C34" s="9"/>
      <c r="D34" s="9"/>
      <c r="E34" s="10"/>
      <c r="F34" s="10"/>
      <c r="G34" s="10"/>
    </row>
    <row r="35" spans="1:8" ht="29.25" customHeight="1" x14ac:dyDescent="0.25">
      <c r="B35" s="54" t="s">
        <v>77</v>
      </c>
      <c r="C35" s="55"/>
      <c r="D35" s="55"/>
      <c r="E35" s="55"/>
      <c r="F35" s="55"/>
      <c r="G35" s="56"/>
    </row>
    <row r="36" spans="1:8" x14ac:dyDescent="0.25">
      <c r="B36" s="3" t="s">
        <v>22</v>
      </c>
    </row>
    <row r="37" spans="1:8" x14ac:dyDescent="0.25">
      <c r="B37" s="57" t="s">
        <v>26</v>
      </c>
      <c r="C37" s="62"/>
      <c r="D37" s="62"/>
      <c r="E37" s="62"/>
      <c r="F37" s="62"/>
      <c r="G37" s="58"/>
    </row>
    <row r="38" spans="1:8" x14ac:dyDescent="0.25">
      <c r="B38" s="54" t="s">
        <v>23</v>
      </c>
      <c r="C38" s="55"/>
      <c r="D38" s="55"/>
      <c r="E38" s="55"/>
      <c r="F38" s="55"/>
      <c r="G38" s="56"/>
    </row>
    <row r="39" spans="1:8" x14ac:dyDescent="0.25">
      <c r="B39" s="3" t="s">
        <v>20</v>
      </c>
    </row>
    <row r="40" spans="1:8" ht="51.75" customHeight="1" x14ac:dyDescent="0.25">
      <c r="B40" s="57" t="s">
        <v>15</v>
      </c>
      <c r="C40" s="58"/>
    </row>
    <row r="41" spans="1:8" ht="13.5" customHeight="1" x14ac:dyDescent="0.25">
      <c r="A41" s="23"/>
      <c r="B41" s="12"/>
    </row>
    <row r="42" spans="1:8" ht="13.5" customHeight="1" x14ac:dyDescent="0.25">
      <c r="B42" s="13" t="s">
        <v>31</v>
      </c>
      <c r="E42" s="25" t="s">
        <v>7</v>
      </c>
      <c r="F42" s="14"/>
    </row>
    <row r="43" spans="1:8" ht="13.5" customHeight="1" x14ac:dyDescent="0.25">
      <c r="B43" s="13" t="s">
        <v>9</v>
      </c>
    </row>
    <row r="44" spans="1:8" ht="13.5" customHeight="1" x14ac:dyDescent="0.25"/>
    <row r="45" spans="1:8" ht="13.5" customHeight="1" x14ac:dyDescent="0.25">
      <c r="C45" s="13"/>
    </row>
    <row r="46" spans="1:8" x14ac:dyDescent="0.25">
      <c r="C46" s="13"/>
    </row>
    <row r="47" spans="1:8" ht="13.5" customHeight="1" x14ac:dyDescent="0.25">
      <c r="B47" s="13" t="s">
        <v>32</v>
      </c>
      <c r="C47" s="13"/>
    </row>
    <row r="48" spans="1:8" x14ac:dyDescent="0.25">
      <c r="B48" s="13" t="s">
        <v>33</v>
      </c>
      <c r="C48" s="13"/>
      <c r="E48" s="43"/>
      <c r="F48" s="44"/>
    </row>
    <row r="49" spans="2:2" x14ac:dyDescent="0.25">
      <c r="B49" s="13" t="s">
        <v>6</v>
      </c>
    </row>
  </sheetData>
  <mergeCells count="26">
    <mergeCell ref="A32:F32"/>
    <mergeCell ref="C11:G11"/>
    <mergeCell ref="C1:G4"/>
    <mergeCell ref="B5:G5"/>
    <mergeCell ref="C6:G6"/>
    <mergeCell ref="C10:G10"/>
    <mergeCell ref="C8:G8"/>
    <mergeCell ref="C9:G9"/>
    <mergeCell ref="D7:E7"/>
    <mergeCell ref="F7:G7"/>
    <mergeCell ref="F12:G12"/>
    <mergeCell ref="D12:E12"/>
    <mergeCell ref="E48:F48"/>
    <mergeCell ref="C13:G13"/>
    <mergeCell ref="C14:G14"/>
    <mergeCell ref="A33:F33"/>
    <mergeCell ref="B38:G38"/>
    <mergeCell ref="B40:C40"/>
    <mergeCell ref="B15:G15"/>
    <mergeCell ref="A30:F30"/>
    <mergeCell ref="B37:G37"/>
    <mergeCell ref="B35:G35"/>
    <mergeCell ref="A31:F31"/>
    <mergeCell ref="E17:E28"/>
    <mergeCell ref="F17:F27"/>
    <mergeCell ref="G17:G27"/>
  </mergeCells>
  <phoneticPr fontId="0" type="noConversion"/>
  <pageMargins left="0" right="0" top="0" bottom="0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innotel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hai</dc:creator>
  <cp:lastModifiedBy>Trần Vương Nhật</cp:lastModifiedBy>
  <cp:lastPrinted>2025-04-24T04:05:03Z</cp:lastPrinted>
  <dcterms:created xsi:type="dcterms:W3CDTF">2001-06-27T18:38:16Z</dcterms:created>
  <dcterms:modified xsi:type="dcterms:W3CDTF">2026-07-16T07:32:53Z</dcterms:modified>
</cp:coreProperties>
</file>