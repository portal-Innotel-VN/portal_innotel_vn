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53B315-44EF-44CA-B2B5-799AF2E72ECF}" xr6:coauthVersionLast="36" xr6:coauthVersionMax="36" xr10:uidLastSave="{00000000-0000-0000-0000-000000000000}"/>
  <bookViews>
    <workbookView showHorizontalScroll="0" showVerticalScroll="0" showSheetTabs="0" xWindow="0" yWindow="0" windowWidth="23040" windowHeight="9780" xr2:uid="{00000000-000D-0000-FFFF-FFFF00000000}"/>
  </bookViews>
  <sheets>
    <sheet name="SRV" sheetId="2" r:id="rId1"/>
  </sheets>
  <definedNames>
    <definedName name="_xlnm.Print_Area" localSheetId="0">SRV!$A$1:$I$46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2" l="1"/>
  <c r="I24" i="2"/>
  <c r="I23" i="2"/>
  <c r="I22" i="2"/>
  <c r="I21" i="2"/>
  <c r="I20" i="2"/>
  <c r="I19" i="2"/>
  <c r="I18" i="2"/>
  <c r="C12" i="2" l="1"/>
  <c r="I16" i="2" l="1"/>
  <c r="I17" i="2"/>
  <c r="I26" i="2" l="1"/>
  <c r="I27" i="2" l="1"/>
  <c r="I28" i="2" s="1"/>
</calcChain>
</file>

<file path=xl/sharedStrings.xml><?xml version="1.0" encoding="utf-8"?>
<sst xmlns="http://schemas.openxmlformats.org/spreadsheetml/2006/main" count="78" uniqueCount="61">
  <si>
    <t>STT</t>
  </si>
  <si>
    <t>Mã hàng</t>
  </si>
  <si>
    <t>Tên hàng</t>
  </si>
  <si>
    <t>SL</t>
  </si>
  <si>
    <t>Đơn giá(VNĐ)</t>
  </si>
  <si>
    <t>Thành tiền(VNĐ)</t>
  </si>
  <si>
    <t>TỔNG  VNĐ</t>
  </si>
  <si>
    <t>VAT (10%)</t>
  </si>
  <si>
    <t>THÀNH TIỀN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</si>
  <si>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</si>
  <si>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BẢNG CHÀO GIÁ</t>
  </si>
  <si>
    <t>Kính gửi:</t>
  </si>
  <si>
    <t>Người nhận:</t>
  </si>
  <si>
    <t>TEL:</t>
  </si>
  <si>
    <t>FAX NUMBER:</t>
  </si>
  <si>
    <t>MOB:</t>
  </si>
  <si>
    <t>Người gửi:</t>
  </si>
  <si>
    <t>Ngày :</t>
  </si>
  <si>
    <t>Page:</t>
  </si>
  <si>
    <t>Chủ đề</t>
  </si>
  <si>
    <t>Qno:</t>
  </si>
  <si>
    <t>CÁC ĐIỀU KHOẢN THƯƠNG MẠI</t>
  </si>
  <si>
    <t>Xác nhận đặt hàng</t>
  </si>
  <si>
    <t>Huỳnh  Thanh Hải</t>
  </si>
  <si>
    <t>Giám đốc</t>
  </si>
  <si>
    <t>vietnam</t>
  </si>
  <si>
    <t>Huỳnh Trọng Hiếu</t>
  </si>
  <si>
    <t>2. Thời gian giao hàng: 6-8 tuần, bảo hành theo tiêu chuẩn nhà sản xuất</t>
  </si>
  <si>
    <t>Switch</t>
  </si>
  <si>
    <t>Access Point</t>
  </si>
  <si>
    <t>Dịch vụ cấu hình</t>
  </si>
  <si>
    <t>Asia</t>
  </si>
  <si>
    <t>Nhãn hiệu</t>
  </si>
  <si>
    <t>Xuất xứ</t>
  </si>
  <si>
    <t>Bảo hành</t>
  </si>
  <si>
    <t>MR33-HW</t>
  </si>
  <si>
    <t>MR74-HW</t>
  </si>
  <si>
    <t>MA-ANT-20</t>
  </si>
  <si>
    <t>LIC-ENT-5YR</t>
  </si>
  <si>
    <t>Meraki MR33 Cloud Managed AP</t>
  </si>
  <si>
    <t>Meraki MR74 Cloud Managed AP</t>
  </si>
  <si>
    <t>Meraki Dual-band Omni Antennas</t>
  </si>
  <si>
    <t>Meraki MR Enterprise License, 5YR</t>
  </si>
  <si>
    <t>Cisco-Meraki</t>
  </si>
  <si>
    <t>Innotel</t>
  </si>
  <si>
    <t>1. Giao hàng tại công trình</t>
  </si>
  <si>
    <t>SHINRYO VIETNAM CORPORATION</t>
  </si>
  <si>
    <t>4. Bảo lãnh bảo hành 10% thời hạn đến 30-4-2023</t>
  </si>
  <si>
    <t>Đến 30-4-2023</t>
  </si>
  <si>
    <t>Đợt 3: thanh toán 10% còn lại khi ký biên bản T&amp;C và hóa đơn tài chính.</t>
  </si>
  <si>
    <t>HPE</t>
  </si>
  <si>
    <t>J4858D</t>
  </si>
  <si>
    <t>Aruba 1G SFP LC SX 500m MMF Transceiver</t>
  </si>
  <si>
    <t>JL385A</t>
  </si>
  <si>
    <t>HPE 1920S 24G 2SFP PoE+ 370W Switch</t>
  </si>
  <si>
    <t>J9772A</t>
  </si>
  <si>
    <t>Aruba 2530 48G PoE+ Switch</t>
  </si>
  <si>
    <t>TBM - JOTUN</t>
  </si>
  <si>
    <t>3. Thanh toán: 10% khi khi ký hợp đồng</t>
  </si>
  <si>
    <t>Đợt 2 thanh toán tiếp 80% giá trị hợp đồng trong vòng 5 ngày khi ký nhận hàng tại công trình.</t>
  </si>
  <si>
    <t>BỘ PHẬN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</si>
</sst>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Fill="1"/>
    <xf numFmtId="165" fontId="4" fillId="0" borderId="0" xfId="0" applyNumberFormat="1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5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horizontal="left" vertical="center"/>
    </xf>
    <xf numFmtId="164" fontId="5" fillId="3" borderId="1" xfId="0" applyNumberFormat="1" applyFont="1" applyFill="1" applyBorder="1"/>
    <xf numFmtId="43" fontId="4" fillId="0" borderId="0" xfId="0" applyNumberFormat="1" applyFont="1"/>
    <xf numFmtId="164" fontId="5" fillId="3" borderId="1" xfId="0" applyNumberFormat="1" applyFont="1" applyFill="1" applyBorder="1" applyAlignment="1">
      <alignment horizontal="left"/>
    </xf>
    <xf numFmtId="0" fontId="6" fillId="0" borderId="2" xfId="6" applyFont="1" applyBorder="1"/>
    <xf numFmtId="0" fontId="3" fillId="0" borderId="2" xfId="6" applyFont="1" applyBorder="1"/>
    <xf numFmtId="0" fontId="6" fillId="0" borderId="6" xfId="6" applyFont="1" applyBorder="1"/>
    <xf numFmtId="0" fontId="3" fillId="0" borderId="6" xfId="6" applyFont="1" applyBorder="1"/>
    <xf numFmtId="0" fontId="6" fillId="0" borderId="3" xfId="6" applyFont="1" applyBorder="1"/>
    <xf numFmtId="0" fontId="6" fillId="0" borderId="1" xfId="6" applyFont="1" applyBorder="1"/>
    <xf numFmtId="0" fontId="8" fillId="0" borderId="1" xfId="6" applyFont="1" applyBorder="1" applyAlignment="1">
      <alignment vertical="center" wrapText="1"/>
    </xf>
    <xf numFmtId="15" fontId="8" fillId="0" borderId="1" xfId="6" quotePrefix="1" applyNumberFormat="1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/>
    </xf>
    <xf numFmtId="0" fontId="7" fillId="0" borderId="1" xfId="6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 wrapText="1"/>
    </xf>
    <xf numFmtId="0" fontId="3" fillId="0" borderId="15" xfId="6" applyFont="1" applyBorder="1"/>
    <xf numFmtId="0" fontId="6" fillId="0" borderId="19" xfId="6" applyFont="1" applyBorder="1"/>
    <xf numFmtId="0" fontId="10" fillId="0" borderId="19" xfId="6" applyFont="1" applyBorder="1"/>
    <xf numFmtId="0" fontId="7" fillId="0" borderId="19" xfId="6" applyFont="1" applyBorder="1"/>
    <xf numFmtId="0" fontId="8" fillId="0" borderId="19" xfId="6" applyFont="1" applyBorder="1" applyAlignment="1">
      <alignment horizontal="center"/>
    </xf>
    <xf numFmtId="0" fontId="8" fillId="0" borderId="19" xfId="6" applyFont="1" applyBorder="1"/>
    <xf numFmtId="0" fontId="3" fillId="0" borderId="2" xfId="6" applyFont="1" applyFill="1" applyBorder="1" applyAlignment="1">
      <alignment horizontal="center" vertical="top" wrapText="1"/>
    </xf>
    <xf numFmtId="0" fontId="3" fillId="0" borderId="2" xfId="6" applyFont="1" applyBorder="1" applyAlignment="1">
      <alignment horizontal="center" vertical="top" wrapText="1"/>
    </xf>
    <xf numFmtId="0" fontId="8" fillId="0" borderId="2" xfId="6" applyFont="1" applyBorder="1"/>
    <xf numFmtId="0" fontId="8" fillId="0" borderId="2" xfId="6" applyFont="1" applyBorder="1" applyAlignment="1">
      <alignment horizontal="center"/>
    </xf>
    <xf numFmtId="0" fontId="7" fillId="0" borderId="2" xfId="6" applyFont="1" applyBorder="1"/>
    <xf numFmtId="0" fontId="8" fillId="0" borderId="20" xfId="6" applyFont="1" applyBorder="1"/>
    <xf numFmtId="0" fontId="8" fillId="0" borderId="21" xfId="6" applyFont="1" applyBorder="1"/>
    <xf numFmtId="0" fontId="8" fillId="0" borderId="21" xfId="6" applyFont="1" applyBorder="1" applyAlignment="1">
      <alignment horizontal="center"/>
    </xf>
    <xf numFmtId="0" fontId="8" fillId="0" borderId="15" xfId="6" applyFont="1" applyBorder="1"/>
    <xf numFmtId="166" fontId="3" fillId="0" borderId="2" xfId="6" applyNumberFormat="1" applyFont="1" applyBorder="1" applyAlignment="1">
      <alignment horizontal="center" vertical="top" wrapText="1"/>
    </xf>
    <xf numFmtId="0" fontId="11" fillId="0" borderId="2" xfId="6" applyFont="1" applyBorder="1"/>
    <xf numFmtId="166" fontId="3" fillId="0" borderId="2" xfId="6" applyNumberFormat="1" applyFont="1" applyBorder="1" applyAlignment="1">
      <alignment vertical="center"/>
    </xf>
    <xf numFmtId="0" fontId="3" fillId="0" borderId="2" xfId="6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vertical="center"/>
    </xf>
    <xf numFmtId="164" fontId="12" fillId="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9" fontId="8" fillId="0" borderId="2" xfId="6" applyNumberFormat="1" applyFont="1" applyBorder="1"/>
    <xf numFmtId="0" fontId="5" fillId="2" borderId="1" xfId="0" applyFont="1" applyFill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3" xfId="6" applyFont="1" applyBorder="1" applyAlignment="1">
      <alignment horizontal="center" vertical="center" wrapText="1"/>
    </xf>
    <xf numFmtId="0" fontId="7" fillId="0" borderId="4" xfId="6" applyFont="1" applyBorder="1" applyAlignment="1">
      <alignment horizontal="center" vertical="center" wrapText="1"/>
    </xf>
    <xf numFmtId="0" fontId="8" fillId="0" borderId="4" xfId="6" applyFont="1" applyBorder="1"/>
    <xf numFmtId="0" fontId="8" fillId="0" borderId="16" xfId="6" applyFont="1" applyBorder="1"/>
    <xf numFmtId="0" fontId="8" fillId="0" borderId="5" xfId="6" applyFont="1" applyBorder="1"/>
    <xf numFmtId="0" fontId="8" fillId="0" borderId="0" xfId="6" applyFont="1" applyBorder="1"/>
    <xf numFmtId="0" fontId="8" fillId="0" borderId="17" xfId="6" applyFont="1" applyBorder="1"/>
    <xf numFmtId="0" fontId="8" fillId="0" borderId="7" xfId="6" applyFont="1" applyBorder="1"/>
    <xf numFmtId="0" fontId="8" fillId="0" borderId="8" xfId="6" applyFont="1" applyBorder="1"/>
    <xf numFmtId="0" fontId="8" fillId="0" borderId="18" xfId="6" applyFont="1" applyBorder="1"/>
    <xf numFmtId="0" fontId="9" fillId="0" borderId="9" xfId="6" applyFont="1" applyBorder="1" applyAlignment="1">
      <alignment horizontal="center"/>
    </xf>
    <xf numFmtId="0" fontId="9" fillId="0" borderId="10" xfId="6" applyFont="1" applyBorder="1" applyAlignment="1">
      <alignment horizontal="center"/>
    </xf>
    <xf numFmtId="0" fontId="9" fillId="0" borderId="11" xfId="6" applyFont="1" applyBorder="1" applyAlignment="1">
      <alignment horizontal="center"/>
    </xf>
    <xf numFmtId="0" fontId="7" fillId="0" borderId="12" xfId="6" applyFont="1" applyBorder="1" applyAlignment="1">
      <alignment vertical="center" wrapText="1"/>
    </xf>
    <xf numFmtId="0" fontId="7" fillId="0" borderId="13" xfId="6" applyFont="1" applyBorder="1" applyAlignment="1">
      <alignment vertical="center" wrapText="1"/>
    </xf>
    <xf numFmtId="0" fontId="7" fillId="0" borderId="14" xfId="6" applyFont="1" applyBorder="1" applyAlignment="1">
      <alignment vertical="center" wrapText="1"/>
    </xf>
    <xf numFmtId="0" fontId="8" fillId="0" borderId="1" xfId="6" applyFont="1" applyBorder="1" applyAlignment="1">
      <alignment horizontal="left" vertical="center" wrapText="1"/>
    </xf>
    <xf numFmtId="0" fontId="7" fillId="0" borderId="20" xfId="6" applyFont="1" applyBorder="1" applyAlignment="1">
      <alignment horizontal="left" wrapText="1"/>
    </xf>
    <xf numFmtId="0" fontId="7" fillId="0" borderId="21" xfId="6" applyFont="1" applyBorder="1" applyAlignment="1">
      <alignment horizontal="left" wrapText="1"/>
    </xf>
    <xf numFmtId="0" fontId="7" fillId="0" borderId="15" xfId="6" applyFont="1" applyBorder="1" applyAlignment="1">
      <alignment horizontal="left" wrapText="1"/>
    </xf>
    <xf numFmtId="0" fontId="13" fillId="4" borderId="1" xfId="0" applyFont="1" applyFill="1" applyBorder="1" applyAlignment="1">
      <alignment horizontal="center" vertical="center"/>
    </xf>
  </cellXfs>
  <cellStyles count="7">
    <cellStyle name="Normal" xfId="0" builtinId="0"/>
    <cellStyle name="Normal 14" xfId="1" xr:uid="{00000000-0005-0000-0000-000001000000}"/>
    <cellStyle name="Normal 17" xfId="6" xr:uid="{00000000-0005-0000-0000-000002000000}"/>
    <cellStyle name="Normal 3 6" xfId="5" xr:uid="{00000000-0005-0000-0000-000003000000}"/>
    <cellStyle name="Normal 4" xfId="2" xr:uid="{00000000-0005-0000-0000-000004000000}"/>
    <cellStyle name="Normal 4 5" xfId="3" xr:uid="{00000000-0005-0000-0000-000005000000}"/>
    <cellStyle name="Normal 4 5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967740</xdr:colOff>
      <xdr:row>3</xdr:row>
      <xdr:rowOff>97155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11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419100</xdr:colOff>
      <xdr:row>4</xdr:row>
      <xdr:rowOff>0</xdr:rowOff>
    </xdr:to>
    <xdr:pic>
      <xdr:nvPicPr>
        <xdr:cNvPr id="3" name="Picture 2" descr="IBM partner mai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723900"/>
          <a:ext cx="1609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48"/>
  <sheetViews>
    <sheetView tabSelected="1" view="pageBreakPreview" topLeftCell="A7" zoomScaleNormal="100" zoomScaleSheetLayoutView="100" workbookViewId="0">
      <selection activeCell="F39" sqref="F39"/>
    </sheetView>
  </sheetViews>
  <sheetFormatPr defaultColWidth="9.109375" defaultRowHeight="15.6" x14ac:dyDescent="0.3"/>
  <cols>
    <col min="1" max="1" width="9.109375" style="10"/>
    <col min="2" max="2" width="17.109375" style="3" customWidth="1"/>
    <col min="3" max="3" width="53" style="6" customWidth="1"/>
    <col min="4" max="4" width="13.44140625" style="6" customWidth="1"/>
    <col min="5" max="5" width="11.33203125" style="6" customWidth="1"/>
    <col min="6" max="6" width="15.6640625" style="6" customWidth="1"/>
    <col min="7" max="7" width="9.109375" style="7"/>
    <col min="8" max="8" width="18.5546875" style="3" bestFit="1" customWidth="1"/>
    <col min="9" max="9" width="17.88671875" style="3" bestFit="1" customWidth="1"/>
    <col min="10" max="10" width="28.44140625" style="3" customWidth="1"/>
    <col min="11" max="11" width="12.5546875" style="3" bestFit="1" customWidth="1"/>
    <col min="12" max="16384" width="9.109375" style="3"/>
  </cols>
  <sheetData>
    <row r="1" spans="1:10" s="20" customFormat="1" ht="12.75" customHeight="1" x14ac:dyDescent="0.25">
      <c r="A1" s="19"/>
      <c r="C1" s="61" t="s">
        <v>9</v>
      </c>
      <c r="D1" s="62"/>
      <c r="E1" s="62"/>
      <c r="F1" s="62"/>
      <c r="G1" s="63"/>
      <c r="H1" s="63"/>
      <c r="I1" s="64"/>
      <c r="J1" s="30"/>
    </row>
    <row r="2" spans="1:10" s="20" customFormat="1" ht="12.75" customHeight="1" x14ac:dyDescent="0.25">
      <c r="A2" s="19"/>
      <c r="C2" s="65"/>
      <c r="D2" s="66"/>
      <c r="E2" s="66"/>
      <c r="F2" s="66"/>
      <c r="G2" s="66"/>
      <c r="H2" s="66"/>
      <c r="I2" s="67"/>
      <c r="J2" s="30"/>
    </row>
    <row r="3" spans="1:10" s="20" customFormat="1" ht="12.75" customHeight="1" x14ac:dyDescent="0.25">
      <c r="A3" s="19"/>
      <c r="C3" s="65"/>
      <c r="D3" s="66"/>
      <c r="E3" s="66"/>
      <c r="F3" s="66"/>
      <c r="G3" s="66"/>
      <c r="H3" s="66"/>
      <c r="I3" s="67"/>
      <c r="J3" s="30"/>
    </row>
    <row r="4" spans="1:10" s="20" customFormat="1" ht="18.75" customHeight="1" thickBot="1" x14ac:dyDescent="0.3">
      <c r="A4" s="21"/>
      <c r="B4" s="22"/>
      <c r="C4" s="68"/>
      <c r="D4" s="69"/>
      <c r="E4" s="69"/>
      <c r="F4" s="69"/>
      <c r="G4" s="69"/>
      <c r="H4" s="69"/>
      <c r="I4" s="70"/>
      <c r="J4" s="30"/>
    </row>
    <row r="5" spans="1:10" s="20" customFormat="1" ht="56.25" customHeight="1" thickTop="1" x14ac:dyDescent="0.4">
      <c r="A5" s="23"/>
      <c r="B5" s="71" t="s">
        <v>10</v>
      </c>
      <c r="C5" s="72"/>
      <c r="D5" s="72"/>
      <c r="E5" s="72"/>
      <c r="F5" s="72"/>
      <c r="G5" s="72"/>
      <c r="H5" s="72"/>
      <c r="I5" s="73"/>
    </row>
    <row r="6" spans="1:10" s="20" customFormat="1" ht="22.5" customHeight="1" x14ac:dyDescent="0.25">
      <c r="A6" s="24"/>
      <c r="B6" s="25" t="s">
        <v>11</v>
      </c>
      <c r="C6" s="74" t="s">
        <v>46</v>
      </c>
      <c r="D6" s="75"/>
      <c r="E6" s="75"/>
      <c r="F6" s="75"/>
      <c r="G6" s="75"/>
      <c r="H6" s="75"/>
      <c r="I6" s="76"/>
    </row>
    <row r="7" spans="1:10" s="20" customFormat="1" ht="18.75" customHeight="1" x14ac:dyDescent="0.25">
      <c r="A7" s="24"/>
      <c r="B7" s="25" t="s">
        <v>12</v>
      </c>
      <c r="C7" s="77" t="s">
        <v>60</v>
      </c>
      <c r="D7" s="77"/>
      <c r="E7" s="77"/>
      <c r="F7" s="77"/>
      <c r="G7" s="77"/>
      <c r="H7" s="77"/>
      <c r="I7" s="77"/>
    </row>
    <row r="8" spans="1:10" s="20" customFormat="1" ht="13.8" x14ac:dyDescent="0.25">
      <c r="A8" s="24"/>
      <c r="B8" s="25" t="s">
        <v>13</v>
      </c>
      <c r="C8" s="77"/>
      <c r="D8" s="77"/>
      <c r="E8" s="77"/>
      <c r="F8" s="77"/>
      <c r="G8" s="77"/>
      <c r="H8" s="77"/>
      <c r="I8" s="77"/>
    </row>
    <row r="9" spans="1:10" s="20" customFormat="1" ht="14.25" customHeight="1" x14ac:dyDescent="0.25">
      <c r="A9" s="24"/>
      <c r="B9" s="25" t="s">
        <v>14</v>
      </c>
      <c r="C9" s="77"/>
      <c r="D9" s="77"/>
      <c r="E9" s="77"/>
      <c r="F9" s="77"/>
      <c r="G9" s="77"/>
      <c r="H9" s="77"/>
      <c r="I9" s="77"/>
    </row>
    <row r="10" spans="1:10" s="20" customFormat="1" ht="13.8" x14ac:dyDescent="0.25">
      <c r="A10" s="24"/>
      <c r="B10" s="25" t="s">
        <v>15</v>
      </c>
      <c r="C10" s="77"/>
      <c r="D10" s="77"/>
      <c r="E10" s="77"/>
      <c r="F10" s="77"/>
      <c r="G10" s="77"/>
      <c r="H10" s="77"/>
      <c r="I10" s="77"/>
    </row>
    <row r="11" spans="1:10" s="20" customFormat="1" ht="16.5" customHeight="1" x14ac:dyDescent="0.25">
      <c r="A11" s="24"/>
      <c r="B11" s="25" t="s">
        <v>16</v>
      </c>
      <c r="C11" s="77" t="s">
        <v>26</v>
      </c>
      <c r="D11" s="77"/>
      <c r="E11" s="77"/>
      <c r="F11" s="77"/>
      <c r="G11" s="77"/>
      <c r="H11" s="77"/>
      <c r="I11" s="77"/>
    </row>
    <row r="12" spans="1:10" s="20" customFormat="1" ht="15" customHeight="1" x14ac:dyDescent="0.25">
      <c r="A12" s="24"/>
      <c r="B12" s="25" t="s">
        <v>17</v>
      </c>
      <c r="C12" s="26">
        <f ca="1">TODAY()</f>
        <v>43920</v>
      </c>
      <c r="D12" s="26"/>
      <c r="E12" s="26"/>
      <c r="F12" s="26"/>
      <c r="G12" s="77" t="s">
        <v>18</v>
      </c>
      <c r="H12" s="77"/>
      <c r="I12" s="27">
        <v>1</v>
      </c>
    </row>
    <row r="13" spans="1:10" s="20" customFormat="1" ht="18.600000000000001" customHeight="1" x14ac:dyDescent="0.25">
      <c r="A13" s="24"/>
      <c r="B13" s="25" t="s">
        <v>19</v>
      </c>
      <c r="C13" s="28" t="s">
        <v>57</v>
      </c>
      <c r="D13" s="28"/>
      <c r="E13" s="28"/>
      <c r="F13" s="28"/>
      <c r="G13" s="77" t="s">
        <v>20</v>
      </c>
      <c r="H13" s="77"/>
      <c r="I13" s="29"/>
    </row>
    <row r="15" spans="1:10" x14ac:dyDescent="0.3">
      <c r="A15" s="1" t="s">
        <v>0</v>
      </c>
      <c r="B15" s="1" t="s">
        <v>1</v>
      </c>
      <c r="C15" s="1" t="s">
        <v>2</v>
      </c>
      <c r="D15" s="1" t="s">
        <v>32</v>
      </c>
      <c r="E15" s="1" t="s">
        <v>33</v>
      </c>
      <c r="F15" s="1" t="s">
        <v>34</v>
      </c>
      <c r="G15" s="1" t="s">
        <v>3</v>
      </c>
      <c r="H15" s="1" t="s">
        <v>4</v>
      </c>
      <c r="I15" s="1" t="s">
        <v>5</v>
      </c>
    </row>
    <row r="16" spans="1:10" x14ac:dyDescent="0.3">
      <c r="A16" s="49">
        <v>1</v>
      </c>
      <c r="B16" s="58" t="s">
        <v>28</v>
      </c>
      <c r="C16" s="8"/>
      <c r="D16" s="8"/>
      <c r="E16" s="8"/>
      <c r="F16" s="8"/>
      <c r="G16" s="2"/>
      <c r="H16" s="11"/>
      <c r="I16" s="11">
        <f>G16*H16</f>
        <v>0</v>
      </c>
    </row>
    <row r="17" spans="1:11" x14ac:dyDescent="0.3">
      <c r="A17" s="50">
        <v>1.1000000000000001</v>
      </c>
      <c r="B17" s="56" t="s">
        <v>55</v>
      </c>
      <c r="C17" s="51" t="s">
        <v>56</v>
      </c>
      <c r="D17" s="51" t="s">
        <v>50</v>
      </c>
      <c r="E17" s="51" t="s">
        <v>31</v>
      </c>
      <c r="F17" s="51" t="s">
        <v>48</v>
      </c>
      <c r="G17" s="81">
        <v>11</v>
      </c>
      <c r="H17" s="53">
        <v>40200000</v>
      </c>
      <c r="I17" s="54">
        <f>G17*H17</f>
        <v>442200000</v>
      </c>
      <c r="K17" s="9"/>
    </row>
    <row r="18" spans="1:11" x14ac:dyDescent="0.3">
      <c r="A18" s="50">
        <v>1.2</v>
      </c>
      <c r="B18" s="56" t="s">
        <v>53</v>
      </c>
      <c r="C18" s="51" t="s">
        <v>54</v>
      </c>
      <c r="D18" s="51" t="s">
        <v>50</v>
      </c>
      <c r="E18" s="51" t="s">
        <v>31</v>
      </c>
      <c r="F18" s="51" t="s">
        <v>48</v>
      </c>
      <c r="G18" s="81">
        <v>7</v>
      </c>
      <c r="H18" s="53">
        <v>19800000</v>
      </c>
      <c r="I18" s="54">
        <f t="shared" ref="I18:I25" si="0">G18*H18</f>
        <v>138600000</v>
      </c>
      <c r="K18" s="9"/>
    </row>
    <row r="19" spans="1:11" x14ac:dyDescent="0.3">
      <c r="A19" s="50">
        <v>1.3</v>
      </c>
      <c r="B19" s="56" t="s">
        <v>51</v>
      </c>
      <c r="C19" s="51" t="s">
        <v>52</v>
      </c>
      <c r="D19" s="51" t="s">
        <v>50</v>
      </c>
      <c r="E19" s="51" t="s">
        <v>31</v>
      </c>
      <c r="F19" s="51" t="s">
        <v>48</v>
      </c>
      <c r="G19" s="81">
        <v>36</v>
      </c>
      <c r="H19" s="53">
        <v>4400000</v>
      </c>
      <c r="I19" s="54">
        <f t="shared" si="0"/>
        <v>158400000</v>
      </c>
      <c r="K19" s="9"/>
    </row>
    <row r="20" spans="1:11" x14ac:dyDescent="0.3">
      <c r="A20" s="49">
        <v>2</v>
      </c>
      <c r="B20" s="58" t="s">
        <v>29</v>
      </c>
      <c r="C20" s="8"/>
      <c r="D20" s="8"/>
      <c r="E20" s="8"/>
      <c r="F20" s="8"/>
      <c r="G20" s="2"/>
      <c r="H20" s="11"/>
      <c r="I20" s="11">
        <f t="shared" si="0"/>
        <v>0</v>
      </c>
    </row>
    <row r="21" spans="1:11" x14ac:dyDescent="0.3">
      <c r="A21" s="50"/>
      <c r="B21" s="51" t="s">
        <v>35</v>
      </c>
      <c r="C21" s="51" t="s">
        <v>39</v>
      </c>
      <c r="D21" s="51" t="s">
        <v>43</v>
      </c>
      <c r="E21" s="51" t="s">
        <v>31</v>
      </c>
      <c r="F21" s="51" t="s">
        <v>48</v>
      </c>
      <c r="G21" s="81">
        <v>16</v>
      </c>
      <c r="H21" s="53">
        <v>10400000</v>
      </c>
      <c r="I21" s="54">
        <f t="shared" si="0"/>
        <v>166400000</v>
      </c>
      <c r="K21" s="9"/>
    </row>
    <row r="22" spans="1:11" x14ac:dyDescent="0.3">
      <c r="A22" s="50"/>
      <c r="B22" s="51" t="s">
        <v>36</v>
      </c>
      <c r="C22" s="51" t="s">
        <v>40</v>
      </c>
      <c r="D22" s="51" t="s">
        <v>43</v>
      </c>
      <c r="E22" s="51" t="s">
        <v>31</v>
      </c>
      <c r="F22" s="51" t="s">
        <v>48</v>
      </c>
      <c r="G22" s="81">
        <v>53</v>
      </c>
      <c r="H22" s="53">
        <v>22350000</v>
      </c>
      <c r="I22" s="54">
        <f t="shared" si="0"/>
        <v>1184550000</v>
      </c>
      <c r="K22" s="9"/>
    </row>
    <row r="23" spans="1:11" x14ac:dyDescent="0.3">
      <c r="A23" s="50"/>
      <c r="B23" s="51" t="s">
        <v>37</v>
      </c>
      <c r="C23" s="51" t="s">
        <v>41</v>
      </c>
      <c r="D23" s="51" t="s">
        <v>43</v>
      </c>
      <c r="E23" s="51" t="s">
        <v>31</v>
      </c>
      <c r="F23" s="51" t="s">
        <v>48</v>
      </c>
      <c r="G23" s="81">
        <v>106</v>
      </c>
      <c r="H23" s="53">
        <v>3200000</v>
      </c>
      <c r="I23" s="54">
        <f t="shared" si="0"/>
        <v>339200000</v>
      </c>
      <c r="K23" s="9"/>
    </row>
    <row r="24" spans="1:11" x14ac:dyDescent="0.3">
      <c r="A24" s="50"/>
      <c r="B24" s="51" t="s">
        <v>38</v>
      </c>
      <c r="C24" s="51" t="s">
        <v>42</v>
      </c>
      <c r="D24" s="51" t="s">
        <v>43</v>
      </c>
      <c r="E24" s="51" t="s">
        <v>31</v>
      </c>
      <c r="F24" s="51" t="s">
        <v>48</v>
      </c>
      <c r="G24" s="52">
        <v>69</v>
      </c>
      <c r="H24" s="53">
        <v>7200000</v>
      </c>
      <c r="I24" s="54">
        <f t="shared" si="0"/>
        <v>496800000</v>
      </c>
      <c r="K24" s="9"/>
    </row>
    <row r="25" spans="1:11" x14ac:dyDescent="0.3">
      <c r="A25" s="49">
        <v>2.1</v>
      </c>
      <c r="B25" s="58" t="s">
        <v>30</v>
      </c>
      <c r="C25" s="8"/>
      <c r="D25" s="55" t="s">
        <v>44</v>
      </c>
      <c r="E25" s="55" t="s">
        <v>25</v>
      </c>
      <c r="F25" s="55"/>
      <c r="G25" s="2">
        <v>1</v>
      </c>
      <c r="H25" s="11">
        <v>67000000</v>
      </c>
      <c r="I25" s="11">
        <f t="shared" si="0"/>
        <v>67000000</v>
      </c>
    </row>
    <row r="26" spans="1:11" x14ac:dyDescent="0.3">
      <c r="A26" s="12"/>
      <c r="B26" s="13"/>
      <c r="C26" s="14"/>
      <c r="D26" s="14"/>
      <c r="E26" s="14"/>
      <c r="F26" s="14"/>
      <c r="G26" s="12"/>
      <c r="H26" s="15" t="s">
        <v>6</v>
      </c>
      <c r="I26" s="16">
        <f>SUM(I16:I25)</f>
        <v>2993150000</v>
      </c>
      <c r="J26" s="17"/>
    </row>
    <row r="27" spans="1:11" x14ac:dyDescent="0.3">
      <c r="A27" s="12"/>
      <c r="B27" s="13"/>
      <c r="C27" s="14"/>
      <c r="D27" s="14"/>
      <c r="E27" s="14"/>
      <c r="F27" s="14"/>
      <c r="G27" s="12"/>
      <c r="H27" s="15" t="s">
        <v>7</v>
      </c>
      <c r="I27" s="16">
        <f>I26*0.1</f>
        <v>299315000</v>
      </c>
      <c r="J27" s="4"/>
    </row>
    <row r="28" spans="1:11" x14ac:dyDescent="0.3">
      <c r="A28" s="12"/>
      <c r="B28" s="13"/>
      <c r="C28" s="14"/>
      <c r="D28" s="14"/>
      <c r="E28" s="14"/>
      <c r="F28" s="14"/>
      <c r="G28" s="12"/>
      <c r="H28" s="18" t="s">
        <v>8</v>
      </c>
      <c r="I28" s="16">
        <f>SUM(I26:I27)</f>
        <v>3292465000</v>
      </c>
      <c r="J28" s="5"/>
    </row>
    <row r="29" spans="1:11" x14ac:dyDescent="0.3">
      <c r="H29" s="4"/>
      <c r="I29" s="4"/>
      <c r="J29" s="5"/>
    </row>
    <row r="30" spans="1:11" s="37" customFormat="1" ht="13.8" x14ac:dyDescent="0.25">
      <c r="A30" s="31"/>
      <c r="B30" s="32" t="s">
        <v>21</v>
      </c>
      <c r="C30" s="33"/>
      <c r="D30" s="33"/>
      <c r="E30" s="33"/>
      <c r="F30" s="33"/>
      <c r="G30" s="34"/>
      <c r="H30" s="35"/>
      <c r="I30" s="35"/>
      <c r="J30" s="36"/>
    </row>
    <row r="31" spans="1:11" s="37" customFormat="1" ht="13.8" x14ac:dyDescent="0.25">
      <c r="A31" s="19"/>
      <c r="B31" s="38" t="s">
        <v>45</v>
      </c>
      <c r="C31" s="38"/>
      <c r="D31" s="38"/>
      <c r="E31" s="38"/>
      <c r="F31" s="38"/>
      <c r="G31" s="39"/>
      <c r="H31" s="38"/>
      <c r="I31" s="35"/>
    </row>
    <row r="32" spans="1:11" s="37" customFormat="1" ht="13.8" x14ac:dyDescent="0.25">
      <c r="A32" s="19"/>
      <c r="B32" s="38" t="s">
        <v>27</v>
      </c>
      <c r="C32" s="38"/>
      <c r="D32" s="38"/>
      <c r="E32" s="38"/>
      <c r="F32" s="38"/>
      <c r="G32" s="39"/>
      <c r="H32" s="38"/>
      <c r="I32" s="38"/>
    </row>
    <row r="33" spans="1:11" s="37" customFormat="1" ht="13.8" x14ac:dyDescent="0.25">
      <c r="A33" s="19"/>
      <c r="B33" s="38" t="s">
        <v>58</v>
      </c>
      <c r="C33" s="38"/>
      <c r="D33" s="38"/>
      <c r="E33" s="38"/>
      <c r="F33" s="38"/>
      <c r="G33" s="39"/>
      <c r="H33" s="38"/>
      <c r="I33" s="38"/>
    </row>
    <row r="34" spans="1:11" s="37" customFormat="1" ht="13.8" x14ac:dyDescent="0.25">
      <c r="A34" s="19"/>
      <c r="B34" s="38" t="s">
        <v>59</v>
      </c>
      <c r="C34" s="38"/>
      <c r="D34" s="38"/>
      <c r="E34" s="38"/>
      <c r="F34" s="38"/>
      <c r="G34" s="39"/>
      <c r="H34" s="38"/>
      <c r="I34" s="38"/>
    </row>
    <row r="35" spans="1:11" s="37" customFormat="1" ht="13.8" x14ac:dyDescent="0.25">
      <c r="A35" s="19"/>
      <c r="B35" s="57" t="s">
        <v>49</v>
      </c>
      <c r="C35" s="38"/>
      <c r="D35" s="38"/>
      <c r="E35" s="38"/>
      <c r="F35" s="38"/>
      <c r="G35" s="39"/>
      <c r="H35" s="38"/>
      <c r="I35" s="38"/>
    </row>
    <row r="36" spans="1:11" s="37" customFormat="1" ht="13.8" x14ac:dyDescent="0.25">
      <c r="A36" s="19"/>
      <c r="B36" s="38"/>
      <c r="C36" s="38"/>
      <c r="D36" s="38"/>
      <c r="E36" s="38"/>
      <c r="F36" s="38"/>
      <c r="G36" s="39"/>
      <c r="H36" s="38"/>
      <c r="I36" s="38"/>
    </row>
    <row r="37" spans="1:11" s="37" customFormat="1" ht="13.8" x14ac:dyDescent="0.25">
      <c r="A37" s="19"/>
      <c r="B37" s="38" t="s">
        <v>47</v>
      </c>
      <c r="C37" s="38"/>
      <c r="D37" s="38"/>
      <c r="E37" s="38"/>
      <c r="F37" s="38"/>
      <c r="G37" s="39"/>
      <c r="H37" s="38"/>
      <c r="I37" s="38"/>
    </row>
    <row r="38" spans="1:11" s="37" customFormat="1" ht="13.8" x14ac:dyDescent="0.25">
      <c r="A38" s="19"/>
      <c r="B38" s="41"/>
      <c r="C38" s="42"/>
      <c r="D38" s="42"/>
      <c r="E38" s="42"/>
      <c r="F38" s="42"/>
      <c r="G38" s="43"/>
      <c r="H38" s="42"/>
      <c r="I38" s="44"/>
    </row>
    <row r="39" spans="1:11" s="37" customFormat="1" ht="13.8" x14ac:dyDescent="0.25">
      <c r="A39" s="19"/>
      <c r="B39" s="41"/>
      <c r="C39" s="42"/>
      <c r="D39" s="42"/>
      <c r="E39" s="42"/>
      <c r="F39" s="42"/>
      <c r="G39" s="43"/>
      <c r="H39" s="42"/>
      <c r="I39" s="44"/>
    </row>
    <row r="40" spans="1:11" s="37" customFormat="1" ht="13.8" x14ac:dyDescent="0.25">
      <c r="A40" s="19"/>
      <c r="B40" s="78"/>
      <c r="C40" s="79"/>
      <c r="D40" s="79"/>
      <c r="E40" s="79"/>
      <c r="F40" s="79"/>
      <c r="G40" s="79"/>
      <c r="H40" s="79"/>
      <c r="I40" s="80"/>
      <c r="J40" s="45"/>
    </row>
    <row r="41" spans="1:11" s="37" customFormat="1" ht="13.8" x14ac:dyDescent="0.25">
      <c r="A41" s="19"/>
      <c r="B41" s="38"/>
      <c r="C41" s="38"/>
      <c r="D41" s="38"/>
      <c r="E41" s="38"/>
      <c r="F41" s="38"/>
      <c r="G41" s="39"/>
      <c r="H41" s="46" t="s">
        <v>22</v>
      </c>
      <c r="I41" s="20"/>
    </row>
    <row r="42" spans="1:11" s="37" customFormat="1" ht="13.8" x14ac:dyDescent="0.25">
      <c r="A42" s="19"/>
      <c r="B42" s="40" t="s">
        <v>23</v>
      </c>
      <c r="C42" s="40"/>
      <c r="D42" s="40"/>
      <c r="E42" s="40"/>
      <c r="F42" s="40"/>
      <c r="G42" s="39"/>
      <c r="H42" s="38"/>
      <c r="I42" s="38"/>
      <c r="J42" s="45"/>
    </row>
    <row r="43" spans="1:11" s="37" customFormat="1" ht="13.8" x14ac:dyDescent="0.25">
      <c r="A43" s="19"/>
      <c r="B43" s="40" t="s">
        <v>24</v>
      </c>
      <c r="C43" s="40"/>
      <c r="D43" s="40"/>
      <c r="E43" s="40"/>
      <c r="F43" s="40"/>
      <c r="G43" s="39"/>
      <c r="H43" s="38"/>
      <c r="I43" s="38"/>
      <c r="J43" s="47"/>
      <c r="K43" s="48"/>
    </row>
    <row r="44" spans="1:11" x14ac:dyDescent="0.3">
      <c r="A44" s="59"/>
      <c r="B44" s="59"/>
      <c r="C44" s="59"/>
      <c r="D44" s="59"/>
      <c r="E44" s="59"/>
      <c r="F44" s="59"/>
      <c r="G44" s="59"/>
      <c r="H44" s="5"/>
      <c r="J44" s="4"/>
    </row>
    <row r="45" spans="1:11" x14ac:dyDescent="0.3">
      <c r="H45" s="4"/>
      <c r="J45" s="4"/>
    </row>
    <row r="46" spans="1:11" x14ac:dyDescent="0.3">
      <c r="A46" s="60"/>
      <c r="B46" s="60"/>
      <c r="C46" s="60"/>
      <c r="D46" s="60"/>
      <c r="E46" s="60"/>
      <c r="F46" s="60"/>
      <c r="G46" s="60"/>
      <c r="H46" s="4"/>
      <c r="J46" s="4"/>
    </row>
    <row r="47" spans="1:11" x14ac:dyDescent="0.3">
      <c r="H47" s="4"/>
      <c r="J47" s="4"/>
    </row>
    <row r="48" spans="1:11" x14ac:dyDescent="0.3">
      <c r="H48" s="4"/>
    </row>
  </sheetData>
  <mergeCells count="13">
    <mergeCell ref="A44:G44"/>
    <mergeCell ref="A46:G46"/>
    <mergeCell ref="C1:I4"/>
    <mergeCell ref="B5:I5"/>
    <mergeCell ref="C6:I6"/>
    <mergeCell ref="C7:I7"/>
    <mergeCell ref="C8:I8"/>
    <mergeCell ref="C9:I9"/>
    <mergeCell ref="C10:I10"/>
    <mergeCell ref="C11:I11"/>
    <mergeCell ref="G12:H12"/>
    <mergeCell ref="G13:H13"/>
    <mergeCell ref="B40:I40"/>
  </mergeCells>
  <pageMargins left="0.7" right="0.7" top="0.75" bottom="0.75" header="0.3" footer="0.3"/>
  <pageSetup scale="54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SRV</vt:lpstr>
      <vt:lpstr>SRV!Print_Area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2017-01-24T02:34:43Z</cp:lastPrinted>
  <dcterms:created xsi:type="dcterms:W3CDTF">2017-01-23T09:55:13Z</dcterms:created>
  <dcterms:modified xsi:type="dcterms:W3CDTF">2020-03-30T02:48:19Z</dcterms:modified>
</cp:coreProperties>
</file>