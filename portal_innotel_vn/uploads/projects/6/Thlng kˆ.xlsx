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1" activeTab="2"/>
  </bookViews>
  <sheets>
    <sheet name="Sheet1 (2)" sheetId="3" state="hidden" r:id="rId1"/>
    <sheet name="SW" sheetId="1" r:id="rId2"/>
    <sheet name="AP" sheetId="4" r:id="rId3"/>
    <sheet name="SW (2)" sheetId="5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6" i="5" l="1"/>
  <c r="J26" i="5"/>
  <c r="I26" i="5"/>
  <c r="H26" i="5"/>
  <c r="G26" i="5"/>
  <c r="C26" i="5"/>
  <c r="K26" i="1" l="1"/>
  <c r="C18" i="4"/>
  <c r="B18" i="4"/>
  <c r="C26" i="1"/>
  <c r="J26" i="1"/>
  <c r="I26" i="1"/>
  <c r="H26" i="1"/>
  <c r="G26" i="1"/>
  <c r="G15" i="3" l="1"/>
  <c r="F15" i="3"/>
  <c r="E15" i="3"/>
  <c r="D15" i="3"/>
  <c r="C15" i="3"/>
</calcChain>
</file>

<file path=xl/sharedStrings.xml><?xml version="1.0" encoding="utf-8"?>
<sst xmlns="http://schemas.openxmlformats.org/spreadsheetml/2006/main" count="93" uniqueCount="62">
  <si>
    <t>Rack</t>
  </si>
  <si>
    <t>Node</t>
  </si>
  <si>
    <t>AP</t>
  </si>
  <si>
    <t>48 PoE</t>
  </si>
  <si>
    <t>24 PoE</t>
  </si>
  <si>
    <t>SFP</t>
  </si>
  <si>
    <t>Rack 001-42U</t>
  </si>
  <si>
    <t>Rack 003-42U</t>
  </si>
  <si>
    <t>Rack 022-27U</t>
  </si>
  <si>
    <t>Rack 007-15U</t>
  </si>
  <si>
    <t>Rack 006-27U</t>
  </si>
  <si>
    <t>Rack 013-27U</t>
  </si>
  <si>
    <t>Rack 013-15U</t>
  </si>
  <si>
    <t>Rack 020-15U</t>
  </si>
  <si>
    <t>Rack 010-27U</t>
  </si>
  <si>
    <t>Rack 021-15U</t>
  </si>
  <si>
    <t>Rack 016-27U</t>
  </si>
  <si>
    <t>SRV ROM RACK</t>
  </si>
  <si>
    <t>RACK 001-007-03</t>
  </si>
  <si>
    <t>Cáp đồng</t>
  </si>
  <si>
    <t>Cáp quang Multimode</t>
  </si>
  <si>
    <t>RACK 003 1121 01</t>
  </si>
  <si>
    <t>RACK 022 0043 01</t>
  </si>
  <si>
    <t>RACK 007 0108 01</t>
  </si>
  <si>
    <t>RACK 006 2015 01</t>
  </si>
  <si>
    <t>RACK 013 0111 01</t>
  </si>
  <si>
    <t>RACK 013 0111 02</t>
  </si>
  <si>
    <t>RACK 010 1225 01</t>
  </si>
  <si>
    <t>RACK 020 0033 01</t>
  </si>
  <si>
    <t>RACK 021 0045 01</t>
  </si>
  <si>
    <t>RACK 016 0073 01</t>
  </si>
  <si>
    <t>Ghi chú</t>
  </si>
  <si>
    <t>SW 48</t>
  </si>
  <si>
    <t>SW 24</t>
  </si>
  <si>
    <t>SW 48 PoE</t>
  </si>
  <si>
    <t>SW 24 PoE</t>
  </si>
  <si>
    <t>SFP đồng</t>
  </si>
  <si>
    <t>Tận dụng port đồng nối tiếp các sw</t>
  </si>
  <si>
    <t>Cáp quang tổng 12 core, uplink 2 sfp cho 3 SW
Tận dụng port đồng nối tiếp các sw còn lại</t>
  </si>
  <si>
    <t>WASTE no SW</t>
  </si>
  <si>
    <t>Floor</t>
  </si>
  <si>
    <t>MR33</t>
  </si>
  <si>
    <t>MR74</t>
  </si>
  <si>
    <t>VNHG-28703 - Office _ Canteen Ground Floor-OK</t>
  </si>
  <si>
    <t>VNHG-28704 - Office _ Canteen First Floor-OK</t>
  </si>
  <si>
    <t>VNHG-28705 - Training Center Ground Floor-OK</t>
  </si>
  <si>
    <t>VNHG-28706 - Training Center First Floor-OK</t>
  </si>
  <si>
    <t>VNHG-28707 - WB Factory Ground Floor-OK</t>
  </si>
  <si>
    <t>VNHG-28708 - WB Factory First Floor-OK</t>
  </si>
  <si>
    <t>VNHG-28709 - WB Tank Farm GF-OK</t>
  </si>
  <si>
    <t>VNHG-28710 - RMWH GF P1-OK</t>
  </si>
  <si>
    <t>VNHG-28711 - RMWH GF P2-OK</t>
  </si>
  <si>
    <t>VNHG-28712 - Maintenance GF-OK</t>
  </si>
  <si>
    <t>VNHG-28713 - Guard House-OK</t>
  </si>
  <si>
    <t>VNHG-28714 - Training Center 2F-OK</t>
  </si>
  <si>
    <t>VNHV-28700 - Powder Factory GF-OK</t>
  </si>
  <si>
    <t>VNHV-28701 - Powder Factory 1F-OK</t>
  </si>
  <si>
    <t>VNHW-28700 - FG Store-OK</t>
  </si>
  <si>
    <t>Không có AP</t>
  </si>
  <si>
    <t>CĐT</t>
  </si>
  <si>
    <t>Cung cấp thiết bị</t>
  </si>
  <si>
    <t>Edge SW có 1 SW thường + 1 SW PoE để đảm bảo uplink 2 sợi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</si>
</sst>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x14ac:dyDescent="0.25"/>
  <cols>
    <col min="1" max="1" width="37.28515625" customWidth="1"/>
    <col min="2" max="2" width="10.28515625" customWidth="1"/>
    <col min="3" max="8" width="11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>
        <v>48</v>
      </c>
      <c r="E1" s="2" t="s">
        <v>3</v>
      </c>
      <c r="F1" s="2">
        <v>24</v>
      </c>
      <c r="G1" s="2" t="s">
        <v>4</v>
      </c>
      <c r="H1" s="2" t="s">
        <v>5</v>
      </c>
    </row>
    <row r="2" spans="1:8" x14ac:dyDescent="0.25">
      <c r="A2" s="1" t="s">
        <v>6</v>
      </c>
      <c r="B2" s="1">
        <v>230</v>
      </c>
      <c r="C2" s="1">
        <v>14</v>
      </c>
      <c r="D2" s="1">
        <v>4</v>
      </c>
      <c r="E2" s="1">
        <v>1</v>
      </c>
      <c r="F2" s="1"/>
      <c r="G2" s="1"/>
      <c r="H2" s="1"/>
    </row>
    <row r="3" spans="1:8" x14ac:dyDescent="0.25">
      <c r="A3" s="1" t="s">
        <v>7</v>
      </c>
      <c r="B3" s="1">
        <v>242</v>
      </c>
      <c r="C3" s="1">
        <v>10</v>
      </c>
      <c r="D3" s="1">
        <v>5</v>
      </c>
      <c r="E3" s="1"/>
      <c r="F3" s="1"/>
      <c r="G3" s="1">
        <v>1</v>
      </c>
      <c r="H3" s="1"/>
    </row>
    <row r="4" spans="1:8" x14ac:dyDescent="0.25">
      <c r="A4" s="1" t="s">
        <v>8</v>
      </c>
      <c r="B4" s="1">
        <v>11</v>
      </c>
      <c r="C4" s="1">
        <v>1</v>
      </c>
      <c r="D4" s="1"/>
      <c r="E4" s="1"/>
      <c r="F4" s="1"/>
      <c r="G4" s="1">
        <v>1</v>
      </c>
      <c r="H4" s="1"/>
    </row>
    <row r="5" spans="1:8" x14ac:dyDescent="0.25">
      <c r="A5" s="1" t="s">
        <v>9</v>
      </c>
      <c r="B5" s="1">
        <v>9</v>
      </c>
      <c r="C5" s="1">
        <v>9</v>
      </c>
      <c r="D5" s="1"/>
      <c r="E5" s="1"/>
      <c r="F5" s="1"/>
      <c r="G5" s="1">
        <v>1</v>
      </c>
      <c r="H5" s="1"/>
    </row>
    <row r="6" spans="1:8" x14ac:dyDescent="0.25">
      <c r="A6" s="1" t="s">
        <v>9</v>
      </c>
      <c r="B6" s="1">
        <v>3</v>
      </c>
      <c r="C6" s="1">
        <v>3</v>
      </c>
      <c r="D6" s="1"/>
      <c r="E6" s="1"/>
      <c r="F6" s="1"/>
      <c r="G6" s="1">
        <v>1</v>
      </c>
      <c r="H6" s="1"/>
    </row>
    <row r="7" spans="1:8" x14ac:dyDescent="0.25">
      <c r="A7" s="1" t="s">
        <v>9</v>
      </c>
      <c r="B7" s="1">
        <v>6</v>
      </c>
      <c r="C7" s="1">
        <v>6</v>
      </c>
      <c r="D7" s="1"/>
      <c r="E7" s="1"/>
      <c r="F7" s="1"/>
      <c r="G7" s="1">
        <v>1</v>
      </c>
      <c r="H7" s="1"/>
    </row>
    <row r="8" spans="1:8" x14ac:dyDescent="0.25">
      <c r="A8" s="1" t="s">
        <v>10</v>
      </c>
      <c r="B8" s="1">
        <v>89</v>
      </c>
      <c r="C8" s="1">
        <v>11</v>
      </c>
      <c r="D8" s="1">
        <v>1</v>
      </c>
      <c r="E8" s="1">
        <v>1</v>
      </c>
      <c r="F8" s="1"/>
      <c r="G8" s="1"/>
      <c r="H8" s="1"/>
    </row>
    <row r="9" spans="1:8" x14ac:dyDescent="0.25">
      <c r="A9" s="1" t="s">
        <v>11</v>
      </c>
      <c r="B9" s="1">
        <v>38</v>
      </c>
      <c r="C9" s="1">
        <v>12</v>
      </c>
      <c r="D9" s="1"/>
      <c r="E9" s="1">
        <v>1</v>
      </c>
      <c r="F9" s="1"/>
      <c r="G9" s="1"/>
      <c r="H9" s="1"/>
    </row>
    <row r="10" spans="1:8" x14ac:dyDescent="0.25">
      <c r="A10" s="1" t="s">
        <v>12</v>
      </c>
      <c r="B10" s="1">
        <v>7</v>
      </c>
      <c r="C10" s="1">
        <v>7</v>
      </c>
      <c r="D10" s="1"/>
      <c r="E10" s="1"/>
      <c r="F10" s="1"/>
      <c r="G10" s="1">
        <v>1</v>
      </c>
      <c r="H10" s="1"/>
    </row>
    <row r="11" spans="1:8" x14ac:dyDescent="0.25">
      <c r="A11" s="1" t="s">
        <v>13</v>
      </c>
      <c r="B11" s="1">
        <v>7</v>
      </c>
      <c r="C11" s="1">
        <v>1</v>
      </c>
      <c r="D11" s="1"/>
      <c r="E11" s="1"/>
      <c r="F11" s="1"/>
      <c r="G11" s="1">
        <v>1</v>
      </c>
      <c r="H11" s="1"/>
    </row>
    <row r="12" spans="1:8" x14ac:dyDescent="0.25">
      <c r="A12" s="1" t="s">
        <v>14</v>
      </c>
      <c r="B12" s="1">
        <v>42</v>
      </c>
      <c r="C12" s="1">
        <v>8</v>
      </c>
      <c r="D12" s="1"/>
      <c r="E12" s="1">
        <v>1</v>
      </c>
      <c r="F12" s="1"/>
      <c r="G12" s="1"/>
      <c r="H12" s="1"/>
    </row>
    <row r="13" spans="1:8" x14ac:dyDescent="0.25">
      <c r="A13" s="1" t="s">
        <v>15</v>
      </c>
      <c r="B13" s="1">
        <v>7</v>
      </c>
      <c r="C13" s="1">
        <v>1</v>
      </c>
      <c r="D13" s="1"/>
      <c r="E13" s="1"/>
      <c r="F13" s="1"/>
      <c r="G13" s="1">
        <v>1</v>
      </c>
      <c r="H13" s="1"/>
    </row>
    <row r="14" spans="1:8" x14ac:dyDescent="0.25">
      <c r="A14" s="1" t="s">
        <v>16</v>
      </c>
      <c r="B14" s="1">
        <v>26</v>
      </c>
      <c r="C14" s="1">
        <v>2</v>
      </c>
      <c r="D14" s="1"/>
      <c r="E14" s="1">
        <v>1</v>
      </c>
      <c r="F14" s="1"/>
      <c r="G14" s="1"/>
      <c r="H14" s="1"/>
    </row>
    <row r="15" spans="1:8" x14ac:dyDescent="0.25">
      <c r="C15">
        <f>SUM(C2:C14)</f>
        <v>85</v>
      </c>
      <c r="D15">
        <f>SUM(D2:D14)</f>
        <v>10</v>
      </c>
      <c r="E15">
        <f t="shared" ref="E15:G15" si="0">SUM(E2:E14)</f>
        <v>5</v>
      </c>
      <c r="F15">
        <f t="shared" si="0"/>
        <v>0</v>
      </c>
      <c r="G15">
        <f t="shared" si="0"/>
        <v>8</v>
      </c>
      <c r="H1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C31" sqref="C31"/>
    </sheetView>
  </sheetViews>
  <sheetFormatPr defaultRowHeight="15" x14ac:dyDescent="0.25"/>
  <cols>
    <col min="1" max="1" width="23.28515625" customWidth="1"/>
    <col min="2" max="2" width="14" customWidth="1"/>
    <col min="3" max="3" width="26.140625" customWidth="1"/>
    <col min="4" max="4" width="12.42578125" style="5" customWidth="1"/>
    <col min="5" max="5" width="26.140625" customWidth="1"/>
    <col min="6" max="6" width="12.42578125" style="5" customWidth="1"/>
    <col min="7" max="7" width="14.85546875" style="3" customWidth="1"/>
    <col min="8" max="8" width="10" style="3" bestFit="1" customWidth="1"/>
    <col min="9" max="9" width="6.28515625" style="3" bestFit="1" customWidth="1"/>
    <col min="10" max="10" width="10" style="3" bestFit="1" customWidth="1"/>
    <col min="11" max="11" width="4.140625" bestFit="1" customWidth="1"/>
    <col min="12" max="12" width="12.42578125" customWidth="1"/>
    <col min="13" max="13" width="60.42578125" customWidth="1"/>
  </cols>
  <sheetData>
    <row r="1" spans="1:13" x14ac:dyDescent="0.25">
      <c r="A1" s="10" t="s">
        <v>59</v>
      </c>
      <c r="B1" s="23" t="s">
        <v>60</v>
      </c>
      <c r="C1" s="23"/>
      <c r="D1" s="23"/>
      <c r="E1" s="23"/>
      <c r="F1" s="24"/>
      <c r="G1" s="2" t="s">
        <v>32</v>
      </c>
      <c r="H1" s="2" t="s">
        <v>34</v>
      </c>
      <c r="I1" s="2" t="s">
        <v>33</v>
      </c>
      <c r="J1" s="2" t="s">
        <v>35</v>
      </c>
      <c r="K1" s="2" t="s">
        <v>5</v>
      </c>
      <c r="L1" s="2" t="s">
        <v>36</v>
      </c>
    </row>
    <row r="2" spans="1:13" x14ac:dyDescent="0.25">
      <c r="A2" s="18" t="s">
        <v>17</v>
      </c>
      <c r="B2" s="20" t="s">
        <v>19</v>
      </c>
      <c r="C2" s="19" t="s">
        <v>18</v>
      </c>
      <c r="D2" s="17">
        <v>226</v>
      </c>
      <c r="E2" s="19"/>
      <c r="F2" s="17"/>
      <c r="G2" s="11">
        <v>4</v>
      </c>
      <c r="H2" s="11">
        <v>1</v>
      </c>
      <c r="I2" s="11"/>
      <c r="J2" s="11"/>
      <c r="K2" s="11"/>
      <c r="L2" s="1"/>
      <c r="M2" t="s">
        <v>37</v>
      </c>
    </row>
    <row r="3" spans="1:13" x14ac:dyDescent="0.25">
      <c r="A3" s="18"/>
      <c r="B3" s="20"/>
      <c r="C3" s="19"/>
      <c r="D3" s="8">
        <v>14</v>
      </c>
      <c r="E3" s="19"/>
      <c r="F3" s="8"/>
      <c r="G3" s="11"/>
      <c r="H3" s="11"/>
      <c r="I3" s="11"/>
      <c r="J3" s="11"/>
      <c r="K3" s="11"/>
      <c r="L3" s="1"/>
    </row>
    <row r="4" spans="1:13" x14ac:dyDescent="0.25">
      <c r="A4" s="18"/>
      <c r="B4" s="21" t="s">
        <v>20</v>
      </c>
      <c r="C4" s="22" t="s">
        <v>21</v>
      </c>
      <c r="D4" s="7">
        <v>242</v>
      </c>
      <c r="E4" s="22"/>
      <c r="F4" s="7"/>
      <c r="G4" s="12">
        <v>5</v>
      </c>
      <c r="H4" s="12"/>
      <c r="I4" s="12"/>
      <c r="J4" s="12">
        <v>1</v>
      </c>
      <c r="K4" s="12">
        <v>6</v>
      </c>
      <c r="L4" s="13"/>
      <c r="M4" s="29" t="s">
        <v>38</v>
      </c>
    </row>
    <row r="5" spans="1:13" x14ac:dyDescent="0.25">
      <c r="A5" s="18"/>
      <c r="B5" s="21"/>
      <c r="C5" s="22"/>
      <c r="D5" s="8">
        <v>12</v>
      </c>
      <c r="E5" s="22"/>
      <c r="F5" s="8"/>
      <c r="G5" s="12"/>
      <c r="H5" s="12"/>
      <c r="I5" s="12"/>
      <c r="J5" s="12"/>
      <c r="K5" s="12"/>
      <c r="L5" s="13"/>
      <c r="M5" s="28"/>
    </row>
    <row r="6" spans="1:13" x14ac:dyDescent="0.25">
      <c r="A6" s="18"/>
      <c r="B6" s="21"/>
      <c r="C6" s="22" t="s">
        <v>22</v>
      </c>
      <c r="D6" s="7">
        <v>11</v>
      </c>
      <c r="E6" s="22"/>
      <c r="F6" s="7"/>
      <c r="G6" s="11"/>
      <c r="H6" s="11"/>
      <c r="I6" s="11"/>
      <c r="J6" s="11">
        <v>1</v>
      </c>
      <c r="K6" s="11">
        <v>2</v>
      </c>
      <c r="L6" s="1"/>
      <c r="M6" s="4"/>
    </row>
    <row r="7" spans="1:13" x14ac:dyDescent="0.25">
      <c r="A7" s="18"/>
      <c r="B7" s="21"/>
      <c r="C7" s="22"/>
      <c r="D7" s="8">
        <v>1</v>
      </c>
      <c r="E7" s="22"/>
      <c r="F7" s="8"/>
      <c r="G7" s="11"/>
      <c r="H7" s="11"/>
      <c r="I7" s="11"/>
      <c r="J7" s="11"/>
      <c r="K7" s="11"/>
      <c r="L7" s="1"/>
    </row>
    <row r="8" spans="1:13" x14ac:dyDescent="0.25">
      <c r="A8" s="18"/>
      <c r="B8" s="21"/>
      <c r="C8" s="22" t="s">
        <v>23</v>
      </c>
      <c r="D8" s="7">
        <v>9</v>
      </c>
      <c r="E8" s="22" t="s">
        <v>23</v>
      </c>
      <c r="F8" s="7">
        <v>9</v>
      </c>
      <c r="G8" s="12"/>
      <c r="H8" s="12"/>
      <c r="I8" s="12"/>
      <c r="J8" s="12">
        <v>2</v>
      </c>
      <c r="K8" s="12">
        <v>6</v>
      </c>
      <c r="L8" s="13"/>
    </row>
    <row r="9" spans="1:13" x14ac:dyDescent="0.25">
      <c r="A9" s="18"/>
      <c r="B9" s="21"/>
      <c r="C9" s="22"/>
      <c r="D9" s="8">
        <v>9</v>
      </c>
      <c r="E9" s="22"/>
      <c r="F9" s="8">
        <v>9</v>
      </c>
      <c r="G9" s="12"/>
      <c r="H9" s="12"/>
      <c r="I9" s="12"/>
      <c r="J9" s="12"/>
      <c r="K9" s="12"/>
      <c r="L9" s="13"/>
    </row>
    <row r="10" spans="1:13" x14ac:dyDescent="0.25">
      <c r="A10" s="18"/>
      <c r="B10" s="21"/>
      <c r="C10" s="22" t="s">
        <v>24</v>
      </c>
      <c r="D10" s="7">
        <v>93</v>
      </c>
      <c r="E10" s="22"/>
      <c r="F10" s="7"/>
      <c r="G10" s="11">
        <v>1</v>
      </c>
      <c r="H10" s="11">
        <v>1</v>
      </c>
      <c r="I10" s="11"/>
      <c r="J10" s="11"/>
      <c r="K10" s="11">
        <v>4</v>
      </c>
      <c r="L10" s="1"/>
    </row>
    <row r="11" spans="1:13" x14ac:dyDescent="0.25">
      <c r="A11" s="18"/>
      <c r="B11" s="21"/>
      <c r="C11" s="22"/>
      <c r="D11" s="8">
        <v>11</v>
      </c>
      <c r="E11" s="22"/>
      <c r="F11" s="8"/>
      <c r="G11" s="11"/>
      <c r="H11" s="11"/>
      <c r="I11" s="11"/>
      <c r="J11" s="11"/>
      <c r="K11" s="11"/>
      <c r="L11" s="1"/>
    </row>
    <row r="12" spans="1:13" x14ac:dyDescent="0.25">
      <c r="A12" s="18"/>
      <c r="B12" s="21"/>
      <c r="C12" s="22" t="s">
        <v>25</v>
      </c>
      <c r="D12" s="7">
        <v>38</v>
      </c>
      <c r="E12" s="22" t="s">
        <v>26</v>
      </c>
      <c r="F12" s="7">
        <v>7</v>
      </c>
      <c r="G12" s="12"/>
      <c r="H12" s="12">
        <v>1</v>
      </c>
      <c r="I12" s="12"/>
      <c r="J12" s="12">
        <v>1</v>
      </c>
      <c r="K12" s="12">
        <v>6</v>
      </c>
      <c r="L12" s="13"/>
    </row>
    <row r="13" spans="1:13" x14ac:dyDescent="0.25">
      <c r="A13" s="18"/>
      <c r="B13" s="21"/>
      <c r="C13" s="22"/>
      <c r="D13" s="8">
        <v>12</v>
      </c>
      <c r="E13" s="22"/>
      <c r="F13" s="8">
        <v>7</v>
      </c>
      <c r="G13" s="12"/>
      <c r="H13" s="12"/>
      <c r="I13" s="12"/>
      <c r="J13" s="12"/>
      <c r="K13" s="12"/>
      <c r="L13" s="13"/>
    </row>
    <row r="14" spans="1:13" x14ac:dyDescent="0.25">
      <c r="A14" s="18"/>
      <c r="B14" s="21"/>
      <c r="C14" s="25" t="s">
        <v>27</v>
      </c>
      <c r="D14" s="7"/>
      <c r="E14" s="22" t="s">
        <v>28</v>
      </c>
      <c r="F14" s="7">
        <v>7</v>
      </c>
      <c r="G14" s="11"/>
      <c r="H14" s="11"/>
      <c r="I14" s="11"/>
      <c r="J14" s="11">
        <v>1</v>
      </c>
      <c r="K14" s="11"/>
      <c r="L14" s="1"/>
      <c r="M14" s="28" t="s">
        <v>61</v>
      </c>
    </row>
    <row r="15" spans="1:13" x14ac:dyDescent="0.25">
      <c r="A15" s="18"/>
      <c r="B15" s="21"/>
      <c r="C15" s="26"/>
      <c r="D15" s="8"/>
      <c r="E15" s="22"/>
      <c r="F15" s="8">
        <v>1</v>
      </c>
      <c r="G15" s="11"/>
      <c r="H15" s="11"/>
      <c r="I15" s="11"/>
      <c r="J15" s="11"/>
      <c r="K15" s="11"/>
      <c r="L15" s="1"/>
      <c r="M15" s="28"/>
    </row>
    <row r="16" spans="1:13" x14ac:dyDescent="0.25">
      <c r="A16" s="18"/>
      <c r="B16" s="21"/>
      <c r="C16" s="26"/>
      <c r="D16" s="7">
        <v>42</v>
      </c>
      <c r="E16" s="22" t="s">
        <v>29</v>
      </c>
      <c r="F16" s="7">
        <v>7</v>
      </c>
      <c r="G16" s="11"/>
      <c r="H16" s="11"/>
      <c r="I16" s="11">
        <v>1</v>
      </c>
      <c r="J16" s="11">
        <v>2</v>
      </c>
      <c r="K16" s="11">
        <v>12</v>
      </c>
      <c r="L16" s="1"/>
      <c r="M16" s="28"/>
    </row>
    <row r="17" spans="1:13" x14ac:dyDescent="0.25">
      <c r="A17" s="18"/>
      <c r="B17" s="21"/>
      <c r="C17" s="27"/>
      <c r="D17" s="8">
        <v>8</v>
      </c>
      <c r="E17" s="22"/>
      <c r="F17" s="8">
        <v>1</v>
      </c>
      <c r="G17" s="11"/>
      <c r="H17" s="11"/>
      <c r="I17" s="11"/>
      <c r="J17" s="11"/>
      <c r="K17" s="11"/>
      <c r="L17" s="1"/>
      <c r="M17" s="28"/>
    </row>
    <row r="18" spans="1:13" x14ac:dyDescent="0.25">
      <c r="A18" s="18"/>
      <c r="B18" s="21"/>
      <c r="C18" s="22" t="s">
        <v>30</v>
      </c>
      <c r="D18" s="7">
        <v>26</v>
      </c>
      <c r="E18" s="22" t="s">
        <v>39</v>
      </c>
      <c r="F18" s="7"/>
      <c r="G18" s="12"/>
      <c r="H18" s="12">
        <v>1</v>
      </c>
      <c r="I18" s="12"/>
      <c r="J18" s="12"/>
      <c r="K18" s="12">
        <v>2</v>
      </c>
      <c r="L18" s="13"/>
    </row>
    <row r="19" spans="1:13" x14ac:dyDescent="0.25">
      <c r="A19" s="18"/>
      <c r="B19" s="21"/>
      <c r="C19" s="22"/>
      <c r="D19" s="8">
        <v>2</v>
      </c>
      <c r="E19" s="22"/>
      <c r="F19" s="8"/>
      <c r="G19" s="12"/>
      <c r="H19" s="12"/>
      <c r="I19" s="12"/>
      <c r="J19" s="12"/>
      <c r="K19" s="12"/>
      <c r="L19" s="13"/>
    </row>
    <row r="20" spans="1:13" x14ac:dyDescent="0.25">
      <c r="K20" s="3"/>
    </row>
    <row r="26" spans="1:13" s="9" customFormat="1" x14ac:dyDescent="0.25">
      <c r="C26" s="9">
        <f>SUM(D3,D5,D7,D9,D11,D13,D17,D19,F17,F15,F13,F9)</f>
        <v>87</v>
      </c>
      <c r="D26" s="6"/>
      <c r="F26" s="6"/>
      <c r="G26" s="10">
        <f t="shared" ref="G26:J26" si="0">SUM(G2:G19)</f>
        <v>10</v>
      </c>
      <c r="H26" s="10">
        <f t="shared" si="0"/>
        <v>4</v>
      </c>
      <c r="I26" s="10">
        <f t="shared" si="0"/>
        <v>1</v>
      </c>
      <c r="J26" s="10">
        <f t="shared" si="0"/>
        <v>8</v>
      </c>
      <c r="K26" s="9">
        <f>SUM(K2:K19)</f>
        <v>38</v>
      </c>
    </row>
  </sheetData>
  <mergeCells count="23">
    <mergeCell ref="B1:F1"/>
    <mergeCell ref="E16:E17"/>
    <mergeCell ref="E18:E19"/>
    <mergeCell ref="C14:C17"/>
    <mergeCell ref="M14:M17"/>
    <mergeCell ref="M4:M5"/>
    <mergeCell ref="C18:C19"/>
    <mergeCell ref="E2:E3"/>
    <mergeCell ref="E4:E5"/>
    <mergeCell ref="E6:E7"/>
    <mergeCell ref="E8:E9"/>
    <mergeCell ref="E10:E11"/>
    <mergeCell ref="E12:E13"/>
    <mergeCell ref="E14:E15"/>
    <mergeCell ref="A2:A19"/>
    <mergeCell ref="C2:C3"/>
    <mergeCell ref="B2:B3"/>
    <mergeCell ref="B4:B19"/>
    <mergeCell ref="C4:C5"/>
    <mergeCell ref="C6:C7"/>
    <mergeCell ref="C8:C9"/>
    <mergeCell ref="C10:C11"/>
    <mergeCell ref="C12:C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E16" sqref="E16"/>
    </sheetView>
  </sheetViews>
  <sheetFormatPr defaultRowHeight="15" x14ac:dyDescent="0.25"/>
  <cols>
    <col min="1" max="1" width="44.7109375" bestFit="1" customWidth="1"/>
    <col min="2" max="3" width="5.85546875" bestFit="1" customWidth="1"/>
    <col min="4" max="4" width="66.42578125" customWidth="1"/>
  </cols>
  <sheetData>
    <row r="1" spans="1:4" x14ac:dyDescent="0.25">
      <c r="A1" s="14" t="s">
        <v>40</v>
      </c>
      <c r="B1" s="14" t="s">
        <v>41</v>
      </c>
      <c r="C1" s="14" t="s">
        <v>42</v>
      </c>
      <c r="D1" s="14" t="s">
        <v>31</v>
      </c>
    </row>
    <row r="2" spans="1:4" x14ac:dyDescent="0.25">
      <c r="A2" s="1" t="s">
        <v>43</v>
      </c>
      <c r="B2" s="15">
        <v>0</v>
      </c>
      <c r="C2" s="15"/>
      <c r="D2" s="16"/>
    </row>
    <row r="3" spans="1:4" x14ac:dyDescent="0.25">
      <c r="A3" s="1" t="s">
        <v>44</v>
      </c>
      <c r="B3" s="15">
        <v>0</v>
      </c>
      <c r="C3" s="15"/>
      <c r="D3" s="16"/>
    </row>
    <row r="4" spans="1:4" x14ac:dyDescent="0.25">
      <c r="A4" s="1" t="s">
        <v>45</v>
      </c>
      <c r="B4" s="15">
        <v>5</v>
      </c>
      <c r="C4" s="15"/>
      <c r="D4" s="16"/>
    </row>
    <row r="5" spans="1:4" x14ac:dyDescent="0.25">
      <c r="A5" s="1" t="s">
        <v>46</v>
      </c>
      <c r="B5" s="15">
        <v>7</v>
      </c>
      <c r="C5" s="15"/>
      <c r="D5" s="16"/>
    </row>
    <row r="6" spans="1:4" x14ac:dyDescent="0.25">
      <c r="A6" s="1" t="s">
        <v>47</v>
      </c>
      <c r="B6" s="15"/>
      <c r="C6" s="15">
        <v>6</v>
      </c>
      <c r="D6" s="16"/>
    </row>
    <row r="7" spans="1:4" x14ac:dyDescent="0.25">
      <c r="A7" s="1" t="s">
        <v>48</v>
      </c>
      <c r="B7" s="15">
        <v>2</v>
      </c>
      <c r="C7" s="15">
        <v>3</v>
      </c>
      <c r="D7" s="16"/>
    </row>
    <row r="8" spans="1:4" x14ac:dyDescent="0.25">
      <c r="A8" s="1" t="s">
        <v>49</v>
      </c>
      <c r="B8" s="15"/>
      <c r="C8" s="15">
        <v>3</v>
      </c>
      <c r="D8" s="16"/>
    </row>
    <row r="9" spans="1:4" x14ac:dyDescent="0.25">
      <c r="A9" s="1" t="s">
        <v>50</v>
      </c>
      <c r="B9" s="15"/>
      <c r="C9" s="15">
        <v>14</v>
      </c>
      <c r="D9" s="16"/>
    </row>
    <row r="10" spans="1:4" x14ac:dyDescent="0.25">
      <c r="A10" s="1" t="s">
        <v>51</v>
      </c>
      <c r="B10" s="15">
        <v>1</v>
      </c>
      <c r="C10" s="15"/>
      <c r="D10" s="16"/>
    </row>
    <row r="11" spans="1:4" x14ac:dyDescent="0.25">
      <c r="A11" s="1" t="s">
        <v>52</v>
      </c>
      <c r="B11" s="15">
        <v>1</v>
      </c>
      <c r="C11" s="15">
        <v>1</v>
      </c>
      <c r="D11" s="16"/>
    </row>
    <row r="12" spans="1:4" x14ac:dyDescent="0.25">
      <c r="A12" s="1" t="s">
        <v>53</v>
      </c>
      <c r="B12" s="15">
        <v>3</v>
      </c>
      <c r="C12" s="15"/>
      <c r="D12" s="16"/>
    </row>
    <row r="13" spans="1:4" x14ac:dyDescent="0.25">
      <c r="A13" s="1" t="s">
        <v>54</v>
      </c>
      <c r="B13" s="15"/>
      <c r="C13" s="15"/>
      <c r="D13" s="16" t="s">
        <v>58</v>
      </c>
    </row>
    <row r="14" spans="1:4" x14ac:dyDescent="0.25">
      <c r="A14" s="1" t="s">
        <v>55</v>
      </c>
      <c r="B14" s="15"/>
      <c r="C14" s="15">
        <v>3</v>
      </c>
      <c r="D14" s="16"/>
    </row>
    <row r="15" spans="1:4" x14ac:dyDescent="0.25">
      <c r="A15" s="1" t="s">
        <v>56</v>
      </c>
      <c r="B15" s="15"/>
      <c r="C15" s="15">
        <v>2</v>
      </c>
      <c r="D15" s="16"/>
    </row>
    <row r="16" spans="1:4" x14ac:dyDescent="0.25">
      <c r="A16" s="1" t="s">
        <v>57</v>
      </c>
      <c r="B16" s="15"/>
      <c r="C16" s="15">
        <v>18</v>
      </c>
      <c r="D16" s="16"/>
    </row>
    <row r="17" spans="1:4" x14ac:dyDescent="0.25">
      <c r="A17" s="1"/>
      <c r="B17" s="15"/>
      <c r="C17" s="15"/>
      <c r="D17" s="16"/>
    </row>
    <row r="18" spans="1:4" x14ac:dyDescent="0.25">
      <c r="A18" s="1"/>
      <c r="B18" s="15">
        <f>SUM(B2:B17)</f>
        <v>19</v>
      </c>
      <c r="C18" s="15">
        <f>SUM(C2:C17)</f>
        <v>50</v>
      </c>
      <c r="D18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I28" sqref="I28"/>
    </sheetView>
  </sheetViews>
  <sheetFormatPr defaultRowHeight="15" x14ac:dyDescent="0.25"/>
  <cols>
    <col min="1" max="1" width="23.28515625" customWidth="1"/>
    <col min="2" max="2" width="14" customWidth="1"/>
    <col min="3" max="3" width="26.140625" customWidth="1"/>
    <col min="4" max="4" width="12.42578125" style="5" customWidth="1"/>
    <col min="5" max="5" width="26.140625" customWidth="1"/>
    <col min="6" max="6" width="12.42578125" style="5" customWidth="1"/>
    <col min="7" max="7" width="14.85546875" style="3" customWidth="1"/>
    <col min="8" max="8" width="10" style="3" bestFit="1" customWidth="1"/>
    <col min="9" max="9" width="6.28515625" style="3" bestFit="1" customWidth="1"/>
    <col min="10" max="10" width="10" style="3" bestFit="1" customWidth="1"/>
    <col min="11" max="11" width="4.140625" bestFit="1" customWidth="1"/>
    <col min="12" max="12" width="12.42578125" customWidth="1"/>
    <col min="13" max="13" width="60.42578125" customWidth="1"/>
  </cols>
  <sheetData>
    <row r="1" spans="1:13" x14ac:dyDescent="0.25">
      <c r="A1" s="10" t="s">
        <v>59</v>
      </c>
      <c r="B1" s="23" t="s">
        <v>60</v>
      </c>
      <c r="C1" s="23"/>
      <c r="D1" s="23"/>
      <c r="E1" s="23"/>
      <c r="F1" s="24"/>
      <c r="G1" s="2" t="s">
        <v>32</v>
      </c>
      <c r="H1" s="2" t="s">
        <v>34</v>
      </c>
      <c r="I1" s="2" t="s">
        <v>33</v>
      </c>
      <c r="J1" s="2" t="s">
        <v>35</v>
      </c>
      <c r="K1" s="2" t="s">
        <v>5</v>
      </c>
      <c r="L1" s="2" t="s">
        <v>36</v>
      </c>
    </row>
    <row r="2" spans="1:13" x14ac:dyDescent="0.25">
      <c r="A2" s="18" t="s">
        <v>17</v>
      </c>
      <c r="B2" s="20" t="s">
        <v>19</v>
      </c>
      <c r="C2" s="19" t="s">
        <v>18</v>
      </c>
      <c r="D2" s="17">
        <v>226</v>
      </c>
      <c r="E2" s="19"/>
      <c r="F2" s="17"/>
      <c r="G2" s="11">
        <v>0</v>
      </c>
      <c r="H2" s="11">
        <v>0</v>
      </c>
      <c r="I2" s="11"/>
      <c r="J2" s="11"/>
      <c r="K2" s="11"/>
      <c r="L2" s="1"/>
      <c r="M2" t="s">
        <v>37</v>
      </c>
    </row>
    <row r="3" spans="1:13" x14ac:dyDescent="0.25">
      <c r="A3" s="18"/>
      <c r="B3" s="20"/>
      <c r="C3" s="19"/>
      <c r="D3" s="8">
        <v>0</v>
      </c>
      <c r="E3" s="19"/>
      <c r="F3" s="8"/>
      <c r="G3" s="11"/>
      <c r="H3" s="11"/>
      <c r="I3" s="11"/>
      <c r="J3" s="11"/>
      <c r="K3" s="11"/>
      <c r="L3" s="1"/>
    </row>
    <row r="4" spans="1:13" x14ac:dyDescent="0.25">
      <c r="A4" s="18"/>
      <c r="B4" s="21" t="s">
        <v>20</v>
      </c>
      <c r="C4" s="22" t="s">
        <v>21</v>
      </c>
      <c r="D4" s="7">
        <v>242</v>
      </c>
      <c r="E4" s="22"/>
      <c r="F4" s="7"/>
      <c r="G4" s="12">
        <v>5</v>
      </c>
      <c r="H4" s="12"/>
      <c r="I4" s="12"/>
      <c r="J4" s="12">
        <v>1</v>
      </c>
      <c r="K4" s="12">
        <v>6</v>
      </c>
      <c r="L4" s="13"/>
      <c r="M4" s="29" t="s">
        <v>38</v>
      </c>
    </row>
    <row r="5" spans="1:13" x14ac:dyDescent="0.25">
      <c r="A5" s="18"/>
      <c r="B5" s="21"/>
      <c r="C5" s="22"/>
      <c r="D5" s="8">
        <v>12</v>
      </c>
      <c r="E5" s="22"/>
      <c r="F5" s="8"/>
      <c r="G5" s="12"/>
      <c r="H5" s="12"/>
      <c r="I5" s="12"/>
      <c r="J5" s="12"/>
      <c r="K5" s="12"/>
      <c r="L5" s="13"/>
      <c r="M5" s="28"/>
    </row>
    <row r="6" spans="1:13" x14ac:dyDescent="0.25">
      <c r="A6" s="18"/>
      <c r="B6" s="21"/>
      <c r="C6" s="22" t="s">
        <v>22</v>
      </c>
      <c r="D6" s="7">
        <v>11</v>
      </c>
      <c r="E6" s="22"/>
      <c r="F6" s="7"/>
      <c r="G6" s="11"/>
      <c r="H6" s="11"/>
      <c r="I6" s="11"/>
      <c r="J6" s="11">
        <v>1</v>
      </c>
      <c r="K6" s="11">
        <v>2</v>
      </c>
      <c r="L6" s="1"/>
      <c r="M6" s="4"/>
    </row>
    <row r="7" spans="1:13" x14ac:dyDescent="0.25">
      <c r="A7" s="18"/>
      <c r="B7" s="21"/>
      <c r="C7" s="22"/>
      <c r="D7" s="8">
        <v>1</v>
      </c>
      <c r="E7" s="22"/>
      <c r="F7" s="8"/>
      <c r="G7" s="11"/>
      <c r="H7" s="11"/>
      <c r="I7" s="11"/>
      <c r="J7" s="11"/>
      <c r="K7" s="11"/>
      <c r="L7" s="1"/>
    </row>
    <row r="8" spans="1:13" x14ac:dyDescent="0.25">
      <c r="A8" s="18"/>
      <c r="B8" s="21"/>
      <c r="C8" s="22" t="s">
        <v>23</v>
      </c>
      <c r="D8" s="7">
        <v>9</v>
      </c>
      <c r="E8" s="22" t="s">
        <v>23</v>
      </c>
      <c r="F8" s="7">
        <v>9</v>
      </c>
      <c r="G8" s="12"/>
      <c r="H8" s="12"/>
      <c r="I8" s="12"/>
      <c r="J8" s="12">
        <v>2</v>
      </c>
      <c r="K8" s="12">
        <v>6</v>
      </c>
      <c r="L8" s="13"/>
    </row>
    <row r="9" spans="1:13" x14ac:dyDescent="0.25">
      <c r="A9" s="18"/>
      <c r="B9" s="21"/>
      <c r="C9" s="22"/>
      <c r="D9" s="8">
        <v>9</v>
      </c>
      <c r="E9" s="22"/>
      <c r="F9" s="8">
        <v>9</v>
      </c>
      <c r="G9" s="12"/>
      <c r="H9" s="12"/>
      <c r="I9" s="12"/>
      <c r="J9" s="12"/>
      <c r="K9" s="12"/>
      <c r="L9" s="13"/>
    </row>
    <row r="10" spans="1:13" x14ac:dyDescent="0.25">
      <c r="A10" s="18"/>
      <c r="B10" s="21"/>
      <c r="C10" s="22" t="s">
        <v>24</v>
      </c>
      <c r="D10" s="7">
        <v>93</v>
      </c>
      <c r="E10" s="22"/>
      <c r="F10" s="7"/>
      <c r="G10" s="11">
        <v>1</v>
      </c>
      <c r="H10" s="11">
        <v>1</v>
      </c>
      <c r="I10" s="11"/>
      <c r="J10" s="11"/>
      <c r="K10" s="11">
        <v>4</v>
      </c>
      <c r="L10" s="1"/>
    </row>
    <row r="11" spans="1:13" x14ac:dyDescent="0.25">
      <c r="A11" s="18"/>
      <c r="B11" s="21"/>
      <c r="C11" s="22"/>
      <c r="D11" s="8">
        <v>11</v>
      </c>
      <c r="E11" s="22"/>
      <c r="F11" s="8"/>
      <c r="G11" s="11"/>
      <c r="H11" s="11"/>
      <c r="I11" s="11"/>
      <c r="J11" s="11"/>
      <c r="K11" s="11"/>
      <c r="L11" s="1"/>
    </row>
    <row r="12" spans="1:13" x14ac:dyDescent="0.25">
      <c r="A12" s="18"/>
      <c r="B12" s="21"/>
      <c r="C12" s="22" t="s">
        <v>25</v>
      </c>
      <c r="D12" s="7">
        <v>38</v>
      </c>
      <c r="E12" s="22" t="s">
        <v>26</v>
      </c>
      <c r="F12" s="7">
        <v>7</v>
      </c>
      <c r="G12" s="12"/>
      <c r="H12" s="12">
        <v>1</v>
      </c>
      <c r="I12" s="12"/>
      <c r="J12" s="12">
        <v>1</v>
      </c>
      <c r="K12" s="12">
        <v>6</v>
      </c>
      <c r="L12" s="13"/>
    </row>
    <row r="13" spans="1:13" x14ac:dyDescent="0.25">
      <c r="A13" s="18"/>
      <c r="B13" s="21"/>
      <c r="C13" s="22"/>
      <c r="D13" s="8">
        <v>12</v>
      </c>
      <c r="E13" s="22"/>
      <c r="F13" s="8">
        <v>7</v>
      </c>
      <c r="G13" s="12"/>
      <c r="H13" s="12"/>
      <c r="I13" s="12"/>
      <c r="J13" s="12"/>
      <c r="K13" s="12"/>
      <c r="L13" s="13"/>
    </row>
    <row r="14" spans="1:13" x14ac:dyDescent="0.25">
      <c r="A14" s="18"/>
      <c r="B14" s="21"/>
      <c r="C14" s="25" t="s">
        <v>27</v>
      </c>
      <c r="D14" s="7"/>
      <c r="E14" s="22" t="s">
        <v>28</v>
      </c>
      <c r="F14" s="7">
        <v>7</v>
      </c>
      <c r="G14" s="11"/>
      <c r="H14" s="11"/>
      <c r="I14" s="11"/>
      <c r="J14" s="11">
        <v>1</v>
      </c>
      <c r="K14" s="11"/>
      <c r="L14" s="1"/>
      <c r="M14" s="28" t="s">
        <v>61</v>
      </c>
    </row>
    <row r="15" spans="1:13" x14ac:dyDescent="0.25">
      <c r="A15" s="18"/>
      <c r="B15" s="21"/>
      <c r="C15" s="26"/>
      <c r="D15" s="8"/>
      <c r="E15" s="22"/>
      <c r="F15" s="8">
        <v>1</v>
      </c>
      <c r="G15" s="11"/>
      <c r="H15" s="11"/>
      <c r="I15" s="11"/>
      <c r="J15" s="11"/>
      <c r="K15" s="11"/>
      <c r="L15" s="1"/>
      <c r="M15" s="28"/>
    </row>
    <row r="16" spans="1:13" x14ac:dyDescent="0.25">
      <c r="A16" s="18"/>
      <c r="B16" s="21"/>
      <c r="C16" s="26"/>
      <c r="D16" s="7">
        <v>42</v>
      </c>
      <c r="E16" s="22" t="s">
        <v>29</v>
      </c>
      <c r="F16" s="7">
        <v>7</v>
      </c>
      <c r="G16" s="11"/>
      <c r="H16" s="11"/>
      <c r="I16" s="11">
        <v>1</v>
      </c>
      <c r="J16" s="11">
        <v>2</v>
      </c>
      <c r="K16" s="11">
        <v>12</v>
      </c>
      <c r="L16" s="1"/>
      <c r="M16" s="28"/>
    </row>
    <row r="17" spans="1:13" x14ac:dyDescent="0.25">
      <c r="A17" s="18"/>
      <c r="B17" s="21"/>
      <c r="C17" s="27"/>
      <c r="D17" s="8">
        <v>8</v>
      </c>
      <c r="E17" s="22"/>
      <c r="F17" s="8">
        <v>1</v>
      </c>
      <c r="G17" s="11"/>
      <c r="H17" s="11"/>
      <c r="I17" s="11"/>
      <c r="J17" s="11"/>
      <c r="K17" s="11"/>
      <c r="L17" s="1"/>
      <c r="M17" s="28"/>
    </row>
    <row r="18" spans="1:13" x14ac:dyDescent="0.25">
      <c r="A18" s="18"/>
      <c r="B18" s="21"/>
      <c r="C18" s="22" t="s">
        <v>30</v>
      </c>
      <c r="D18" s="7">
        <v>26</v>
      </c>
      <c r="E18" s="22" t="s">
        <v>39</v>
      </c>
      <c r="F18" s="7"/>
      <c r="G18" s="12"/>
      <c r="H18" s="12">
        <v>1</v>
      </c>
      <c r="I18" s="12"/>
      <c r="J18" s="12"/>
      <c r="K18" s="12">
        <v>2</v>
      </c>
      <c r="L18" s="13"/>
    </row>
    <row r="19" spans="1:13" x14ac:dyDescent="0.25">
      <c r="A19" s="18"/>
      <c r="B19" s="21"/>
      <c r="C19" s="22"/>
      <c r="D19" s="8">
        <v>2</v>
      </c>
      <c r="E19" s="22"/>
      <c r="F19" s="8"/>
      <c r="G19" s="12"/>
      <c r="H19" s="12"/>
      <c r="I19" s="12"/>
      <c r="J19" s="12"/>
      <c r="K19" s="12"/>
      <c r="L19" s="13"/>
    </row>
    <row r="20" spans="1:13" x14ac:dyDescent="0.25">
      <c r="K20" s="3"/>
    </row>
    <row r="26" spans="1:13" s="9" customFormat="1" x14ac:dyDescent="0.25">
      <c r="C26" s="9">
        <f>SUM(D3,D5,D7,D9,D11,D13,D17,D19,F17,F15,F13,F9)</f>
        <v>73</v>
      </c>
      <c r="D26" s="6"/>
      <c r="F26" s="6"/>
      <c r="G26" s="10">
        <f t="shared" ref="G26:J26" si="0">SUM(G2:G19)</f>
        <v>6</v>
      </c>
      <c r="H26" s="10">
        <f t="shared" si="0"/>
        <v>3</v>
      </c>
      <c r="I26" s="10">
        <f t="shared" si="0"/>
        <v>1</v>
      </c>
      <c r="J26" s="10">
        <f t="shared" si="0"/>
        <v>8</v>
      </c>
      <c r="K26" s="9">
        <f>SUM(K2:K19)</f>
        <v>38</v>
      </c>
    </row>
  </sheetData>
  <mergeCells count="23">
    <mergeCell ref="C14:C17"/>
    <mergeCell ref="E14:E15"/>
    <mergeCell ref="M14:M17"/>
    <mergeCell ref="E16:E17"/>
    <mergeCell ref="C18:C19"/>
    <mergeCell ref="E18:E19"/>
    <mergeCell ref="M4:M5"/>
    <mergeCell ref="C6:C7"/>
    <mergeCell ref="E6:E7"/>
    <mergeCell ref="C8:C9"/>
    <mergeCell ref="E8:E9"/>
    <mergeCell ref="C10:C11"/>
    <mergeCell ref="E10:E11"/>
    <mergeCell ref="B1:F1"/>
    <mergeCell ref="A2:A19"/>
    <mergeCell ref="B2:B3"/>
    <mergeCell ref="C2:C3"/>
    <mergeCell ref="E2:E3"/>
    <mergeCell ref="B4:B19"/>
    <mergeCell ref="C4:C5"/>
    <mergeCell ref="E4:E5"/>
    <mergeCell ref="C12:C13"/>
    <mergeCell ref="E12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SW</vt:lpstr>
      <vt:lpstr>AP</vt:lpstr>
      <vt:lpstr>SW (2)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2020-03-23T02:22:48Z</dcterms:modified>
  <cp:category/>
  <cp:contentStatus/>
</cp:coreProperties>
</file>