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hach hang\RESELLER\bảo HUY\"/>
    </mc:Choice>
  </mc:AlternateContent>
  <bookViews>
    <workbookView xWindow="-100" yWindow="-100" windowWidth="19390" windowHeight="10390"/>
  </bookViews>
  <sheets>
    <sheet name="Sheet1" sheetId="1" r:id="rId1"/>
  </sheets>
  <calcPr calcId="152511" iterate="1"/>
</workbook>
</file>

<file path=xl/calcChain.xml><?xml version="1.0" encoding="utf-8"?>
<calcChain xmlns="http://schemas.openxmlformats.org/spreadsheetml/2006/main">
  <c r="J19" i="1" l="1"/>
  <c r="J20" i="1"/>
  <c r="J21" i="1"/>
  <c r="J22" i="1"/>
  <c r="J23" i="1"/>
  <c r="J24" i="1"/>
  <c r="J25" i="1"/>
  <c r="J26" i="1"/>
  <c r="J27" i="1"/>
  <c r="J28" i="1"/>
  <c r="J29" i="1"/>
  <c r="J30" i="1"/>
  <c r="J18" i="1"/>
  <c r="J31" i="1" l="1"/>
  <c r="J32" i="1"/>
  <c r="J60" i="1" s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14" i="1" l="1"/>
  <c r="J16" i="1"/>
  <c r="J15" i="1"/>
  <c r="J47" i="1" l="1"/>
  <c r="J50" i="1"/>
  <c r="J49" i="1"/>
  <c r="J48" i="1"/>
  <c r="J52" i="1" l="1"/>
  <c r="J61" i="1" l="1"/>
  <c r="J62" i="1"/>
</calcChain>
</file>

<file path=xl/sharedStrings.xml><?xml version="1.0" encoding="utf-8"?>
<sst xmlns="http://schemas.openxmlformats.org/spreadsheetml/2006/main" count="202" uniqueCount="120">
  <si>
    <t>TT</t>
  </si>
  <si>
    <t>BH Tháng</t>
  </si>
  <si>
    <t>Đơn vị</t>
  </si>
  <si>
    <t>S.l</t>
  </si>
  <si>
    <t>Đ.giá (VNĐ)</t>
  </si>
  <si>
    <t>T.Tiền
(VNĐ)</t>
  </si>
  <si>
    <t>Tổng giá chưa bao gồm VAT</t>
  </si>
  <si>
    <t>Thuế VAT (10%)</t>
  </si>
  <si>
    <t>Xuất Xứ</t>
  </si>
  <si>
    <t>China</t>
  </si>
  <si>
    <t>Mô tả</t>
  </si>
  <si>
    <t>C</t>
  </si>
  <si>
    <t>1427254-6</t>
  </si>
  <si>
    <t>Thùng</t>
  </si>
  <si>
    <t>M</t>
  </si>
  <si>
    <t>Sợi</t>
  </si>
  <si>
    <r>
      <t xml:space="preserve"> </t>
    </r>
    <r>
      <rPr>
        <b/>
        <sz val="13"/>
        <color rgb="FF00B0F0"/>
        <rFont val="Times New Roman"/>
        <family val="1"/>
      </rPr>
      <t>II. Thiết bị mạng</t>
    </r>
  </si>
  <si>
    <t xml:space="preserve">                                   Tổng giá đã bao gồm thuế VAT</t>
  </si>
  <si>
    <t>AMP Category 6 UTP Cable, 4-Pair, 23AWG, Solid, CM, 305m,</t>
  </si>
  <si>
    <t>Bộ</t>
  </si>
  <si>
    <t>Thanh đấu nối- AMP Category 6 Patch Panel, Unshielded, 48-Port</t>
  </si>
  <si>
    <t>Thanh đấu nối-AMP Category 6 Patch Panel, Unshielded, 24-Port</t>
  </si>
  <si>
    <t>Dây nhảy Cat6 Patchcord, SL, Blu, Transparent, 7 Ft (2m)</t>
  </si>
  <si>
    <t>Name/Model</t>
  </si>
  <si>
    <t>Fiber Optic Cable, Outside Plant, 4-Fiber,OM3, Dielectric Jacket
(FO CABLE, OSP, 4F, OM3)</t>
  </si>
  <si>
    <t>Nhân mạng Cat6 AMP/Commscope RJ45 và Mặt nạ Faceplate 2 port Commscope/AMP</t>
  </si>
  <si>
    <t>Nhân mạng Cat6 AMP/Commscope RJ45 và Mặt nạ Faceplate 1  port Commscope/AMP</t>
  </si>
  <si>
    <t>WD102PURZ</t>
  </si>
  <si>
    <t xml:space="preserve">HDD  Western Digital Purple 10TB 256MB Cache </t>
  </si>
  <si>
    <t>Thailand</t>
  </si>
  <si>
    <t xml:space="preserve"> V. HỆ THỐNG SERVER &amp; UPS</t>
  </si>
  <si>
    <t>I. Hệ thống cad</t>
  </si>
  <si>
    <t>III. Hệ thống Wifi toàn trường</t>
  </si>
  <si>
    <t>JL260A</t>
  </si>
  <si>
    <t>JL557A</t>
  </si>
  <si>
    <t>JL259A</t>
  </si>
  <si>
    <r>
      <rPr>
        <b/>
        <sz val="13"/>
        <color theme="1"/>
        <rFont val="Times New Roman"/>
        <family val="1"/>
      </rPr>
      <t>HPE ProLiant DL20 Gen10</t>
    </r>
    <r>
      <rPr>
        <sz val="13"/>
        <color theme="1"/>
        <rFont val="Times New Roman"/>
        <family val="1"/>
      </rPr>
      <t xml:space="preserve"> 4SFF Configure-to-order        Server:
- HPE DL20 Gen10 Intel Xeon E-2236 (3.4GHz/6-core/80W) FIO Processor Kit
- </t>
    </r>
    <r>
      <rPr>
        <b/>
        <sz val="13"/>
        <color theme="1"/>
        <rFont val="Times New Roman"/>
        <family val="1"/>
      </rPr>
      <t>HPE 16GB (4x16GB)</t>
    </r>
    <r>
      <rPr>
        <sz val="13"/>
        <color theme="1"/>
        <rFont val="Times New Roman"/>
        <family val="1"/>
      </rPr>
      <t xml:space="preserve"> Dual Rank x8 DDR4-2666 CAS-19-19-19 Unbuffered Standard Memory Kit
- </t>
    </r>
    <r>
      <rPr>
        <b/>
        <sz val="13"/>
        <color theme="1"/>
        <rFont val="Times New Roman"/>
        <family val="1"/>
      </rPr>
      <t>HPE DL20 Gen10 x8x16</t>
    </r>
    <r>
      <rPr>
        <sz val="13"/>
        <color theme="1"/>
        <rFont val="Times New Roman"/>
        <family val="1"/>
      </rPr>
      <t xml:space="preserve"> FlexibleLOM Riser Kit
- </t>
    </r>
    <r>
      <rPr>
        <b/>
        <sz val="13"/>
        <color theme="1"/>
        <rFont val="Times New Roman"/>
        <family val="1"/>
      </rPr>
      <t>HPE Ethernet 1Gb 4-port</t>
    </r>
    <r>
      <rPr>
        <sz val="13"/>
        <color theme="1"/>
        <rFont val="Times New Roman"/>
        <family val="1"/>
      </rPr>
      <t xml:space="preserve"> 366FLR Adapter
- </t>
    </r>
    <r>
      <rPr>
        <b/>
        <sz val="13"/>
        <color theme="1"/>
        <rFont val="Times New Roman"/>
        <family val="1"/>
      </rPr>
      <t>2x HPE 500W</t>
    </r>
    <r>
      <rPr>
        <sz val="13"/>
        <color theme="1"/>
        <rFont val="Times New Roman"/>
        <family val="1"/>
      </rPr>
      <t xml:space="preserve"> Flex Slot Platinum Hot Plug Low Halogen Power Supply Kit
- HPE DL20 Gen10 RPS Enablement FIO Kit
- HPE 1U Short Friction Rail Kit
</t>
    </r>
  </si>
  <si>
    <t>SERVER HPE - DL20 GEN10</t>
  </si>
  <si>
    <t>JL261A</t>
  </si>
  <si>
    <t>JW047A</t>
  </si>
  <si>
    <t>Gói</t>
  </si>
  <si>
    <t>UPS153RRT2N035- GES201B109035</t>
  </si>
  <si>
    <t>JW743A</t>
  </si>
  <si>
    <r>
      <t xml:space="preserve">            </t>
    </r>
    <r>
      <rPr>
        <b/>
        <sz val="13"/>
        <color theme="1"/>
        <rFont val="Times New Roman"/>
        <family val="1"/>
      </rPr>
      <t>UPS DELTA</t>
    </r>
    <r>
      <rPr>
        <sz val="13"/>
        <color theme="1"/>
        <rFont val="Times New Roman"/>
        <family val="1"/>
      </rPr>
      <t xml:space="preserve"> 15KVA:</t>
    </r>
    <r>
      <rPr>
        <b/>
        <sz val="13"/>
        <color theme="1"/>
        <rFont val="Times New Roman"/>
        <family val="1"/>
      </rPr>
      <t xml:space="preserve">UPS153RRT2N035 </t>
    </r>
    <r>
      <rPr>
        <sz val="13"/>
        <color theme="1"/>
        <rFont val="Times New Roman"/>
        <family val="1"/>
      </rPr>
      <t xml:space="preserve">Delta RT Series 15kVA/15kW (2U) On-Line UPS, without battery pack, inclusive ear bracket/ tower stand/ terminal/No battery inside, Parallel, RS232 cables                </t>
    </r>
    <r>
      <rPr>
        <b/>
        <sz val="13"/>
        <color theme="1"/>
        <rFont val="Times New Roman"/>
        <family val="1"/>
      </rPr>
      <t>PACK PIN</t>
    </r>
    <r>
      <rPr>
        <sz val="13"/>
        <color theme="1"/>
        <rFont val="Times New Roman"/>
        <family val="1"/>
      </rPr>
      <t>:</t>
    </r>
    <r>
      <rPr>
        <b/>
        <sz val="13"/>
        <color theme="1"/>
        <rFont val="Times New Roman"/>
        <family val="1"/>
      </rPr>
      <t xml:space="preserve"> 2 bộ</t>
    </r>
    <r>
      <rPr>
        <sz val="13"/>
        <color theme="1"/>
        <rFont val="Times New Roman"/>
        <family val="1"/>
      </rPr>
      <t xml:space="preserve"> </t>
    </r>
    <r>
      <rPr>
        <b/>
        <sz val="13"/>
        <color theme="1"/>
        <rFont val="Times New Roman"/>
        <family val="1"/>
      </rPr>
      <t>GES201B109035</t>
    </r>
    <r>
      <rPr>
        <sz val="13"/>
        <color theme="1"/>
        <rFont val="Times New Roman"/>
        <family val="1"/>
      </rPr>
      <t xml:space="preserve"> Delta RT 5-20KVA External Battery Pack(3U), 1 strings of 12V9Ahx20pcs
</t>
    </r>
    <r>
      <rPr>
        <b/>
        <sz val="13"/>
        <color theme="1"/>
        <rFont val="Times New Roman"/>
        <family val="1"/>
      </rPr>
      <t>RAIL KIT</t>
    </r>
    <r>
      <rPr>
        <sz val="13"/>
        <color theme="1"/>
        <rFont val="Times New Roman"/>
        <family val="1"/>
      </rPr>
      <t xml:space="preserve"> for UPS RT Series</t>
    </r>
    <r>
      <rPr>
        <b/>
        <sz val="13"/>
        <color theme="1"/>
        <rFont val="Times New Roman"/>
        <family val="1"/>
      </rPr>
      <t xml:space="preserve"> x 3 bộ </t>
    </r>
  </si>
  <si>
    <t>JD092B</t>
  </si>
  <si>
    <t>Aruba 10G SFP+ LC SR 300m MMF Transceiver</t>
  </si>
  <si>
    <t>HPE 5130 24G SFP 4SFP+ EI Switch</t>
  </si>
  <si>
    <t>HPE X361 150W AC Power Supply</t>
  </si>
  <si>
    <t xml:space="preserve">  INCLUDED: Power Cord - Europe localization</t>
  </si>
  <si>
    <t>Aruba 2930F 48G PoE+ 4SFP 740W Switch</t>
  </si>
  <si>
    <t>Aruba 2930F 48G 4SFP Switch</t>
  </si>
  <si>
    <t>Aruba 2930F 24G 4SFP Switch</t>
  </si>
  <si>
    <t>Aruba 2930F 24G PoE+ 4SFP Switch</t>
  </si>
  <si>
    <t>HPE X130 10G SFP+ LC SR Transceiver</t>
  </si>
  <si>
    <t>JG933A</t>
  </si>
  <si>
    <t>JD362B</t>
  </si>
  <si>
    <t>JD362B      ABB</t>
  </si>
  <si>
    <t>JL557A      ABB</t>
  </si>
  <si>
    <t>JL260A      ABB</t>
  </si>
  <si>
    <t>JL261A      ABB</t>
  </si>
  <si>
    <t>J9150D</t>
  </si>
  <si>
    <t>c</t>
  </si>
  <si>
    <t>Core Switch 24 port</t>
  </si>
  <si>
    <t>PoE Switch 48 port</t>
  </si>
  <si>
    <t>Data Switch 48 port</t>
  </si>
  <si>
    <t>Data Switch 24 port</t>
  </si>
  <si>
    <t>PoE Switch 24 port</t>
  </si>
  <si>
    <t>Module quang</t>
  </si>
  <si>
    <t>WIFI Controller</t>
  </si>
  <si>
    <t>Aruba 7210 (RW) 4p 10GBase-X (SFP+) 2p Dual Pers (10/100/1000BASE-T or SFP) Controller</t>
  </si>
  <si>
    <t>H3DR1E</t>
  </si>
  <si>
    <t>Aruba 1Y FC NBD Exch 7210 Controller SVC  [for JW743A]</t>
  </si>
  <si>
    <t>JW657A</t>
  </si>
  <si>
    <t>Aruba PSU-350-AC 7200 Series S3500-24T S3500-48T and S3500-24F 350W AC Power Supply</t>
  </si>
  <si>
    <t>JW118A</t>
  </si>
  <si>
    <t>PC-AC-EC Continental European/Schuko AC Power Cord</t>
  </si>
  <si>
    <t>JW472AAE</t>
  </si>
  <si>
    <t>Aruba LIC-AP Controller per AP Capacity License E-LTU</t>
  </si>
  <si>
    <t>WIFI</t>
  </si>
  <si>
    <t>JX945A</t>
  </si>
  <si>
    <t>Aruba IAP-305 (RW) 802.11n/ac Dual 2x2:2/3x3:3 MU-MIMO Radio Integrated Antenna Instant AP</t>
  </si>
  <si>
    <t>AP-220-MNT-W1W Mount Basic White Kit</t>
  </si>
  <si>
    <t>JW811A</t>
  </si>
  <si>
    <t>Aruba Instant IAP-315 (RW) 802.11n/ac Dual 2x2:2/4x4:4 MU-MIMO Radio Integrated Antenna AP</t>
  </si>
  <si>
    <t>Tủ Rack trung tâm Cabinet 42U 800 x 1000, 2 thanh phối nguồn PDU C13 12 ổ cắm, quạt tản nhiệt</t>
  </si>
  <si>
    <t>AMTEC/VN</t>
  </si>
  <si>
    <t>Tủ Rack Cabinet 12U, 1 thanh phối nguồn PDU C13 6 ổ cắm, quạt tản nhiệt</t>
  </si>
  <si>
    <t xml:space="preserve"> Tủ-Rack 6U-D400 
H320*W550*D400, 1 thanh phối nguồn PDU C13 6 ổ cắm, quạt tản nhiệt</t>
  </si>
  <si>
    <t>China-US</t>
  </si>
  <si>
    <t>Dây điện nguồn đấu từ hệ thống điện của toà nhà về các UPS đặt tại phòng Server dây có tiết diện 4*16mm2</t>
  </si>
  <si>
    <t>Trong Phòng Server CP IN - 2 OUT ( to UPS &amp; to Máy Lạnh, 01 Sparse)
Tủ điện lớn (3 pha vào + 1 pha ra) đặt tại các phòng server Datacenter, đấu nối cho hệ thống UPS 10KVA, có bao gồm: 
- CB loại 3 pha - 63A: 2 cái
- CB loại 1 pha - 63A: 1 cái
- CB loại 1 pha - 20A: 3 cái</t>
  </si>
  <si>
    <t>Tủ điện nhỏ cho các tủ rack trung gian tại các tầng, đã bao gồm: CP, InOut, …. Thanh nguồn
- CB loại 1 pha - 20A: 1 cái</t>
  </si>
  <si>
    <t>Mét</t>
  </si>
  <si>
    <t>Cái</t>
  </si>
  <si>
    <t>- Cài đặt, cấu hình UPS; chi phí đấu nối điện,… Vật tư phụ thi công hệ thống điện, dây rút, ống nẹp nhựa, đinh vít, …</t>
  </si>
  <si>
    <t>- Quy hoạch hệ thống IP cho toàn hệ thống</t>
  </si>
  <si>
    <t>- Chi phí cấu hình và cài đặt hệ thống Camera hoạt đồng và giám sát theo yêu cầu</t>
  </si>
  <si>
    <t>- Chi phí cấu hình và cài đặt hệ thống Wifi, tối ưu hệ thống Wifi theo yêu cầu</t>
  </si>
  <si>
    <t>- Cầu hình cho các thiết bị Network cung cấp hoạt động tốt ổn định</t>
  </si>
  <si>
    <t>- Cầu hình cho toàn hệ thống kết nối ra môi trường Internet, môi trường data theo yêu cầu</t>
  </si>
  <si>
    <t>- Chi phí kiểm thử toàn hệ thống và đào tạo chuyển giao hệ thống</t>
  </si>
  <si>
    <t>- Vận chuyển hàng hóa và thuê mặt bằng lưu trữ hàng hoá</t>
  </si>
  <si>
    <t>DỊCH VỤ TRIỂN KHAI VÀ PHỤ KIỆN</t>
  </si>
  <si>
    <t>gói</t>
  </si>
  <si>
    <t>Cadivi</t>
  </si>
  <si>
    <t>china</t>
  </si>
  <si>
    <t>Schneider</t>
  </si>
  <si>
    <t>Dây điện dẫn nguồn từ UPS về Rack Tầng (CVV-3x2.5--300/500V)</t>
  </si>
  <si>
    <t>local</t>
  </si>
  <si>
    <t>Node</t>
  </si>
  <si>
    <t>Vật tư phụ cho các hạng mục thi công như trên: ống ruột gà, nẹp nhựa 5mm, nẹp nhựa 10mm, ống nhựa phi 21, băng keo, dây rút, đinh vít, nẹp inox cố định ống, …</t>
  </si>
  <si>
    <t>Tray cab 200x100, phụ kiện cần thiết</t>
  </si>
  <si>
    <t>mét</t>
  </si>
  <si>
    <t>Thi công cáp mạng LAN ( nhân công, chi phí quản lý…kéo cáp, hàn cáp )</t>
  </si>
  <si>
    <t>Dùng mã mới , gắn thêm được nguồn X361</t>
  </si>
  <si>
    <t>JZ320A</t>
  </si>
  <si>
    <t>Aruba AP-303 (RW) Unified AP</t>
  </si>
  <si>
    <t>WIFI THAY THẾ 205</t>
  </si>
  <si>
    <t>mã AP205 off bỏ mẫu chuyển lên 303</t>
  </si>
  <si>
    <t>phần này Huy nhập trực tiếp NSP , nó cũng nhà pp, nếu nó làm giá tốt thì Huy lấy bên đó giúp vì Hải cũng lấy lại nhà pp. Mình để đơn giá, Huy tham khảo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</si>
</sst>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indexed="12"/>
      <name val="Times New Roman"/>
      <family val="1"/>
    </font>
    <font>
      <sz val="12"/>
      <name val="Times New Roman"/>
      <family val="1"/>
    </font>
    <font>
      <b/>
      <sz val="10"/>
      <color indexed="12"/>
      <name val="Times New Roman"/>
      <family val="1"/>
    </font>
    <font>
      <sz val="10"/>
      <color indexed="62"/>
      <name val="Times New Roman"/>
      <family val="1"/>
    </font>
    <font>
      <b/>
      <sz val="12"/>
      <name val="Times New Roman"/>
      <family val="1"/>
    </font>
    <font>
      <sz val="8"/>
      <color indexed="12"/>
      <name val="Times New Roman"/>
      <family val="1"/>
    </font>
    <font>
      <sz val="10"/>
      <name val="Arial"/>
      <family val="2"/>
    </font>
    <font>
      <sz val="13"/>
      <name val="Times New Roman"/>
      <family val="1"/>
    </font>
    <font>
      <b/>
      <i/>
      <sz val="13"/>
      <name val="Times New Roman"/>
      <family val="1"/>
    </font>
    <font>
      <b/>
      <sz val="13"/>
      <color indexed="12"/>
      <name val="Times New Roman"/>
      <family val="1"/>
    </font>
    <font>
      <sz val="13"/>
      <color theme="1"/>
      <name val="Times New Roman"/>
      <family val="1"/>
    </font>
    <font>
      <sz val="10"/>
      <color rgb="FFFF0000"/>
      <name val="Times New Roman"/>
      <family val="1"/>
    </font>
    <font>
      <sz val="13"/>
      <color rgb="FF000000"/>
      <name val="Times New Roman"/>
      <family val="1"/>
    </font>
    <font>
      <b/>
      <sz val="13"/>
      <name val="Cambria"/>
      <family val="1"/>
      <scheme val="major"/>
    </font>
    <font>
      <b/>
      <sz val="11"/>
      <color rgb="FF222222"/>
      <name val="Times New Roman"/>
      <family val="1"/>
    </font>
    <font>
      <sz val="13"/>
      <color rgb="FF00B050"/>
      <name val="Times New Roman"/>
      <family val="1"/>
    </font>
    <font>
      <b/>
      <sz val="13"/>
      <color rgb="FF00B0F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3"/>
      <color rgb="FFFF0000"/>
      <name val="Cambria"/>
      <family val="1"/>
      <scheme val="major"/>
    </font>
    <font>
      <sz val="10"/>
      <color theme="1"/>
      <name val="Times New Roman"/>
      <family val="1"/>
    </font>
    <font>
      <sz val="13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FF0000"/>
      <name val="Times New Roman"/>
      <family val="1"/>
      <charset val="163"/>
    </font>
    <font>
      <b/>
      <sz val="13"/>
      <color rgb="FFFF0000"/>
      <name val="Cambria"/>
      <family val="1"/>
      <charset val="163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medium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8" fillId="2" borderId="0" xfId="0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43" fontId="6" fillId="0" borderId="0" xfId="0" applyNumberFormat="1" applyFont="1"/>
    <xf numFmtId="43" fontId="6" fillId="0" borderId="0" xfId="4" applyFont="1"/>
    <xf numFmtId="0" fontId="11" fillId="0" borderId="0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3" fontId="13" fillId="0" borderId="1" xfId="1" applyNumberFormat="1" applyFont="1" applyBorder="1" applyAlignment="1">
      <alignment horizontal="center" vertical="center" wrapText="1"/>
    </xf>
    <xf numFmtId="3" fontId="13" fillId="0" borderId="1" xfId="1" applyNumberFormat="1" applyFont="1" applyBorder="1" applyAlignment="1">
      <alignment horizontal="center" vertical="center"/>
    </xf>
    <xf numFmtId="3" fontId="10" fillId="0" borderId="1" xfId="1" applyNumberFormat="1" applyFont="1" applyBorder="1" applyAlignment="1">
      <alignment horizontal="center" vertical="center"/>
    </xf>
    <xf numFmtId="3" fontId="13" fillId="3" borderId="1" xfId="1" applyNumberFormat="1" applyFont="1" applyFill="1" applyBorder="1" applyAlignment="1">
      <alignment horizontal="center" vertical="center"/>
    </xf>
    <xf numFmtId="3" fontId="12" fillId="0" borderId="8" xfId="1" applyNumberFormat="1" applyFont="1" applyFill="1" applyBorder="1" applyAlignment="1">
      <alignment horizontal="center" vertical="center"/>
    </xf>
    <xf numFmtId="43" fontId="6" fillId="0" borderId="0" xfId="0" applyNumberFormat="1" applyFont="1" applyAlignment="1">
      <alignment vertical="center"/>
    </xf>
    <xf numFmtId="0" fontId="13" fillId="3" borderId="1" xfId="0" applyFont="1" applyFill="1" applyBorder="1" applyAlignment="1">
      <alignment horizontal="center" vertical="center" wrapText="1"/>
    </xf>
    <xf numFmtId="3" fontId="13" fillId="3" borderId="1" xfId="1" applyNumberFormat="1" applyFont="1" applyFill="1" applyBorder="1" applyAlignment="1">
      <alignment horizontal="center" vertical="center" wrapText="1"/>
    </xf>
    <xf numFmtId="3" fontId="10" fillId="3" borderId="1" xfId="1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3" fontId="14" fillId="0" borderId="0" xfId="0" applyNumberFormat="1" applyFont="1" applyAlignment="1">
      <alignment vertical="center"/>
    </xf>
    <xf numFmtId="43" fontId="15" fillId="0" borderId="0" xfId="4" applyFont="1" applyAlignment="1">
      <alignment horizontal="center" vertical="center"/>
    </xf>
    <xf numFmtId="43" fontId="15" fillId="0" borderId="0" xfId="4" applyFont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3" fontId="12" fillId="4" borderId="1" xfId="1" applyNumberFormat="1" applyFont="1" applyFill="1" applyBorder="1" applyAlignment="1">
      <alignment horizontal="center" vertical="center" wrapText="1"/>
    </xf>
    <xf numFmtId="3" fontId="12" fillId="4" borderId="1" xfId="1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43" fontId="6" fillId="0" borderId="0" xfId="4" applyFont="1" applyAlignment="1">
      <alignment horizontal="center" vertical="center"/>
    </xf>
    <xf numFmtId="43" fontId="6" fillId="0" borderId="0" xfId="4" applyFont="1" applyAlignment="1">
      <alignment vertical="center"/>
    </xf>
    <xf numFmtId="43" fontId="21" fillId="0" borderId="0" xfId="4" applyFont="1"/>
    <xf numFmtId="43" fontId="14" fillId="3" borderId="0" xfId="0" applyNumberFormat="1" applyFont="1" applyFill="1" applyAlignment="1">
      <alignment vertical="center"/>
    </xf>
    <xf numFmtId="0" fontId="13" fillId="0" borderId="1" xfId="0" applyFont="1" applyFill="1" applyBorder="1" applyAlignment="1">
      <alignment horizontal="center" vertical="top" wrapText="1"/>
    </xf>
    <xf numFmtId="0" fontId="2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43" fontId="6" fillId="0" borderId="0" xfId="0" applyNumberFormat="1" applyFont="1" applyAlignment="1">
      <alignment horizontal="center"/>
    </xf>
    <xf numFmtId="9" fontId="6" fillId="0" borderId="0" xfId="0" applyNumberFormat="1" applyFont="1"/>
    <xf numFmtId="0" fontId="13" fillId="0" borderId="1" xfId="0" quotePrefix="1" applyFont="1" applyFill="1" applyBorder="1" applyAlignment="1">
      <alignment horizontal="left" vertical="top" wrapText="1"/>
    </xf>
    <xf numFmtId="0" fontId="10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4" fontId="11" fillId="0" borderId="0" xfId="0" applyNumberFormat="1" applyFont="1" applyBorder="1" applyAlignment="1">
      <alignment horizontal="left" vertical="center"/>
    </xf>
    <xf numFmtId="164" fontId="12" fillId="4" borderId="1" xfId="1" applyNumberFormat="1" applyFont="1" applyFill="1" applyBorder="1" applyAlignment="1">
      <alignment horizontal="center" vertical="center"/>
    </xf>
    <xf numFmtId="164" fontId="12" fillId="4" borderId="1" xfId="1" applyNumberFormat="1" applyFont="1" applyFill="1" applyBorder="1" applyAlignment="1">
      <alignment horizontal="center" vertical="center" wrapText="1"/>
    </xf>
    <xf numFmtId="164" fontId="12" fillId="0" borderId="8" xfId="1" applyNumberFormat="1" applyFont="1" applyFill="1" applyBorder="1" applyAlignment="1">
      <alignment horizontal="center" vertical="center"/>
    </xf>
    <xf numFmtId="164" fontId="12" fillId="0" borderId="9" xfId="1" applyNumberFormat="1" applyFont="1" applyFill="1" applyBorder="1" applyAlignment="1">
      <alignment horizontal="center" vertical="center" wrapText="1"/>
    </xf>
    <xf numFmtId="164" fontId="13" fillId="3" borderId="1" xfId="4" applyNumberFormat="1" applyFont="1" applyFill="1" applyBorder="1" applyAlignment="1">
      <alignment horizontal="center" vertical="center"/>
    </xf>
    <xf numFmtId="164" fontId="10" fillId="0" borderId="1" xfId="4" applyNumberFormat="1" applyFont="1" applyBorder="1" applyAlignment="1">
      <alignment horizontal="center" vertical="center" wrapText="1"/>
    </xf>
    <xf numFmtId="164" fontId="13" fillId="3" borderId="1" xfId="1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left" vertical="center" wrapText="1"/>
    </xf>
    <xf numFmtId="0" fontId="24" fillId="3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164" fontId="24" fillId="0" borderId="1" xfId="4" applyNumberFormat="1" applyFont="1" applyBorder="1" applyAlignment="1">
      <alignment horizontal="left" vertical="center" wrapText="1"/>
    </xf>
    <xf numFmtId="164" fontId="24" fillId="0" borderId="1" xfId="4" quotePrefix="1" applyNumberFormat="1" applyFont="1" applyBorder="1" applyAlignment="1">
      <alignment horizontal="left" vertical="center" wrapText="1"/>
    </xf>
    <xf numFmtId="0" fontId="10" fillId="5" borderId="2" xfId="0" applyFont="1" applyFill="1" applyBorder="1" applyAlignment="1">
      <alignment horizontal="center" vertical="center"/>
    </xf>
    <xf numFmtId="0" fontId="16" fillId="5" borderId="3" xfId="2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center" vertical="center" wrapText="1"/>
    </xf>
    <xf numFmtId="3" fontId="13" fillId="5" borderId="3" xfId="1" applyNumberFormat="1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/>
    </xf>
    <xf numFmtId="164" fontId="13" fillId="5" borderId="4" xfId="1" applyNumberFormat="1" applyFont="1" applyFill="1" applyBorder="1" applyAlignment="1">
      <alignment horizontal="center" vertical="center"/>
    </xf>
    <xf numFmtId="164" fontId="10" fillId="5" borderId="1" xfId="4" applyNumberFormat="1" applyFont="1" applyFill="1" applyBorder="1" applyAlignment="1">
      <alignment horizontal="center" vertical="center" wrapText="1"/>
    </xf>
    <xf numFmtId="43" fontId="15" fillId="0" borderId="0" xfId="4" applyFont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3" fontId="13" fillId="5" borderId="1" xfId="1" applyNumberFormat="1" applyFont="1" applyFill="1" applyBorder="1" applyAlignment="1">
      <alignment horizontal="center" vertical="center" wrapText="1"/>
    </xf>
    <xf numFmtId="3" fontId="13" fillId="5" borderId="1" xfId="1" applyNumberFormat="1" applyFont="1" applyFill="1" applyBorder="1" applyAlignment="1">
      <alignment horizontal="center" vertical="center"/>
    </xf>
    <xf numFmtId="3" fontId="10" fillId="5" borderId="1" xfId="1" applyNumberFormat="1" applyFont="1" applyFill="1" applyBorder="1" applyAlignment="1">
      <alignment horizontal="center" vertical="center"/>
    </xf>
    <xf numFmtId="164" fontId="13" fillId="5" borderId="1" xfId="4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6" fillId="5" borderId="1" xfId="2" applyFont="1" applyFill="1" applyBorder="1" applyAlignment="1">
      <alignment horizontal="center" vertical="center" wrapText="1"/>
    </xf>
    <xf numFmtId="0" fontId="23" fillId="0" borderId="1" xfId="2" applyFont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43" fontId="26" fillId="0" borderId="0" xfId="4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5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left" vertical="center" wrapText="1"/>
    </xf>
    <xf numFmtId="43" fontId="26" fillId="0" borderId="0" xfId="4" applyFont="1" applyAlignment="1">
      <alignment horizontal="left" vertical="center"/>
    </xf>
    <xf numFmtId="43" fontId="26" fillId="0" borderId="0" xfId="0" applyNumberFormat="1" applyFont="1" applyAlignment="1">
      <alignment horizontal="left"/>
    </xf>
    <xf numFmtId="43" fontId="10" fillId="0" borderId="1" xfId="4" applyNumberFormat="1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 vertical="center"/>
    </xf>
    <xf numFmtId="164" fontId="25" fillId="3" borderId="1" xfId="4" applyNumberFormat="1" applyFont="1" applyFill="1" applyBorder="1" applyAlignment="1">
      <alignment horizontal="center" vertical="center"/>
    </xf>
    <xf numFmtId="164" fontId="25" fillId="3" borderId="1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 wrapText="1"/>
    </xf>
    <xf numFmtId="164" fontId="27" fillId="4" borderId="6" xfId="1" applyNumberFormat="1" applyFont="1" applyFill="1" applyBorder="1" applyAlignment="1">
      <alignment horizontal="center" vertical="center"/>
    </xf>
    <xf numFmtId="164" fontId="27" fillId="4" borderId="7" xfId="1" applyNumberFormat="1" applyFont="1" applyFill="1" applyBorder="1" applyAlignment="1">
      <alignment horizontal="center" vertical="center"/>
    </xf>
    <xf numFmtId="164" fontId="27" fillId="5" borderId="18" xfId="4" applyNumberFormat="1" applyFont="1" applyFill="1" applyBorder="1" applyAlignment="1">
      <alignment horizontal="center" vertical="center" wrapText="1"/>
    </xf>
    <xf numFmtId="164" fontId="27" fillId="5" borderId="8" xfId="4" applyNumberFormat="1" applyFont="1" applyFill="1" applyBorder="1" applyAlignment="1">
      <alignment horizontal="center" vertical="center" wrapText="1"/>
    </xf>
    <xf numFmtId="164" fontId="27" fillId="5" borderId="12" xfId="4" applyNumberFormat="1" applyFont="1" applyFill="1" applyBorder="1" applyAlignment="1">
      <alignment horizontal="center" vertical="center" wrapText="1"/>
    </xf>
    <xf numFmtId="0" fontId="24" fillId="3" borderId="18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164" fontId="13" fillId="3" borderId="18" xfId="1" applyNumberFormat="1" applyFont="1" applyFill="1" applyBorder="1" applyAlignment="1">
      <alignment horizontal="center" vertical="center"/>
    </xf>
    <xf numFmtId="164" fontId="13" fillId="3" borderId="8" xfId="1" applyNumberFormat="1" applyFont="1" applyFill="1" applyBorder="1" applyAlignment="1">
      <alignment horizontal="center" vertical="center"/>
    </xf>
    <xf numFmtId="164" fontId="13" fillId="3" borderId="12" xfId="1" applyNumberFormat="1" applyFont="1" applyFill="1" applyBorder="1" applyAlignment="1">
      <alignment horizontal="center" vertical="center"/>
    </xf>
    <xf numFmtId="164" fontId="10" fillId="0" borderId="18" xfId="4" applyNumberFormat="1" applyFont="1" applyBorder="1" applyAlignment="1">
      <alignment horizontal="center" vertical="center" wrapText="1"/>
    </xf>
    <xf numFmtId="164" fontId="10" fillId="0" borderId="8" xfId="4" applyNumberFormat="1" applyFont="1" applyBorder="1" applyAlignment="1">
      <alignment horizontal="center" vertical="center" wrapText="1"/>
    </xf>
    <xf numFmtId="164" fontId="10" fillId="0" borderId="12" xfId="4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 wrapText="1"/>
    </xf>
    <xf numFmtId="0" fontId="29" fillId="0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9" fillId="3" borderId="13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49" fontId="22" fillId="0" borderId="14" xfId="0" applyNumberFormat="1" applyFont="1" applyBorder="1" applyAlignment="1">
      <alignment horizontal="center" vertical="center" wrapText="1"/>
    </xf>
    <xf numFmtId="49" fontId="22" fillId="0" borderId="15" xfId="0" applyNumberFormat="1" applyFont="1" applyBorder="1" applyAlignment="1">
      <alignment horizontal="center" vertical="center" wrapText="1"/>
    </xf>
    <xf numFmtId="49" fontId="22" fillId="0" borderId="16" xfId="0" applyNumberFormat="1" applyFont="1" applyBorder="1" applyAlignment="1">
      <alignment horizontal="center" vertical="center" wrapText="1"/>
    </xf>
    <xf numFmtId="49" fontId="22" fillId="0" borderId="17" xfId="0" applyNumberFormat="1" applyFont="1" applyBorder="1" applyAlignment="1">
      <alignment horizontal="center" vertical="center" wrapText="1"/>
    </xf>
  </cellXfs>
  <cellStyles count="5">
    <cellStyle name="Comma" xfId="4" builtinId="3"/>
    <cellStyle name="Comma 2" xfId="3"/>
    <cellStyle name="Currency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"/>
  <sheetViews>
    <sheetView tabSelected="1" topLeftCell="A52" zoomScale="70" zoomScaleNormal="70" workbookViewId="0">
      <selection activeCell="A62" sqref="A62:H62"/>
    </sheetView>
  </sheetViews>
  <sheetFormatPr defaultRowHeight="13" x14ac:dyDescent="0.3"/>
  <cols>
    <col min="1" max="1" width="3.81640625" style="5" customWidth="1"/>
    <col min="2" max="2" width="16.08984375" style="5" customWidth="1"/>
    <col min="3" max="3" width="18.54296875" style="1" customWidth="1"/>
    <col min="4" max="4" width="42.1796875" style="6" customWidth="1"/>
    <col min="5" max="5" width="9.54296875" style="6" customWidth="1"/>
    <col min="6" max="6" width="8.26953125" style="7" customWidth="1"/>
    <col min="7" max="7" width="7.1796875" style="7" customWidth="1"/>
    <col min="8" max="8" width="8.7265625" style="7" customWidth="1"/>
    <col min="9" max="9" width="19.54296875" style="55" customWidth="1"/>
    <col min="10" max="10" width="19.1796875" style="55" bestFit="1" customWidth="1"/>
    <col min="11" max="11" width="20" style="85" customWidth="1"/>
    <col min="12" max="12" width="17.1796875" style="1" customWidth="1"/>
    <col min="13" max="13" width="23.54296875" style="1" customWidth="1"/>
    <col min="14" max="14" width="16.7265625" style="1" bestFit="1" customWidth="1"/>
    <col min="15" max="15" width="19.1796875" style="1" customWidth="1"/>
    <col min="16" max="257" width="9" style="1"/>
    <col min="258" max="258" width="3.81640625" style="1" customWidth="1"/>
    <col min="259" max="259" width="22.81640625" style="1" customWidth="1"/>
    <col min="260" max="260" width="67.54296875" style="1" customWidth="1"/>
    <col min="261" max="261" width="9.54296875" style="1" customWidth="1"/>
    <col min="262" max="262" width="7.1796875" style="1" customWidth="1"/>
    <col min="263" max="263" width="7.54296875" style="1" customWidth="1"/>
    <col min="264" max="264" width="12.7265625" style="1" customWidth="1"/>
    <col min="265" max="265" width="16.453125" style="1" customWidth="1"/>
    <col min="266" max="266" width="9" style="1"/>
    <col min="267" max="267" width="17.81640625" style="1" customWidth="1"/>
    <col min="268" max="513" width="9" style="1"/>
    <col min="514" max="514" width="3.81640625" style="1" customWidth="1"/>
    <col min="515" max="515" width="22.81640625" style="1" customWidth="1"/>
    <col min="516" max="516" width="67.54296875" style="1" customWidth="1"/>
    <col min="517" max="517" width="9.54296875" style="1" customWidth="1"/>
    <col min="518" max="518" width="7.1796875" style="1" customWidth="1"/>
    <col min="519" max="519" width="7.54296875" style="1" customWidth="1"/>
    <col min="520" max="520" width="12.7265625" style="1" customWidth="1"/>
    <col min="521" max="521" width="16.453125" style="1" customWidth="1"/>
    <col min="522" max="522" width="9" style="1"/>
    <col min="523" max="523" width="17.81640625" style="1" customWidth="1"/>
    <col min="524" max="769" width="9" style="1"/>
    <col min="770" max="770" width="3.81640625" style="1" customWidth="1"/>
    <col min="771" max="771" width="22.81640625" style="1" customWidth="1"/>
    <col min="772" max="772" width="67.54296875" style="1" customWidth="1"/>
    <col min="773" max="773" width="9.54296875" style="1" customWidth="1"/>
    <col min="774" max="774" width="7.1796875" style="1" customWidth="1"/>
    <col min="775" max="775" width="7.54296875" style="1" customWidth="1"/>
    <col min="776" max="776" width="12.7265625" style="1" customWidth="1"/>
    <col min="777" max="777" width="16.453125" style="1" customWidth="1"/>
    <col min="778" max="778" width="9" style="1"/>
    <col min="779" max="779" width="17.81640625" style="1" customWidth="1"/>
    <col min="780" max="1025" width="9" style="1"/>
    <col min="1026" max="1026" width="3.81640625" style="1" customWidth="1"/>
    <col min="1027" max="1027" width="22.81640625" style="1" customWidth="1"/>
    <col min="1028" max="1028" width="67.54296875" style="1" customWidth="1"/>
    <col min="1029" max="1029" width="9.54296875" style="1" customWidth="1"/>
    <col min="1030" max="1030" width="7.1796875" style="1" customWidth="1"/>
    <col min="1031" max="1031" width="7.54296875" style="1" customWidth="1"/>
    <col min="1032" max="1032" width="12.7265625" style="1" customWidth="1"/>
    <col min="1033" max="1033" width="16.453125" style="1" customWidth="1"/>
    <col min="1034" max="1034" width="9" style="1"/>
    <col min="1035" max="1035" width="17.81640625" style="1" customWidth="1"/>
    <col min="1036" max="1281" width="9" style="1"/>
    <col min="1282" max="1282" width="3.81640625" style="1" customWidth="1"/>
    <col min="1283" max="1283" width="22.81640625" style="1" customWidth="1"/>
    <col min="1284" max="1284" width="67.54296875" style="1" customWidth="1"/>
    <col min="1285" max="1285" width="9.54296875" style="1" customWidth="1"/>
    <col min="1286" max="1286" width="7.1796875" style="1" customWidth="1"/>
    <col min="1287" max="1287" width="7.54296875" style="1" customWidth="1"/>
    <col min="1288" max="1288" width="12.7265625" style="1" customWidth="1"/>
    <col min="1289" max="1289" width="16.453125" style="1" customWidth="1"/>
    <col min="1290" max="1290" width="9" style="1"/>
    <col min="1291" max="1291" width="17.81640625" style="1" customWidth="1"/>
    <col min="1292" max="1537" width="9" style="1"/>
    <col min="1538" max="1538" width="3.81640625" style="1" customWidth="1"/>
    <col min="1539" max="1539" width="22.81640625" style="1" customWidth="1"/>
    <col min="1540" max="1540" width="67.54296875" style="1" customWidth="1"/>
    <col min="1541" max="1541" width="9.54296875" style="1" customWidth="1"/>
    <col min="1542" max="1542" width="7.1796875" style="1" customWidth="1"/>
    <col min="1543" max="1543" width="7.54296875" style="1" customWidth="1"/>
    <col min="1544" max="1544" width="12.7265625" style="1" customWidth="1"/>
    <col min="1545" max="1545" width="16.453125" style="1" customWidth="1"/>
    <col min="1546" max="1546" width="9" style="1"/>
    <col min="1547" max="1547" width="17.81640625" style="1" customWidth="1"/>
    <col min="1548" max="1793" width="9" style="1"/>
    <col min="1794" max="1794" width="3.81640625" style="1" customWidth="1"/>
    <col min="1795" max="1795" width="22.81640625" style="1" customWidth="1"/>
    <col min="1796" max="1796" width="67.54296875" style="1" customWidth="1"/>
    <col min="1797" max="1797" width="9.54296875" style="1" customWidth="1"/>
    <col min="1798" max="1798" width="7.1796875" style="1" customWidth="1"/>
    <col min="1799" max="1799" width="7.54296875" style="1" customWidth="1"/>
    <col min="1800" max="1800" width="12.7265625" style="1" customWidth="1"/>
    <col min="1801" max="1801" width="16.453125" style="1" customWidth="1"/>
    <col min="1802" max="1802" width="9" style="1"/>
    <col min="1803" max="1803" width="17.81640625" style="1" customWidth="1"/>
    <col min="1804" max="2049" width="9" style="1"/>
    <col min="2050" max="2050" width="3.81640625" style="1" customWidth="1"/>
    <col min="2051" max="2051" width="22.81640625" style="1" customWidth="1"/>
    <col min="2052" max="2052" width="67.54296875" style="1" customWidth="1"/>
    <col min="2053" max="2053" width="9.54296875" style="1" customWidth="1"/>
    <col min="2054" max="2054" width="7.1796875" style="1" customWidth="1"/>
    <col min="2055" max="2055" width="7.54296875" style="1" customWidth="1"/>
    <col min="2056" max="2056" width="12.7265625" style="1" customWidth="1"/>
    <col min="2057" max="2057" width="16.453125" style="1" customWidth="1"/>
    <col min="2058" max="2058" width="9" style="1"/>
    <col min="2059" max="2059" width="17.81640625" style="1" customWidth="1"/>
    <col min="2060" max="2305" width="9" style="1"/>
    <col min="2306" max="2306" width="3.81640625" style="1" customWidth="1"/>
    <col min="2307" max="2307" width="22.81640625" style="1" customWidth="1"/>
    <col min="2308" max="2308" width="67.54296875" style="1" customWidth="1"/>
    <col min="2309" max="2309" width="9.54296875" style="1" customWidth="1"/>
    <col min="2310" max="2310" width="7.1796875" style="1" customWidth="1"/>
    <col min="2311" max="2311" width="7.54296875" style="1" customWidth="1"/>
    <col min="2312" max="2312" width="12.7265625" style="1" customWidth="1"/>
    <col min="2313" max="2313" width="16.453125" style="1" customWidth="1"/>
    <col min="2314" max="2314" width="9" style="1"/>
    <col min="2315" max="2315" width="17.81640625" style="1" customWidth="1"/>
    <col min="2316" max="2561" width="9" style="1"/>
    <col min="2562" max="2562" width="3.81640625" style="1" customWidth="1"/>
    <col min="2563" max="2563" width="22.81640625" style="1" customWidth="1"/>
    <col min="2564" max="2564" width="67.54296875" style="1" customWidth="1"/>
    <col min="2565" max="2565" width="9.54296875" style="1" customWidth="1"/>
    <col min="2566" max="2566" width="7.1796875" style="1" customWidth="1"/>
    <col min="2567" max="2567" width="7.54296875" style="1" customWidth="1"/>
    <col min="2568" max="2568" width="12.7265625" style="1" customWidth="1"/>
    <col min="2569" max="2569" width="16.453125" style="1" customWidth="1"/>
    <col min="2570" max="2570" width="9" style="1"/>
    <col min="2571" max="2571" width="17.81640625" style="1" customWidth="1"/>
    <col min="2572" max="2817" width="9" style="1"/>
    <col min="2818" max="2818" width="3.81640625" style="1" customWidth="1"/>
    <col min="2819" max="2819" width="22.81640625" style="1" customWidth="1"/>
    <col min="2820" max="2820" width="67.54296875" style="1" customWidth="1"/>
    <col min="2821" max="2821" width="9.54296875" style="1" customWidth="1"/>
    <col min="2822" max="2822" width="7.1796875" style="1" customWidth="1"/>
    <col min="2823" max="2823" width="7.54296875" style="1" customWidth="1"/>
    <col min="2824" max="2824" width="12.7265625" style="1" customWidth="1"/>
    <col min="2825" max="2825" width="16.453125" style="1" customWidth="1"/>
    <col min="2826" max="2826" width="9" style="1"/>
    <col min="2827" max="2827" width="17.81640625" style="1" customWidth="1"/>
    <col min="2828" max="3073" width="9" style="1"/>
    <col min="3074" max="3074" width="3.81640625" style="1" customWidth="1"/>
    <col min="3075" max="3075" width="22.81640625" style="1" customWidth="1"/>
    <col min="3076" max="3076" width="67.54296875" style="1" customWidth="1"/>
    <col min="3077" max="3077" width="9.54296875" style="1" customWidth="1"/>
    <col min="3078" max="3078" width="7.1796875" style="1" customWidth="1"/>
    <col min="3079" max="3079" width="7.54296875" style="1" customWidth="1"/>
    <col min="3080" max="3080" width="12.7265625" style="1" customWidth="1"/>
    <col min="3081" max="3081" width="16.453125" style="1" customWidth="1"/>
    <col min="3082" max="3082" width="9" style="1"/>
    <col min="3083" max="3083" width="17.81640625" style="1" customWidth="1"/>
    <col min="3084" max="3329" width="9" style="1"/>
    <col min="3330" max="3330" width="3.81640625" style="1" customWidth="1"/>
    <col min="3331" max="3331" width="22.81640625" style="1" customWidth="1"/>
    <col min="3332" max="3332" width="67.54296875" style="1" customWidth="1"/>
    <col min="3333" max="3333" width="9.54296875" style="1" customWidth="1"/>
    <col min="3334" max="3334" width="7.1796875" style="1" customWidth="1"/>
    <col min="3335" max="3335" width="7.54296875" style="1" customWidth="1"/>
    <col min="3336" max="3336" width="12.7265625" style="1" customWidth="1"/>
    <col min="3337" max="3337" width="16.453125" style="1" customWidth="1"/>
    <col min="3338" max="3338" width="9" style="1"/>
    <col min="3339" max="3339" width="17.81640625" style="1" customWidth="1"/>
    <col min="3340" max="3585" width="9" style="1"/>
    <col min="3586" max="3586" width="3.81640625" style="1" customWidth="1"/>
    <col min="3587" max="3587" width="22.81640625" style="1" customWidth="1"/>
    <col min="3588" max="3588" width="67.54296875" style="1" customWidth="1"/>
    <col min="3589" max="3589" width="9.54296875" style="1" customWidth="1"/>
    <col min="3590" max="3590" width="7.1796875" style="1" customWidth="1"/>
    <col min="3591" max="3591" width="7.54296875" style="1" customWidth="1"/>
    <col min="3592" max="3592" width="12.7265625" style="1" customWidth="1"/>
    <col min="3593" max="3593" width="16.453125" style="1" customWidth="1"/>
    <col min="3594" max="3594" width="9" style="1"/>
    <col min="3595" max="3595" width="17.81640625" style="1" customWidth="1"/>
    <col min="3596" max="3841" width="9" style="1"/>
    <col min="3842" max="3842" width="3.81640625" style="1" customWidth="1"/>
    <col min="3843" max="3843" width="22.81640625" style="1" customWidth="1"/>
    <col min="3844" max="3844" width="67.54296875" style="1" customWidth="1"/>
    <col min="3845" max="3845" width="9.54296875" style="1" customWidth="1"/>
    <col min="3846" max="3846" width="7.1796875" style="1" customWidth="1"/>
    <col min="3847" max="3847" width="7.54296875" style="1" customWidth="1"/>
    <col min="3848" max="3848" width="12.7265625" style="1" customWidth="1"/>
    <col min="3849" max="3849" width="16.453125" style="1" customWidth="1"/>
    <col min="3850" max="3850" width="9" style="1"/>
    <col min="3851" max="3851" width="17.81640625" style="1" customWidth="1"/>
    <col min="3852" max="4097" width="9" style="1"/>
    <col min="4098" max="4098" width="3.81640625" style="1" customWidth="1"/>
    <col min="4099" max="4099" width="22.81640625" style="1" customWidth="1"/>
    <col min="4100" max="4100" width="67.54296875" style="1" customWidth="1"/>
    <col min="4101" max="4101" width="9.54296875" style="1" customWidth="1"/>
    <col min="4102" max="4102" width="7.1796875" style="1" customWidth="1"/>
    <col min="4103" max="4103" width="7.54296875" style="1" customWidth="1"/>
    <col min="4104" max="4104" width="12.7265625" style="1" customWidth="1"/>
    <col min="4105" max="4105" width="16.453125" style="1" customWidth="1"/>
    <col min="4106" max="4106" width="9" style="1"/>
    <col min="4107" max="4107" width="17.81640625" style="1" customWidth="1"/>
    <col min="4108" max="4353" width="9" style="1"/>
    <col min="4354" max="4354" width="3.81640625" style="1" customWidth="1"/>
    <col min="4355" max="4355" width="22.81640625" style="1" customWidth="1"/>
    <col min="4356" max="4356" width="67.54296875" style="1" customWidth="1"/>
    <col min="4357" max="4357" width="9.54296875" style="1" customWidth="1"/>
    <col min="4358" max="4358" width="7.1796875" style="1" customWidth="1"/>
    <col min="4359" max="4359" width="7.54296875" style="1" customWidth="1"/>
    <col min="4360" max="4360" width="12.7265625" style="1" customWidth="1"/>
    <col min="4361" max="4361" width="16.453125" style="1" customWidth="1"/>
    <col min="4362" max="4362" width="9" style="1"/>
    <col min="4363" max="4363" width="17.81640625" style="1" customWidth="1"/>
    <col min="4364" max="4609" width="9" style="1"/>
    <col min="4610" max="4610" width="3.81640625" style="1" customWidth="1"/>
    <col min="4611" max="4611" width="22.81640625" style="1" customWidth="1"/>
    <col min="4612" max="4612" width="67.54296875" style="1" customWidth="1"/>
    <col min="4613" max="4613" width="9.54296875" style="1" customWidth="1"/>
    <col min="4614" max="4614" width="7.1796875" style="1" customWidth="1"/>
    <col min="4615" max="4615" width="7.54296875" style="1" customWidth="1"/>
    <col min="4616" max="4616" width="12.7265625" style="1" customWidth="1"/>
    <col min="4617" max="4617" width="16.453125" style="1" customWidth="1"/>
    <col min="4618" max="4618" width="9" style="1"/>
    <col min="4619" max="4619" width="17.81640625" style="1" customWidth="1"/>
    <col min="4620" max="4865" width="9" style="1"/>
    <col min="4866" max="4866" width="3.81640625" style="1" customWidth="1"/>
    <col min="4867" max="4867" width="22.81640625" style="1" customWidth="1"/>
    <col min="4868" max="4868" width="67.54296875" style="1" customWidth="1"/>
    <col min="4869" max="4869" width="9.54296875" style="1" customWidth="1"/>
    <col min="4870" max="4870" width="7.1796875" style="1" customWidth="1"/>
    <col min="4871" max="4871" width="7.54296875" style="1" customWidth="1"/>
    <col min="4872" max="4872" width="12.7265625" style="1" customWidth="1"/>
    <col min="4873" max="4873" width="16.453125" style="1" customWidth="1"/>
    <col min="4874" max="4874" width="9" style="1"/>
    <col min="4875" max="4875" width="17.81640625" style="1" customWidth="1"/>
    <col min="4876" max="5121" width="9" style="1"/>
    <col min="5122" max="5122" width="3.81640625" style="1" customWidth="1"/>
    <col min="5123" max="5123" width="22.81640625" style="1" customWidth="1"/>
    <col min="5124" max="5124" width="67.54296875" style="1" customWidth="1"/>
    <col min="5125" max="5125" width="9.54296875" style="1" customWidth="1"/>
    <col min="5126" max="5126" width="7.1796875" style="1" customWidth="1"/>
    <col min="5127" max="5127" width="7.54296875" style="1" customWidth="1"/>
    <col min="5128" max="5128" width="12.7265625" style="1" customWidth="1"/>
    <col min="5129" max="5129" width="16.453125" style="1" customWidth="1"/>
    <col min="5130" max="5130" width="9" style="1"/>
    <col min="5131" max="5131" width="17.81640625" style="1" customWidth="1"/>
    <col min="5132" max="5377" width="9" style="1"/>
    <col min="5378" max="5378" width="3.81640625" style="1" customWidth="1"/>
    <col min="5379" max="5379" width="22.81640625" style="1" customWidth="1"/>
    <col min="5380" max="5380" width="67.54296875" style="1" customWidth="1"/>
    <col min="5381" max="5381" width="9.54296875" style="1" customWidth="1"/>
    <col min="5382" max="5382" width="7.1796875" style="1" customWidth="1"/>
    <col min="5383" max="5383" width="7.54296875" style="1" customWidth="1"/>
    <col min="5384" max="5384" width="12.7265625" style="1" customWidth="1"/>
    <col min="5385" max="5385" width="16.453125" style="1" customWidth="1"/>
    <col min="5386" max="5386" width="9" style="1"/>
    <col min="5387" max="5387" width="17.81640625" style="1" customWidth="1"/>
    <col min="5388" max="5633" width="9" style="1"/>
    <col min="5634" max="5634" width="3.81640625" style="1" customWidth="1"/>
    <col min="5635" max="5635" width="22.81640625" style="1" customWidth="1"/>
    <col min="5636" max="5636" width="67.54296875" style="1" customWidth="1"/>
    <col min="5637" max="5637" width="9.54296875" style="1" customWidth="1"/>
    <col min="5638" max="5638" width="7.1796875" style="1" customWidth="1"/>
    <col min="5639" max="5639" width="7.54296875" style="1" customWidth="1"/>
    <col min="5640" max="5640" width="12.7265625" style="1" customWidth="1"/>
    <col min="5641" max="5641" width="16.453125" style="1" customWidth="1"/>
    <col min="5642" max="5642" width="9" style="1"/>
    <col min="5643" max="5643" width="17.81640625" style="1" customWidth="1"/>
    <col min="5644" max="5889" width="9" style="1"/>
    <col min="5890" max="5890" width="3.81640625" style="1" customWidth="1"/>
    <col min="5891" max="5891" width="22.81640625" style="1" customWidth="1"/>
    <col min="5892" max="5892" width="67.54296875" style="1" customWidth="1"/>
    <col min="5893" max="5893" width="9.54296875" style="1" customWidth="1"/>
    <col min="5894" max="5894" width="7.1796875" style="1" customWidth="1"/>
    <col min="5895" max="5895" width="7.54296875" style="1" customWidth="1"/>
    <col min="5896" max="5896" width="12.7265625" style="1" customWidth="1"/>
    <col min="5897" max="5897" width="16.453125" style="1" customWidth="1"/>
    <col min="5898" max="5898" width="9" style="1"/>
    <col min="5899" max="5899" width="17.81640625" style="1" customWidth="1"/>
    <col min="5900" max="6145" width="9" style="1"/>
    <col min="6146" max="6146" width="3.81640625" style="1" customWidth="1"/>
    <col min="6147" max="6147" width="22.81640625" style="1" customWidth="1"/>
    <col min="6148" max="6148" width="67.54296875" style="1" customWidth="1"/>
    <col min="6149" max="6149" width="9.54296875" style="1" customWidth="1"/>
    <col min="6150" max="6150" width="7.1796875" style="1" customWidth="1"/>
    <col min="6151" max="6151" width="7.54296875" style="1" customWidth="1"/>
    <col min="6152" max="6152" width="12.7265625" style="1" customWidth="1"/>
    <col min="6153" max="6153" width="16.453125" style="1" customWidth="1"/>
    <col min="6154" max="6154" width="9" style="1"/>
    <col min="6155" max="6155" width="17.81640625" style="1" customWidth="1"/>
    <col min="6156" max="6401" width="9" style="1"/>
    <col min="6402" max="6402" width="3.81640625" style="1" customWidth="1"/>
    <col min="6403" max="6403" width="22.81640625" style="1" customWidth="1"/>
    <col min="6404" max="6404" width="67.54296875" style="1" customWidth="1"/>
    <col min="6405" max="6405" width="9.54296875" style="1" customWidth="1"/>
    <col min="6406" max="6406" width="7.1796875" style="1" customWidth="1"/>
    <col min="6407" max="6407" width="7.54296875" style="1" customWidth="1"/>
    <col min="6408" max="6408" width="12.7265625" style="1" customWidth="1"/>
    <col min="6409" max="6409" width="16.453125" style="1" customWidth="1"/>
    <col min="6410" max="6410" width="9" style="1"/>
    <col min="6411" max="6411" width="17.81640625" style="1" customWidth="1"/>
    <col min="6412" max="6657" width="9" style="1"/>
    <col min="6658" max="6658" width="3.81640625" style="1" customWidth="1"/>
    <col min="6659" max="6659" width="22.81640625" style="1" customWidth="1"/>
    <col min="6660" max="6660" width="67.54296875" style="1" customWidth="1"/>
    <col min="6661" max="6661" width="9.54296875" style="1" customWidth="1"/>
    <col min="6662" max="6662" width="7.1796875" style="1" customWidth="1"/>
    <col min="6663" max="6663" width="7.54296875" style="1" customWidth="1"/>
    <col min="6664" max="6664" width="12.7265625" style="1" customWidth="1"/>
    <col min="6665" max="6665" width="16.453125" style="1" customWidth="1"/>
    <col min="6666" max="6666" width="9" style="1"/>
    <col min="6667" max="6667" width="17.81640625" style="1" customWidth="1"/>
    <col min="6668" max="6913" width="9" style="1"/>
    <col min="6914" max="6914" width="3.81640625" style="1" customWidth="1"/>
    <col min="6915" max="6915" width="22.81640625" style="1" customWidth="1"/>
    <col min="6916" max="6916" width="67.54296875" style="1" customWidth="1"/>
    <col min="6917" max="6917" width="9.54296875" style="1" customWidth="1"/>
    <col min="6918" max="6918" width="7.1796875" style="1" customWidth="1"/>
    <col min="6919" max="6919" width="7.54296875" style="1" customWidth="1"/>
    <col min="6920" max="6920" width="12.7265625" style="1" customWidth="1"/>
    <col min="6921" max="6921" width="16.453125" style="1" customWidth="1"/>
    <col min="6922" max="6922" width="9" style="1"/>
    <col min="6923" max="6923" width="17.81640625" style="1" customWidth="1"/>
    <col min="6924" max="7169" width="9" style="1"/>
    <col min="7170" max="7170" width="3.81640625" style="1" customWidth="1"/>
    <col min="7171" max="7171" width="22.81640625" style="1" customWidth="1"/>
    <col min="7172" max="7172" width="67.54296875" style="1" customWidth="1"/>
    <col min="7173" max="7173" width="9.54296875" style="1" customWidth="1"/>
    <col min="7174" max="7174" width="7.1796875" style="1" customWidth="1"/>
    <col min="7175" max="7175" width="7.54296875" style="1" customWidth="1"/>
    <col min="7176" max="7176" width="12.7265625" style="1" customWidth="1"/>
    <col min="7177" max="7177" width="16.453125" style="1" customWidth="1"/>
    <col min="7178" max="7178" width="9" style="1"/>
    <col min="7179" max="7179" width="17.81640625" style="1" customWidth="1"/>
    <col min="7180" max="7425" width="9" style="1"/>
    <col min="7426" max="7426" width="3.81640625" style="1" customWidth="1"/>
    <col min="7427" max="7427" width="22.81640625" style="1" customWidth="1"/>
    <col min="7428" max="7428" width="67.54296875" style="1" customWidth="1"/>
    <col min="7429" max="7429" width="9.54296875" style="1" customWidth="1"/>
    <col min="7430" max="7430" width="7.1796875" style="1" customWidth="1"/>
    <col min="7431" max="7431" width="7.54296875" style="1" customWidth="1"/>
    <col min="7432" max="7432" width="12.7265625" style="1" customWidth="1"/>
    <col min="7433" max="7433" width="16.453125" style="1" customWidth="1"/>
    <col min="7434" max="7434" width="9" style="1"/>
    <col min="7435" max="7435" width="17.81640625" style="1" customWidth="1"/>
    <col min="7436" max="7681" width="9" style="1"/>
    <col min="7682" max="7682" width="3.81640625" style="1" customWidth="1"/>
    <col min="7683" max="7683" width="22.81640625" style="1" customWidth="1"/>
    <col min="7684" max="7684" width="67.54296875" style="1" customWidth="1"/>
    <col min="7685" max="7685" width="9.54296875" style="1" customWidth="1"/>
    <col min="7686" max="7686" width="7.1796875" style="1" customWidth="1"/>
    <col min="7687" max="7687" width="7.54296875" style="1" customWidth="1"/>
    <col min="7688" max="7688" width="12.7265625" style="1" customWidth="1"/>
    <col min="7689" max="7689" width="16.453125" style="1" customWidth="1"/>
    <col min="7690" max="7690" width="9" style="1"/>
    <col min="7691" max="7691" width="17.81640625" style="1" customWidth="1"/>
    <col min="7692" max="7937" width="9" style="1"/>
    <col min="7938" max="7938" width="3.81640625" style="1" customWidth="1"/>
    <col min="7939" max="7939" width="22.81640625" style="1" customWidth="1"/>
    <col min="7940" max="7940" width="67.54296875" style="1" customWidth="1"/>
    <col min="7941" max="7941" width="9.54296875" style="1" customWidth="1"/>
    <col min="7942" max="7942" width="7.1796875" style="1" customWidth="1"/>
    <col min="7943" max="7943" width="7.54296875" style="1" customWidth="1"/>
    <col min="7944" max="7944" width="12.7265625" style="1" customWidth="1"/>
    <col min="7945" max="7945" width="16.453125" style="1" customWidth="1"/>
    <col min="7946" max="7946" width="9" style="1"/>
    <col min="7947" max="7947" width="17.81640625" style="1" customWidth="1"/>
    <col min="7948" max="8193" width="9" style="1"/>
    <col min="8194" max="8194" width="3.81640625" style="1" customWidth="1"/>
    <col min="8195" max="8195" width="22.81640625" style="1" customWidth="1"/>
    <col min="8196" max="8196" width="67.54296875" style="1" customWidth="1"/>
    <col min="8197" max="8197" width="9.54296875" style="1" customWidth="1"/>
    <col min="8198" max="8198" width="7.1796875" style="1" customWidth="1"/>
    <col min="8199" max="8199" width="7.54296875" style="1" customWidth="1"/>
    <col min="8200" max="8200" width="12.7265625" style="1" customWidth="1"/>
    <col min="8201" max="8201" width="16.453125" style="1" customWidth="1"/>
    <col min="8202" max="8202" width="9" style="1"/>
    <col min="8203" max="8203" width="17.81640625" style="1" customWidth="1"/>
    <col min="8204" max="8449" width="9" style="1"/>
    <col min="8450" max="8450" width="3.81640625" style="1" customWidth="1"/>
    <col min="8451" max="8451" width="22.81640625" style="1" customWidth="1"/>
    <col min="8452" max="8452" width="67.54296875" style="1" customWidth="1"/>
    <col min="8453" max="8453" width="9.54296875" style="1" customWidth="1"/>
    <col min="8454" max="8454" width="7.1796875" style="1" customWidth="1"/>
    <col min="8455" max="8455" width="7.54296875" style="1" customWidth="1"/>
    <col min="8456" max="8456" width="12.7265625" style="1" customWidth="1"/>
    <col min="8457" max="8457" width="16.453125" style="1" customWidth="1"/>
    <col min="8458" max="8458" width="9" style="1"/>
    <col min="8459" max="8459" width="17.81640625" style="1" customWidth="1"/>
    <col min="8460" max="8705" width="9" style="1"/>
    <col min="8706" max="8706" width="3.81640625" style="1" customWidth="1"/>
    <col min="8707" max="8707" width="22.81640625" style="1" customWidth="1"/>
    <col min="8708" max="8708" width="67.54296875" style="1" customWidth="1"/>
    <col min="8709" max="8709" width="9.54296875" style="1" customWidth="1"/>
    <col min="8710" max="8710" width="7.1796875" style="1" customWidth="1"/>
    <col min="8711" max="8711" width="7.54296875" style="1" customWidth="1"/>
    <col min="8712" max="8712" width="12.7265625" style="1" customWidth="1"/>
    <col min="8713" max="8713" width="16.453125" style="1" customWidth="1"/>
    <col min="8714" max="8714" width="9" style="1"/>
    <col min="8715" max="8715" width="17.81640625" style="1" customWidth="1"/>
    <col min="8716" max="8961" width="9" style="1"/>
    <col min="8962" max="8962" width="3.81640625" style="1" customWidth="1"/>
    <col min="8963" max="8963" width="22.81640625" style="1" customWidth="1"/>
    <col min="8964" max="8964" width="67.54296875" style="1" customWidth="1"/>
    <col min="8965" max="8965" width="9.54296875" style="1" customWidth="1"/>
    <col min="8966" max="8966" width="7.1796875" style="1" customWidth="1"/>
    <col min="8967" max="8967" width="7.54296875" style="1" customWidth="1"/>
    <col min="8968" max="8968" width="12.7265625" style="1" customWidth="1"/>
    <col min="8969" max="8969" width="16.453125" style="1" customWidth="1"/>
    <col min="8970" max="8970" width="9" style="1"/>
    <col min="8971" max="8971" width="17.81640625" style="1" customWidth="1"/>
    <col min="8972" max="9217" width="9" style="1"/>
    <col min="9218" max="9218" width="3.81640625" style="1" customWidth="1"/>
    <col min="9219" max="9219" width="22.81640625" style="1" customWidth="1"/>
    <col min="9220" max="9220" width="67.54296875" style="1" customWidth="1"/>
    <col min="9221" max="9221" width="9.54296875" style="1" customWidth="1"/>
    <col min="9222" max="9222" width="7.1796875" style="1" customWidth="1"/>
    <col min="9223" max="9223" width="7.54296875" style="1" customWidth="1"/>
    <col min="9224" max="9224" width="12.7265625" style="1" customWidth="1"/>
    <col min="9225" max="9225" width="16.453125" style="1" customWidth="1"/>
    <col min="9226" max="9226" width="9" style="1"/>
    <col min="9227" max="9227" width="17.81640625" style="1" customWidth="1"/>
    <col min="9228" max="9473" width="9" style="1"/>
    <col min="9474" max="9474" width="3.81640625" style="1" customWidth="1"/>
    <col min="9475" max="9475" width="22.81640625" style="1" customWidth="1"/>
    <col min="9476" max="9476" width="67.54296875" style="1" customWidth="1"/>
    <col min="9477" max="9477" width="9.54296875" style="1" customWidth="1"/>
    <col min="9478" max="9478" width="7.1796875" style="1" customWidth="1"/>
    <col min="9479" max="9479" width="7.54296875" style="1" customWidth="1"/>
    <col min="9480" max="9480" width="12.7265625" style="1" customWidth="1"/>
    <col min="9481" max="9481" width="16.453125" style="1" customWidth="1"/>
    <col min="9482" max="9482" width="9" style="1"/>
    <col min="9483" max="9483" width="17.81640625" style="1" customWidth="1"/>
    <col min="9484" max="9729" width="9" style="1"/>
    <col min="9730" max="9730" width="3.81640625" style="1" customWidth="1"/>
    <col min="9731" max="9731" width="22.81640625" style="1" customWidth="1"/>
    <col min="9732" max="9732" width="67.54296875" style="1" customWidth="1"/>
    <col min="9733" max="9733" width="9.54296875" style="1" customWidth="1"/>
    <col min="9734" max="9734" width="7.1796875" style="1" customWidth="1"/>
    <col min="9735" max="9735" width="7.54296875" style="1" customWidth="1"/>
    <col min="9736" max="9736" width="12.7265625" style="1" customWidth="1"/>
    <col min="9737" max="9737" width="16.453125" style="1" customWidth="1"/>
    <col min="9738" max="9738" width="9" style="1"/>
    <col min="9739" max="9739" width="17.81640625" style="1" customWidth="1"/>
    <col min="9740" max="9985" width="9" style="1"/>
    <col min="9986" max="9986" width="3.81640625" style="1" customWidth="1"/>
    <col min="9987" max="9987" width="22.81640625" style="1" customWidth="1"/>
    <col min="9988" max="9988" width="67.54296875" style="1" customWidth="1"/>
    <col min="9989" max="9989" width="9.54296875" style="1" customWidth="1"/>
    <col min="9990" max="9990" width="7.1796875" style="1" customWidth="1"/>
    <col min="9991" max="9991" width="7.54296875" style="1" customWidth="1"/>
    <col min="9992" max="9992" width="12.7265625" style="1" customWidth="1"/>
    <col min="9993" max="9993" width="16.453125" style="1" customWidth="1"/>
    <col min="9994" max="9994" width="9" style="1"/>
    <col min="9995" max="9995" width="17.81640625" style="1" customWidth="1"/>
    <col min="9996" max="10241" width="9" style="1"/>
    <col min="10242" max="10242" width="3.81640625" style="1" customWidth="1"/>
    <col min="10243" max="10243" width="22.81640625" style="1" customWidth="1"/>
    <col min="10244" max="10244" width="67.54296875" style="1" customWidth="1"/>
    <col min="10245" max="10245" width="9.54296875" style="1" customWidth="1"/>
    <col min="10246" max="10246" width="7.1796875" style="1" customWidth="1"/>
    <col min="10247" max="10247" width="7.54296875" style="1" customWidth="1"/>
    <col min="10248" max="10248" width="12.7265625" style="1" customWidth="1"/>
    <col min="10249" max="10249" width="16.453125" style="1" customWidth="1"/>
    <col min="10250" max="10250" width="9" style="1"/>
    <col min="10251" max="10251" width="17.81640625" style="1" customWidth="1"/>
    <col min="10252" max="10497" width="9" style="1"/>
    <col min="10498" max="10498" width="3.81640625" style="1" customWidth="1"/>
    <col min="10499" max="10499" width="22.81640625" style="1" customWidth="1"/>
    <col min="10500" max="10500" width="67.54296875" style="1" customWidth="1"/>
    <col min="10501" max="10501" width="9.54296875" style="1" customWidth="1"/>
    <col min="10502" max="10502" width="7.1796875" style="1" customWidth="1"/>
    <col min="10503" max="10503" width="7.54296875" style="1" customWidth="1"/>
    <col min="10504" max="10504" width="12.7265625" style="1" customWidth="1"/>
    <col min="10505" max="10505" width="16.453125" style="1" customWidth="1"/>
    <col min="10506" max="10506" width="9" style="1"/>
    <col min="10507" max="10507" width="17.81640625" style="1" customWidth="1"/>
    <col min="10508" max="10753" width="9" style="1"/>
    <col min="10754" max="10754" width="3.81640625" style="1" customWidth="1"/>
    <col min="10755" max="10755" width="22.81640625" style="1" customWidth="1"/>
    <col min="10756" max="10756" width="67.54296875" style="1" customWidth="1"/>
    <col min="10757" max="10757" width="9.54296875" style="1" customWidth="1"/>
    <col min="10758" max="10758" width="7.1796875" style="1" customWidth="1"/>
    <col min="10759" max="10759" width="7.54296875" style="1" customWidth="1"/>
    <col min="10760" max="10760" width="12.7265625" style="1" customWidth="1"/>
    <col min="10761" max="10761" width="16.453125" style="1" customWidth="1"/>
    <col min="10762" max="10762" width="9" style="1"/>
    <col min="10763" max="10763" width="17.81640625" style="1" customWidth="1"/>
    <col min="10764" max="11009" width="9" style="1"/>
    <col min="11010" max="11010" width="3.81640625" style="1" customWidth="1"/>
    <col min="11011" max="11011" width="22.81640625" style="1" customWidth="1"/>
    <col min="11012" max="11012" width="67.54296875" style="1" customWidth="1"/>
    <col min="11013" max="11013" width="9.54296875" style="1" customWidth="1"/>
    <col min="11014" max="11014" width="7.1796875" style="1" customWidth="1"/>
    <col min="11015" max="11015" width="7.54296875" style="1" customWidth="1"/>
    <col min="11016" max="11016" width="12.7265625" style="1" customWidth="1"/>
    <col min="11017" max="11017" width="16.453125" style="1" customWidth="1"/>
    <col min="11018" max="11018" width="9" style="1"/>
    <col min="11019" max="11019" width="17.81640625" style="1" customWidth="1"/>
    <col min="11020" max="11265" width="9" style="1"/>
    <col min="11266" max="11266" width="3.81640625" style="1" customWidth="1"/>
    <col min="11267" max="11267" width="22.81640625" style="1" customWidth="1"/>
    <col min="11268" max="11268" width="67.54296875" style="1" customWidth="1"/>
    <col min="11269" max="11269" width="9.54296875" style="1" customWidth="1"/>
    <col min="11270" max="11270" width="7.1796875" style="1" customWidth="1"/>
    <col min="11271" max="11271" width="7.54296875" style="1" customWidth="1"/>
    <col min="11272" max="11272" width="12.7265625" style="1" customWidth="1"/>
    <col min="11273" max="11273" width="16.453125" style="1" customWidth="1"/>
    <col min="11274" max="11274" width="9" style="1"/>
    <col min="11275" max="11275" width="17.81640625" style="1" customWidth="1"/>
    <col min="11276" max="11521" width="9" style="1"/>
    <col min="11522" max="11522" width="3.81640625" style="1" customWidth="1"/>
    <col min="11523" max="11523" width="22.81640625" style="1" customWidth="1"/>
    <col min="11524" max="11524" width="67.54296875" style="1" customWidth="1"/>
    <col min="11525" max="11525" width="9.54296875" style="1" customWidth="1"/>
    <col min="11526" max="11526" width="7.1796875" style="1" customWidth="1"/>
    <col min="11527" max="11527" width="7.54296875" style="1" customWidth="1"/>
    <col min="11528" max="11528" width="12.7265625" style="1" customWidth="1"/>
    <col min="11529" max="11529" width="16.453125" style="1" customWidth="1"/>
    <col min="11530" max="11530" width="9" style="1"/>
    <col min="11531" max="11531" width="17.81640625" style="1" customWidth="1"/>
    <col min="11532" max="11777" width="9" style="1"/>
    <col min="11778" max="11778" width="3.81640625" style="1" customWidth="1"/>
    <col min="11779" max="11779" width="22.81640625" style="1" customWidth="1"/>
    <col min="11780" max="11780" width="67.54296875" style="1" customWidth="1"/>
    <col min="11781" max="11781" width="9.54296875" style="1" customWidth="1"/>
    <col min="11782" max="11782" width="7.1796875" style="1" customWidth="1"/>
    <col min="11783" max="11783" width="7.54296875" style="1" customWidth="1"/>
    <col min="11784" max="11784" width="12.7265625" style="1" customWidth="1"/>
    <col min="11785" max="11785" width="16.453125" style="1" customWidth="1"/>
    <col min="11786" max="11786" width="9" style="1"/>
    <col min="11787" max="11787" width="17.81640625" style="1" customWidth="1"/>
    <col min="11788" max="12033" width="9" style="1"/>
    <col min="12034" max="12034" width="3.81640625" style="1" customWidth="1"/>
    <col min="12035" max="12035" width="22.81640625" style="1" customWidth="1"/>
    <col min="12036" max="12036" width="67.54296875" style="1" customWidth="1"/>
    <col min="12037" max="12037" width="9.54296875" style="1" customWidth="1"/>
    <col min="12038" max="12038" width="7.1796875" style="1" customWidth="1"/>
    <col min="12039" max="12039" width="7.54296875" style="1" customWidth="1"/>
    <col min="12040" max="12040" width="12.7265625" style="1" customWidth="1"/>
    <col min="12041" max="12041" width="16.453125" style="1" customWidth="1"/>
    <col min="12042" max="12042" width="9" style="1"/>
    <col min="12043" max="12043" width="17.81640625" style="1" customWidth="1"/>
    <col min="12044" max="12289" width="9" style="1"/>
    <col min="12290" max="12290" width="3.81640625" style="1" customWidth="1"/>
    <col min="12291" max="12291" width="22.81640625" style="1" customWidth="1"/>
    <col min="12292" max="12292" width="67.54296875" style="1" customWidth="1"/>
    <col min="12293" max="12293" width="9.54296875" style="1" customWidth="1"/>
    <col min="12294" max="12294" width="7.1796875" style="1" customWidth="1"/>
    <col min="12295" max="12295" width="7.54296875" style="1" customWidth="1"/>
    <col min="12296" max="12296" width="12.7265625" style="1" customWidth="1"/>
    <col min="12297" max="12297" width="16.453125" style="1" customWidth="1"/>
    <col min="12298" max="12298" width="9" style="1"/>
    <col min="12299" max="12299" width="17.81640625" style="1" customWidth="1"/>
    <col min="12300" max="12545" width="9" style="1"/>
    <col min="12546" max="12546" width="3.81640625" style="1" customWidth="1"/>
    <col min="12547" max="12547" width="22.81640625" style="1" customWidth="1"/>
    <col min="12548" max="12548" width="67.54296875" style="1" customWidth="1"/>
    <col min="12549" max="12549" width="9.54296875" style="1" customWidth="1"/>
    <col min="12550" max="12550" width="7.1796875" style="1" customWidth="1"/>
    <col min="12551" max="12551" width="7.54296875" style="1" customWidth="1"/>
    <col min="12552" max="12552" width="12.7265625" style="1" customWidth="1"/>
    <col min="12553" max="12553" width="16.453125" style="1" customWidth="1"/>
    <col min="12554" max="12554" width="9" style="1"/>
    <col min="12555" max="12555" width="17.81640625" style="1" customWidth="1"/>
    <col min="12556" max="12801" width="9" style="1"/>
    <col min="12802" max="12802" width="3.81640625" style="1" customWidth="1"/>
    <col min="12803" max="12803" width="22.81640625" style="1" customWidth="1"/>
    <col min="12804" max="12804" width="67.54296875" style="1" customWidth="1"/>
    <col min="12805" max="12805" width="9.54296875" style="1" customWidth="1"/>
    <col min="12806" max="12806" width="7.1796875" style="1" customWidth="1"/>
    <col min="12807" max="12807" width="7.54296875" style="1" customWidth="1"/>
    <col min="12808" max="12808" width="12.7265625" style="1" customWidth="1"/>
    <col min="12809" max="12809" width="16.453125" style="1" customWidth="1"/>
    <col min="12810" max="12810" width="9" style="1"/>
    <col min="12811" max="12811" width="17.81640625" style="1" customWidth="1"/>
    <col min="12812" max="13057" width="9" style="1"/>
    <col min="13058" max="13058" width="3.81640625" style="1" customWidth="1"/>
    <col min="13059" max="13059" width="22.81640625" style="1" customWidth="1"/>
    <col min="13060" max="13060" width="67.54296875" style="1" customWidth="1"/>
    <col min="13061" max="13061" width="9.54296875" style="1" customWidth="1"/>
    <col min="13062" max="13062" width="7.1796875" style="1" customWidth="1"/>
    <col min="13063" max="13063" width="7.54296875" style="1" customWidth="1"/>
    <col min="13064" max="13064" width="12.7265625" style="1" customWidth="1"/>
    <col min="13065" max="13065" width="16.453125" style="1" customWidth="1"/>
    <col min="13066" max="13066" width="9" style="1"/>
    <col min="13067" max="13067" width="17.81640625" style="1" customWidth="1"/>
    <col min="13068" max="13313" width="9" style="1"/>
    <col min="13314" max="13314" width="3.81640625" style="1" customWidth="1"/>
    <col min="13315" max="13315" width="22.81640625" style="1" customWidth="1"/>
    <col min="13316" max="13316" width="67.54296875" style="1" customWidth="1"/>
    <col min="13317" max="13317" width="9.54296875" style="1" customWidth="1"/>
    <col min="13318" max="13318" width="7.1796875" style="1" customWidth="1"/>
    <col min="13319" max="13319" width="7.54296875" style="1" customWidth="1"/>
    <col min="13320" max="13320" width="12.7265625" style="1" customWidth="1"/>
    <col min="13321" max="13321" width="16.453125" style="1" customWidth="1"/>
    <col min="13322" max="13322" width="9" style="1"/>
    <col min="13323" max="13323" width="17.81640625" style="1" customWidth="1"/>
    <col min="13324" max="13569" width="9" style="1"/>
    <col min="13570" max="13570" width="3.81640625" style="1" customWidth="1"/>
    <col min="13571" max="13571" width="22.81640625" style="1" customWidth="1"/>
    <col min="13572" max="13572" width="67.54296875" style="1" customWidth="1"/>
    <col min="13573" max="13573" width="9.54296875" style="1" customWidth="1"/>
    <col min="13574" max="13574" width="7.1796875" style="1" customWidth="1"/>
    <col min="13575" max="13575" width="7.54296875" style="1" customWidth="1"/>
    <col min="13576" max="13576" width="12.7265625" style="1" customWidth="1"/>
    <col min="13577" max="13577" width="16.453125" style="1" customWidth="1"/>
    <col min="13578" max="13578" width="9" style="1"/>
    <col min="13579" max="13579" width="17.81640625" style="1" customWidth="1"/>
    <col min="13580" max="13825" width="9" style="1"/>
    <col min="13826" max="13826" width="3.81640625" style="1" customWidth="1"/>
    <col min="13827" max="13827" width="22.81640625" style="1" customWidth="1"/>
    <col min="13828" max="13828" width="67.54296875" style="1" customWidth="1"/>
    <col min="13829" max="13829" width="9.54296875" style="1" customWidth="1"/>
    <col min="13830" max="13830" width="7.1796875" style="1" customWidth="1"/>
    <col min="13831" max="13831" width="7.54296875" style="1" customWidth="1"/>
    <col min="13832" max="13832" width="12.7265625" style="1" customWidth="1"/>
    <col min="13833" max="13833" width="16.453125" style="1" customWidth="1"/>
    <col min="13834" max="13834" width="9" style="1"/>
    <col min="13835" max="13835" width="17.81640625" style="1" customWidth="1"/>
    <col min="13836" max="14081" width="9" style="1"/>
    <col min="14082" max="14082" width="3.81640625" style="1" customWidth="1"/>
    <col min="14083" max="14083" width="22.81640625" style="1" customWidth="1"/>
    <col min="14084" max="14084" width="67.54296875" style="1" customWidth="1"/>
    <col min="14085" max="14085" width="9.54296875" style="1" customWidth="1"/>
    <col min="14086" max="14086" width="7.1796875" style="1" customWidth="1"/>
    <col min="14087" max="14087" width="7.54296875" style="1" customWidth="1"/>
    <col min="14088" max="14088" width="12.7265625" style="1" customWidth="1"/>
    <col min="14089" max="14089" width="16.453125" style="1" customWidth="1"/>
    <col min="14090" max="14090" width="9" style="1"/>
    <col min="14091" max="14091" width="17.81640625" style="1" customWidth="1"/>
    <col min="14092" max="14337" width="9" style="1"/>
    <col min="14338" max="14338" width="3.81640625" style="1" customWidth="1"/>
    <col min="14339" max="14339" width="22.81640625" style="1" customWidth="1"/>
    <col min="14340" max="14340" width="67.54296875" style="1" customWidth="1"/>
    <col min="14341" max="14341" width="9.54296875" style="1" customWidth="1"/>
    <col min="14342" max="14342" width="7.1796875" style="1" customWidth="1"/>
    <col min="14343" max="14343" width="7.54296875" style="1" customWidth="1"/>
    <col min="14344" max="14344" width="12.7265625" style="1" customWidth="1"/>
    <col min="14345" max="14345" width="16.453125" style="1" customWidth="1"/>
    <col min="14346" max="14346" width="9" style="1"/>
    <col min="14347" max="14347" width="17.81640625" style="1" customWidth="1"/>
    <col min="14348" max="14593" width="9" style="1"/>
    <col min="14594" max="14594" width="3.81640625" style="1" customWidth="1"/>
    <col min="14595" max="14595" width="22.81640625" style="1" customWidth="1"/>
    <col min="14596" max="14596" width="67.54296875" style="1" customWidth="1"/>
    <col min="14597" max="14597" width="9.54296875" style="1" customWidth="1"/>
    <col min="14598" max="14598" width="7.1796875" style="1" customWidth="1"/>
    <col min="14599" max="14599" width="7.54296875" style="1" customWidth="1"/>
    <col min="14600" max="14600" width="12.7265625" style="1" customWidth="1"/>
    <col min="14601" max="14601" width="16.453125" style="1" customWidth="1"/>
    <col min="14602" max="14602" width="9" style="1"/>
    <col min="14603" max="14603" width="17.81640625" style="1" customWidth="1"/>
    <col min="14604" max="14849" width="9" style="1"/>
    <col min="14850" max="14850" width="3.81640625" style="1" customWidth="1"/>
    <col min="14851" max="14851" width="22.81640625" style="1" customWidth="1"/>
    <col min="14852" max="14852" width="67.54296875" style="1" customWidth="1"/>
    <col min="14853" max="14853" width="9.54296875" style="1" customWidth="1"/>
    <col min="14854" max="14854" width="7.1796875" style="1" customWidth="1"/>
    <col min="14855" max="14855" width="7.54296875" style="1" customWidth="1"/>
    <col min="14856" max="14856" width="12.7265625" style="1" customWidth="1"/>
    <col min="14857" max="14857" width="16.453125" style="1" customWidth="1"/>
    <col min="14858" max="14858" width="9" style="1"/>
    <col min="14859" max="14859" width="17.81640625" style="1" customWidth="1"/>
    <col min="14860" max="15105" width="9" style="1"/>
    <col min="15106" max="15106" width="3.81640625" style="1" customWidth="1"/>
    <col min="15107" max="15107" width="22.81640625" style="1" customWidth="1"/>
    <col min="15108" max="15108" width="67.54296875" style="1" customWidth="1"/>
    <col min="15109" max="15109" width="9.54296875" style="1" customWidth="1"/>
    <col min="15110" max="15110" width="7.1796875" style="1" customWidth="1"/>
    <col min="15111" max="15111" width="7.54296875" style="1" customWidth="1"/>
    <col min="15112" max="15112" width="12.7265625" style="1" customWidth="1"/>
    <col min="15113" max="15113" width="16.453125" style="1" customWidth="1"/>
    <col min="15114" max="15114" width="9" style="1"/>
    <col min="15115" max="15115" width="17.81640625" style="1" customWidth="1"/>
    <col min="15116" max="15361" width="9" style="1"/>
    <col min="15362" max="15362" width="3.81640625" style="1" customWidth="1"/>
    <col min="15363" max="15363" width="22.81640625" style="1" customWidth="1"/>
    <col min="15364" max="15364" width="67.54296875" style="1" customWidth="1"/>
    <col min="15365" max="15365" width="9.54296875" style="1" customWidth="1"/>
    <col min="15366" max="15366" width="7.1796875" style="1" customWidth="1"/>
    <col min="15367" max="15367" width="7.54296875" style="1" customWidth="1"/>
    <col min="15368" max="15368" width="12.7265625" style="1" customWidth="1"/>
    <col min="15369" max="15369" width="16.453125" style="1" customWidth="1"/>
    <col min="15370" max="15370" width="9" style="1"/>
    <col min="15371" max="15371" width="17.81640625" style="1" customWidth="1"/>
    <col min="15372" max="15617" width="9" style="1"/>
    <col min="15618" max="15618" width="3.81640625" style="1" customWidth="1"/>
    <col min="15619" max="15619" width="22.81640625" style="1" customWidth="1"/>
    <col min="15620" max="15620" width="67.54296875" style="1" customWidth="1"/>
    <col min="15621" max="15621" width="9.54296875" style="1" customWidth="1"/>
    <col min="15622" max="15622" width="7.1796875" style="1" customWidth="1"/>
    <col min="15623" max="15623" width="7.54296875" style="1" customWidth="1"/>
    <col min="15624" max="15624" width="12.7265625" style="1" customWidth="1"/>
    <col min="15625" max="15625" width="16.453125" style="1" customWidth="1"/>
    <col min="15626" max="15626" width="9" style="1"/>
    <col min="15627" max="15627" width="17.81640625" style="1" customWidth="1"/>
    <col min="15628" max="15873" width="9" style="1"/>
    <col min="15874" max="15874" width="3.81640625" style="1" customWidth="1"/>
    <col min="15875" max="15875" width="22.81640625" style="1" customWidth="1"/>
    <col min="15876" max="15876" width="67.54296875" style="1" customWidth="1"/>
    <col min="15877" max="15877" width="9.54296875" style="1" customWidth="1"/>
    <col min="15878" max="15878" width="7.1796875" style="1" customWidth="1"/>
    <col min="15879" max="15879" width="7.54296875" style="1" customWidth="1"/>
    <col min="15880" max="15880" width="12.7265625" style="1" customWidth="1"/>
    <col min="15881" max="15881" width="16.453125" style="1" customWidth="1"/>
    <col min="15882" max="15882" width="9" style="1"/>
    <col min="15883" max="15883" width="17.81640625" style="1" customWidth="1"/>
    <col min="15884" max="16129" width="9" style="1"/>
    <col min="16130" max="16130" width="3.81640625" style="1" customWidth="1"/>
    <col min="16131" max="16131" width="22.81640625" style="1" customWidth="1"/>
    <col min="16132" max="16132" width="67.54296875" style="1" customWidth="1"/>
    <col min="16133" max="16133" width="9.54296875" style="1" customWidth="1"/>
    <col min="16134" max="16134" width="7.1796875" style="1" customWidth="1"/>
    <col min="16135" max="16135" width="7.54296875" style="1" customWidth="1"/>
    <col min="16136" max="16136" width="12.7265625" style="1" customWidth="1"/>
    <col min="16137" max="16137" width="16.453125" style="1" customWidth="1"/>
    <col min="16138" max="16138" width="9" style="1"/>
    <col min="16139" max="16139" width="17.81640625" style="1" customWidth="1"/>
    <col min="16140" max="16384" width="9" style="1"/>
  </cols>
  <sheetData>
    <row r="1" spans="1:15" s="2" customFormat="1" ht="21" customHeight="1" x14ac:dyDescent="0.3">
      <c r="A1" s="10"/>
      <c r="B1" s="10"/>
      <c r="C1" s="10"/>
      <c r="D1" s="10"/>
      <c r="E1" s="10"/>
      <c r="F1" s="10"/>
      <c r="G1" s="10"/>
      <c r="H1" s="10"/>
      <c r="I1" s="47"/>
      <c r="J1" s="47"/>
      <c r="K1" s="24"/>
      <c r="L1" s="23"/>
      <c r="M1" s="18"/>
    </row>
    <row r="2" spans="1:15" s="4" customFormat="1" ht="34.5" customHeight="1" x14ac:dyDescent="0.3">
      <c r="A2" s="30" t="s">
        <v>0</v>
      </c>
      <c r="B2" s="30"/>
      <c r="C2" s="31" t="s">
        <v>23</v>
      </c>
      <c r="D2" s="31" t="s">
        <v>10</v>
      </c>
      <c r="E2" s="31" t="s">
        <v>8</v>
      </c>
      <c r="F2" s="32" t="s">
        <v>1</v>
      </c>
      <c r="G2" s="33" t="s">
        <v>2</v>
      </c>
      <c r="H2" s="33" t="s">
        <v>3</v>
      </c>
      <c r="I2" s="48" t="s">
        <v>4</v>
      </c>
      <c r="J2" s="49" t="s">
        <v>5</v>
      </c>
      <c r="K2" s="24"/>
      <c r="L2" s="23"/>
      <c r="M2" s="18"/>
    </row>
    <row r="3" spans="1:15" s="4" customFormat="1" ht="21.75" customHeight="1" x14ac:dyDescent="0.35">
      <c r="A3" s="116" t="s">
        <v>31</v>
      </c>
      <c r="B3" s="116"/>
      <c r="C3" s="116"/>
      <c r="D3" s="116"/>
      <c r="E3" s="116"/>
      <c r="F3" s="116"/>
      <c r="G3" s="117"/>
      <c r="H3" s="17"/>
      <c r="I3" s="50"/>
      <c r="J3" s="51"/>
      <c r="K3" s="24"/>
      <c r="L3" s="23"/>
      <c r="M3" s="37"/>
    </row>
    <row r="4" spans="1:15" s="4" customFormat="1" ht="38.25" customHeight="1" x14ac:dyDescent="0.3">
      <c r="A4" s="22">
        <v>1</v>
      </c>
      <c r="B4" s="22"/>
      <c r="C4" s="26" t="s">
        <v>12</v>
      </c>
      <c r="D4" s="19" t="s">
        <v>18</v>
      </c>
      <c r="E4" s="19" t="s">
        <v>9</v>
      </c>
      <c r="F4" s="20"/>
      <c r="G4" s="16" t="s">
        <v>13</v>
      </c>
      <c r="H4" s="21">
        <v>134</v>
      </c>
      <c r="I4" s="52">
        <v>2193500</v>
      </c>
      <c r="J4" s="99" t="s">
        <v>119</v>
      </c>
      <c r="K4" s="24"/>
      <c r="L4" s="23"/>
      <c r="M4" s="36"/>
      <c r="N4" s="8"/>
    </row>
    <row r="5" spans="1:15" s="4" customFormat="1" ht="54" customHeight="1" x14ac:dyDescent="0.3">
      <c r="A5" s="22">
        <v>2</v>
      </c>
      <c r="B5" s="22"/>
      <c r="C5" s="26"/>
      <c r="D5" s="19" t="s">
        <v>24</v>
      </c>
      <c r="E5" s="19" t="s">
        <v>9</v>
      </c>
      <c r="F5" s="20"/>
      <c r="G5" s="16" t="s">
        <v>14</v>
      </c>
      <c r="H5" s="21">
        <v>500</v>
      </c>
      <c r="I5" s="52">
        <v>40660</v>
      </c>
      <c r="J5" s="100"/>
      <c r="K5" s="24"/>
      <c r="L5" s="25"/>
      <c r="M5" s="38"/>
      <c r="N5" s="18"/>
    </row>
    <row r="6" spans="1:15" s="4" customFormat="1" ht="51.75" customHeight="1" x14ac:dyDescent="0.3">
      <c r="A6" s="22">
        <v>3</v>
      </c>
      <c r="B6" s="11"/>
      <c r="C6" s="27"/>
      <c r="D6" s="39" t="s">
        <v>25</v>
      </c>
      <c r="E6" s="12" t="s">
        <v>9</v>
      </c>
      <c r="F6" s="13">
        <v>12</v>
      </c>
      <c r="G6" s="14" t="s">
        <v>19</v>
      </c>
      <c r="H6" s="15">
        <v>79</v>
      </c>
      <c r="I6" s="52">
        <v>177620</v>
      </c>
      <c r="J6" s="100"/>
      <c r="K6" s="24"/>
      <c r="L6" s="25"/>
      <c r="M6" s="18"/>
      <c r="N6" s="18"/>
      <c r="O6" s="8"/>
    </row>
    <row r="7" spans="1:15" s="4" customFormat="1" ht="52.5" customHeight="1" x14ac:dyDescent="0.3">
      <c r="A7" s="22">
        <v>4</v>
      </c>
      <c r="B7" s="11"/>
      <c r="C7" s="27"/>
      <c r="D7" s="12" t="s">
        <v>26</v>
      </c>
      <c r="E7" s="12" t="s">
        <v>9</v>
      </c>
      <c r="F7" s="13">
        <v>12</v>
      </c>
      <c r="G7" s="14" t="s">
        <v>19</v>
      </c>
      <c r="H7" s="15">
        <v>81</v>
      </c>
      <c r="I7" s="52">
        <v>97370</v>
      </c>
      <c r="J7" s="100"/>
      <c r="K7" s="24"/>
      <c r="L7" s="23"/>
      <c r="M7" s="18"/>
      <c r="N7" s="18"/>
    </row>
    <row r="8" spans="1:15" s="4" customFormat="1" ht="54.75" customHeight="1" x14ac:dyDescent="0.3">
      <c r="A8" s="22">
        <v>5</v>
      </c>
      <c r="B8" s="11"/>
      <c r="C8" s="27"/>
      <c r="D8" s="12" t="s">
        <v>84</v>
      </c>
      <c r="E8" s="12" t="s">
        <v>85</v>
      </c>
      <c r="F8" s="13">
        <v>12</v>
      </c>
      <c r="G8" s="14" t="s">
        <v>11</v>
      </c>
      <c r="H8" s="15">
        <v>1</v>
      </c>
      <c r="I8" s="52">
        <v>15632700</v>
      </c>
      <c r="J8" s="100"/>
      <c r="K8" s="23"/>
      <c r="L8" s="18"/>
      <c r="M8" s="18"/>
      <c r="N8" s="18"/>
    </row>
    <row r="9" spans="1:15" s="4" customFormat="1" ht="44.25" customHeight="1" x14ac:dyDescent="0.3">
      <c r="A9" s="22">
        <v>6</v>
      </c>
      <c r="B9" s="11"/>
      <c r="C9" s="27"/>
      <c r="D9" s="12" t="s">
        <v>86</v>
      </c>
      <c r="E9" s="12" t="s">
        <v>85</v>
      </c>
      <c r="F9" s="13">
        <v>12</v>
      </c>
      <c r="G9" s="14" t="s">
        <v>11</v>
      </c>
      <c r="H9" s="15">
        <v>6</v>
      </c>
      <c r="I9" s="52">
        <v>2783070</v>
      </c>
      <c r="J9" s="100"/>
      <c r="K9" s="24"/>
      <c r="L9" s="23"/>
      <c r="M9" s="36"/>
      <c r="N9" s="18"/>
    </row>
    <row r="10" spans="1:15" s="4" customFormat="1" ht="53.25" customHeight="1" x14ac:dyDescent="0.3">
      <c r="A10" s="22">
        <v>7</v>
      </c>
      <c r="B10" s="11"/>
      <c r="C10" s="27"/>
      <c r="D10" s="29" t="s">
        <v>87</v>
      </c>
      <c r="E10" s="12" t="s">
        <v>85</v>
      </c>
      <c r="F10" s="13">
        <v>12</v>
      </c>
      <c r="G10" s="14"/>
      <c r="H10" s="15">
        <v>3</v>
      </c>
      <c r="I10" s="52">
        <v>2376470</v>
      </c>
      <c r="J10" s="100"/>
      <c r="K10" s="24"/>
      <c r="L10" s="23"/>
      <c r="M10" s="36"/>
      <c r="N10" s="18"/>
    </row>
    <row r="11" spans="1:15" s="4" customFormat="1" ht="37.5" customHeight="1" x14ac:dyDescent="0.3">
      <c r="A11" s="22">
        <v>8</v>
      </c>
      <c r="B11" s="11"/>
      <c r="C11" s="71"/>
      <c r="D11" s="29" t="s">
        <v>20</v>
      </c>
      <c r="E11" s="12" t="s">
        <v>88</v>
      </c>
      <c r="F11" s="13">
        <v>12</v>
      </c>
      <c r="G11" s="14" t="s">
        <v>11</v>
      </c>
      <c r="H11" s="15">
        <v>15</v>
      </c>
      <c r="I11" s="52">
        <v>4440500</v>
      </c>
      <c r="J11" s="100"/>
      <c r="K11" s="36"/>
      <c r="L11" s="18"/>
      <c r="N11" s="18"/>
    </row>
    <row r="12" spans="1:15" s="4" customFormat="1" ht="42" customHeight="1" x14ac:dyDescent="0.3">
      <c r="A12" s="22">
        <v>9</v>
      </c>
      <c r="B12" s="45"/>
      <c r="C12" s="71"/>
      <c r="D12" s="29" t="s">
        <v>21</v>
      </c>
      <c r="E12" s="12" t="s">
        <v>88</v>
      </c>
      <c r="F12" s="13">
        <v>12</v>
      </c>
      <c r="G12" s="14" t="s">
        <v>11</v>
      </c>
      <c r="H12" s="15">
        <v>10</v>
      </c>
      <c r="I12" s="52">
        <v>2332600</v>
      </c>
      <c r="J12" s="100"/>
      <c r="K12" s="35"/>
      <c r="L12" s="18"/>
    </row>
    <row r="13" spans="1:15" s="4" customFormat="1" ht="45" customHeight="1" x14ac:dyDescent="0.3">
      <c r="A13" s="22">
        <v>10</v>
      </c>
      <c r="B13" s="11"/>
      <c r="C13" s="27"/>
      <c r="D13" s="12" t="s">
        <v>22</v>
      </c>
      <c r="E13" s="12" t="s">
        <v>9</v>
      </c>
      <c r="F13" s="13">
        <v>12</v>
      </c>
      <c r="G13" s="14" t="s">
        <v>15</v>
      </c>
      <c r="H13" s="15">
        <v>960</v>
      </c>
      <c r="I13" s="52">
        <v>79180</v>
      </c>
      <c r="J13" s="101"/>
      <c r="K13" s="36"/>
      <c r="L13" s="18"/>
      <c r="N13" s="18"/>
    </row>
    <row r="14" spans="1:15" s="4" customFormat="1" ht="45" customHeight="1" x14ac:dyDescent="0.3">
      <c r="A14" s="22"/>
      <c r="B14" s="78"/>
      <c r="C14" s="79"/>
      <c r="D14" s="72" t="s">
        <v>111</v>
      </c>
      <c r="E14" s="73" t="s">
        <v>85</v>
      </c>
      <c r="F14" s="74"/>
      <c r="G14" s="75" t="s">
        <v>112</v>
      </c>
      <c r="H14" s="76">
        <v>2000</v>
      </c>
      <c r="I14" s="77">
        <v>185000</v>
      </c>
      <c r="J14" s="69">
        <f t="shared" ref="J14:J16" si="0">I14*H14</f>
        <v>370000000</v>
      </c>
      <c r="K14" s="36"/>
      <c r="L14" s="18"/>
      <c r="N14" s="18"/>
    </row>
    <row r="15" spans="1:15" s="4" customFormat="1" ht="45" customHeight="1" x14ac:dyDescent="0.3">
      <c r="A15" s="22"/>
      <c r="B15" s="78"/>
      <c r="C15" s="79"/>
      <c r="D15" s="72" t="s">
        <v>113</v>
      </c>
      <c r="E15" s="73" t="s">
        <v>108</v>
      </c>
      <c r="F15" s="74"/>
      <c r="G15" s="75" t="s">
        <v>109</v>
      </c>
      <c r="H15" s="76">
        <v>802</v>
      </c>
      <c r="I15" s="77">
        <v>550000</v>
      </c>
      <c r="J15" s="69">
        <f t="shared" si="0"/>
        <v>441100000</v>
      </c>
      <c r="K15" s="36"/>
      <c r="L15" s="18"/>
      <c r="N15" s="18"/>
    </row>
    <row r="16" spans="1:15" s="4" customFormat="1" ht="75.5" customHeight="1" x14ac:dyDescent="0.3">
      <c r="A16" s="22"/>
      <c r="B16" s="78"/>
      <c r="C16" s="79"/>
      <c r="D16" s="72" t="s">
        <v>110</v>
      </c>
      <c r="E16" s="73" t="s">
        <v>108</v>
      </c>
      <c r="F16" s="74"/>
      <c r="G16" s="75" t="s">
        <v>40</v>
      </c>
      <c r="H16" s="76">
        <v>1</v>
      </c>
      <c r="I16" s="77">
        <v>176500000</v>
      </c>
      <c r="J16" s="69">
        <f t="shared" si="0"/>
        <v>176500000</v>
      </c>
      <c r="K16" s="36"/>
      <c r="L16" s="18"/>
      <c r="N16" s="18"/>
    </row>
    <row r="17" spans="1:13" s="4" customFormat="1" ht="21.75" customHeight="1" thickBot="1" x14ac:dyDescent="0.35">
      <c r="A17" s="118" t="s">
        <v>16</v>
      </c>
      <c r="B17" s="119"/>
      <c r="C17" s="120"/>
      <c r="D17" s="120"/>
      <c r="E17" s="120"/>
      <c r="F17" s="120"/>
      <c r="G17" s="120"/>
      <c r="H17" s="120"/>
      <c r="I17" s="121"/>
      <c r="J17" s="53"/>
      <c r="K17" s="36"/>
      <c r="L17" s="18"/>
      <c r="M17" s="43"/>
    </row>
    <row r="18" spans="1:13" s="4" customFormat="1" ht="16.5" x14ac:dyDescent="0.3">
      <c r="A18" s="40">
        <v>1</v>
      </c>
      <c r="B18" s="129" t="s">
        <v>62</v>
      </c>
      <c r="C18" s="86" t="s">
        <v>54</v>
      </c>
      <c r="D18" s="87" t="s">
        <v>46</v>
      </c>
      <c r="E18" s="12" t="s">
        <v>9</v>
      </c>
      <c r="F18" s="11">
        <v>36</v>
      </c>
      <c r="G18" s="11" t="s">
        <v>61</v>
      </c>
      <c r="H18" s="11">
        <v>2</v>
      </c>
      <c r="I18" s="92">
        <v>37972872</v>
      </c>
      <c r="J18" s="91">
        <f>I18*H18</f>
        <v>75945744</v>
      </c>
      <c r="K18" s="89" t="s">
        <v>114</v>
      </c>
      <c r="L18" s="90"/>
      <c r="M18" s="90"/>
    </row>
    <row r="19" spans="1:13" s="4" customFormat="1" ht="16.5" x14ac:dyDescent="0.3">
      <c r="A19" s="41">
        <v>2</v>
      </c>
      <c r="B19" s="130"/>
      <c r="C19" s="86" t="s">
        <v>55</v>
      </c>
      <c r="D19" s="88" t="s">
        <v>47</v>
      </c>
      <c r="E19" s="12" t="s">
        <v>9</v>
      </c>
      <c r="F19" s="11">
        <v>36</v>
      </c>
      <c r="G19" s="11" t="s">
        <v>61</v>
      </c>
      <c r="H19" s="11">
        <v>2</v>
      </c>
      <c r="I19" s="92">
        <v>3233790</v>
      </c>
      <c r="J19" s="91">
        <f t="shared" ref="J19:J30" si="1">I19*H19</f>
        <v>6467580</v>
      </c>
      <c r="K19" s="35"/>
      <c r="L19" s="42"/>
      <c r="M19" s="42"/>
    </row>
    <row r="20" spans="1:13" s="4" customFormat="1" ht="33" x14ac:dyDescent="0.3">
      <c r="A20" s="40">
        <v>3</v>
      </c>
      <c r="B20" s="131"/>
      <c r="C20" s="46" t="s">
        <v>56</v>
      </c>
      <c r="D20" s="34" t="s">
        <v>48</v>
      </c>
      <c r="E20" s="12" t="s">
        <v>9</v>
      </c>
      <c r="F20" s="11">
        <v>36</v>
      </c>
      <c r="G20" s="11" t="s">
        <v>61</v>
      </c>
      <c r="H20" s="11">
        <v>2</v>
      </c>
      <c r="I20" s="92">
        <v>0</v>
      </c>
      <c r="J20" s="91">
        <f t="shared" si="1"/>
        <v>0</v>
      </c>
      <c r="K20" s="35"/>
      <c r="L20" s="42"/>
      <c r="M20" s="42"/>
    </row>
    <row r="21" spans="1:13" s="4" customFormat="1" ht="33" x14ac:dyDescent="0.3">
      <c r="A21" s="41">
        <v>4</v>
      </c>
      <c r="B21" s="132" t="s">
        <v>63</v>
      </c>
      <c r="C21" s="46" t="s">
        <v>34</v>
      </c>
      <c r="D21" s="34" t="s">
        <v>49</v>
      </c>
      <c r="E21" s="12" t="s">
        <v>9</v>
      </c>
      <c r="F21" s="11">
        <v>36</v>
      </c>
      <c r="G21" s="11" t="s">
        <v>61</v>
      </c>
      <c r="H21" s="11">
        <v>12</v>
      </c>
      <c r="I21" s="92">
        <v>53955972</v>
      </c>
      <c r="J21" s="91">
        <f t="shared" si="1"/>
        <v>647471664</v>
      </c>
      <c r="K21" s="35"/>
      <c r="L21" s="42"/>
      <c r="M21" s="42"/>
    </row>
    <row r="22" spans="1:13" s="4" customFormat="1" ht="33" x14ac:dyDescent="0.3">
      <c r="A22" s="40">
        <v>5</v>
      </c>
      <c r="B22" s="131"/>
      <c r="C22" s="46" t="s">
        <v>57</v>
      </c>
      <c r="D22" s="34" t="s">
        <v>48</v>
      </c>
      <c r="E22" s="12" t="s">
        <v>9</v>
      </c>
      <c r="F22" s="11">
        <v>36</v>
      </c>
      <c r="G22" s="11" t="s">
        <v>61</v>
      </c>
      <c r="H22" s="11">
        <v>12</v>
      </c>
      <c r="I22" s="92">
        <v>0</v>
      </c>
      <c r="J22" s="91">
        <f t="shared" si="1"/>
        <v>0</v>
      </c>
      <c r="K22" s="35"/>
      <c r="L22" s="42"/>
      <c r="M22" s="42"/>
    </row>
    <row r="23" spans="1:13" s="4" customFormat="1" ht="16.5" x14ac:dyDescent="0.3">
      <c r="A23" s="41">
        <v>6</v>
      </c>
      <c r="B23" s="132" t="s">
        <v>64</v>
      </c>
      <c r="C23" s="46" t="s">
        <v>33</v>
      </c>
      <c r="D23" s="34" t="s">
        <v>50</v>
      </c>
      <c r="E23" s="12" t="s">
        <v>9</v>
      </c>
      <c r="F23" s="11">
        <v>36</v>
      </c>
      <c r="G23" s="11" t="s">
        <v>61</v>
      </c>
      <c r="H23" s="11">
        <v>3</v>
      </c>
      <c r="I23" s="92">
        <v>27959274</v>
      </c>
      <c r="J23" s="91">
        <f t="shared" si="1"/>
        <v>83877822</v>
      </c>
      <c r="K23" s="35"/>
      <c r="L23" s="42"/>
      <c r="M23" s="42"/>
    </row>
    <row r="24" spans="1:13" s="4" customFormat="1" ht="33" x14ac:dyDescent="0.3">
      <c r="A24" s="40">
        <v>7</v>
      </c>
      <c r="B24" s="131"/>
      <c r="C24" s="46" t="s">
        <v>58</v>
      </c>
      <c r="D24" s="34" t="s">
        <v>48</v>
      </c>
      <c r="E24" s="12" t="s">
        <v>9</v>
      </c>
      <c r="F24" s="11">
        <v>36</v>
      </c>
      <c r="G24" s="11" t="s">
        <v>61</v>
      </c>
      <c r="H24" s="11">
        <v>3</v>
      </c>
      <c r="I24" s="92">
        <v>0</v>
      </c>
      <c r="J24" s="91">
        <f t="shared" si="1"/>
        <v>0</v>
      </c>
      <c r="K24" s="35"/>
      <c r="L24" s="42"/>
      <c r="M24" s="42"/>
    </row>
    <row r="25" spans="1:13" s="4" customFormat="1" ht="16.5" x14ac:dyDescent="0.3">
      <c r="A25" s="41">
        <v>8</v>
      </c>
      <c r="B25" s="132" t="s">
        <v>65</v>
      </c>
      <c r="C25" s="46" t="s">
        <v>35</v>
      </c>
      <c r="D25" s="34" t="s">
        <v>51</v>
      </c>
      <c r="E25" s="12" t="s">
        <v>9</v>
      </c>
      <c r="F25" s="11">
        <v>36</v>
      </c>
      <c r="G25" s="11" t="s">
        <v>61</v>
      </c>
      <c r="H25" s="11">
        <v>4</v>
      </c>
      <c r="I25" s="92">
        <v>15975665.999999998</v>
      </c>
      <c r="J25" s="91">
        <f t="shared" si="1"/>
        <v>63902663.999999993</v>
      </c>
      <c r="K25" s="35"/>
      <c r="L25" s="42"/>
      <c r="M25" s="42"/>
    </row>
    <row r="26" spans="1:13" s="4" customFormat="1" ht="33" x14ac:dyDescent="0.3">
      <c r="A26" s="40">
        <v>9</v>
      </c>
      <c r="B26" s="131"/>
      <c r="C26" s="46" t="s">
        <v>59</v>
      </c>
      <c r="D26" s="34" t="s">
        <v>48</v>
      </c>
      <c r="E26" s="12" t="s">
        <v>9</v>
      </c>
      <c r="F26" s="11">
        <v>36</v>
      </c>
      <c r="G26" s="11" t="s">
        <v>61</v>
      </c>
      <c r="H26" s="11">
        <v>4</v>
      </c>
      <c r="I26" s="92">
        <v>0</v>
      </c>
      <c r="J26" s="91">
        <f t="shared" si="1"/>
        <v>0</v>
      </c>
      <c r="K26" s="35"/>
      <c r="L26" s="42"/>
      <c r="M26" s="42"/>
    </row>
    <row r="27" spans="1:13" s="4" customFormat="1" ht="16.5" x14ac:dyDescent="0.3">
      <c r="A27" s="41">
        <v>10</v>
      </c>
      <c r="B27" s="132" t="s">
        <v>66</v>
      </c>
      <c r="C27" s="46" t="s">
        <v>38</v>
      </c>
      <c r="D27" s="34" t="s">
        <v>52</v>
      </c>
      <c r="E27" s="12" t="s">
        <v>9</v>
      </c>
      <c r="F27" s="11">
        <v>36</v>
      </c>
      <c r="G27" s="11" t="s">
        <v>61</v>
      </c>
      <c r="H27" s="11">
        <v>6</v>
      </c>
      <c r="I27" s="92">
        <v>21313278</v>
      </c>
      <c r="J27" s="91">
        <f t="shared" si="1"/>
        <v>127879668</v>
      </c>
      <c r="K27" s="35"/>
      <c r="L27" s="42"/>
      <c r="M27" s="42"/>
    </row>
    <row r="28" spans="1:13" s="4" customFormat="1" ht="33" x14ac:dyDescent="0.3">
      <c r="A28" s="40">
        <v>11</v>
      </c>
      <c r="B28" s="131"/>
      <c r="C28" s="46" t="s">
        <v>59</v>
      </c>
      <c r="D28" s="34" t="s">
        <v>48</v>
      </c>
      <c r="E28" s="12" t="s">
        <v>9</v>
      </c>
      <c r="F28" s="11">
        <v>36</v>
      </c>
      <c r="G28" s="11" t="s">
        <v>61</v>
      </c>
      <c r="H28" s="11">
        <v>6</v>
      </c>
      <c r="I28" s="92">
        <v>0</v>
      </c>
      <c r="J28" s="91">
        <f t="shared" si="1"/>
        <v>0</v>
      </c>
      <c r="K28" s="35"/>
      <c r="L28" s="42"/>
      <c r="M28" s="42"/>
    </row>
    <row r="29" spans="1:13" s="4" customFormat="1" ht="16.5" x14ac:dyDescent="0.3">
      <c r="A29" s="41">
        <v>12</v>
      </c>
      <c r="B29" s="132" t="s">
        <v>67</v>
      </c>
      <c r="C29" s="46" t="s">
        <v>44</v>
      </c>
      <c r="D29" s="34" t="s">
        <v>53</v>
      </c>
      <c r="E29" s="12" t="s">
        <v>9</v>
      </c>
      <c r="F29" s="11">
        <v>36</v>
      </c>
      <c r="G29" s="11" t="s">
        <v>61</v>
      </c>
      <c r="H29" s="11">
        <v>4</v>
      </c>
      <c r="I29" s="92">
        <v>12028212</v>
      </c>
      <c r="J29" s="91">
        <f t="shared" si="1"/>
        <v>48112848</v>
      </c>
      <c r="K29" s="35"/>
      <c r="L29" s="42"/>
      <c r="M29" s="42"/>
    </row>
    <row r="30" spans="1:13" s="4" customFormat="1" ht="33" x14ac:dyDescent="0.3">
      <c r="A30" s="40">
        <v>13</v>
      </c>
      <c r="B30" s="131"/>
      <c r="C30" s="46" t="s">
        <v>60</v>
      </c>
      <c r="D30" s="34" t="s">
        <v>45</v>
      </c>
      <c r="E30" s="12" t="s">
        <v>9</v>
      </c>
      <c r="F30" s="11">
        <v>36</v>
      </c>
      <c r="G30" s="11" t="s">
        <v>61</v>
      </c>
      <c r="H30" s="11">
        <v>4</v>
      </c>
      <c r="I30" s="92">
        <v>12028212</v>
      </c>
      <c r="J30" s="91">
        <f t="shared" si="1"/>
        <v>48112848</v>
      </c>
      <c r="K30" s="35"/>
      <c r="L30" s="42"/>
      <c r="M30" s="42"/>
    </row>
    <row r="31" spans="1:13" s="4" customFormat="1" ht="20.25" customHeight="1" x14ac:dyDescent="0.3">
      <c r="A31" s="122" t="s">
        <v>32</v>
      </c>
      <c r="B31" s="123"/>
      <c r="C31" s="124"/>
      <c r="D31" s="124"/>
      <c r="E31" s="124"/>
      <c r="F31" s="124"/>
      <c r="G31" s="124"/>
      <c r="H31" s="124"/>
      <c r="I31" s="125"/>
      <c r="J31" s="91">
        <f t="shared" ref="J31:J46" si="2">I31*H31</f>
        <v>0</v>
      </c>
      <c r="K31" s="35"/>
      <c r="L31" s="42"/>
      <c r="M31" s="42"/>
    </row>
    <row r="32" spans="1:13" s="4" customFormat="1" ht="49.5" x14ac:dyDescent="0.3">
      <c r="A32" s="11"/>
      <c r="B32" s="111" t="s">
        <v>68</v>
      </c>
      <c r="C32" s="27" t="s">
        <v>42</v>
      </c>
      <c r="D32" s="12" t="s">
        <v>69</v>
      </c>
      <c r="E32" s="12" t="s">
        <v>9</v>
      </c>
      <c r="F32" s="13">
        <v>36</v>
      </c>
      <c r="G32" s="14" t="s">
        <v>61</v>
      </c>
      <c r="H32" s="15">
        <v>2</v>
      </c>
      <c r="I32" s="93">
        <v>147944034</v>
      </c>
      <c r="J32" s="91">
        <f t="shared" si="2"/>
        <v>295888068</v>
      </c>
      <c r="K32" s="36"/>
      <c r="L32" s="18"/>
      <c r="M32" s="9"/>
    </row>
    <row r="33" spans="1:13" s="4" customFormat="1" ht="33" x14ac:dyDescent="0.3">
      <c r="A33" s="11"/>
      <c r="B33" s="111"/>
      <c r="C33" s="27" t="s">
        <v>70</v>
      </c>
      <c r="D33" s="12" t="s">
        <v>71</v>
      </c>
      <c r="E33" s="12" t="s">
        <v>9</v>
      </c>
      <c r="F33" s="13">
        <v>36</v>
      </c>
      <c r="G33" s="14" t="s">
        <v>61</v>
      </c>
      <c r="H33" s="15">
        <v>2</v>
      </c>
      <c r="I33" s="93">
        <v>51899232</v>
      </c>
      <c r="J33" s="91">
        <f t="shared" si="2"/>
        <v>103798464</v>
      </c>
      <c r="K33" s="36"/>
      <c r="L33" s="18"/>
      <c r="M33" s="9"/>
    </row>
    <row r="34" spans="1:13" s="4" customFormat="1" ht="49.5" x14ac:dyDescent="0.3">
      <c r="A34" s="11"/>
      <c r="B34" s="111"/>
      <c r="C34" s="27" t="s">
        <v>72</v>
      </c>
      <c r="D34" s="12" t="s">
        <v>73</v>
      </c>
      <c r="E34" s="12" t="s">
        <v>9</v>
      </c>
      <c r="F34" s="13">
        <v>36</v>
      </c>
      <c r="G34" s="14" t="s">
        <v>61</v>
      </c>
      <c r="H34" s="15">
        <v>2</v>
      </c>
      <c r="I34" s="93">
        <v>4311720</v>
      </c>
      <c r="J34" s="91">
        <f t="shared" si="2"/>
        <v>8623440</v>
      </c>
      <c r="K34" s="36"/>
      <c r="L34" s="18"/>
      <c r="M34" s="9"/>
    </row>
    <row r="35" spans="1:13" s="4" customFormat="1" ht="33" x14ac:dyDescent="0.3">
      <c r="A35" s="11"/>
      <c r="B35" s="111"/>
      <c r="C35" s="27" t="s">
        <v>74</v>
      </c>
      <c r="D35" s="12" t="s">
        <v>75</v>
      </c>
      <c r="E35" s="12" t="s">
        <v>9</v>
      </c>
      <c r="F35" s="13">
        <v>36</v>
      </c>
      <c r="G35" s="14" t="s">
        <v>61</v>
      </c>
      <c r="H35" s="15">
        <v>4</v>
      </c>
      <c r="I35" s="93">
        <v>37170</v>
      </c>
      <c r="J35" s="91">
        <f t="shared" si="2"/>
        <v>148680</v>
      </c>
      <c r="K35" s="36"/>
      <c r="L35" s="18"/>
      <c r="M35" s="9"/>
    </row>
    <row r="36" spans="1:13" s="4" customFormat="1" ht="33" x14ac:dyDescent="0.3">
      <c r="A36" s="11"/>
      <c r="B36" s="111"/>
      <c r="C36" s="27" t="s">
        <v>76</v>
      </c>
      <c r="D36" s="12" t="s">
        <v>77</v>
      </c>
      <c r="E36" s="12" t="s">
        <v>9</v>
      </c>
      <c r="F36" s="13">
        <v>36</v>
      </c>
      <c r="G36" s="14" t="s">
        <v>40</v>
      </c>
      <c r="H36" s="15">
        <v>300</v>
      </c>
      <c r="I36" s="93">
        <v>661626</v>
      </c>
      <c r="J36" s="91">
        <f t="shared" si="2"/>
        <v>198487800</v>
      </c>
      <c r="K36" s="36"/>
      <c r="L36" s="18"/>
      <c r="M36" s="9"/>
    </row>
    <row r="37" spans="1:13" s="4" customFormat="1" ht="16.5" x14ac:dyDescent="0.3">
      <c r="A37" s="11"/>
      <c r="B37" s="111" t="s">
        <v>117</v>
      </c>
      <c r="C37" s="80" t="s">
        <v>115</v>
      </c>
      <c r="D37" s="81" t="s">
        <v>116</v>
      </c>
      <c r="E37" s="12" t="s">
        <v>9</v>
      </c>
      <c r="F37" s="13">
        <v>36</v>
      </c>
      <c r="G37" s="14" t="s">
        <v>61</v>
      </c>
      <c r="H37" s="15">
        <v>201</v>
      </c>
      <c r="I37" s="93">
        <v>3441942</v>
      </c>
      <c r="J37" s="91">
        <f t="shared" si="2"/>
        <v>691830342</v>
      </c>
      <c r="K37" s="82" t="s">
        <v>118</v>
      </c>
      <c r="L37" s="18"/>
      <c r="M37" s="9"/>
    </row>
    <row r="38" spans="1:13" s="4" customFormat="1" ht="33" x14ac:dyDescent="0.3">
      <c r="A38" s="11"/>
      <c r="B38" s="111"/>
      <c r="C38" s="80" t="s">
        <v>39</v>
      </c>
      <c r="D38" s="81" t="s">
        <v>81</v>
      </c>
      <c r="E38" s="12" t="s">
        <v>9</v>
      </c>
      <c r="F38" s="13">
        <v>36</v>
      </c>
      <c r="G38" s="14" t="s">
        <v>61</v>
      </c>
      <c r="H38" s="15">
        <v>201</v>
      </c>
      <c r="I38" s="93">
        <v>223020</v>
      </c>
      <c r="J38" s="91">
        <f t="shared" si="2"/>
        <v>44827020</v>
      </c>
      <c r="K38" s="36"/>
      <c r="L38" s="18"/>
      <c r="M38" s="9"/>
    </row>
    <row r="39" spans="1:13" s="4" customFormat="1" ht="49.5" x14ac:dyDescent="0.3">
      <c r="A39" s="11"/>
      <c r="B39" s="111" t="s">
        <v>78</v>
      </c>
      <c r="C39" s="27" t="s">
        <v>79</v>
      </c>
      <c r="D39" s="12" t="s">
        <v>80</v>
      </c>
      <c r="E39" s="12" t="s">
        <v>9</v>
      </c>
      <c r="F39" s="13">
        <v>36</v>
      </c>
      <c r="G39" s="14" t="s">
        <v>61</v>
      </c>
      <c r="H39" s="15">
        <v>93</v>
      </c>
      <c r="I39" s="93">
        <v>6051276</v>
      </c>
      <c r="J39" s="91">
        <f t="shared" si="2"/>
        <v>562768668</v>
      </c>
      <c r="K39" s="82"/>
      <c r="L39" s="18"/>
      <c r="M39" s="9"/>
    </row>
    <row r="40" spans="1:13" s="4" customFormat="1" ht="33" x14ac:dyDescent="0.3">
      <c r="A40" s="11"/>
      <c r="B40" s="111"/>
      <c r="C40" s="27" t="s">
        <v>39</v>
      </c>
      <c r="D40" s="12" t="s">
        <v>81</v>
      </c>
      <c r="E40" s="12" t="s">
        <v>9</v>
      </c>
      <c r="F40" s="13">
        <v>36</v>
      </c>
      <c r="G40" s="14" t="s">
        <v>61</v>
      </c>
      <c r="H40" s="15">
        <v>93</v>
      </c>
      <c r="I40" s="93">
        <v>223020</v>
      </c>
      <c r="J40" s="91">
        <f t="shared" si="2"/>
        <v>20740860</v>
      </c>
      <c r="K40" s="36"/>
      <c r="L40" s="18"/>
      <c r="M40" s="9"/>
    </row>
    <row r="41" spans="1:13" s="4" customFormat="1" ht="49.5" x14ac:dyDescent="0.3">
      <c r="A41" s="11"/>
      <c r="B41" s="111" t="s">
        <v>78</v>
      </c>
      <c r="C41" s="27" t="s">
        <v>82</v>
      </c>
      <c r="D41" s="12" t="s">
        <v>83</v>
      </c>
      <c r="E41" s="12" t="s">
        <v>9</v>
      </c>
      <c r="F41" s="13">
        <v>36</v>
      </c>
      <c r="G41" s="14" t="s">
        <v>61</v>
      </c>
      <c r="H41" s="15">
        <v>5</v>
      </c>
      <c r="I41" s="93">
        <v>8668044</v>
      </c>
      <c r="J41" s="91">
        <f t="shared" si="2"/>
        <v>43340220</v>
      </c>
      <c r="K41" s="36"/>
      <c r="L41" s="18"/>
      <c r="M41" s="9"/>
    </row>
    <row r="42" spans="1:13" s="4" customFormat="1" ht="33" x14ac:dyDescent="0.3">
      <c r="A42" s="11"/>
      <c r="B42" s="111"/>
      <c r="C42" s="27" t="s">
        <v>39</v>
      </c>
      <c r="D42" s="12" t="s">
        <v>81</v>
      </c>
      <c r="E42" s="12" t="s">
        <v>9</v>
      </c>
      <c r="F42" s="13">
        <v>36</v>
      </c>
      <c r="G42" s="14" t="s">
        <v>61</v>
      </c>
      <c r="H42" s="15">
        <v>5</v>
      </c>
      <c r="I42" s="93">
        <v>223020</v>
      </c>
      <c r="J42" s="91">
        <f t="shared" si="2"/>
        <v>1115100</v>
      </c>
      <c r="K42" s="36"/>
      <c r="L42" s="18"/>
      <c r="M42" s="9"/>
    </row>
    <row r="43" spans="1:13" s="4" customFormat="1" ht="34.5" customHeight="1" x14ac:dyDescent="0.3">
      <c r="A43" s="11">
        <v>5</v>
      </c>
      <c r="B43" s="11"/>
      <c r="C43" s="27" t="s">
        <v>27</v>
      </c>
      <c r="D43" s="12" t="s">
        <v>28</v>
      </c>
      <c r="E43" s="12" t="s">
        <v>29</v>
      </c>
      <c r="F43" s="13">
        <v>12</v>
      </c>
      <c r="G43" s="14" t="s">
        <v>11</v>
      </c>
      <c r="H43" s="15">
        <v>9</v>
      </c>
      <c r="I43" s="54">
        <v>6500000</v>
      </c>
      <c r="J43" s="91">
        <f t="shared" si="2"/>
        <v>58500000</v>
      </c>
      <c r="K43" s="36"/>
      <c r="L43" s="18"/>
    </row>
    <row r="44" spans="1:13" s="4" customFormat="1" ht="20.25" customHeight="1" x14ac:dyDescent="0.3">
      <c r="A44" s="126" t="s">
        <v>30</v>
      </c>
      <c r="B44" s="127"/>
      <c r="C44" s="127"/>
      <c r="D44" s="127"/>
      <c r="E44" s="127"/>
      <c r="F44" s="127"/>
      <c r="G44" s="127"/>
      <c r="H44" s="127"/>
      <c r="I44" s="128"/>
      <c r="J44" s="91">
        <f t="shared" si="2"/>
        <v>0</v>
      </c>
      <c r="K44" s="23"/>
      <c r="L44" s="9"/>
      <c r="M44" s="18"/>
    </row>
    <row r="45" spans="1:13" s="4" customFormat="1" ht="283.5" customHeight="1" x14ac:dyDescent="0.3">
      <c r="A45" s="11">
        <v>1</v>
      </c>
      <c r="B45" s="11"/>
      <c r="C45" s="27" t="s">
        <v>37</v>
      </c>
      <c r="D45" s="28" t="s">
        <v>36</v>
      </c>
      <c r="E45" s="12" t="s">
        <v>9</v>
      </c>
      <c r="F45" s="13">
        <v>36</v>
      </c>
      <c r="G45" s="14" t="s">
        <v>19</v>
      </c>
      <c r="H45" s="15">
        <v>2</v>
      </c>
      <c r="I45" s="94">
        <v>78011000</v>
      </c>
      <c r="J45" s="91">
        <f t="shared" si="2"/>
        <v>156022000</v>
      </c>
      <c r="K45" s="23"/>
      <c r="L45" s="8"/>
      <c r="M45" s="18"/>
    </row>
    <row r="46" spans="1:13" s="4" customFormat="1" ht="190.5" customHeight="1" x14ac:dyDescent="0.3">
      <c r="A46" s="11">
        <v>2</v>
      </c>
      <c r="B46" s="11"/>
      <c r="C46" s="27" t="s">
        <v>41</v>
      </c>
      <c r="D46" s="44" t="s">
        <v>43</v>
      </c>
      <c r="E46" s="12" t="s">
        <v>9</v>
      </c>
      <c r="F46" s="13">
        <v>24</v>
      </c>
      <c r="G46" s="14" t="s">
        <v>19</v>
      </c>
      <c r="H46" s="15">
        <v>1</v>
      </c>
      <c r="I46" s="54">
        <v>128062000</v>
      </c>
      <c r="J46" s="91">
        <f t="shared" si="2"/>
        <v>128062000</v>
      </c>
      <c r="K46" s="25"/>
      <c r="L46" s="23"/>
      <c r="M46" s="8"/>
    </row>
    <row r="47" spans="1:13" s="4" customFormat="1" ht="28.25" customHeight="1" x14ac:dyDescent="0.3">
      <c r="A47" s="56">
        <v>3</v>
      </c>
      <c r="B47" s="11"/>
      <c r="C47" s="27" t="s">
        <v>104</v>
      </c>
      <c r="D47" s="57" t="s">
        <v>107</v>
      </c>
      <c r="E47" s="12" t="s">
        <v>105</v>
      </c>
      <c r="F47" s="13">
        <v>12</v>
      </c>
      <c r="G47" s="58" t="s">
        <v>92</v>
      </c>
      <c r="H47" s="58">
        <v>600</v>
      </c>
      <c r="I47" s="54">
        <v>21500</v>
      </c>
      <c r="J47" s="53">
        <f>I47*H47</f>
        <v>12900000</v>
      </c>
      <c r="K47" s="25"/>
      <c r="L47" s="23"/>
      <c r="M47" s="8"/>
    </row>
    <row r="48" spans="1:13" s="4" customFormat="1" ht="39.5" customHeight="1" x14ac:dyDescent="0.3">
      <c r="A48" s="56">
        <v>4</v>
      </c>
      <c r="B48" s="11"/>
      <c r="C48" s="27" t="s">
        <v>104</v>
      </c>
      <c r="D48" s="57" t="s">
        <v>89</v>
      </c>
      <c r="E48" s="12" t="s">
        <v>105</v>
      </c>
      <c r="F48" s="13">
        <v>12</v>
      </c>
      <c r="G48" s="58" t="s">
        <v>92</v>
      </c>
      <c r="H48" s="58">
        <v>100</v>
      </c>
      <c r="I48" s="54">
        <v>155000</v>
      </c>
      <c r="J48" s="53">
        <f>I48*H48</f>
        <v>15500000</v>
      </c>
      <c r="K48" s="25"/>
      <c r="L48" s="23"/>
      <c r="M48" s="8"/>
    </row>
    <row r="49" spans="1:14" s="4" customFormat="1" ht="104" x14ac:dyDescent="0.3">
      <c r="A49" s="56">
        <v>5</v>
      </c>
      <c r="B49" s="11"/>
      <c r="C49" s="27" t="s">
        <v>106</v>
      </c>
      <c r="D49" s="57" t="s">
        <v>90</v>
      </c>
      <c r="E49" s="12" t="s">
        <v>105</v>
      </c>
      <c r="F49" s="13">
        <v>12</v>
      </c>
      <c r="G49" s="58" t="s">
        <v>19</v>
      </c>
      <c r="H49" s="58">
        <v>1</v>
      </c>
      <c r="I49" s="54">
        <v>3960000</v>
      </c>
      <c r="J49" s="53">
        <f>I49*H49</f>
        <v>3960000</v>
      </c>
      <c r="K49" s="70"/>
      <c r="L49" s="23"/>
      <c r="M49" s="8"/>
    </row>
    <row r="50" spans="1:14" s="4" customFormat="1" ht="55.5" customHeight="1" x14ac:dyDescent="0.3">
      <c r="A50" s="56">
        <v>6</v>
      </c>
      <c r="B50" s="11"/>
      <c r="C50" s="27" t="s">
        <v>106</v>
      </c>
      <c r="D50" s="57" t="s">
        <v>91</v>
      </c>
      <c r="E50" s="12" t="s">
        <v>105</v>
      </c>
      <c r="F50" s="13">
        <v>12</v>
      </c>
      <c r="G50" s="58" t="s">
        <v>93</v>
      </c>
      <c r="H50" s="58">
        <v>9</v>
      </c>
      <c r="I50" s="54">
        <v>960000</v>
      </c>
      <c r="J50" s="53">
        <f>I50*H50</f>
        <v>8640000</v>
      </c>
      <c r="K50" s="25"/>
      <c r="L50" s="23"/>
      <c r="M50" s="8"/>
    </row>
    <row r="51" spans="1:14" s="4" customFormat="1" ht="16.5" x14ac:dyDescent="0.3">
      <c r="A51" s="62"/>
      <c r="B51" s="62"/>
      <c r="C51" s="63" t="s">
        <v>102</v>
      </c>
      <c r="D51" s="64"/>
      <c r="E51" s="65"/>
      <c r="F51" s="66"/>
      <c r="G51" s="67"/>
      <c r="H51" s="67"/>
      <c r="I51" s="68"/>
      <c r="J51" s="69"/>
      <c r="K51" s="25"/>
      <c r="L51" s="23"/>
      <c r="M51" s="8"/>
    </row>
    <row r="52" spans="1:14" s="4" customFormat="1" ht="39" x14ac:dyDescent="0.3">
      <c r="A52" s="11"/>
      <c r="B52" s="11"/>
      <c r="C52" s="27"/>
      <c r="D52" s="59" t="s">
        <v>94</v>
      </c>
      <c r="E52" s="12"/>
      <c r="F52" s="13"/>
      <c r="G52" s="102" t="s">
        <v>103</v>
      </c>
      <c r="H52" s="102">
        <v>1</v>
      </c>
      <c r="I52" s="105">
        <v>70000000</v>
      </c>
      <c r="J52" s="108">
        <f>I52*H52</f>
        <v>70000000</v>
      </c>
      <c r="K52" s="25"/>
      <c r="L52" s="23"/>
      <c r="M52" s="8"/>
    </row>
    <row r="53" spans="1:14" s="4" customFormat="1" ht="16.5" x14ac:dyDescent="0.3">
      <c r="A53" s="11"/>
      <c r="B53" s="11"/>
      <c r="C53" s="27"/>
      <c r="D53" s="59" t="s">
        <v>95</v>
      </c>
      <c r="E53" s="12"/>
      <c r="F53" s="13"/>
      <c r="G53" s="103"/>
      <c r="H53" s="103"/>
      <c r="I53" s="106"/>
      <c r="J53" s="109"/>
      <c r="K53" s="25"/>
      <c r="L53" s="23"/>
      <c r="M53" s="8"/>
    </row>
    <row r="54" spans="1:14" s="4" customFormat="1" ht="26" x14ac:dyDescent="0.3">
      <c r="A54" s="11"/>
      <c r="B54" s="11"/>
      <c r="C54" s="27"/>
      <c r="D54" s="60" t="s">
        <v>96</v>
      </c>
      <c r="E54" s="12"/>
      <c r="F54" s="13"/>
      <c r="G54" s="103"/>
      <c r="H54" s="103"/>
      <c r="I54" s="106"/>
      <c r="J54" s="109"/>
      <c r="K54" s="25"/>
      <c r="L54" s="23"/>
      <c r="M54" s="8"/>
    </row>
    <row r="55" spans="1:14" s="4" customFormat="1" ht="26" x14ac:dyDescent="0.3">
      <c r="A55" s="11"/>
      <c r="B55" s="11"/>
      <c r="C55" s="27"/>
      <c r="D55" s="60" t="s">
        <v>97</v>
      </c>
      <c r="E55" s="12"/>
      <c r="F55" s="13"/>
      <c r="G55" s="103"/>
      <c r="H55" s="103"/>
      <c r="I55" s="106"/>
      <c r="J55" s="109"/>
      <c r="K55" s="25"/>
      <c r="L55" s="23"/>
      <c r="M55" s="8"/>
    </row>
    <row r="56" spans="1:14" s="4" customFormat="1" ht="26" x14ac:dyDescent="0.3">
      <c r="A56" s="11"/>
      <c r="B56" s="11"/>
      <c r="C56" s="27"/>
      <c r="D56" s="60" t="s">
        <v>98</v>
      </c>
      <c r="E56" s="12"/>
      <c r="F56" s="13"/>
      <c r="G56" s="103"/>
      <c r="H56" s="103"/>
      <c r="I56" s="106"/>
      <c r="J56" s="109"/>
      <c r="K56" s="25"/>
      <c r="L56" s="23"/>
      <c r="M56" s="8"/>
    </row>
    <row r="57" spans="1:14" s="4" customFormat="1" ht="26" x14ac:dyDescent="0.3">
      <c r="A57" s="11"/>
      <c r="B57" s="11"/>
      <c r="C57" s="27"/>
      <c r="D57" s="60" t="s">
        <v>99</v>
      </c>
      <c r="E57" s="12"/>
      <c r="F57" s="13"/>
      <c r="G57" s="103"/>
      <c r="H57" s="103"/>
      <c r="I57" s="106"/>
      <c r="J57" s="109"/>
      <c r="K57" s="25"/>
      <c r="L57" s="23"/>
      <c r="M57" s="8"/>
    </row>
    <row r="58" spans="1:14" s="4" customFormat="1" ht="26" x14ac:dyDescent="0.3">
      <c r="A58" s="11"/>
      <c r="B58" s="11"/>
      <c r="C58" s="27"/>
      <c r="D58" s="60" t="s">
        <v>100</v>
      </c>
      <c r="E58" s="12"/>
      <c r="F58" s="13"/>
      <c r="G58" s="103"/>
      <c r="H58" s="103"/>
      <c r="I58" s="106"/>
      <c r="J58" s="109"/>
      <c r="K58" s="25"/>
      <c r="L58" s="23"/>
      <c r="M58" s="8"/>
    </row>
    <row r="59" spans="1:14" s="4" customFormat="1" ht="26" x14ac:dyDescent="0.3">
      <c r="A59" s="11"/>
      <c r="B59" s="11"/>
      <c r="C59" s="27"/>
      <c r="D59" s="61" t="s">
        <v>101</v>
      </c>
      <c r="E59" s="12"/>
      <c r="F59" s="13"/>
      <c r="G59" s="104"/>
      <c r="H59" s="104"/>
      <c r="I59" s="107"/>
      <c r="J59" s="110"/>
      <c r="K59" s="25"/>
      <c r="L59" s="23"/>
      <c r="M59" s="8"/>
    </row>
    <row r="60" spans="1:14" s="4" customFormat="1" ht="20.25" customHeight="1" x14ac:dyDescent="0.3">
      <c r="A60" s="95"/>
      <c r="B60" s="95"/>
      <c r="C60" s="112" t="s">
        <v>6</v>
      </c>
      <c r="D60" s="112"/>
      <c r="E60" s="112"/>
      <c r="F60" s="112"/>
      <c r="G60" s="112"/>
      <c r="H60" s="112"/>
      <c r="I60" s="113"/>
      <c r="J60" s="96">
        <f>SUM(J14:J59)</f>
        <v>4514523500</v>
      </c>
      <c r="K60" s="25"/>
      <c r="L60" s="23"/>
      <c r="M60" s="8"/>
    </row>
    <row r="61" spans="1:14" s="4" customFormat="1" ht="15.75" customHeight="1" x14ac:dyDescent="0.3">
      <c r="A61" s="95"/>
      <c r="B61" s="95"/>
      <c r="C61" s="112" t="s">
        <v>7</v>
      </c>
      <c r="D61" s="112"/>
      <c r="E61" s="112"/>
      <c r="F61" s="112"/>
      <c r="G61" s="112"/>
      <c r="H61" s="112"/>
      <c r="I61" s="113"/>
      <c r="J61" s="96">
        <f>J60*0.1</f>
        <v>451452350</v>
      </c>
      <c r="K61" s="25"/>
      <c r="L61" s="23"/>
    </row>
    <row r="62" spans="1:14" s="4" customFormat="1" ht="23.25" customHeight="1" thickBot="1" x14ac:dyDescent="0.35">
      <c r="A62" s="114" t="s">
        <v>17</v>
      </c>
      <c r="B62" s="115"/>
      <c r="C62" s="115"/>
      <c r="D62" s="115"/>
      <c r="E62" s="115"/>
      <c r="F62" s="115"/>
      <c r="G62" s="115"/>
      <c r="H62" s="115"/>
      <c r="I62" s="97"/>
      <c r="J62" s="98">
        <f>J60*1.1</f>
        <v>4965975850</v>
      </c>
      <c r="K62" s="25"/>
      <c r="L62" s="23"/>
      <c r="N62" s="18"/>
    </row>
    <row r="63" spans="1:14" s="3" customFormat="1" ht="16" thickTop="1" x14ac:dyDescent="0.35">
      <c r="A63" s="5"/>
      <c r="B63" s="5"/>
      <c r="C63" s="1"/>
      <c r="D63" s="6"/>
      <c r="E63" s="6"/>
      <c r="F63" s="7"/>
      <c r="G63" s="7"/>
      <c r="H63" s="7"/>
      <c r="I63" s="55"/>
      <c r="J63" s="55"/>
      <c r="K63" s="83"/>
    </row>
    <row r="64" spans="1:14" s="3" customFormat="1" ht="15.5" x14ac:dyDescent="0.35">
      <c r="A64" s="5"/>
      <c r="B64" s="5"/>
      <c r="C64" s="1"/>
      <c r="D64" s="6"/>
      <c r="E64" s="6"/>
      <c r="F64" s="7"/>
      <c r="G64" s="7"/>
      <c r="H64" s="7"/>
      <c r="I64" s="55"/>
      <c r="J64" s="55"/>
      <c r="K64" s="83"/>
    </row>
    <row r="65" spans="1:13" s="3" customFormat="1" ht="15.5" x14ac:dyDescent="0.35">
      <c r="A65" s="5"/>
      <c r="B65" s="5"/>
      <c r="C65" s="1"/>
      <c r="D65" s="6"/>
      <c r="E65" s="6"/>
      <c r="F65" s="7"/>
      <c r="G65" s="7"/>
      <c r="H65" s="7"/>
      <c r="I65" s="55"/>
      <c r="J65" s="55"/>
      <c r="K65" s="83"/>
    </row>
    <row r="66" spans="1:13" s="3" customFormat="1" ht="15.5" x14ac:dyDescent="0.35">
      <c r="A66" s="5"/>
      <c r="B66" s="5"/>
      <c r="C66" s="1"/>
      <c r="D66" s="6"/>
      <c r="E66" s="6"/>
      <c r="F66" s="7"/>
      <c r="G66" s="7"/>
      <c r="H66" s="7"/>
      <c r="I66" s="55"/>
      <c r="J66" s="55"/>
      <c r="K66" s="83"/>
    </row>
    <row r="67" spans="1:13" s="3" customFormat="1" ht="15.5" x14ac:dyDescent="0.35">
      <c r="A67" s="5"/>
      <c r="B67" s="5"/>
      <c r="C67" s="1"/>
      <c r="D67" s="6"/>
      <c r="E67" s="6"/>
      <c r="F67" s="7"/>
      <c r="G67" s="7"/>
      <c r="H67" s="7"/>
      <c r="I67" s="55"/>
      <c r="J67" s="55"/>
      <c r="K67" s="83"/>
    </row>
    <row r="68" spans="1:13" s="3" customFormat="1" ht="15.5" x14ac:dyDescent="0.35">
      <c r="A68" s="5"/>
      <c r="B68" s="5"/>
      <c r="C68" s="1"/>
      <c r="D68" s="6"/>
      <c r="E68" s="6"/>
      <c r="F68" s="7"/>
      <c r="G68" s="7"/>
      <c r="H68" s="7"/>
      <c r="I68" s="55"/>
      <c r="J68" s="55"/>
      <c r="K68" s="83"/>
    </row>
    <row r="69" spans="1:13" s="3" customFormat="1" ht="15.5" x14ac:dyDescent="0.35">
      <c r="A69" s="5"/>
      <c r="B69" s="5"/>
      <c r="C69" s="1"/>
      <c r="D69" s="6"/>
      <c r="E69" s="6"/>
      <c r="F69" s="7"/>
      <c r="G69" s="7"/>
      <c r="H69" s="7"/>
      <c r="I69" s="55"/>
      <c r="J69" s="55"/>
      <c r="K69" s="84"/>
    </row>
    <row r="70" spans="1:13" s="3" customFormat="1" ht="15.5" x14ac:dyDescent="0.35">
      <c r="A70" s="5"/>
      <c r="B70" s="5"/>
      <c r="C70" s="1"/>
      <c r="D70" s="6"/>
      <c r="E70" s="6"/>
      <c r="F70" s="7"/>
      <c r="G70" s="7"/>
      <c r="H70" s="7"/>
      <c r="I70" s="55"/>
      <c r="J70" s="55"/>
      <c r="K70" s="84"/>
    </row>
    <row r="71" spans="1:13" s="3" customFormat="1" ht="15.5" x14ac:dyDescent="0.35">
      <c r="A71" s="5"/>
      <c r="B71" s="5"/>
      <c r="C71" s="1"/>
      <c r="D71" s="6"/>
      <c r="E71" s="6"/>
      <c r="F71" s="7"/>
      <c r="G71" s="7"/>
      <c r="H71" s="7"/>
      <c r="I71" s="55"/>
      <c r="J71" s="55"/>
      <c r="K71" s="84"/>
      <c r="L71" s="2"/>
    </row>
    <row r="72" spans="1:13" s="3" customFormat="1" ht="15.5" x14ac:dyDescent="0.35">
      <c r="A72" s="5"/>
      <c r="B72" s="5"/>
      <c r="C72" s="1"/>
      <c r="D72" s="6"/>
      <c r="E72" s="6"/>
      <c r="F72" s="7"/>
      <c r="G72" s="7"/>
      <c r="H72" s="7"/>
      <c r="I72" s="55"/>
      <c r="J72" s="55"/>
      <c r="K72" s="85"/>
      <c r="L72" s="2"/>
    </row>
    <row r="73" spans="1:13" s="3" customFormat="1" ht="15.5" x14ac:dyDescent="0.35">
      <c r="A73" s="5"/>
      <c r="B73" s="5"/>
      <c r="C73" s="1"/>
      <c r="D73" s="6"/>
      <c r="E73" s="6"/>
      <c r="F73" s="7"/>
      <c r="G73" s="7"/>
      <c r="H73" s="7"/>
      <c r="I73" s="55"/>
      <c r="J73" s="55"/>
      <c r="K73" s="85"/>
      <c r="L73" s="2"/>
    </row>
    <row r="74" spans="1:13" s="3" customFormat="1" ht="15.5" x14ac:dyDescent="0.35">
      <c r="A74" s="5"/>
      <c r="B74" s="5"/>
      <c r="C74" s="1"/>
      <c r="D74" s="6"/>
      <c r="E74" s="6"/>
      <c r="F74" s="7"/>
      <c r="G74" s="7"/>
      <c r="H74" s="7"/>
      <c r="I74" s="55"/>
      <c r="J74" s="55"/>
      <c r="K74" s="85"/>
      <c r="L74" s="1"/>
    </row>
    <row r="75" spans="1:13" s="3" customFormat="1" ht="15.5" x14ac:dyDescent="0.35">
      <c r="A75" s="5"/>
      <c r="B75" s="5"/>
      <c r="C75" s="1"/>
      <c r="D75" s="6"/>
      <c r="E75" s="6"/>
      <c r="F75" s="7"/>
      <c r="G75" s="7"/>
      <c r="H75" s="7"/>
      <c r="I75" s="55"/>
      <c r="J75" s="55"/>
      <c r="K75" s="85"/>
      <c r="L75" s="1"/>
    </row>
    <row r="76" spans="1:13" s="3" customFormat="1" ht="15.5" x14ac:dyDescent="0.35">
      <c r="A76" s="5"/>
      <c r="B76" s="5"/>
      <c r="C76" s="1"/>
      <c r="D76" s="6"/>
      <c r="E76" s="6"/>
      <c r="F76" s="7"/>
      <c r="G76" s="7"/>
      <c r="H76" s="7"/>
      <c r="I76" s="55"/>
      <c r="J76" s="55"/>
      <c r="K76" s="85"/>
      <c r="L76" s="1"/>
    </row>
    <row r="77" spans="1:13" s="3" customFormat="1" ht="15.5" x14ac:dyDescent="0.35">
      <c r="A77" s="5"/>
      <c r="B77" s="5"/>
      <c r="C77" s="1"/>
      <c r="D77" s="6"/>
      <c r="E77" s="6"/>
      <c r="F77" s="7"/>
      <c r="G77" s="7"/>
      <c r="H77" s="7"/>
      <c r="I77" s="55"/>
      <c r="J77" s="55"/>
      <c r="K77" s="85"/>
      <c r="L77" s="1"/>
    </row>
    <row r="78" spans="1:13" s="3" customFormat="1" ht="15.5" x14ac:dyDescent="0.35">
      <c r="A78" s="5"/>
      <c r="B78" s="5"/>
      <c r="C78" s="1"/>
      <c r="D78" s="6"/>
      <c r="E78" s="6"/>
      <c r="F78" s="7"/>
      <c r="G78" s="7"/>
      <c r="H78" s="7"/>
      <c r="I78" s="55"/>
      <c r="J78" s="55"/>
      <c r="K78" s="85"/>
      <c r="L78" s="1"/>
      <c r="M78" s="2"/>
    </row>
    <row r="79" spans="1:13" s="3" customFormat="1" ht="15.5" x14ac:dyDescent="0.35">
      <c r="A79" s="5"/>
      <c r="B79" s="5"/>
      <c r="C79" s="1"/>
      <c r="D79" s="6"/>
      <c r="E79" s="6"/>
      <c r="F79" s="7"/>
      <c r="G79" s="7"/>
      <c r="H79" s="7"/>
      <c r="I79" s="55"/>
      <c r="J79" s="55"/>
      <c r="K79" s="85"/>
      <c r="L79" s="1"/>
      <c r="M79" s="2"/>
    </row>
    <row r="80" spans="1:13" s="3" customFormat="1" ht="15.5" x14ac:dyDescent="0.35">
      <c r="A80" s="5"/>
      <c r="B80" s="5"/>
      <c r="C80" s="1"/>
      <c r="D80" s="6"/>
      <c r="E80" s="6"/>
      <c r="F80" s="7"/>
      <c r="G80" s="7"/>
      <c r="H80" s="7"/>
      <c r="I80" s="55"/>
      <c r="J80" s="55"/>
      <c r="K80" s="85"/>
      <c r="L80" s="1"/>
      <c r="M80" s="2"/>
    </row>
    <row r="81" spans="1:13" s="2" customFormat="1" x14ac:dyDescent="0.3">
      <c r="A81" s="5"/>
      <c r="B81" s="5"/>
      <c r="C81" s="1"/>
      <c r="D81" s="6"/>
      <c r="E81" s="6"/>
      <c r="F81" s="7"/>
      <c r="G81" s="7"/>
      <c r="H81" s="7"/>
      <c r="I81" s="55"/>
      <c r="J81" s="55"/>
      <c r="K81" s="85"/>
      <c r="L81" s="1"/>
      <c r="M81" s="1"/>
    </row>
    <row r="82" spans="1:13" s="2" customFormat="1" x14ac:dyDescent="0.3">
      <c r="A82" s="5"/>
      <c r="B82" s="5"/>
      <c r="C82" s="1"/>
      <c r="D82" s="6"/>
      <c r="E82" s="6"/>
      <c r="F82" s="7"/>
      <c r="G82" s="7"/>
      <c r="H82" s="7"/>
      <c r="I82" s="55"/>
      <c r="J82" s="55"/>
      <c r="K82" s="85"/>
      <c r="L82" s="1"/>
      <c r="M82" s="1"/>
    </row>
    <row r="83" spans="1:13" s="2" customFormat="1" x14ac:dyDescent="0.3">
      <c r="A83" s="5"/>
      <c r="B83" s="5"/>
      <c r="C83" s="1"/>
      <c r="D83" s="6"/>
      <c r="E83" s="6"/>
      <c r="F83" s="7"/>
      <c r="G83" s="7"/>
      <c r="H83" s="7"/>
      <c r="I83" s="55"/>
      <c r="J83" s="55"/>
      <c r="K83" s="85"/>
      <c r="L83" s="1"/>
      <c r="M83" s="1"/>
    </row>
  </sheetData>
  <mergeCells count="22">
    <mergeCell ref="C60:I60"/>
    <mergeCell ref="C61:I61"/>
    <mergeCell ref="A62:H62"/>
    <mergeCell ref="A3:G3"/>
    <mergeCell ref="A17:I17"/>
    <mergeCell ref="A31:I31"/>
    <mergeCell ref="A44:I44"/>
    <mergeCell ref="B18:B20"/>
    <mergeCell ref="B21:B22"/>
    <mergeCell ref="B23:B24"/>
    <mergeCell ref="B25:B26"/>
    <mergeCell ref="B27:B28"/>
    <mergeCell ref="B29:B30"/>
    <mergeCell ref="B32:B36"/>
    <mergeCell ref="B37:B38"/>
    <mergeCell ref="G52:G59"/>
    <mergeCell ref="J4:J13"/>
    <mergeCell ref="H52:H59"/>
    <mergeCell ref="I52:I59"/>
    <mergeCell ref="J52:J59"/>
    <mergeCell ref="B39:B40"/>
    <mergeCell ref="B41:B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T470s</cp:lastModifiedBy>
  <dcterms:created xsi:type="dcterms:W3CDTF">2017-11-29T08:36:47Z</dcterms:created>
  <dcterms:modified xsi:type="dcterms:W3CDTF">2020-12-11T02:24:57Z</dcterms:modified>
</cp:coreProperties>
</file>