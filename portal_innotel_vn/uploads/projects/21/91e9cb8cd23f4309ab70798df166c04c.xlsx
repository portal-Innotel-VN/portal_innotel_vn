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computers\HieuWKS\01-Workspace\06-Vietnet\A Sơn\SSIS\"/>
    </mc:Choice>
  </mc:AlternateContent>
  <bookViews>
    <workbookView xWindow="240" yWindow="15" windowWidth="16095" windowHeight="9660" firstSheet="2" activeTab="2"/>
  </bookViews>
  <sheets>
    <sheet name="Thống kê" sheetId="3" state="hidden" r:id="rId1"/>
    <sheet name="Sheet1" sheetId="1" state="hidden" r:id="rId2"/>
    <sheet name="A3" sheetId="2" r:id="rId3"/>
    <sheet name="A6" sheetId="4" r:id="rId4"/>
  </sheets>
  <calcPr calcId="162913"/>
</workbook>
</file>

<file path=xl/calcChain.xml><?xml version="1.0" encoding="utf-8"?>
<calcChain xmlns="http://schemas.openxmlformats.org/spreadsheetml/2006/main">
  <c r="F31" i="2" l="1"/>
  <c r="F32" i="4"/>
  <c r="F31" i="4"/>
  <c r="F30" i="4"/>
  <c r="F29" i="4"/>
  <c r="F28" i="4"/>
  <c r="F26" i="4"/>
  <c r="F25" i="4"/>
  <c r="F24" i="4"/>
  <c r="F22" i="4"/>
  <c r="F21" i="4"/>
  <c r="F20" i="4"/>
  <c r="F18" i="4"/>
  <c r="F17" i="4"/>
  <c r="F16" i="4"/>
  <c r="F14" i="4"/>
  <c r="F12" i="4"/>
  <c r="F11" i="4"/>
  <c r="F9" i="4"/>
  <c r="F8" i="4"/>
  <c r="F4" i="4"/>
  <c r="F3" i="4"/>
  <c r="F2" i="4"/>
  <c r="H7" i="3"/>
  <c r="H10" i="3"/>
  <c r="H9" i="3"/>
  <c r="H8" i="3"/>
  <c r="H5" i="3"/>
  <c r="H4" i="3"/>
  <c r="H3" i="3"/>
  <c r="H2" i="3"/>
  <c r="F24" i="2"/>
  <c r="F30" i="2"/>
  <c r="F29" i="2"/>
  <c r="F28" i="2"/>
  <c r="F27" i="2"/>
  <c r="F26" i="2"/>
  <c r="F23" i="2"/>
  <c r="F22" i="2"/>
  <c r="F20" i="2"/>
  <c r="F19" i="2"/>
  <c r="F18" i="2"/>
  <c r="F16" i="2"/>
  <c r="F15" i="2"/>
  <c r="F14" i="2"/>
  <c r="F12" i="2"/>
  <c r="F10" i="2"/>
  <c r="F9" i="2"/>
  <c r="F7" i="2"/>
  <c r="F6" i="2"/>
  <c r="F4" i="2"/>
  <c r="F3" i="2"/>
  <c r="F2" i="2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7" i="1" s="1"/>
  <c r="F33" i="4" l="1"/>
</calcChain>
</file>

<file path=xl/sharedStrings.xml><?xml version="1.0" encoding="utf-8"?>
<sst xmlns="http://schemas.openxmlformats.org/spreadsheetml/2006/main" count="195" uniqueCount="89">
  <si>
    <t>Line#</t>
  </si>
  <si>
    <t>Part Number</t>
  </si>
  <si>
    <t>Description</t>
  </si>
  <si>
    <t>Unit Price</t>
  </si>
  <si>
    <t>Quantity</t>
  </si>
  <si>
    <t>Total</t>
  </si>
  <si>
    <t>1.0</t>
  </si>
  <si>
    <t>JL658A</t>
  </si>
  <si>
    <t>Aruba 6300M 24SFP+ 4SFP56 Switch</t>
  </si>
  <si>
    <t>2.0</t>
  </si>
  <si>
    <t>HR4B0E</t>
  </si>
  <si>
    <t>Aruba 1Y FC NBD Exch 6300M 24SFP SVC  [for JL658A]</t>
  </si>
  <si>
    <t>3.0</t>
  </si>
  <si>
    <t>JL085A</t>
  </si>
  <si>
    <t>Aruba X371 12VDC 250W AC Power Supply</t>
  </si>
  <si>
    <t>4.0</t>
  </si>
  <si>
    <t>R8N85A</t>
  </si>
  <si>
    <t>Aruba 6000 48G CL4 4SFP Switch</t>
  </si>
  <si>
    <t>5.0</t>
  </si>
  <si>
    <t>H52Y9E</t>
  </si>
  <si>
    <t>Aruba 1Y FC NBD Exch 6000 48G CL4 4SFP SVC  [for R8N85A]</t>
  </si>
  <si>
    <t>6.0</t>
  </si>
  <si>
    <t>R8N87A</t>
  </si>
  <si>
    <t>Aruba 6000 24G CL4 4SFP Switch</t>
  </si>
  <si>
    <t>7.0</t>
  </si>
  <si>
    <t>H54B1E</t>
  </si>
  <si>
    <t>Aruba 1Y FC NBD Exch 6000 24G CL4 4SFP SVC  [for R8N87A]</t>
  </si>
  <si>
    <t>8.0</t>
  </si>
  <si>
    <t>JL675A</t>
  </si>
  <si>
    <t>Aruba 6100 48G CL4 4SFP+ Switch</t>
  </si>
  <si>
    <t>9.0</t>
  </si>
  <si>
    <t>HV0L7E</t>
  </si>
  <si>
    <t>Aruba 1Y FC NBD Exch 6100 48G CL4 SVC  [for JL675A]</t>
  </si>
  <si>
    <t>10.0</t>
  </si>
  <si>
    <t>JL677A</t>
  </si>
  <si>
    <t>Aruba 6100 24G CL4 4SFP+ Switch</t>
  </si>
  <si>
    <t>11.0</t>
  </si>
  <si>
    <t>HV1L3E</t>
  </si>
  <si>
    <t>Aruba 1Y FC NBD Exch 6100 24G CL4 SVC  [for JL677A]</t>
  </si>
  <si>
    <t>12.0</t>
  </si>
  <si>
    <t>J9150D</t>
  </si>
  <si>
    <t>Aruba 10G SFP+ LC SR 300m MMF Transceiver</t>
  </si>
  <si>
    <t>13.0</t>
  </si>
  <si>
    <t>JW686A</t>
  </si>
  <si>
    <t>Aruba 7030 (RW) 8p Dual Pers 10/100/1000BASE-T/1GBASE-X SFP 64 AP and 4K Clients Controller</t>
  </si>
  <si>
    <t>14.0</t>
  </si>
  <si>
    <t>H3CB5E</t>
  </si>
  <si>
    <t>Aruba 1Y FC NBD Exch 7030 Cntlr SVC  [for JW686A]</t>
  </si>
  <si>
    <t>15.0</t>
  </si>
  <si>
    <t>JW472AAE</t>
  </si>
  <si>
    <t>Aruba LIC-AP Controller per AP Capacity License E-LTU</t>
  </si>
  <si>
    <t>16.0</t>
  </si>
  <si>
    <t>R2H28A</t>
  </si>
  <si>
    <t>Aruba AP-505 (RW) Unified AP</t>
  </si>
  <si>
    <t>17.0</t>
  </si>
  <si>
    <t>HP9V9E</t>
  </si>
  <si>
    <t>Aruba 1Y FC NBD Exch AP-505 SVC  [for R2H28A]</t>
  </si>
  <si>
    <t>18.0</t>
  </si>
  <si>
    <t>R3J18A</t>
  </si>
  <si>
    <t>AP-MNT-D AP mount bracket individual D: solid surface</t>
  </si>
  <si>
    <t>19.0</t>
  </si>
  <si>
    <t>JZ336A</t>
  </si>
  <si>
    <t>Aruba AP-535 (RW) Unified AP</t>
  </si>
  <si>
    <t>20.0</t>
  </si>
  <si>
    <t>HG6E5E</t>
  </si>
  <si>
    <t>Aruba 1Y FC NBD Exch AP 535 SVC  [for JZ336A]</t>
  </si>
  <si>
    <t>21.0</t>
  </si>
  <si>
    <t>R4H12A</t>
  </si>
  <si>
    <t>Aruba AP-574 (RW) Outdoor 11ax AP</t>
  </si>
  <si>
    <t>22.0</t>
  </si>
  <si>
    <t>HS5U2E</t>
  </si>
  <si>
    <t>Aruba 1Y FC NBD Exch AP-574 SVC  [for R4H12A]</t>
  </si>
  <si>
    <t>23.0</t>
  </si>
  <si>
    <t>JW055A</t>
  </si>
  <si>
    <t>AP-270-MNT-H2 AP-270 Series Access Flush Wall or Ceiling Mount</t>
  </si>
  <si>
    <t>24.0</t>
  </si>
  <si>
    <t>JW027A</t>
  </si>
  <si>
    <t>ANT-2x2-5010 Pair 5GHz 10dBi Omni N-Type Direct Mount Outdoor Antennas</t>
  </si>
  <si>
    <t>25.0</t>
  </si>
  <si>
    <t>JW023A</t>
  </si>
  <si>
    <t>ANT-2x2-2005 Pair 2.4GHz 5dBi Omni N-type Direct Mount Outdoor Antennas</t>
  </si>
  <si>
    <t>A3</t>
  </si>
  <si>
    <t>Switch 48 ports RJ45(PoE)+4 ports SFP+ ( DATA)</t>
  </si>
  <si>
    <t xml:space="preserve">Switch 48 ports RJ45(PoE)+2 ports SFP (CCTV+PoE Clock) </t>
  </si>
  <si>
    <t>SL</t>
  </si>
  <si>
    <t>"Switch 24 cổng  RJ45  PoE +2 Ports SFP+ ( CCTV+ Poe clock)</t>
  </si>
  <si>
    <t>A6</t>
  </si>
  <si>
    <t>Switch 16 ports RJ45 +2 ports SFP(CCTV)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</si>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</sst>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#,##0.00_);\(&quot;&quot;#,##0.00\);&quot;&quot;0.00_);_(* 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49" fontId="0" fillId="0" borderId="2" xfId="0" applyNumberFormat="1" applyBorder="1" applyAlignment="1">
      <alignment horizontal="left" wrapText="1"/>
    </xf>
    <xf numFmtId="164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I17" sqref="I17"/>
    </sheetView>
  </sheetViews>
  <sheetFormatPr defaultRowHeight="15" x14ac:dyDescent="0.25"/>
  <cols>
    <col min="1" max="1" width="3.28515625" bestFit="1" customWidth="1"/>
    <col min="2" max="2" width="58.7109375" customWidth="1"/>
    <col min="3" max="3" width="10.7109375" style="5" customWidth="1"/>
    <col min="4" max="4" width="11.140625" customWidth="1"/>
  </cols>
  <sheetData>
    <row r="1" spans="1:8" x14ac:dyDescent="0.25">
      <c r="A1" t="s">
        <v>81</v>
      </c>
      <c r="C1" s="5" t="s">
        <v>84</v>
      </c>
    </row>
    <row r="2" spans="1:8" x14ac:dyDescent="0.25">
      <c r="B2" t="s">
        <v>82</v>
      </c>
      <c r="C2" s="5">
        <v>2</v>
      </c>
      <c r="D2">
        <v>2</v>
      </c>
      <c r="E2">
        <v>2</v>
      </c>
      <c r="F2">
        <v>3</v>
      </c>
      <c r="G2">
        <v>3</v>
      </c>
      <c r="H2">
        <f>SUM(C2:G2)</f>
        <v>12</v>
      </c>
    </row>
    <row r="3" spans="1:8" x14ac:dyDescent="0.25">
      <c r="B3" t="s">
        <v>83</v>
      </c>
      <c r="C3" s="5">
        <v>1</v>
      </c>
      <c r="D3">
        <v>1</v>
      </c>
      <c r="F3">
        <v>1</v>
      </c>
      <c r="G3">
        <v>1</v>
      </c>
      <c r="H3">
        <f>SUM(C3:G3)</f>
        <v>4</v>
      </c>
    </row>
    <row r="4" spans="1:8" x14ac:dyDescent="0.25">
      <c r="B4" s="6" t="s">
        <v>85</v>
      </c>
      <c r="E4">
        <v>1</v>
      </c>
      <c r="H4">
        <f>SUM(C4:G4)</f>
        <v>1</v>
      </c>
    </row>
    <row r="5" spans="1:8" x14ac:dyDescent="0.25">
      <c r="B5" t="s">
        <v>88</v>
      </c>
      <c r="C5" s="5">
        <v>40</v>
      </c>
      <c r="D5">
        <v>5</v>
      </c>
      <c r="E5">
        <v>1</v>
      </c>
      <c r="H5">
        <f>SUM(C5:G5)</f>
        <v>46</v>
      </c>
    </row>
    <row r="6" spans="1:8" x14ac:dyDescent="0.25">
      <c r="A6" t="s">
        <v>86</v>
      </c>
    </row>
    <row r="7" spans="1:8" x14ac:dyDescent="0.25">
      <c r="B7" t="s">
        <v>82</v>
      </c>
      <c r="C7" s="5">
        <v>1</v>
      </c>
      <c r="D7">
        <v>2</v>
      </c>
      <c r="E7">
        <v>3</v>
      </c>
      <c r="F7">
        <v>2</v>
      </c>
      <c r="G7">
        <v>2</v>
      </c>
      <c r="H7">
        <f>SUM(C7:G7)</f>
        <v>10</v>
      </c>
    </row>
    <row r="8" spans="1:8" x14ac:dyDescent="0.25">
      <c r="B8" t="s">
        <v>83</v>
      </c>
      <c r="D8">
        <v>1</v>
      </c>
      <c r="E8">
        <v>1</v>
      </c>
      <c r="F8">
        <v>1</v>
      </c>
      <c r="G8">
        <v>1</v>
      </c>
      <c r="H8">
        <f t="shared" ref="H7:H9" si="0">SUM(C8:G8)</f>
        <v>4</v>
      </c>
    </row>
    <row r="9" spans="1:8" x14ac:dyDescent="0.25">
      <c r="B9" t="s">
        <v>87</v>
      </c>
      <c r="C9" s="5">
        <v>1</v>
      </c>
      <c r="H9">
        <f t="shared" si="0"/>
        <v>1</v>
      </c>
    </row>
    <row r="10" spans="1:8" x14ac:dyDescent="0.25">
      <c r="B10" t="s">
        <v>88</v>
      </c>
      <c r="C10" s="5">
        <v>41</v>
      </c>
      <c r="D10">
        <v>13</v>
      </c>
      <c r="E10">
        <v>2</v>
      </c>
      <c r="H10">
        <f>SUM(C10:G10)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x14ac:dyDescent="0.25"/>
  <cols>
    <col min="1" max="1" width="10.7109375" customWidth="1"/>
    <col min="2" max="2" width="25.7109375" customWidth="1"/>
    <col min="3" max="3" width="60.7109375" customWidth="1"/>
    <col min="4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22172</v>
      </c>
      <c r="E2" s="4">
        <v>1</v>
      </c>
      <c r="F2" s="3">
        <f t="shared" ref="F2:F26" si="0">D2*E2</f>
        <v>22172</v>
      </c>
    </row>
    <row r="3" spans="1:6" x14ac:dyDescent="0.25">
      <c r="A3" s="2" t="s">
        <v>9</v>
      </c>
      <c r="B3" s="2" t="s">
        <v>10</v>
      </c>
      <c r="C3" s="2" t="s">
        <v>11</v>
      </c>
      <c r="D3" s="3">
        <v>1045</v>
      </c>
      <c r="E3" s="4">
        <v>1</v>
      </c>
      <c r="F3" s="3">
        <f t="shared" si="0"/>
        <v>1045</v>
      </c>
    </row>
    <row r="4" spans="1:6" x14ac:dyDescent="0.25">
      <c r="A4" s="2" t="s">
        <v>12</v>
      </c>
      <c r="B4" s="2" t="s">
        <v>13</v>
      </c>
      <c r="C4" s="2" t="s">
        <v>14</v>
      </c>
      <c r="D4" s="3">
        <v>733</v>
      </c>
      <c r="E4" s="4">
        <v>1</v>
      </c>
      <c r="F4" s="3">
        <f t="shared" si="0"/>
        <v>733</v>
      </c>
    </row>
    <row r="5" spans="1:6" x14ac:dyDescent="0.25">
      <c r="A5" s="2" t="s">
        <v>15</v>
      </c>
      <c r="B5" s="2" t="s">
        <v>16</v>
      </c>
      <c r="C5" s="2" t="s">
        <v>17</v>
      </c>
      <c r="D5" s="3">
        <v>3980</v>
      </c>
      <c r="E5" s="4">
        <v>1</v>
      </c>
      <c r="F5" s="3">
        <f t="shared" si="0"/>
        <v>3980</v>
      </c>
    </row>
    <row r="6" spans="1:6" x14ac:dyDescent="0.25">
      <c r="A6" s="2" t="s">
        <v>18</v>
      </c>
      <c r="B6" s="2" t="s">
        <v>19</v>
      </c>
      <c r="C6" s="2" t="s">
        <v>20</v>
      </c>
      <c r="D6" s="3">
        <v>181</v>
      </c>
      <c r="E6" s="4">
        <v>1</v>
      </c>
      <c r="F6" s="3">
        <f t="shared" si="0"/>
        <v>181</v>
      </c>
    </row>
    <row r="7" spans="1:6" x14ac:dyDescent="0.25">
      <c r="A7" s="2" t="s">
        <v>21</v>
      </c>
      <c r="B7" s="2" t="s">
        <v>22</v>
      </c>
      <c r="C7" s="2" t="s">
        <v>23</v>
      </c>
      <c r="D7" s="3">
        <v>2607</v>
      </c>
      <c r="E7" s="4">
        <v>1</v>
      </c>
      <c r="F7" s="3">
        <f t="shared" si="0"/>
        <v>2607</v>
      </c>
    </row>
    <row r="8" spans="1:6" x14ac:dyDescent="0.25">
      <c r="A8" s="2" t="s">
        <v>24</v>
      </c>
      <c r="B8" s="2" t="s">
        <v>25</v>
      </c>
      <c r="C8" s="2" t="s">
        <v>26</v>
      </c>
      <c r="D8" s="3">
        <v>97</v>
      </c>
      <c r="E8" s="4">
        <v>1</v>
      </c>
      <c r="F8" s="3">
        <f t="shared" si="0"/>
        <v>97</v>
      </c>
    </row>
    <row r="9" spans="1:6" x14ac:dyDescent="0.25">
      <c r="A9" s="2" t="s">
        <v>27</v>
      </c>
      <c r="B9" s="2" t="s">
        <v>28</v>
      </c>
      <c r="C9" s="2" t="s">
        <v>29</v>
      </c>
      <c r="D9" s="3">
        <v>5918</v>
      </c>
      <c r="E9" s="4">
        <v>1</v>
      </c>
      <c r="F9" s="3">
        <f t="shared" si="0"/>
        <v>5918</v>
      </c>
    </row>
    <row r="10" spans="1:6" x14ac:dyDescent="0.25">
      <c r="A10" s="2" t="s">
        <v>30</v>
      </c>
      <c r="B10" s="2" t="s">
        <v>31</v>
      </c>
      <c r="C10" s="2" t="s">
        <v>32</v>
      </c>
      <c r="D10" s="3">
        <v>321</v>
      </c>
      <c r="E10" s="4">
        <v>1</v>
      </c>
      <c r="F10" s="3">
        <f t="shared" si="0"/>
        <v>321</v>
      </c>
    </row>
    <row r="11" spans="1:6" x14ac:dyDescent="0.25">
      <c r="A11" s="2" t="s">
        <v>33</v>
      </c>
      <c r="B11" s="2" t="s">
        <v>34</v>
      </c>
      <c r="C11" s="2" t="s">
        <v>35</v>
      </c>
      <c r="D11" s="3">
        <v>3884</v>
      </c>
      <c r="E11" s="4">
        <v>1</v>
      </c>
      <c r="F11" s="3">
        <f t="shared" si="0"/>
        <v>3884</v>
      </c>
    </row>
    <row r="12" spans="1:6" x14ac:dyDescent="0.25">
      <c r="A12" s="2" t="s">
        <v>36</v>
      </c>
      <c r="B12" s="2" t="s">
        <v>37</v>
      </c>
      <c r="C12" s="2" t="s">
        <v>38</v>
      </c>
      <c r="D12" s="3">
        <v>207</v>
      </c>
      <c r="E12" s="4">
        <v>1</v>
      </c>
      <c r="F12" s="3">
        <f t="shared" si="0"/>
        <v>207</v>
      </c>
    </row>
    <row r="13" spans="1:6" x14ac:dyDescent="0.25">
      <c r="A13" s="2" t="s">
        <v>39</v>
      </c>
      <c r="B13" s="2" t="s">
        <v>40</v>
      </c>
      <c r="C13" s="2" t="s">
        <v>41</v>
      </c>
      <c r="D13" s="3">
        <v>1883</v>
      </c>
      <c r="E13" s="4">
        <v>1</v>
      </c>
      <c r="F13" s="3">
        <f t="shared" si="0"/>
        <v>1883</v>
      </c>
    </row>
    <row r="14" spans="1:6" ht="30" x14ac:dyDescent="0.25">
      <c r="A14" s="2" t="s">
        <v>42</v>
      </c>
      <c r="B14" s="2" t="s">
        <v>43</v>
      </c>
      <c r="C14" s="2" t="s">
        <v>44</v>
      </c>
      <c r="D14" s="3">
        <v>10093</v>
      </c>
      <c r="E14" s="4">
        <v>1</v>
      </c>
      <c r="F14" s="3">
        <f t="shared" si="0"/>
        <v>10093</v>
      </c>
    </row>
    <row r="15" spans="1:6" x14ac:dyDescent="0.25">
      <c r="A15" s="2" t="s">
        <v>45</v>
      </c>
      <c r="B15" s="2" t="s">
        <v>46</v>
      </c>
      <c r="C15" s="2" t="s">
        <v>47</v>
      </c>
      <c r="D15" s="3">
        <v>1305</v>
      </c>
      <c r="E15" s="4">
        <v>1</v>
      </c>
      <c r="F15" s="3">
        <f t="shared" si="0"/>
        <v>1305</v>
      </c>
    </row>
    <row r="16" spans="1:6" x14ac:dyDescent="0.25">
      <c r="A16" s="2" t="s">
        <v>48</v>
      </c>
      <c r="B16" s="2" t="s">
        <v>49</v>
      </c>
      <c r="C16" s="2" t="s">
        <v>50</v>
      </c>
      <c r="D16" s="3">
        <v>88</v>
      </c>
      <c r="E16" s="4">
        <v>50</v>
      </c>
      <c r="F16" s="3">
        <f t="shared" si="0"/>
        <v>4400</v>
      </c>
    </row>
    <row r="17" spans="1:6" x14ac:dyDescent="0.25">
      <c r="A17" s="2" t="s">
        <v>51</v>
      </c>
      <c r="B17" s="2" t="s">
        <v>52</v>
      </c>
      <c r="C17" s="2" t="s">
        <v>53</v>
      </c>
      <c r="D17" s="3">
        <v>1105</v>
      </c>
      <c r="E17" s="4">
        <v>1</v>
      </c>
      <c r="F17" s="3">
        <f t="shared" si="0"/>
        <v>1105</v>
      </c>
    </row>
    <row r="18" spans="1:6" x14ac:dyDescent="0.25">
      <c r="A18" s="2" t="s">
        <v>54</v>
      </c>
      <c r="B18" s="2" t="s">
        <v>55</v>
      </c>
      <c r="C18" s="2" t="s">
        <v>56</v>
      </c>
      <c r="D18" s="3">
        <v>37</v>
      </c>
      <c r="E18" s="4">
        <v>1</v>
      </c>
      <c r="F18" s="3">
        <f t="shared" si="0"/>
        <v>37</v>
      </c>
    </row>
    <row r="19" spans="1:6" x14ac:dyDescent="0.25">
      <c r="A19" s="2" t="s">
        <v>57</v>
      </c>
      <c r="B19" s="2" t="s">
        <v>58</v>
      </c>
      <c r="C19" s="2" t="s">
        <v>59</v>
      </c>
      <c r="D19" s="3">
        <v>43</v>
      </c>
      <c r="E19" s="4">
        <v>2</v>
      </c>
      <c r="F19" s="3">
        <f t="shared" si="0"/>
        <v>86</v>
      </c>
    </row>
    <row r="20" spans="1:6" x14ac:dyDescent="0.25">
      <c r="A20" s="2" t="s">
        <v>60</v>
      </c>
      <c r="B20" s="2" t="s">
        <v>61</v>
      </c>
      <c r="C20" s="2" t="s">
        <v>62</v>
      </c>
      <c r="D20" s="3">
        <v>2375</v>
      </c>
      <c r="E20" s="4">
        <v>1</v>
      </c>
      <c r="F20" s="3">
        <f t="shared" si="0"/>
        <v>2375</v>
      </c>
    </row>
    <row r="21" spans="1:6" x14ac:dyDescent="0.25">
      <c r="A21" s="2" t="s">
        <v>63</v>
      </c>
      <c r="B21" s="2" t="s">
        <v>64</v>
      </c>
      <c r="C21" s="2" t="s">
        <v>65</v>
      </c>
      <c r="D21" s="3">
        <v>88</v>
      </c>
      <c r="E21" s="4">
        <v>1</v>
      </c>
      <c r="F21" s="3">
        <f t="shared" si="0"/>
        <v>88</v>
      </c>
    </row>
    <row r="22" spans="1:6" x14ac:dyDescent="0.25">
      <c r="A22" s="2" t="s">
        <v>66</v>
      </c>
      <c r="B22" s="2" t="s">
        <v>67</v>
      </c>
      <c r="C22" s="2" t="s">
        <v>68</v>
      </c>
      <c r="D22" s="3">
        <v>2692</v>
      </c>
      <c r="E22" s="4">
        <v>1</v>
      </c>
      <c r="F22" s="3">
        <f t="shared" si="0"/>
        <v>2692</v>
      </c>
    </row>
    <row r="23" spans="1:6" x14ac:dyDescent="0.25">
      <c r="A23" s="2" t="s">
        <v>69</v>
      </c>
      <c r="B23" s="2" t="s">
        <v>70</v>
      </c>
      <c r="C23" s="2" t="s">
        <v>71</v>
      </c>
      <c r="D23" s="3">
        <v>98</v>
      </c>
      <c r="E23" s="4">
        <v>1</v>
      </c>
      <c r="F23" s="3">
        <f t="shared" si="0"/>
        <v>98</v>
      </c>
    </row>
    <row r="24" spans="1:6" x14ac:dyDescent="0.25">
      <c r="A24" s="2" t="s">
        <v>72</v>
      </c>
      <c r="B24" s="2" t="s">
        <v>73</v>
      </c>
      <c r="C24" s="2" t="s">
        <v>74</v>
      </c>
      <c r="D24" s="3">
        <v>85</v>
      </c>
      <c r="E24" s="4">
        <v>1</v>
      </c>
      <c r="F24" s="3">
        <f t="shared" si="0"/>
        <v>85</v>
      </c>
    </row>
    <row r="25" spans="1:6" ht="30" x14ac:dyDescent="0.25">
      <c r="A25" s="2" t="s">
        <v>75</v>
      </c>
      <c r="B25" s="2" t="s">
        <v>76</v>
      </c>
      <c r="C25" s="2" t="s">
        <v>77</v>
      </c>
      <c r="D25" s="3">
        <v>571</v>
      </c>
      <c r="E25" s="4">
        <v>2</v>
      </c>
      <c r="F25" s="3">
        <f t="shared" si="0"/>
        <v>1142</v>
      </c>
    </row>
    <row r="26" spans="1:6" ht="30" x14ac:dyDescent="0.25">
      <c r="A26" s="2" t="s">
        <v>78</v>
      </c>
      <c r="B26" s="2" t="s">
        <v>79</v>
      </c>
      <c r="C26" s="2" t="s">
        <v>80</v>
      </c>
      <c r="D26" s="3">
        <v>426</v>
      </c>
      <c r="E26" s="4">
        <v>1</v>
      </c>
      <c r="F26" s="3">
        <f t="shared" si="0"/>
        <v>426</v>
      </c>
    </row>
    <row r="27" spans="1:6" x14ac:dyDescent="0.25">
      <c r="C27" s="2" t="s">
        <v>5</v>
      </c>
      <c r="F27" s="3">
        <f>SUM(F2:F26)</f>
        <v>66960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C34" sqref="C34"/>
    </sheetView>
  </sheetViews>
  <sheetFormatPr defaultRowHeight="15" x14ac:dyDescent="0.25"/>
  <cols>
    <col min="1" max="1" width="10.7109375" customWidth="1"/>
    <col min="2" max="2" width="25.7109375" customWidth="1"/>
    <col min="3" max="3" width="60.7109375" customWidth="1"/>
    <col min="4" max="6" width="12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 t="s">
        <v>7</v>
      </c>
      <c r="C2" s="2" t="s">
        <v>8</v>
      </c>
      <c r="D2" s="3">
        <v>22172</v>
      </c>
      <c r="E2" s="4">
        <v>1</v>
      </c>
      <c r="F2" s="3">
        <f t="shared" ref="F2:F30" si="0">D2*E2</f>
        <v>22172</v>
      </c>
    </row>
    <row r="3" spans="1:6" x14ac:dyDescent="0.25">
      <c r="A3" s="2"/>
      <c r="B3" s="2" t="s">
        <v>10</v>
      </c>
      <c r="C3" s="2" t="s">
        <v>11</v>
      </c>
      <c r="D3" s="3">
        <v>1045</v>
      </c>
      <c r="E3" s="4">
        <v>1</v>
      </c>
      <c r="F3" s="3">
        <f t="shared" si="0"/>
        <v>1045</v>
      </c>
    </row>
    <row r="4" spans="1:6" x14ac:dyDescent="0.25">
      <c r="A4" s="2"/>
      <c r="B4" s="2" t="s">
        <v>13</v>
      </c>
      <c r="C4" s="2" t="s">
        <v>14</v>
      </c>
      <c r="D4" s="3">
        <v>733</v>
      </c>
      <c r="E4" s="4">
        <v>1</v>
      </c>
      <c r="F4" s="3">
        <f t="shared" si="0"/>
        <v>733</v>
      </c>
    </row>
    <row r="5" spans="1:6" x14ac:dyDescent="0.25">
      <c r="A5" s="2"/>
      <c r="B5" s="2"/>
      <c r="C5" s="2"/>
      <c r="D5" s="3"/>
      <c r="E5" s="4"/>
      <c r="F5" s="3"/>
    </row>
    <row r="6" spans="1:6" x14ac:dyDescent="0.25">
      <c r="A6" s="2"/>
      <c r="B6" s="2" t="s">
        <v>28</v>
      </c>
      <c r="C6" s="2" t="s">
        <v>29</v>
      </c>
      <c r="D6" s="3">
        <v>5918</v>
      </c>
      <c r="E6" s="4">
        <v>16</v>
      </c>
      <c r="F6" s="3">
        <f t="shared" si="0"/>
        <v>94688</v>
      </c>
    </row>
    <row r="7" spans="1:6" x14ac:dyDescent="0.25">
      <c r="A7" s="2"/>
      <c r="B7" s="2" t="s">
        <v>31</v>
      </c>
      <c r="C7" s="2" t="s">
        <v>32</v>
      </c>
      <c r="D7" s="3">
        <v>321</v>
      </c>
      <c r="E7" s="4">
        <v>16</v>
      </c>
      <c r="F7" s="3">
        <f t="shared" si="0"/>
        <v>5136</v>
      </c>
    </row>
    <row r="8" spans="1:6" x14ac:dyDescent="0.25">
      <c r="A8" s="2"/>
      <c r="B8" s="2"/>
      <c r="C8" s="2"/>
      <c r="D8" s="3"/>
      <c r="E8" s="4"/>
      <c r="F8" s="3"/>
    </row>
    <row r="9" spans="1:6" x14ac:dyDescent="0.25">
      <c r="A9" s="2"/>
      <c r="B9" s="2" t="s">
        <v>34</v>
      </c>
      <c r="C9" s="2" t="s">
        <v>35</v>
      </c>
      <c r="D9" s="3">
        <v>3884</v>
      </c>
      <c r="E9" s="4">
        <v>1</v>
      </c>
      <c r="F9" s="3">
        <f t="shared" si="0"/>
        <v>3884</v>
      </c>
    </row>
    <row r="10" spans="1:6" x14ac:dyDescent="0.25">
      <c r="A10" s="2"/>
      <c r="B10" s="2" t="s">
        <v>37</v>
      </c>
      <c r="C10" s="2" t="s">
        <v>38</v>
      </c>
      <c r="D10" s="3">
        <v>207</v>
      </c>
      <c r="E10" s="4">
        <v>1</v>
      </c>
      <c r="F10" s="3">
        <f t="shared" si="0"/>
        <v>207</v>
      </c>
    </row>
    <row r="11" spans="1:6" x14ac:dyDescent="0.25">
      <c r="A11" s="2"/>
      <c r="B11" s="2"/>
      <c r="C11" s="2"/>
      <c r="D11" s="3"/>
      <c r="E11" s="4"/>
      <c r="F11" s="3"/>
    </row>
    <row r="12" spans="1:6" x14ac:dyDescent="0.25">
      <c r="A12" s="2"/>
      <c r="B12" s="2" t="s">
        <v>40</v>
      </c>
      <c r="C12" s="2" t="s">
        <v>41</v>
      </c>
      <c r="D12" s="3">
        <v>1883</v>
      </c>
      <c r="E12" s="4">
        <v>34</v>
      </c>
      <c r="F12" s="3">
        <f t="shared" si="0"/>
        <v>64022</v>
      </c>
    </row>
    <row r="13" spans="1:6" x14ac:dyDescent="0.25">
      <c r="A13" s="2"/>
      <c r="B13" s="2"/>
      <c r="C13" s="2"/>
      <c r="D13" s="3"/>
      <c r="E13" s="4"/>
      <c r="F13" s="3"/>
    </row>
    <row r="14" spans="1:6" ht="30" x14ac:dyDescent="0.25">
      <c r="A14" s="2"/>
      <c r="B14" s="2" t="s">
        <v>43</v>
      </c>
      <c r="C14" s="2" t="s">
        <v>44</v>
      </c>
      <c r="D14" s="3">
        <v>10093</v>
      </c>
      <c r="E14" s="4">
        <v>1</v>
      </c>
      <c r="F14" s="3">
        <f t="shared" si="0"/>
        <v>10093</v>
      </c>
    </row>
    <row r="15" spans="1:6" x14ac:dyDescent="0.25">
      <c r="A15" s="2"/>
      <c r="B15" s="2" t="s">
        <v>46</v>
      </c>
      <c r="C15" s="2" t="s">
        <v>47</v>
      </c>
      <c r="D15" s="3">
        <v>1305</v>
      </c>
      <c r="E15" s="4">
        <v>1</v>
      </c>
      <c r="F15" s="3">
        <f t="shared" si="0"/>
        <v>1305</v>
      </c>
    </row>
    <row r="16" spans="1:6" x14ac:dyDescent="0.25">
      <c r="A16" s="2"/>
      <c r="B16" s="2" t="s">
        <v>49</v>
      </c>
      <c r="C16" s="2" t="s">
        <v>50</v>
      </c>
      <c r="D16" s="3">
        <v>88</v>
      </c>
      <c r="E16" s="4">
        <v>46</v>
      </c>
      <c r="F16" s="3">
        <f t="shared" si="0"/>
        <v>4048</v>
      </c>
    </row>
    <row r="17" spans="1:6" x14ac:dyDescent="0.25">
      <c r="A17" s="2"/>
      <c r="B17" s="2"/>
      <c r="C17" s="2"/>
      <c r="D17" s="3"/>
      <c r="E17" s="4"/>
      <c r="F17" s="3"/>
    </row>
    <row r="18" spans="1:6" x14ac:dyDescent="0.25">
      <c r="A18" s="2"/>
      <c r="B18" s="2" t="s">
        <v>52</v>
      </c>
      <c r="C18" s="2" t="s">
        <v>53</v>
      </c>
      <c r="D18" s="3">
        <v>1105</v>
      </c>
      <c r="E18" s="4">
        <v>40</v>
      </c>
      <c r="F18" s="3">
        <f t="shared" si="0"/>
        <v>44200</v>
      </c>
    </row>
    <row r="19" spans="1:6" x14ac:dyDescent="0.25">
      <c r="A19" s="2"/>
      <c r="B19" s="2" t="s">
        <v>55</v>
      </c>
      <c r="C19" s="2" t="s">
        <v>56</v>
      </c>
      <c r="D19" s="3">
        <v>37</v>
      </c>
      <c r="E19" s="4">
        <v>40</v>
      </c>
      <c r="F19" s="3">
        <f t="shared" si="0"/>
        <v>1480</v>
      </c>
    </row>
    <row r="20" spans="1:6" x14ac:dyDescent="0.25">
      <c r="A20" s="2"/>
      <c r="B20" s="2" t="s">
        <v>58</v>
      </c>
      <c r="C20" s="2" t="s">
        <v>59</v>
      </c>
      <c r="D20" s="3">
        <v>43</v>
      </c>
      <c r="E20" s="4">
        <v>40</v>
      </c>
      <c r="F20" s="3">
        <f t="shared" si="0"/>
        <v>1720</v>
      </c>
    </row>
    <row r="21" spans="1:6" x14ac:dyDescent="0.25">
      <c r="A21" s="2"/>
      <c r="B21" s="2"/>
      <c r="C21" s="2"/>
      <c r="D21" s="3"/>
      <c r="E21" s="4"/>
      <c r="F21" s="3"/>
    </row>
    <row r="22" spans="1:6" x14ac:dyDescent="0.25">
      <c r="A22" s="2"/>
      <c r="B22" s="2" t="s">
        <v>61</v>
      </c>
      <c r="C22" s="2" t="s">
        <v>62</v>
      </c>
      <c r="D22" s="3">
        <v>2375</v>
      </c>
      <c r="E22" s="4">
        <v>5</v>
      </c>
      <c r="F22" s="3">
        <f t="shared" si="0"/>
        <v>11875</v>
      </c>
    </row>
    <row r="23" spans="1:6" x14ac:dyDescent="0.25">
      <c r="A23" s="2"/>
      <c r="B23" s="2" t="s">
        <v>64</v>
      </c>
      <c r="C23" s="2" t="s">
        <v>65</v>
      </c>
      <c r="D23" s="3">
        <v>88</v>
      </c>
      <c r="E23" s="4">
        <v>5</v>
      </c>
      <c r="F23" s="3">
        <f t="shared" si="0"/>
        <v>440</v>
      </c>
    </row>
    <row r="24" spans="1:6" x14ac:dyDescent="0.25">
      <c r="A24" s="2"/>
      <c r="B24" s="2" t="s">
        <v>58</v>
      </c>
      <c r="C24" s="2" t="s">
        <v>59</v>
      </c>
      <c r="D24" s="3">
        <v>43</v>
      </c>
      <c r="E24" s="4">
        <v>5</v>
      </c>
      <c r="F24" s="3">
        <f t="shared" ref="F24" si="1">D24*E24</f>
        <v>215</v>
      </c>
    </row>
    <row r="25" spans="1:6" x14ac:dyDescent="0.25">
      <c r="A25" s="2"/>
      <c r="B25" s="2"/>
      <c r="C25" s="2"/>
      <c r="D25" s="3"/>
      <c r="E25" s="4"/>
      <c r="F25" s="3"/>
    </row>
    <row r="26" spans="1:6" x14ac:dyDescent="0.25">
      <c r="A26" s="2"/>
      <c r="B26" s="2" t="s">
        <v>67</v>
      </c>
      <c r="C26" s="2" t="s">
        <v>68</v>
      </c>
      <c r="D26" s="3">
        <v>2692</v>
      </c>
      <c r="E26" s="4">
        <v>1</v>
      </c>
      <c r="F26" s="3">
        <f t="shared" si="0"/>
        <v>2692</v>
      </c>
    </row>
    <row r="27" spans="1:6" x14ac:dyDescent="0.25">
      <c r="A27" s="2"/>
      <c r="B27" s="2" t="s">
        <v>70</v>
      </c>
      <c r="C27" s="2" t="s">
        <v>71</v>
      </c>
      <c r="D27" s="3">
        <v>98</v>
      </c>
      <c r="E27" s="4">
        <v>1</v>
      </c>
      <c r="F27" s="3">
        <f t="shared" si="0"/>
        <v>98</v>
      </c>
    </row>
    <row r="28" spans="1:6" x14ac:dyDescent="0.25">
      <c r="A28" s="2"/>
      <c r="B28" s="2" t="s">
        <v>73</v>
      </c>
      <c r="C28" s="2" t="s">
        <v>74</v>
      </c>
      <c r="D28" s="3">
        <v>85</v>
      </c>
      <c r="E28" s="4">
        <v>1</v>
      </c>
      <c r="F28" s="3">
        <f t="shared" si="0"/>
        <v>85</v>
      </c>
    </row>
    <row r="29" spans="1:6" ht="30" x14ac:dyDescent="0.25">
      <c r="A29" s="2"/>
      <c r="B29" s="2" t="s">
        <v>76</v>
      </c>
      <c r="C29" s="2" t="s">
        <v>77</v>
      </c>
      <c r="D29" s="3">
        <v>571</v>
      </c>
      <c r="E29" s="4">
        <v>2</v>
      </c>
      <c r="F29" s="3">
        <f t="shared" si="0"/>
        <v>1142</v>
      </c>
    </row>
    <row r="30" spans="1:6" ht="30" x14ac:dyDescent="0.25">
      <c r="A30" s="2"/>
      <c r="B30" s="2" t="s">
        <v>79</v>
      </c>
      <c r="C30" s="2" t="s">
        <v>80</v>
      </c>
      <c r="D30" s="3">
        <v>426</v>
      </c>
      <c r="E30" s="4">
        <v>1</v>
      </c>
      <c r="F30" s="3">
        <f t="shared" si="0"/>
        <v>426</v>
      </c>
    </row>
    <row r="31" spans="1:6" x14ac:dyDescent="0.25">
      <c r="C31" s="2" t="s">
        <v>5</v>
      </c>
      <c r="F31" s="3">
        <f>SUM(F2:F30)</f>
        <v>271706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K30" sqref="K30:L30"/>
    </sheetView>
  </sheetViews>
  <sheetFormatPr defaultRowHeight="15" x14ac:dyDescent="0.25"/>
  <cols>
    <col min="1" max="1" width="10.7109375" customWidth="1"/>
    <col min="2" max="2" width="25.7109375" customWidth="1"/>
    <col min="3" max="3" width="60.7109375" customWidth="1"/>
    <col min="4" max="6" width="12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 t="s">
        <v>7</v>
      </c>
      <c r="C2" s="2" t="s">
        <v>8</v>
      </c>
      <c r="D2" s="3">
        <v>22172</v>
      </c>
      <c r="E2" s="4">
        <v>1</v>
      </c>
      <c r="F2" s="3">
        <f t="shared" ref="F2:F32" si="0">D2*E2</f>
        <v>22172</v>
      </c>
    </row>
    <row r="3" spans="1:6" x14ac:dyDescent="0.25">
      <c r="A3" s="2"/>
      <c r="B3" s="2" t="s">
        <v>10</v>
      </c>
      <c r="C3" s="2" t="s">
        <v>11</v>
      </c>
      <c r="D3" s="3">
        <v>1045</v>
      </c>
      <c r="E3" s="4">
        <v>1</v>
      </c>
      <c r="F3" s="3">
        <f t="shared" si="0"/>
        <v>1045</v>
      </c>
    </row>
    <row r="4" spans="1:6" x14ac:dyDescent="0.25">
      <c r="A4" s="2"/>
      <c r="B4" s="2" t="s">
        <v>13</v>
      </c>
      <c r="C4" s="2" t="s">
        <v>14</v>
      </c>
      <c r="D4" s="3">
        <v>733</v>
      </c>
      <c r="E4" s="4">
        <v>1</v>
      </c>
      <c r="F4" s="3">
        <f t="shared" si="0"/>
        <v>733</v>
      </c>
    </row>
    <row r="5" spans="1:6" x14ac:dyDescent="0.25">
      <c r="A5" s="2"/>
      <c r="B5" s="2"/>
      <c r="C5" s="2"/>
      <c r="D5" s="3"/>
      <c r="E5" s="4"/>
      <c r="F5" s="3"/>
    </row>
    <row r="6" spans="1:6" x14ac:dyDescent="0.25">
      <c r="A6" s="2"/>
      <c r="B6" s="2"/>
      <c r="C6" s="2"/>
      <c r="D6" s="3"/>
      <c r="E6" s="4"/>
      <c r="F6" s="3"/>
    </row>
    <row r="7" spans="1:6" x14ac:dyDescent="0.25">
      <c r="A7" s="2"/>
      <c r="B7" s="2"/>
      <c r="C7" s="2"/>
      <c r="D7" s="3"/>
      <c r="E7" s="4"/>
      <c r="F7" s="3"/>
    </row>
    <row r="8" spans="1:6" x14ac:dyDescent="0.25">
      <c r="A8" s="2"/>
      <c r="B8" s="2" t="s">
        <v>28</v>
      </c>
      <c r="C8" s="2" t="s">
        <v>29</v>
      </c>
      <c r="D8" s="3">
        <v>5918</v>
      </c>
      <c r="E8" s="4">
        <v>14</v>
      </c>
      <c r="F8" s="3">
        <f t="shared" si="0"/>
        <v>82852</v>
      </c>
    </row>
    <row r="9" spans="1:6" x14ac:dyDescent="0.25">
      <c r="A9" s="2"/>
      <c r="B9" s="2" t="s">
        <v>31</v>
      </c>
      <c r="C9" s="2" t="s">
        <v>32</v>
      </c>
      <c r="D9" s="3">
        <v>321</v>
      </c>
      <c r="E9" s="4">
        <v>14</v>
      </c>
      <c r="F9" s="3">
        <f t="shared" si="0"/>
        <v>4494</v>
      </c>
    </row>
    <row r="10" spans="1:6" x14ac:dyDescent="0.25">
      <c r="A10" s="2"/>
      <c r="B10" s="2"/>
      <c r="C10" s="2"/>
      <c r="D10" s="3"/>
      <c r="E10" s="4"/>
      <c r="F10" s="3"/>
    </row>
    <row r="11" spans="1:6" x14ac:dyDescent="0.25">
      <c r="A11" s="2"/>
      <c r="B11" s="2" t="s">
        <v>34</v>
      </c>
      <c r="C11" s="2" t="s">
        <v>35</v>
      </c>
      <c r="D11" s="3">
        <v>3884</v>
      </c>
      <c r="E11" s="4">
        <v>1</v>
      </c>
      <c r="F11" s="3">
        <f t="shared" si="0"/>
        <v>3884</v>
      </c>
    </row>
    <row r="12" spans="1:6" x14ac:dyDescent="0.25">
      <c r="A12" s="2"/>
      <c r="B12" s="2" t="s">
        <v>37</v>
      </c>
      <c r="C12" s="2" t="s">
        <v>38</v>
      </c>
      <c r="D12" s="3">
        <v>207</v>
      </c>
      <c r="E12" s="4">
        <v>1</v>
      </c>
      <c r="F12" s="3">
        <f t="shared" si="0"/>
        <v>207</v>
      </c>
    </row>
    <row r="13" spans="1:6" x14ac:dyDescent="0.25">
      <c r="A13" s="2"/>
      <c r="B13" s="2"/>
      <c r="C13" s="2"/>
      <c r="D13" s="3"/>
      <c r="E13" s="4"/>
      <c r="F13" s="3"/>
    </row>
    <row r="14" spans="1:6" x14ac:dyDescent="0.25">
      <c r="A14" s="2"/>
      <c r="B14" s="2" t="s">
        <v>40</v>
      </c>
      <c r="C14" s="2" t="s">
        <v>41</v>
      </c>
      <c r="D14" s="3">
        <v>1883</v>
      </c>
      <c r="E14" s="4">
        <v>30</v>
      </c>
      <c r="F14" s="3">
        <f t="shared" si="0"/>
        <v>56490</v>
      </c>
    </row>
    <row r="15" spans="1:6" x14ac:dyDescent="0.25">
      <c r="A15" s="2"/>
      <c r="B15" s="2"/>
      <c r="C15" s="2"/>
      <c r="D15" s="3"/>
      <c r="E15" s="4"/>
      <c r="F15" s="3"/>
    </row>
    <row r="16" spans="1:6" ht="30" x14ac:dyDescent="0.25">
      <c r="A16" s="2"/>
      <c r="B16" s="2" t="s">
        <v>43</v>
      </c>
      <c r="C16" s="2" t="s">
        <v>44</v>
      </c>
      <c r="D16" s="3">
        <v>10093</v>
      </c>
      <c r="E16" s="4">
        <v>1</v>
      </c>
      <c r="F16" s="3">
        <f t="shared" si="0"/>
        <v>10093</v>
      </c>
    </row>
    <row r="17" spans="1:6" x14ac:dyDescent="0.25">
      <c r="A17" s="2"/>
      <c r="B17" s="2" t="s">
        <v>46</v>
      </c>
      <c r="C17" s="2" t="s">
        <v>47</v>
      </c>
      <c r="D17" s="3">
        <v>1305</v>
      </c>
      <c r="E17" s="4">
        <v>1</v>
      </c>
      <c r="F17" s="3">
        <f t="shared" si="0"/>
        <v>1305</v>
      </c>
    </row>
    <row r="18" spans="1:6" x14ac:dyDescent="0.25">
      <c r="A18" s="2"/>
      <c r="B18" s="2" t="s">
        <v>49</v>
      </c>
      <c r="C18" s="2" t="s">
        <v>50</v>
      </c>
      <c r="D18" s="3">
        <v>88</v>
      </c>
      <c r="E18" s="4">
        <v>56</v>
      </c>
      <c r="F18" s="3">
        <f t="shared" si="0"/>
        <v>4928</v>
      </c>
    </row>
    <row r="19" spans="1:6" x14ac:dyDescent="0.25">
      <c r="A19" s="2"/>
      <c r="B19" s="2"/>
      <c r="C19" s="2"/>
      <c r="D19" s="3"/>
      <c r="E19" s="4"/>
      <c r="F19" s="3"/>
    </row>
    <row r="20" spans="1:6" x14ac:dyDescent="0.25">
      <c r="A20" s="2"/>
      <c r="B20" s="2" t="s">
        <v>52</v>
      </c>
      <c r="C20" s="2" t="s">
        <v>53</v>
      </c>
      <c r="D20" s="3">
        <v>1105</v>
      </c>
      <c r="E20" s="4">
        <v>41</v>
      </c>
      <c r="F20" s="3">
        <f t="shared" si="0"/>
        <v>45305</v>
      </c>
    </row>
    <row r="21" spans="1:6" x14ac:dyDescent="0.25">
      <c r="A21" s="2"/>
      <c r="B21" s="2" t="s">
        <v>55</v>
      </c>
      <c r="C21" s="2" t="s">
        <v>56</v>
      </c>
      <c r="D21" s="3">
        <v>37</v>
      </c>
      <c r="E21" s="4">
        <v>41</v>
      </c>
      <c r="F21" s="3">
        <f t="shared" si="0"/>
        <v>1517</v>
      </c>
    </row>
    <row r="22" spans="1:6" x14ac:dyDescent="0.25">
      <c r="A22" s="2"/>
      <c r="B22" s="2" t="s">
        <v>58</v>
      </c>
      <c r="C22" s="2" t="s">
        <v>59</v>
      </c>
      <c r="D22" s="3">
        <v>43</v>
      </c>
      <c r="E22" s="4">
        <v>41</v>
      </c>
      <c r="F22" s="3">
        <f t="shared" si="0"/>
        <v>1763</v>
      </c>
    </row>
    <row r="23" spans="1:6" x14ac:dyDescent="0.25">
      <c r="A23" s="2"/>
      <c r="B23" s="2"/>
      <c r="C23" s="2"/>
      <c r="D23" s="3"/>
      <c r="E23" s="4"/>
      <c r="F23" s="3"/>
    </row>
    <row r="24" spans="1:6" x14ac:dyDescent="0.25">
      <c r="A24" s="2"/>
      <c r="B24" s="2" t="s">
        <v>61</v>
      </c>
      <c r="C24" s="2" t="s">
        <v>62</v>
      </c>
      <c r="D24" s="3">
        <v>2375</v>
      </c>
      <c r="E24" s="4">
        <v>13</v>
      </c>
      <c r="F24" s="3">
        <f t="shared" si="0"/>
        <v>30875</v>
      </c>
    </row>
    <row r="25" spans="1:6" x14ac:dyDescent="0.25">
      <c r="A25" s="2"/>
      <c r="B25" s="2" t="s">
        <v>64</v>
      </c>
      <c r="C25" s="2" t="s">
        <v>65</v>
      </c>
      <c r="D25" s="3">
        <v>88</v>
      </c>
      <c r="E25" s="4">
        <v>13</v>
      </c>
      <c r="F25" s="3">
        <f t="shared" si="0"/>
        <v>1144</v>
      </c>
    </row>
    <row r="26" spans="1:6" x14ac:dyDescent="0.25">
      <c r="A26" s="2"/>
      <c r="B26" s="2" t="s">
        <v>58</v>
      </c>
      <c r="C26" s="2" t="s">
        <v>59</v>
      </c>
      <c r="D26" s="3">
        <v>43</v>
      </c>
      <c r="E26" s="4">
        <v>13</v>
      </c>
      <c r="F26" s="3">
        <f t="shared" si="0"/>
        <v>559</v>
      </c>
    </row>
    <row r="27" spans="1:6" x14ac:dyDescent="0.25">
      <c r="A27" s="2"/>
      <c r="B27" s="2"/>
      <c r="C27" s="2"/>
      <c r="D27" s="3"/>
      <c r="E27" s="4"/>
      <c r="F27" s="3"/>
    </row>
    <row r="28" spans="1:6" x14ac:dyDescent="0.25">
      <c r="A28" s="2"/>
      <c r="B28" s="2" t="s">
        <v>67</v>
      </c>
      <c r="C28" s="2" t="s">
        <v>68</v>
      </c>
      <c r="D28" s="3">
        <v>2692</v>
      </c>
      <c r="E28" s="4">
        <v>2</v>
      </c>
      <c r="F28" s="3">
        <f t="shared" si="0"/>
        <v>5384</v>
      </c>
    </row>
    <row r="29" spans="1:6" x14ac:dyDescent="0.25">
      <c r="A29" s="2"/>
      <c r="B29" s="2" t="s">
        <v>70</v>
      </c>
      <c r="C29" s="2" t="s">
        <v>71</v>
      </c>
      <c r="D29" s="3">
        <v>98</v>
      </c>
      <c r="E29" s="4">
        <v>2</v>
      </c>
      <c r="F29" s="3">
        <f t="shared" si="0"/>
        <v>196</v>
      </c>
    </row>
    <row r="30" spans="1:6" x14ac:dyDescent="0.25">
      <c r="A30" s="2"/>
      <c r="B30" s="2" t="s">
        <v>73</v>
      </c>
      <c r="C30" s="2" t="s">
        <v>74</v>
      </c>
      <c r="D30" s="3">
        <v>85</v>
      </c>
      <c r="E30" s="4">
        <v>2</v>
      </c>
      <c r="F30" s="3">
        <f t="shared" si="0"/>
        <v>170</v>
      </c>
    </row>
    <row r="31" spans="1:6" ht="30" x14ac:dyDescent="0.25">
      <c r="A31" s="2"/>
      <c r="B31" s="2" t="s">
        <v>76</v>
      </c>
      <c r="C31" s="2" t="s">
        <v>77</v>
      </c>
      <c r="D31" s="3">
        <v>571</v>
      </c>
      <c r="E31" s="4">
        <v>4</v>
      </c>
      <c r="F31" s="3">
        <f t="shared" si="0"/>
        <v>2284</v>
      </c>
    </row>
    <row r="32" spans="1:6" ht="30" x14ac:dyDescent="0.25">
      <c r="A32" s="2"/>
      <c r="B32" s="2" t="s">
        <v>79</v>
      </c>
      <c r="C32" s="2" t="s">
        <v>80</v>
      </c>
      <c r="D32" s="3">
        <v>426</v>
      </c>
      <c r="E32" s="4">
        <v>2</v>
      </c>
      <c r="F32" s="3">
        <f t="shared" si="0"/>
        <v>852</v>
      </c>
    </row>
    <row r="33" spans="3:6" x14ac:dyDescent="0.25">
      <c r="C33" s="2" t="s">
        <v>5</v>
      </c>
      <c r="F33" s="3">
        <f>SUM(F2:F32)</f>
        <v>278252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Thống kê</vt:lpstr>
      <vt:lpstr>Sheet1</vt:lpstr>
      <vt:lpstr>A3</vt:lpstr>
      <vt:lpstr>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Intangi Envision</cp:keywords>
  <cp:lastModifiedBy>Huynh Trong Hieu</cp:lastModifiedBy>
  <dcterms:created xsi:type="dcterms:W3CDTF">2022-12-02T15:04:51Z</dcterms:created>
  <dcterms:modified xsi:type="dcterms:W3CDTF">2022-12-02T08:20:19Z</dcterms:modified>
</cp:coreProperties>
</file>